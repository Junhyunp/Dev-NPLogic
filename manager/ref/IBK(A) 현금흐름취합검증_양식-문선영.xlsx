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ymo\Desktop\IBK_2025_1\조서\최종\"/>
    </mc:Choice>
  </mc:AlternateContent>
  <bookViews>
    <workbookView xWindow="480" yWindow="50" windowWidth="21000" windowHeight="9910" activeTab="1"/>
  </bookViews>
  <sheets>
    <sheet name="현금흐름취합" sheetId="1" r:id="rId1"/>
    <sheet name="검증" sheetId="7" r:id="rId2"/>
    <sheet name="Sheet A" sheetId="12" r:id="rId3"/>
    <sheet name="일반여신" sheetId="13" r:id="rId4"/>
    <sheet name="가지급금" sheetId="14" r:id="rId5"/>
    <sheet name="Sheet D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" localSheetId="2" hidden="1">#REF!</definedName>
    <definedName name="_" localSheetId="5" hidden="1">#REF!</definedName>
    <definedName name="_" hidden="1">#REF!</definedName>
    <definedName name="_?">[1]손익합산!$L$5:$L$92</definedName>
    <definedName name="___________________BOR2">[2]Borrower!$B$10:$F$325</definedName>
    <definedName name="___________________Rat1">[3]Variables!$B$18</definedName>
    <definedName name="___________________Rat2">[3]Variables!$B$19</definedName>
    <definedName name="___________________Rat3">[3]Variables!$B$20</definedName>
    <definedName name="___________________Rat4">[3]Variables!$B$21</definedName>
    <definedName name="__________________BOR2">[2]Borrower!$B$10:$F$325</definedName>
    <definedName name="__________________Rat1">[3]Variables!$B$18</definedName>
    <definedName name="__________________Rat2">[3]Variables!$B$19</definedName>
    <definedName name="__________________Rat3">[3]Variables!$B$20</definedName>
    <definedName name="__________________Rat4">[3]Variables!$B$21</definedName>
    <definedName name="_________________BOR2">[2]Borrower!$B$10:$F$325</definedName>
    <definedName name="_________________Rat1">[3]Variables!$B$18</definedName>
    <definedName name="_________________Rat2">[3]Variables!$B$19</definedName>
    <definedName name="_________________Rat3">[3]Variables!$B$20</definedName>
    <definedName name="_________________Rat4">[3]Variables!$B$21</definedName>
    <definedName name="________________BOR2">[2]Borrower!$B$10:$F$325</definedName>
    <definedName name="________________Rat1">[3]Variables!$B$18</definedName>
    <definedName name="________________Rat2">[3]Variables!$B$19</definedName>
    <definedName name="________________Rat3">[3]Variables!$B$20</definedName>
    <definedName name="________________Rat4">[3]Variables!$B$21</definedName>
    <definedName name="_______________BOR2">[2]Borrower!$B$10:$F$325</definedName>
    <definedName name="_______________Rat1">[3]Variables!$B$18</definedName>
    <definedName name="_______________Rat2">[3]Variables!$B$19</definedName>
    <definedName name="_______________Rat3">[3]Variables!$B$20</definedName>
    <definedName name="_______________Rat4">[3]Variables!$B$21</definedName>
    <definedName name="______________BOR2">[2]Borrower!$B$10:$F$325</definedName>
    <definedName name="______________Rat1">[3]Variables!$B$18</definedName>
    <definedName name="______________Rat2">[3]Variables!$B$19</definedName>
    <definedName name="______________Rat3">[3]Variables!$B$20</definedName>
    <definedName name="______________Rat4">[3]Variables!$B$21</definedName>
    <definedName name="_____________BOR2">[2]Borrower!$B$10:$F$325</definedName>
    <definedName name="_____________Rat1">[3]Variables!$B$18</definedName>
    <definedName name="_____________Rat2">[3]Variables!$B$19</definedName>
    <definedName name="_____________Rat3">[3]Variables!$B$20</definedName>
    <definedName name="_____________Rat4">[3]Variables!$B$21</definedName>
    <definedName name="____________BOR2">[2]Borrower!$B$10:$F$325</definedName>
    <definedName name="____________Rat1">[3]Variables!$B$18</definedName>
    <definedName name="____________Rat2">[3]Variables!$B$19</definedName>
    <definedName name="____________Rat3">[3]Variables!$B$20</definedName>
    <definedName name="____________Rat4">[3]Variables!$B$21</definedName>
    <definedName name="___________BOR2">[2]Borrower!$B$10:$F$325</definedName>
    <definedName name="___________Rat1">[3]Variables!$B$18</definedName>
    <definedName name="___________Rat2">[3]Variables!$B$19</definedName>
    <definedName name="___________Rat3">[3]Variables!$B$20</definedName>
    <definedName name="___________Rat4">[3]Variables!$B$21</definedName>
    <definedName name="__________BOR2">[2]Borrower!$B$10:$F$325</definedName>
    <definedName name="__________Rat1">[3]Variables!$B$18</definedName>
    <definedName name="__________Rat2">[3]Variables!$B$19</definedName>
    <definedName name="__________Rat3">[3]Variables!$B$20</definedName>
    <definedName name="__________Rat4">[3]Variables!$B$21</definedName>
    <definedName name="_________BOR2">[2]Borrower!$B$10:$F$325</definedName>
    <definedName name="_________Rat1">[3]Variables!$B$18</definedName>
    <definedName name="_________Rat2">[3]Variables!$B$19</definedName>
    <definedName name="_________Rat3">[3]Variables!$B$20</definedName>
    <definedName name="_________Rat4">[3]Variables!$B$21</definedName>
    <definedName name="________BOR2">[2]Borrower!$B$10:$F$325</definedName>
    <definedName name="________Rat1">[3]Variables!$B$18</definedName>
    <definedName name="________Rat2">[3]Variables!$B$19</definedName>
    <definedName name="________Rat3">[3]Variables!$B$20</definedName>
    <definedName name="________Rat4">[3]Variables!$B$21</definedName>
    <definedName name="_______BOR2">[2]Borrower!$B$10:$F$325</definedName>
    <definedName name="_______Rat1">[3]Variables!$B$18</definedName>
    <definedName name="_______Rat2">[3]Variables!$B$19</definedName>
    <definedName name="_______Rat3">[3]Variables!$B$20</definedName>
    <definedName name="_______Rat4">[3]Variables!$B$21</definedName>
    <definedName name="______BOR2">[2]Borrower!$B$10:$F$325</definedName>
    <definedName name="______Rat1">[3]Variables!$B$18</definedName>
    <definedName name="______Rat2">[3]Variables!$B$19</definedName>
    <definedName name="______Rat3">[3]Variables!$B$20</definedName>
    <definedName name="______Rat4">[3]Variables!$B$21</definedName>
    <definedName name="_____BOR2">[2]Borrower!$B$10:$F$325</definedName>
    <definedName name="_____Rat1">[3]Variables!$B$18</definedName>
    <definedName name="_____Rat2">[3]Variables!$B$19</definedName>
    <definedName name="_____Rat3">[3]Variables!$B$20</definedName>
    <definedName name="_____Rat4">[3]Variables!$B$21</definedName>
    <definedName name="____BOR2">[2]Borrower!$B$10:$F$325</definedName>
    <definedName name="____Rat1">[3]Variables!$B$18</definedName>
    <definedName name="____Rat2">[3]Variables!$B$19</definedName>
    <definedName name="____Rat3">[3]Variables!$B$20</definedName>
    <definedName name="____Rat4">[3]Variables!$B$21</definedName>
    <definedName name="___BOR2">[2]Borrower!$B$10:$F$325</definedName>
    <definedName name="___Rat1">[3]Variables!$B$18</definedName>
    <definedName name="___Rat2">[3]Variables!$B$19</definedName>
    <definedName name="___Rat3">[3]Variables!$B$20</definedName>
    <definedName name="___Rat4">[3]Variables!$B$21</definedName>
    <definedName name="__1_?">[1]손익합산!$L$5:$L$92</definedName>
    <definedName name="__BOR2">[2]Borrower!$B$10:$F$325</definedName>
    <definedName name="__IntlFixup" hidden="1">TRUE</definedName>
    <definedName name="__pc1">'[4]2담당0113'!$F$427</definedName>
    <definedName name="__Rat1">[3]Variables!$B$18</definedName>
    <definedName name="__Rat2">[3]Variables!$B$19</definedName>
    <definedName name="__Rat3">[3]Variables!$B$20</definedName>
    <definedName name="__Rat4">[3]Variables!$B$21</definedName>
    <definedName name="_0009110119">#REF!</definedName>
    <definedName name="_1_?">[1]손익합산!$L$5:$L$92</definedName>
    <definedName name="_10__123Graph_A차트_5" localSheetId="2" hidden="1">#REF!</definedName>
    <definedName name="_10__123Graph_A차트_5" localSheetId="5" hidden="1">#REF!</definedName>
    <definedName name="_10__123Graph_A차트_5" hidden="1">#REF!</definedName>
    <definedName name="_100T2_" localSheetId="2" hidden="1">{#N/A,#N/A,FALSE,"단축1";#N/A,#N/A,FALSE,"단축2";#N/A,#N/A,FALSE,"단축3";#N/A,#N/A,FALSE,"장축";#N/A,#N/A,FALSE,"4WD"}</definedName>
    <definedName name="_100T2_" localSheetId="5" hidden="1">{#N/A,#N/A,FALSE,"단축1";#N/A,#N/A,FALSE,"단축2";#N/A,#N/A,FALSE,"단축3";#N/A,#N/A,FALSE,"장축";#N/A,#N/A,FALSE,"4WD"}</definedName>
    <definedName name="_100T2_" hidden="1">{#N/A,#N/A,FALSE,"단축1";#N/A,#N/A,FALSE,"단축2";#N/A,#N/A,FALSE,"단축3";#N/A,#N/A,FALSE,"장축";#N/A,#N/A,FALSE,"4WD"}</definedName>
    <definedName name="_101T3_" localSheetId="2" hidden="1">{#N/A,#N/A,FALSE,"단축1";#N/A,#N/A,FALSE,"단축2";#N/A,#N/A,FALSE,"단축3";#N/A,#N/A,FALSE,"장축";#N/A,#N/A,FALSE,"4WD"}</definedName>
    <definedName name="_101T3_" localSheetId="5" hidden="1">{#N/A,#N/A,FALSE,"단축1";#N/A,#N/A,FALSE,"단축2";#N/A,#N/A,FALSE,"단축3";#N/A,#N/A,FALSE,"장축";#N/A,#N/A,FALSE,"4WD"}</definedName>
    <definedName name="_101T3_" hidden="1">{#N/A,#N/A,FALSE,"단축1";#N/A,#N/A,FALSE,"단축2";#N/A,#N/A,FALSE,"단축3";#N/A,#N/A,FALSE,"장축";#N/A,#N/A,FALSE,"4WD"}</definedName>
    <definedName name="_102T5_" localSheetId="2" hidden="1">{#N/A,#N/A,FALSE,"단축1";#N/A,#N/A,FALSE,"단축2";#N/A,#N/A,FALSE,"단축3";#N/A,#N/A,FALSE,"장축";#N/A,#N/A,FALSE,"4WD"}</definedName>
    <definedName name="_102T5_" localSheetId="5" hidden="1">{#N/A,#N/A,FALSE,"단축1";#N/A,#N/A,FALSE,"단축2";#N/A,#N/A,FALSE,"단축3";#N/A,#N/A,FALSE,"장축";#N/A,#N/A,FALSE,"4WD"}</definedName>
    <definedName name="_102T5_" hidden="1">{#N/A,#N/A,FALSE,"단축1";#N/A,#N/A,FALSE,"단축2";#N/A,#N/A,FALSE,"단축3";#N/A,#N/A,FALSE,"장축";#N/A,#N/A,FALSE,"4WD"}</definedName>
    <definedName name="_106W2_" localSheetId="2" hidden="1">{#N/A,#N/A,FALSE,"품의서";#N/A,#N/A,FALSE,"전제";#N/A,#N/A,FALSE,"총손";#N/A,#N/A,FALSE,"손익"}</definedName>
    <definedName name="_106W2_" localSheetId="5" hidden="1">{#N/A,#N/A,FALSE,"품의서";#N/A,#N/A,FALSE,"전제";#N/A,#N/A,FALSE,"총손";#N/A,#N/A,FALSE,"손익"}</definedName>
    <definedName name="_106W2_" hidden="1">{#N/A,#N/A,FALSE,"품의서";#N/A,#N/A,FALSE,"전제";#N/A,#N/A,FALSE,"총손";#N/A,#N/A,FALSE,"손익"}</definedName>
    <definedName name="_110__0_S" localSheetId="2" hidden="1">#REF!</definedName>
    <definedName name="_110__0_S" localSheetId="5" hidden="1">#REF!</definedName>
    <definedName name="_110__0_S" hidden="1">#REF!</definedName>
    <definedName name="_12__123Graph_A차트_6" localSheetId="2" hidden="1">#REF!</definedName>
    <definedName name="_12__123Graph_A차트_6" localSheetId="5" hidden="1">#REF!</definedName>
    <definedName name="_12__123Graph_A차트_6" hidden="1">#REF!</definedName>
    <definedName name="_14__123Graph_A차트_7" localSheetId="2" hidden="1">#REF!</definedName>
    <definedName name="_14__123Graph_A차트_7" localSheetId="5" hidden="1">#REF!</definedName>
    <definedName name="_14__123Graph_A차트_7" hidden="1">#REF!</definedName>
    <definedName name="_14a1_">'[5]97년추정손익계산서'!$I$6:$I$8</definedName>
    <definedName name="_16__123Graph_A차트_8" localSheetId="2" hidden="1">#REF!</definedName>
    <definedName name="_16__123Graph_A차트_8" localSheetId="5" hidden="1">#REF!</definedName>
    <definedName name="_16__123Graph_A차트_8" hidden="1">#REF!</definedName>
    <definedName name="_18__123Graph_B차트_1" localSheetId="2" hidden="1">#REF!</definedName>
    <definedName name="_18__123Graph_B차트_1" localSheetId="5" hidden="1">#REF!</definedName>
    <definedName name="_18__123Graph_B차트_1" hidden="1">#REF!</definedName>
    <definedName name="_2__123Graph_A차트_1" localSheetId="2" hidden="1">#REF!</definedName>
    <definedName name="_2__123Graph_A차트_1" localSheetId="5" hidden="1">#REF!</definedName>
    <definedName name="_2__123Graph_A차트_1" hidden="1">#REF!</definedName>
    <definedName name="_20__123Graph_B차트_2" localSheetId="2" hidden="1">#REF!</definedName>
    <definedName name="_20__123Graph_B차트_2" localSheetId="5" hidden="1">#REF!</definedName>
    <definedName name="_20__123Graph_B차트_2" hidden="1">#REF!</definedName>
    <definedName name="_22__123Graph_B차트_3" localSheetId="2" hidden="1">#REF!</definedName>
    <definedName name="_22__123Graph_B차트_3" localSheetId="5" hidden="1">#REF!</definedName>
    <definedName name="_22__123Graph_B차트_3" hidden="1">#REF!</definedName>
    <definedName name="_24__123Graph_B차트_4" localSheetId="2" hidden="1">#REF!</definedName>
    <definedName name="_24__123Graph_B차트_4" localSheetId="5" hidden="1">#REF!</definedName>
    <definedName name="_24__123Graph_B차트_4" hidden="1">#REF!</definedName>
    <definedName name="_26__123Graph_B차트_5" localSheetId="2" hidden="1">#REF!</definedName>
    <definedName name="_26__123Graph_B차트_5" localSheetId="5" hidden="1">#REF!</definedName>
    <definedName name="_26__123Graph_B차트_5" hidden="1">#REF!</definedName>
    <definedName name="_28__123Graph_B차트_6" localSheetId="2" hidden="1">#REF!</definedName>
    <definedName name="_28__123Graph_B차트_6" localSheetId="5" hidden="1">#REF!</definedName>
    <definedName name="_28__123Graph_B차트_6" hidden="1">#REF!</definedName>
    <definedName name="_291_059333">#REF!</definedName>
    <definedName name="_30__123Graph_B차트_7" localSheetId="2" hidden="1">#REF!</definedName>
    <definedName name="_30__123Graph_B차트_7" localSheetId="5" hidden="1">#REF!</definedName>
    <definedName name="_30__123Graph_B차트_7" hidden="1">#REF!</definedName>
    <definedName name="_32__123Graph_B차트_8" localSheetId="2" hidden="1">#REF!</definedName>
    <definedName name="_32__123Graph_B차트_8" localSheetId="5" hidden="1">#REF!</definedName>
    <definedName name="_32__123Graph_B차트_8" hidden="1">#REF!</definedName>
    <definedName name="_34__123Graph_X차트_1" localSheetId="2" hidden="1">#REF!</definedName>
    <definedName name="_34__123Graph_X차트_1" localSheetId="5" hidden="1">#REF!</definedName>
    <definedName name="_34__123Graph_X차트_1" hidden="1">#REF!</definedName>
    <definedName name="_36__123Graph_X차트_2" localSheetId="2" hidden="1">#REF!</definedName>
    <definedName name="_36__123Graph_X차트_2" localSheetId="5" hidden="1">#REF!</definedName>
    <definedName name="_36__123Graph_X차트_2" hidden="1">#REF!</definedName>
    <definedName name="_38__123Graph_X차트_3" localSheetId="2" hidden="1">#REF!</definedName>
    <definedName name="_38__123Graph_X차트_3" localSheetId="5" hidden="1">#REF!</definedName>
    <definedName name="_38__123Graph_X차트_3" hidden="1">#REF!</definedName>
    <definedName name="_3a1_">'[6]97년추정손익계산서'!$I$6:$I$8</definedName>
    <definedName name="_4__123Graph_A차트_2" localSheetId="2" hidden="1">#REF!</definedName>
    <definedName name="_4__123Graph_A차트_2" localSheetId="5" hidden="1">#REF!</definedName>
    <definedName name="_4__123Graph_A차트_2" hidden="1">#REF!</definedName>
    <definedName name="_40__123Graph_X차트_4" localSheetId="2" hidden="1">#REF!</definedName>
    <definedName name="_40__123Graph_X차트_4" localSheetId="5" hidden="1">#REF!</definedName>
    <definedName name="_40__123Graph_X차트_4" hidden="1">#REF!</definedName>
    <definedName name="_42__123Graph_X차트_5" localSheetId="2" hidden="1">#REF!</definedName>
    <definedName name="_42__123Graph_X차트_5" localSheetId="5" hidden="1">#REF!</definedName>
    <definedName name="_42__123Graph_X차트_5" hidden="1">#REF!</definedName>
    <definedName name="_44__123Graph_X차트_6" localSheetId="2" hidden="1">#REF!</definedName>
    <definedName name="_44__123Graph_X차트_6" localSheetId="5" hidden="1">#REF!</definedName>
    <definedName name="_44__123Graph_X차트_6" hidden="1">#REF!</definedName>
    <definedName name="_46__123Graph_X차트_7" localSheetId="2" hidden="1">#REF!</definedName>
    <definedName name="_46__123Graph_X차트_7" localSheetId="5" hidden="1">#REF!</definedName>
    <definedName name="_46__123Graph_X차트_7" hidden="1">#REF!</definedName>
    <definedName name="_48__123Graph_X차트_8" localSheetId="2" hidden="1">#REF!</definedName>
    <definedName name="_48__123Graph_X차트_8" localSheetId="5" hidden="1">#REF!</definedName>
    <definedName name="_48__123Graph_X차트_8" hidden="1">#REF!</definedName>
    <definedName name="_4분기">{0;0;0;0;1;#N/A;0;0;0.3;0.3;2;FALSE;FALSE;FALSE;FALSE;FALSE;#N/A;1;96;#N/A;#N/A;"";""}</definedName>
    <definedName name="_54L2_" localSheetId="2" hidden="1">{#N/A,#N/A,FALSE,"보험현황";#N/A,#N/A,FALSE,"보험현황"}</definedName>
    <definedName name="_54L2_" localSheetId="5" hidden="1">{#N/A,#N/A,FALSE,"보험현황";#N/A,#N/A,FALSE,"보험현황"}</definedName>
    <definedName name="_54L2_" hidden="1">{#N/A,#N/A,FALSE,"보험현황";#N/A,#N/A,FALSE,"보험현황"}</definedName>
    <definedName name="_55A3_" localSheetId="2" hidden="1">{#N/A,#N/A,FALSE,"단축1";#N/A,#N/A,FALSE,"단축2";#N/A,#N/A,FALSE,"단축3";#N/A,#N/A,FALSE,"장축";#N/A,#N/A,FALSE,"4WD"}</definedName>
    <definedName name="_55A3_" localSheetId="5" hidden="1">{#N/A,#N/A,FALSE,"단축1";#N/A,#N/A,FALSE,"단축2";#N/A,#N/A,FALSE,"단축3";#N/A,#N/A,FALSE,"장축";#N/A,#N/A,FALSE,"4WD"}</definedName>
    <definedName name="_55A3_" hidden="1">{#N/A,#N/A,FALSE,"단축1";#N/A,#N/A,FALSE,"단축2";#N/A,#N/A,FALSE,"단축3";#N/A,#N/A,FALSE,"장축";#N/A,#N/A,FALSE,"4WD"}</definedName>
    <definedName name="_6__123Graph_A차트_3" localSheetId="2" hidden="1">#REF!</definedName>
    <definedName name="_6__123Graph_A차트_3" localSheetId="5" hidden="1">#REF!</definedName>
    <definedName name="_6__123Graph_A차트_3" hidden="1">#REF!</definedName>
    <definedName name="_71FY01_" localSheetId="2" hidden="1">{"'Sheet1'!$A$1:$D$15"}</definedName>
    <definedName name="_71FY01_" localSheetId="5" hidden="1">{"'Sheet1'!$A$1:$D$15"}</definedName>
    <definedName name="_71FY01_" hidden="1">{"'Sheet1'!$A$1:$D$15"}</definedName>
    <definedName name="_8__123Graph_A차트_4" localSheetId="2" hidden="1">#REF!</definedName>
    <definedName name="_8__123Graph_A차트_4" localSheetId="5" hidden="1">#REF!</definedName>
    <definedName name="_8__123Graph_A차트_4" hidden="1">#REF!</definedName>
    <definedName name="_90K7_" localSheetId="2" hidden="1">{#N/A,#N/A,TRUE,"Y생산";#N/A,#N/A,TRUE,"Y판매";#N/A,#N/A,TRUE,"Y총물량";#N/A,#N/A,TRUE,"Y능력";#N/A,#N/A,TRUE,"YKD"}</definedName>
    <definedName name="_90K7_" localSheetId="5" hidden="1">{#N/A,#N/A,TRUE,"Y생산";#N/A,#N/A,TRUE,"Y판매";#N/A,#N/A,TRUE,"Y총물량";#N/A,#N/A,TRUE,"Y능력";#N/A,#N/A,TRUE,"YKD"}</definedName>
    <definedName name="_90K7_" hidden="1">{#N/A,#N/A,TRUE,"Y생산";#N/A,#N/A,TRUE,"Y판매";#N/A,#N/A,TRUE,"Y총물량";#N/A,#N/A,TRUE,"Y능력";#N/A,#N/A,TRUE,"YKD"}</definedName>
    <definedName name="_91k8_" localSheetId="2" hidden="1">{#N/A,#N/A,FALSE,"단축1";#N/A,#N/A,FALSE,"단축2";#N/A,#N/A,FALSE,"단축3";#N/A,#N/A,FALSE,"장축";#N/A,#N/A,FALSE,"4WD"}</definedName>
    <definedName name="_91k8_" localSheetId="5" hidden="1">{#N/A,#N/A,FALSE,"단축1";#N/A,#N/A,FALSE,"단축2";#N/A,#N/A,FALSE,"단축3";#N/A,#N/A,FALSE,"장축";#N/A,#N/A,FALSE,"4WD"}</definedName>
    <definedName name="_91k8_" hidden="1">{#N/A,#N/A,FALSE,"단축1";#N/A,#N/A,FALSE,"단축2";#N/A,#N/A,FALSE,"단축3";#N/A,#N/A,FALSE,"장축";#N/A,#N/A,FALSE,"4WD"}</definedName>
    <definedName name="_92k9_" localSheetId="2" hidden="1">{#N/A,#N/A,FALSE,"단축1";#N/A,#N/A,FALSE,"단축2";#N/A,#N/A,FALSE,"단축3";#N/A,#N/A,FALSE,"장축";#N/A,#N/A,FALSE,"4WD"}</definedName>
    <definedName name="_92k9_" localSheetId="5" hidden="1">{#N/A,#N/A,FALSE,"단축1";#N/A,#N/A,FALSE,"단축2";#N/A,#N/A,FALSE,"단축3";#N/A,#N/A,FALSE,"장축";#N/A,#N/A,FALSE,"4WD"}</definedName>
    <definedName name="_92k9_" hidden="1">{#N/A,#N/A,FALSE,"단축1";#N/A,#N/A,FALSE,"단축2";#N/A,#N/A,FALSE,"단축3";#N/A,#N/A,FALSE,"장축";#N/A,#N/A,FALSE,"4WD"}</definedName>
    <definedName name="_969_002684">#REF!</definedName>
    <definedName name="_a1">'[5]97년추정손익계산서'!$I$6:$I$8</definedName>
    <definedName name="_BOR2">[2]Borrower!$B$10:$F$325</definedName>
    <definedName name="_Dist_Bin" localSheetId="2" hidden="1">#REF!</definedName>
    <definedName name="_Dist_Bin" localSheetId="5" hidden="1">#REF!</definedName>
    <definedName name="_Dist_Bin" hidden="1">#REF!</definedName>
    <definedName name="_Dist_Values" localSheetId="2" hidden="1">#REF!</definedName>
    <definedName name="_Dist_Values" localSheetId="5" hidden="1">#REF!</definedName>
    <definedName name="_Dist_Values" hidden="1">#REF!</definedName>
    <definedName name="_Fill" localSheetId="2" hidden="1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hidden="1">#REF!</definedName>
    <definedName name="_xlnm._FilterDatabase" localSheetId="2" hidden="1">'Sheet A'!$A$10:$O$60</definedName>
    <definedName name="_xlnm._FilterDatabase" localSheetId="5" hidden="1">'Sheet D'!$A$10:$S$60</definedName>
    <definedName name="_xlnm._FilterDatabase" localSheetId="4" hidden="1">가지급금!$A$9:$Q$9</definedName>
    <definedName name="_xlnm._FilterDatabase" localSheetId="1" hidden="1">검증!$A$1:$ES$73</definedName>
    <definedName name="_xlnm._FilterDatabase" localSheetId="3" hidden="1">일반여신!$A$9:$P$9</definedName>
    <definedName name="_xlnm._FilterDatabase" hidden="1">#REF!</definedName>
    <definedName name="_Key1" localSheetId="2" hidden="1">#REF!</definedName>
    <definedName name="_Key1" localSheetId="5" hidden="1">#REF!</definedName>
    <definedName name="_Key1" localSheetId="4" hidden="1">#REF!</definedName>
    <definedName name="_Key1" localSheetId="3" hidden="1">#REF!</definedName>
    <definedName name="_Key1" hidden="1">#REF!</definedName>
    <definedName name="_Key2" localSheetId="2" hidden="1">#REF!</definedName>
    <definedName name="_Key2" localSheetId="5" hidden="1">#REF!</definedName>
    <definedName name="_Key2" localSheetId="4" hidden="1">#REF!</definedName>
    <definedName name="_Key2" localSheetId="3" hidden="1">#REF!</definedName>
    <definedName name="_Key2" hidden="1">#REF!</definedName>
    <definedName name="_KI9" localSheetId="2" hidden="1">{#N/A,#N/A,TRUE,"Y생산";#N/A,#N/A,TRUE,"Y판매";#N/A,#N/A,TRUE,"Y총물량";#N/A,#N/A,TRUE,"Y능력";#N/A,#N/A,TRUE,"YKD"}</definedName>
    <definedName name="_KI9" localSheetId="5" hidden="1">{#N/A,#N/A,TRUE,"Y생산";#N/A,#N/A,TRUE,"Y판매";#N/A,#N/A,TRUE,"Y총물량";#N/A,#N/A,TRUE,"Y능력";#N/A,#N/A,TRUE,"YKD"}</definedName>
    <definedName name="_KI9" hidden="1">{#N/A,#N/A,TRUE,"Y생산";#N/A,#N/A,TRUE,"Y판매";#N/A,#N/A,TRUE,"Y총물량";#N/A,#N/A,TRUE,"Y능력";#N/A,#N/A,TRUE,"YKD"}</definedName>
    <definedName name="_L2" localSheetId="2" hidden="1">{#N/A,#N/A,FALSE,"보험현황";#N/A,#N/A,FALSE,"보험현황"}</definedName>
    <definedName name="_L2" localSheetId="5" hidden="1">{#N/A,#N/A,FALSE,"보험현황";#N/A,#N/A,FALSE,"보험현황"}</definedName>
    <definedName name="_L2" hidden="1">{#N/A,#N/A,FALSE,"보험현황";#N/A,#N/A,FALSE,"보험현황"}</definedName>
    <definedName name="_MatInverse_In" localSheetId="2" hidden="1">#REF!</definedName>
    <definedName name="_MatInverse_In" localSheetId="5" hidden="1">#REF!</definedName>
    <definedName name="_MatInverse_In" hidden="1">#REF!</definedName>
    <definedName name="_MatInverse_Out" localSheetId="2" hidden="1">#REF!</definedName>
    <definedName name="_MatInverse_Out" localSheetId="5" hidden="1">#REF!</definedName>
    <definedName name="_MatInverse_Out" localSheetId="4" hidden="1">#REF!</definedName>
    <definedName name="_MatInverse_Out" localSheetId="3" hidden="1">#REF!</definedName>
    <definedName name="_MatInverse_Out" hidden="1">#REF!</definedName>
    <definedName name="_MatMult_B" localSheetId="2" hidden="1">#REF!</definedName>
    <definedName name="_MatMult_B" localSheetId="5" hidden="1">#REF!</definedName>
    <definedName name="_MatMult_B" localSheetId="4" hidden="1">#REF!</definedName>
    <definedName name="_MatMult_B" localSheetId="3" hidden="1">#REF!</definedName>
    <definedName name="_MatMult_B" hidden="1">#REF!</definedName>
    <definedName name="_Order1" hidden="1">255</definedName>
    <definedName name="_Order2" hidden="1">255</definedName>
    <definedName name="_Parse_In" localSheetId="2" hidden="1">#REF!</definedName>
    <definedName name="_Parse_In" localSheetId="5" hidden="1">#REF!</definedName>
    <definedName name="_Parse_In" localSheetId="4" hidden="1">#REF!</definedName>
    <definedName name="_Parse_In" localSheetId="3" hidden="1">#REF!</definedName>
    <definedName name="_Parse_In" hidden="1">#REF!</definedName>
    <definedName name="_Parse_Out" localSheetId="2" hidden="1">#REF!</definedName>
    <definedName name="_Parse_Out" localSheetId="5" hidden="1">#REF!</definedName>
    <definedName name="_Parse_Out" localSheetId="4" hidden="1">#REF!</definedName>
    <definedName name="_Parse_Out" localSheetId="3" hidden="1">#REF!</definedName>
    <definedName name="_Parse_Out" hidden="1">#REF!</definedName>
    <definedName name="_pc1">'[4]2담당0113'!$F$427</definedName>
    <definedName name="_Rat1">[3]Variables!$B$18</definedName>
    <definedName name="_Rat2">[3]Variables!$B$19</definedName>
    <definedName name="_Rat3">[3]Variables!$B$20</definedName>
    <definedName name="_Rat4">[3]Variables!$B$21</definedName>
    <definedName name="_Regression_Int" hidden="1">1</definedName>
    <definedName name="_Regression_Out" localSheetId="2" hidden="1">#REF!</definedName>
    <definedName name="_Regression_Out" localSheetId="5" hidden="1">#REF!</definedName>
    <definedName name="_Regression_Out" hidden="1">#REF!</definedName>
    <definedName name="_Regression_X" localSheetId="2" hidden="1">#REF!</definedName>
    <definedName name="_Regression_X" localSheetId="5" hidden="1">#REF!</definedName>
    <definedName name="_Regression_X" hidden="1">#REF!</definedName>
    <definedName name="_Regression_Y" localSheetId="2" hidden="1">#REF!</definedName>
    <definedName name="_Regression_Y" localSheetId="5" hidden="1">#REF!</definedName>
    <definedName name="_Regression_Y" hidden="1">#REF!</definedName>
    <definedName name="_Report">0</definedName>
    <definedName name="_RLA2" localSheetId="2" hidden="1">{#N/A,#N/A,FALSE,"96 3월물량표";#N/A,#N/A,FALSE,"96 4월물량표";#N/A,#N/A,FALSE,"96 5월물량표"}</definedName>
    <definedName name="_RLA2" localSheetId="5" hidden="1">{#N/A,#N/A,FALSE,"96 3월물량표";#N/A,#N/A,FALSE,"96 4월물량표";#N/A,#N/A,FALSE,"96 5월물량표"}</definedName>
    <definedName name="_RLA2" hidden="1">{#N/A,#N/A,FALSE,"96 3월물량표";#N/A,#N/A,FALSE,"96 4월물량표";#N/A,#N/A,FALSE,"96 5월물량표"}</definedName>
    <definedName name="_RLA5" localSheetId="2" hidden="1">{#N/A,#N/A,TRUE,"Y생산";#N/A,#N/A,TRUE,"Y판매";#N/A,#N/A,TRUE,"Y총물량";#N/A,#N/A,TRUE,"Y능력";#N/A,#N/A,TRUE,"YKD"}</definedName>
    <definedName name="_RLA5" localSheetId="5" hidden="1">{#N/A,#N/A,TRUE,"Y생산";#N/A,#N/A,TRUE,"Y판매";#N/A,#N/A,TRUE,"Y총물량";#N/A,#N/A,TRUE,"Y능력";#N/A,#N/A,TRUE,"YKD"}</definedName>
    <definedName name="_RLA5" hidden="1">{#N/A,#N/A,TRUE,"Y생산";#N/A,#N/A,TRUE,"Y판매";#N/A,#N/A,TRUE,"Y총물량";#N/A,#N/A,TRUE,"Y능력";#N/A,#N/A,TRUE,"YKD"}</definedName>
    <definedName name="_RLA6" localSheetId="2" hidden="1">{#N/A,#N/A,TRUE,"Y생산";#N/A,#N/A,TRUE,"Y판매";#N/A,#N/A,TRUE,"Y총물량";#N/A,#N/A,TRUE,"Y능력";#N/A,#N/A,TRUE,"YKD"}</definedName>
    <definedName name="_RLA6" localSheetId="5" hidden="1">{#N/A,#N/A,TRUE,"Y생산";#N/A,#N/A,TRUE,"Y판매";#N/A,#N/A,TRUE,"Y총물량";#N/A,#N/A,TRUE,"Y능력";#N/A,#N/A,TRUE,"YKD"}</definedName>
    <definedName name="_RLA6" hidden="1">{#N/A,#N/A,TRUE,"Y생산";#N/A,#N/A,TRUE,"Y판매";#N/A,#N/A,TRUE,"Y총물량";#N/A,#N/A,TRUE,"Y능력";#N/A,#N/A,TRUE,"YKD"}</definedName>
    <definedName name="_S_Base">{0.1;0;0.382758620689655;0;0;0;0.258620689655172;0;0.258620689655172}</definedName>
    <definedName name="_S_new_case">{0.1;0;0.45;0;0;0;0;0;0.45}</definedName>
    <definedName name="_Sort" localSheetId="2" hidden="1">#REF!</definedName>
    <definedName name="_Sort" localSheetId="5" hidden="1">#REF!</definedName>
    <definedName name="_Sort" localSheetId="4" hidden="1">#REF!</definedName>
    <definedName name="_Sort" localSheetId="3" hidden="1">#REF!</definedName>
    <definedName name="_Sort" hidden="1">#REF!</definedName>
    <definedName name="_SUM1" localSheetId="2" hidden="1">{#N/A,#N/A,FALSE,"단축1";#N/A,#N/A,FALSE,"단축2";#N/A,#N/A,FALSE,"단축3";#N/A,#N/A,FALSE,"장축";#N/A,#N/A,FALSE,"4WD"}</definedName>
    <definedName name="_SUM1" localSheetId="5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able1_In1" localSheetId="2" hidden="1">#REF!</definedName>
    <definedName name="_Table1_In1" localSheetId="5" hidden="1">#REF!</definedName>
    <definedName name="_Table1_In1" hidden="1">#REF!</definedName>
    <definedName name="_Table1_Out" localSheetId="2" hidden="1">#REF!</definedName>
    <definedName name="_Table1_Out" localSheetId="5" hidden="1">#REF!</definedName>
    <definedName name="_Table1_Out" hidden="1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A1_00근거" localSheetId="2" hidden="1">{#N/A,#N/A,FALSE,"단축1";#N/A,#N/A,FALSE,"단축2";#N/A,#N/A,FALSE,"단축3";#N/A,#N/A,FALSE,"장축";#N/A,#N/A,FALSE,"4WD"}</definedName>
    <definedName name="A1_00근거" localSheetId="5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2" hidden="1">{"'Sheet1'!$A$1:$D$15"}</definedName>
    <definedName name="aa" localSheetId="5" hidden="1">{"'Sheet1'!$A$1:$D$15"}</definedName>
    <definedName name="aa" hidden="1">{"'Sheet1'!$A$1:$D$15"}</definedName>
    <definedName name="aaa" localSheetId="2" hidden="1">{#N/A,#N/A,FALSE,"COL-HIS"}</definedName>
    <definedName name="aaa" localSheetId="5" hidden="1">{#N/A,#N/A,FALSE,"COL-HIS"}</definedName>
    <definedName name="aaa" hidden="1">{#N/A,#N/A,FALSE,"COL-HIS"}</definedName>
    <definedName name="aaaa" localSheetId="2" hidden="1">{#N/A,#N/A,FALSE,"기술료 비교"}</definedName>
    <definedName name="aaaa" localSheetId="5" hidden="1">{#N/A,#N/A,FALSE,"기술료 비교"}</definedName>
    <definedName name="aaaa" hidden="1">{#N/A,#N/A,FALSE,"기술료 비교"}</definedName>
    <definedName name="AAAA1" localSheetId="2" hidden="1">{#N/A,#N/A,FALSE,"기술료 비교"}</definedName>
    <definedName name="AAAA1" localSheetId="5" hidden="1">{#N/A,#N/A,FALSE,"기술료 비교"}</definedName>
    <definedName name="AAAA1" hidden="1">{#N/A,#N/A,FALSE,"기술료 비교"}</definedName>
    <definedName name="AAAAAAA" localSheetId="2" hidden="1">{#N/A,#N/A,TRUE,"Y생산";#N/A,#N/A,TRUE,"Y판매";#N/A,#N/A,TRUE,"Y총물량";#N/A,#N/A,TRUE,"Y능력";#N/A,#N/A,TRUE,"YKD"}</definedName>
    <definedName name="AAAAAAA" localSheetId="5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AAAAAAAAA" localSheetId="2" hidden="1">{#N/A,#N/A,FALSE,"단축1";#N/A,#N/A,FALSE,"단축2";#N/A,#N/A,FALSE,"단축3";#N/A,#N/A,FALSE,"장축";#N/A,#N/A,FALSE,"4WD"}</definedName>
    <definedName name="AAAAAAAAAAA" localSheetId="5" hidden="1">{#N/A,#N/A,FALSE,"단축1";#N/A,#N/A,FALSE,"단축2";#N/A,#N/A,FALSE,"단축3";#N/A,#N/A,FALSE,"장축";#N/A,#N/A,FALSE,"4WD"}</definedName>
    <definedName name="AAAAAAAAAAA" hidden="1">{#N/A,#N/A,FALSE,"단축1";#N/A,#N/A,FALSE,"단축2";#N/A,#N/A,FALSE,"단축3";#N/A,#N/A,FALSE,"장축";#N/A,#N/A,FALSE,"4WD"}</definedName>
    <definedName name="AAAAAAAAAAAAAAAAAAAAAAAAA" localSheetId="2" hidden="1">{#N/A,#N/A,TRUE,"Y생산";#N/A,#N/A,TRUE,"Y판매";#N/A,#N/A,TRUE,"Y총물량";#N/A,#N/A,TRUE,"Y능력";#N/A,#N/A,TRUE,"YKD"}</definedName>
    <definedName name="AAAAAAAAAAAAAAAAAAAAAAAAA" localSheetId="5" hidden="1">{#N/A,#N/A,TRUE,"Y생산";#N/A,#N/A,TRUE,"Y판매";#N/A,#N/A,TRUE,"Y총물량";#N/A,#N/A,TRUE,"Y능력";#N/A,#N/A,TRUE,"YKD"}</definedName>
    <definedName name="AAAAAAAAAAAAAAAAAAAAAAAAA" hidden="1">{#N/A,#N/A,TRUE,"Y생산";#N/A,#N/A,TRUE,"Y판매";#N/A,#N/A,TRUE,"Y총물량";#N/A,#N/A,TRUE,"Y능력";#N/A,#N/A,TRUE,"YKD"}</definedName>
    <definedName name="AC">[7]보고서!prt6bv7cc30</definedName>
    <definedName name="ACB" localSheetId="2" hidden="1">{#N/A,#N/A,FALSE,"단축1";#N/A,#N/A,FALSE,"단축2";#N/A,#N/A,FALSE,"단축3";#N/A,#N/A,FALSE,"장축";#N/A,#N/A,FALSE,"4WD"}</definedName>
    <definedName name="ACB" localSheetId="5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Database" hidden="1">"C:\파생DESK\평가\월말평가\2001년11월\국내요약200111.mdb"</definedName>
    <definedName name="aDate">[8]기본데이터!$A$10</definedName>
    <definedName name="adfghsdfgsd">[9]대환취급!$A$1:$N$3416</definedName>
    <definedName name="ADSDF" localSheetId="2" hidden="1">{#N/A,#N/A,TRUE,"Y생산";#N/A,#N/A,TRUE,"Y판매";#N/A,#N/A,TRUE,"Y총물량";#N/A,#N/A,TRUE,"Y능력";#N/A,#N/A,TRUE,"YKD"}</definedName>
    <definedName name="ADSDF" localSheetId="5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fasdfasd">{0;0;0;0;1;#N/A;0;0;0.3;0.3;2;FALSE;FALSE;FALSE;FALSE;FALSE;#N/A;1;#N/A;1;1;"";""}</definedName>
    <definedName name="ahffk" hidden="1">"AS2DocumentBrowse"</definedName>
    <definedName name="AJ">[10]Assumption!$C$16</definedName>
    <definedName name="akrka123" localSheetId="2" hidden="1">{#N/A,#N/A,TRUE,"Y생산";#N/A,#N/A,TRUE,"Y판매";#N/A,#N/A,TRUE,"Y총물량";#N/A,#N/A,TRUE,"Y능력";#N/A,#N/A,TRUE,"YKD"}</definedName>
    <definedName name="akrka123" localSheetId="5" hidden="1">{#N/A,#N/A,TRUE,"Y생산";#N/A,#N/A,TRUE,"Y판매";#N/A,#N/A,TRUE,"Y총물량";#N/A,#N/A,TRUE,"Y능력";#N/A,#N/A,TRUE,"YKD"}</definedName>
    <definedName name="akrka123" hidden="1">{#N/A,#N/A,TRUE,"Y생산";#N/A,#N/A,TRUE,"Y판매";#N/A,#N/A,TRUE,"Y총물량";#N/A,#N/A,TRUE,"Y능력";#N/A,#N/A,TRUE,"YKD"}</definedName>
    <definedName name="AQP" localSheetId="2" hidden="1">{#N/A,#N/A,FALSE,"96 3월물량표";#N/A,#N/A,FALSE,"96 4월물량표";#N/A,#N/A,FALSE,"96 5월물량표"}</definedName>
    <definedName name="AQP" localSheetId="5" hidden="1">{#N/A,#N/A,FALSE,"96 3월물량표";#N/A,#N/A,FALSE,"96 4월물량표";#N/A,#N/A,FALSE,"96 5월물량표"}</definedName>
    <definedName name="AQP" hidden="1">{#N/A,#N/A,FALSE,"96 3월물량표";#N/A,#N/A,FALSE,"96 4월물량표";#N/A,#N/A,FALSE,"96 5월물량표"}</definedName>
    <definedName name="AS" localSheetId="2" hidden="1">{"'보고양식'!$A$58:$K$111"}</definedName>
    <definedName name="AS" localSheetId="5" hidden="1">{"'보고양식'!$A$58:$K$111"}</definedName>
    <definedName name="AS" hidden="1">{"'보고양식'!$A$58:$K$111"}</definedName>
    <definedName name="AS2DocOpenMode" hidden="1">"AS2DocumentEdit"</definedName>
    <definedName name="ASDF" localSheetId="2" hidden="1">#REF!</definedName>
    <definedName name="ASDF" localSheetId="5" hidden="1">#REF!</definedName>
    <definedName name="ASDF" hidden="1">#REF!</definedName>
    <definedName name="ASFD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wefwf">[11]f_BS!$A$4:$E$43</definedName>
    <definedName name="Auction">[12]선순위가정!$L$2:$L$8</definedName>
    <definedName name="AX" localSheetId="2" hidden="1">{#N/A,#N/A,FALSE,"단축1";#N/A,#N/A,FALSE,"단축2";#N/A,#N/A,FALSE,"단축3";#N/A,#N/A,FALSE,"장축";#N/A,#N/A,FALSE,"4WD"}</definedName>
    <definedName name="AX" localSheetId="5" hidden="1">{#N/A,#N/A,FALSE,"단축1";#N/A,#N/A,FALSE,"단축2";#N/A,#N/A,FALSE,"단축3";#N/A,#N/A,FALSE,"장축";#N/A,#N/A,FALSE,"4WD"}</definedName>
    <definedName name="AX" hidden="1">{#N/A,#N/A,FALSE,"단축1";#N/A,#N/A,FALSE,"단축2";#N/A,#N/A,FALSE,"단축3";#N/A,#N/A,FALSE,"장축";#N/A,#N/A,FALSE,"4WD"}</definedName>
    <definedName name="az">{0.1;0;0.382758620689655;0;0;0;0.258620689655172;0;0.258620689655172}</definedName>
    <definedName name="bancs_co1">"bancs'!$B$3:$H$2183"</definedName>
    <definedName name="BB" localSheetId="2" hidden="1">{"'보고양식'!$A$58:$K$111"}</definedName>
    <definedName name="BB" localSheetId="5" hidden="1">{"'보고양식'!$A$58:$K$111"}</definedName>
    <definedName name="BB" hidden="1">{"'보고양식'!$A$58:$K$111"}</definedName>
    <definedName name="BL" localSheetId="2" hidden="1">{#N/A,#N/A,FALSE,"단축1";#N/A,#N/A,FALSE,"단축2";#N/A,#N/A,FALSE,"단축3";#N/A,#N/A,FALSE,"장축";#N/A,#N/A,FALSE,"4WD"}</definedName>
    <definedName name="BL" localSheetId="5" hidden="1">{#N/A,#N/A,FALSE,"단축1";#N/A,#N/A,FALSE,"단축2";#N/A,#N/A,FALSE,"단축3";#N/A,#N/A,FALSE,"장축";#N/A,#N/A,FALSE,"4WD"}</definedName>
    <definedName name="BL" hidden="1">{#N/A,#N/A,FALSE,"단축1";#N/A,#N/A,FALSE,"단축2";#N/A,#N/A,FALSE,"단축3";#N/A,#N/A,FALSE,"장축";#N/A,#N/A,FALSE,"4WD"}</definedName>
    <definedName name="BLBL" localSheetId="2" hidden="1">{#N/A,#N/A,FALSE,"단축1";#N/A,#N/A,FALSE,"단축2";#N/A,#N/A,FALSE,"단축3";#N/A,#N/A,FALSE,"장축";#N/A,#N/A,FALSE,"4WD"}</definedName>
    <definedName name="BLBL" localSheetId="5" hidden="1">{#N/A,#N/A,FALSE,"단축1";#N/A,#N/A,FALSE,"단축2";#N/A,#N/A,FALSE,"단축3";#N/A,#N/A,FALSE,"장축";#N/A,#N/A,FALSE,"4WD"}</definedName>
    <definedName name="BLBL" hidden="1">{#N/A,#N/A,FALSE,"단축1";#N/A,#N/A,FALSE,"단축2";#N/A,#N/A,FALSE,"단축3";#N/A,#N/A,FALSE,"장축";#N/A,#N/A,FALSE,"4WD"}</definedName>
    <definedName name="BNG" localSheetId="2" hidden="1">{#N/A,#N/A,TRUE,"Y생산";#N/A,#N/A,TRUE,"Y판매";#N/A,#N/A,TRUE,"Y총물량";#N/A,#N/A,TRUE,"Y능력";#N/A,#N/A,TRUE,"YKD"}</definedName>
    <definedName name="BNG" localSheetId="5" hidden="1">{#N/A,#N/A,TRUE,"Y생산";#N/A,#N/A,TRUE,"Y판매";#N/A,#N/A,TRUE,"Y총물량";#N/A,#N/A,TRUE,"Y능력";#N/A,#N/A,TRUE,"YKD"}</definedName>
    <definedName name="BNG" hidden="1">{#N/A,#N/A,TRUE,"Y생산";#N/A,#N/A,TRUE,"Y판매";#N/A,#N/A,TRUE,"Y총물량";#N/A,#N/A,TRUE,"Y능력";#N/A,#N/A,TRUE,"YKD"}</definedName>
    <definedName name="BO">'[6]97년추정손익계산서'!$I$6:$I$86</definedName>
    <definedName name="book1" localSheetId="2" hidden="1">{#N/A,#N/A,FALSE,"UNIT";#N/A,#N/A,FALSE,"UNIT";#N/A,#N/A,FALSE,"계정"}</definedName>
    <definedName name="book1" localSheetId="5" hidden="1">{#N/A,#N/A,FALSE,"UNIT";#N/A,#N/A,FALSE,"UNIT";#N/A,#N/A,FALSE,"계정"}</definedName>
    <definedName name="book1" hidden="1">{#N/A,#N/A,FALSE,"UNIT";#N/A,#N/A,FALSE,"UNIT";#N/A,#N/A,FALSE,"계정"}</definedName>
    <definedName name="BOR">[13]Borrower!$B$10:$F$126</definedName>
    <definedName name="BS추정" localSheetId="2" hidden="1">{"'보고양식'!$A$58:$K$111"}</definedName>
    <definedName name="BS추정" localSheetId="5" hidden="1">{"'보고양식'!$A$58:$K$111"}</definedName>
    <definedName name="BS추정" localSheetId="4" hidden="1">{"'보고양식'!$A$58:$K$111"}</definedName>
    <definedName name="BS추정" localSheetId="3" hidden="1">{"'보고양식'!$A$58:$K$111"}</definedName>
    <definedName name="BS추정" hidden="1">{"'보고양식'!$A$58:$K$111"}</definedName>
    <definedName name="CAE해석" localSheetId="2" hidden="1">{#N/A,#N/A,FALSE,"단축1";#N/A,#N/A,FALSE,"단축2";#N/A,#N/A,FALSE,"단축3";#N/A,#N/A,FALSE,"장축";#N/A,#N/A,FALSE,"4WD"}</definedName>
    <definedName name="CAE해석" localSheetId="5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endarDays">[14]Calendar!$A$8,[14]Calendar!$C$8,[14]Calendar!$E$8,[14]Calendar!$G$8,[14]Calendar!$I$8,[14]Calendar!$K$8,[14]Calendar!$M$8,[14]Calendar!$M$14,[14]Calendar!$K$14,[14]Calendar!$I$14,[14]Calendar!$G$14,[14]Calendar!$E$14,[14]Calendar!$C$14,[14]Calendar!$A$14,[14]Calendar!$A$20,[14]Calendar!$C$20,[14]Calendar!$E$20,[14]Calendar!$G$20,[14]Calendar!$I$20,[14]Calendar!$K$20,[14]Calendar!$M$20,[14]Calendar!$M$26,[14]Calendar!$K$26,[14]Calendar!$I$26,[14]Calendar!$G$26,[14]Calendar!$E$26,[14]Calendar!$C$26,[14]Calendar!$A$26,[14]Calendar!$A$32,[14]Calendar!$C$32,[14]Calendar!$E$32,[14]Calendar!$G$32,[14]Calendar!$I$32,[14]Calendar!$K$32,[14]Calendar!$M$32,[14]Calendar!$A$38,[14]Calendar!$C$38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d">{0;0;0;0;1;#N/A;0;0;0.3;0.3;2;FALSE;FALSE;FALSE;FALSE;FALSE;#N/A;1;96;#N/A;#N/A;"";""}</definedName>
    <definedName name="cellsRightOfDay">[14]Calendar!$B$8,[14]Calendar!$D$8,[14]Calendar!$F$8,[14]Calendar!$H$8,[14]Calendar!$J$8,[14]Calendar!$L$8,[14]Calendar!$N$8,[14]Calendar!$N$14,[14]Calendar!$L$14,[14]Calendar!$J$14,[14]Calendar!$H$14,[14]Calendar!$F$14,[14]Calendar!$D$14,[14]Calendar!$B$14,[14]Calendar!$B$20,[14]Calendar!$D$20,[14]Calendar!$F$20,[14]Calendar!$H$20,[14]Calendar!$J$20,[14]Calendar!$L$20,[14]Calendar!$N$20,[14]Calendar!$N$26,[14]Calendar!$L$26,[14]Calendar!$J$26,[14]Calendar!$H$26,[14]Calendar!$F$26,[14]Calendar!$D$26,[14]Calendar!$B$26,[14]Calendar!$B$32,[14]Calendar!$D$32,[14]Calendar!$F$32,[14]Calendar!$H$32,[14]Calendar!$J$32,[14]Calendar!$L$32,[14]Calendar!$N$32,[14]Calendar!$D$38,[14]Calendar!$B$38</definedName>
    <definedName name="ci" localSheetId="2" hidden="1">{#N/A,#N/A,FALSE,"단축1";#N/A,#N/A,FALSE,"단축2";#N/A,#N/A,FALSE,"단축3";#N/A,#N/A,FALSE,"장축";#N/A,#N/A,FALSE,"4WD"}</definedName>
    <definedName name="ci" localSheetId="5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hidden="1">"IBK 2019-3 Program_Datadisk_190814_4차_합본_고객번호변동 반영.xlsx"</definedName>
    <definedName name="COBS_HIS">'[15]00.08계정'!$F$5:$K$769</definedName>
    <definedName name="Ｃｏｄｅ">[16]확인서!$G$10</definedName>
    <definedName name="CONFI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ver2" localSheetId="2" hidden="1">#REF!</definedName>
    <definedName name="cover2" localSheetId="5" hidden="1">#REF!</definedName>
    <definedName name="cover2" hidden="1">#REF!</definedName>
    <definedName name="CRITE">[17]보고!$B$40</definedName>
    <definedName name="Cur">INDIRECT("Data!$d$2:$D$"&amp;COUNTA([18]Data!$D$1:$D$65536))</definedName>
    <definedName name="CXVZ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">{0.1;0;0.382758620689655;0;0;0;0.258620689655172;0;0.258620689655172}</definedName>
    <definedName name="Date">[18]Valuation!$B$92</definedName>
    <definedName name="dddddf" localSheetId="2" hidden="1">{#N/A,#N/A,FALSE,"단축1";#N/A,#N/A,FALSE,"단축2";#N/A,#N/A,FALSE,"단축3";#N/A,#N/A,FALSE,"장축";#N/A,#N/A,FALSE,"4WD"}</definedName>
    <definedName name="dddddf" localSheetId="5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ep">[12]선순위가정!$F$2:$F$3</definedName>
    <definedName name="DETAIL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IE" localSheetId="2" hidden="1">{#N/A,#N/A,FALSE,"단축1";#N/A,#N/A,FALSE,"단축2";#N/A,#N/A,FALSE,"단축3";#N/A,#N/A,FALSE,"장축";#N/A,#N/A,FALSE,"4WD"}</definedName>
    <definedName name="DIE" localSheetId="5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2" hidden="1">{#N/A,#N/A,FALSE,"단축1";#N/A,#N/A,FALSE,"단축2";#N/A,#N/A,FALSE,"단축3";#N/A,#N/A,FALSE,"장축";#N/A,#N/A,FALSE,"4WD"}</definedName>
    <definedName name="DIESEL" localSheetId="5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2" hidden="1">{#N/A,#N/A,FALSE,"단축1";#N/A,#N/A,FALSE,"단축2";#N/A,#N/A,FALSE,"단축3";#N/A,#N/A,FALSE,"장축";#N/A,#N/A,FALSE,"4WD"}</definedName>
    <definedName name="DIESELLL" localSheetId="5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" localSheetId="2" hidden="1">{"'보고양식'!$A$58:$K$111"}</definedName>
    <definedName name="DK" localSheetId="5" hidden="1">{"'보고양식'!$A$58:$K$111"}</definedName>
    <definedName name="DK" hidden="1">{"'보고양식'!$A$58:$K$111"}</definedName>
    <definedName name="dkg" localSheetId="2" hidden="1">{"'매출'!$A$1:$I$22"}</definedName>
    <definedName name="dkg" localSheetId="5" hidden="1">{"'매출'!$A$1:$I$22"}</definedName>
    <definedName name="dkg" hidden="1">{"'매출'!$A$1:$I$22"}</definedName>
    <definedName name="dkl" localSheetId="2" hidden="1">{"'Sheet1'!$A$1:$D$15"}</definedName>
    <definedName name="dkl" localSheetId="5" hidden="1">{"'Sheet1'!$A$1:$D$15"}</definedName>
    <definedName name="dkl" hidden="1">{"'Sheet1'!$A$1:$D$15"}</definedName>
    <definedName name="DLAKL" localSheetId="2" hidden="1">{#N/A,#N/A,TRUE,"Y생산";#N/A,#N/A,TRUE,"Y판매";#N/A,#N/A,TRUE,"Y총물량";#N/A,#N/A,TRUE,"Y능력";#N/A,#N/A,TRUE,"YKD"}</definedName>
    <definedName name="DLAKL" localSheetId="5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S" localSheetId="2" hidden="1">{#N/A,#N/A,TRUE,"Y생산";#N/A,#N/A,TRUE,"Y판매";#N/A,#N/A,TRUE,"Y총물량";#N/A,#N/A,TRUE,"Y능력";#N/A,#N/A,TRUE,"YKD"}</definedName>
    <definedName name="DLS" localSheetId="5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ABILITY" localSheetId="2" hidden="1">{#N/A,#N/A,FALSE,"단축1";#N/A,#N/A,FALSE,"단축2";#N/A,#N/A,FALSE,"단축3";#N/A,#N/A,FALSE,"장축";#N/A,#N/A,FALSE,"4WD"}</definedName>
    <definedName name="DRIVEABILITY" localSheetId="5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{0;0;0;0;1;#N/A;0;0;0.3;0.3;2;FALSE;FALSE;FALSE;FALSE;FALSE;#N/A;1;100;#N/A;#N/A;"";""}</definedName>
    <definedName name="dsdddsfdfdgdfg">[19]forecasted_BS!$A$1:$E$41</definedName>
    <definedName name="DSFA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HDFL" localSheetId="2" hidden="1">#REF!</definedName>
    <definedName name="DSFHDFL" localSheetId="5" hidden="1">#REF!</definedName>
    <definedName name="DSFHDFL" hidden="1">#REF!</definedName>
    <definedName name="DSL" localSheetId="2" hidden="1">{#N/A,#N/A,FALSE,"단축1";#N/A,#N/A,FALSE,"단축2";#N/A,#N/A,FALSE,"단축3";#N/A,#N/A,FALSE,"장축";#N/A,#N/A,FALSE,"4WD"}</definedName>
    <definedName name="DSL" localSheetId="5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" localSheetId="2" hidden="1">{#N/A,#N/A,TRUE,"Y생산";#N/A,#N/A,TRUE,"Y판매";#N/A,#N/A,TRUE,"Y총물량";#N/A,#N/A,TRUE,"Y능력";#N/A,#N/A,TRUE,"YKD"}</definedName>
    <definedName name="E" localSheetId="5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d" localSheetId="2" hidden="1">{"'보고양식'!$A$58:$K$111"}</definedName>
    <definedName name="ed" localSheetId="5" hidden="1">{"'보고양식'!$A$58:$K$111"}</definedName>
    <definedName name="ed" localSheetId="4" hidden="1">{"'보고양식'!$A$58:$K$111"}</definedName>
    <definedName name="ed" localSheetId="3" hidden="1">{"'보고양식'!$A$58:$K$111"}</definedName>
    <definedName name="ed" hidden="1">{"'보고양식'!$A$58:$K$111"}</definedName>
    <definedName name="EK" localSheetId="2" hidden="1">{#N/A,#N/A,FALSE,"단축1";#N/A,#N/A,FALSE,"단축2";#N/A,#N/A,FALSE,"단축3";#N/A,#N/A,FALSE,"장축";#N/A,#N/A,FALSE,"4WD"}</definedName>
    <definedName name="EK" localSheetId="5" hidden="1">{#N/A,#N/A,FALSE,"단축1";#N/A,#N/A,FALSE,"단축2";#N/A,#N/A,FALSE,"단축3";#N/A,#N/A,FALSE,"장축";#N/A,#N/A,FALSE,"4WD"}</definedName>
    <definedName name="EK" hidden="1">{#N/A,#N/A,FALSE,"단축1";#N/A,#N/A,FALSE,"단축2";#N/A,#N/A,FALSE,"단축3";#N/A,#N/A,FALSE,"장축";#N/A,#N/A,FALSE,"4WD"}</definedName>
    <definedName name="er">{0;0;0;0;1;#N/A;0;0;0.3;0.3;2;FALSE;FALSE;FALSE;FALSE;FALSE;#N/A;1;96;#N/A;#N/A;"";""}</definedName>
    <definedName name="ert" localSheetId="2" hidden="1">{#N/A,#N/A,TRUE,"Y생산";#N/A,#N/A,TRUE,"Y판매";#N/A,#N/A,TRUE,"Y총물량";#N/A,#N/A,TRUE,"Y능력";#N/A,#N/A,TRUE,"YKD"}</definedName>
    <definedName name="ert" localSheetId="5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w">{0.1;0;0.382758620689655;0;0;0;0.258620689655172;0;0.258620689655172}</definedName>
    <definedName name="ewrw" localSheetId="2" hidden="1">#REF!</definedName>
    <definedName name="ewrw" localSheetId="5" hidden="1">#REF!</definedName>
    <definedName name="ewrw" localSheetId="4" hidden="1">#REF!</definedName>
    <definedName name="ewrw" localSheetId="3" hidden="1">#REF!</definedName>
    <definedName name="ewrw" hidden="1">#REF!</definedName>
    <definedName name="F" localSheetId="2" hidden="1">{#N/A,#N/A,FALSE,"96 3월물량표";#N/A,#N/A,FALSE,"96 4월물량표";#N/A,#N/A,FALSE,"96 5월물량표"}</definedName>
    <definedName name="F" localSheetId="5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FFFFFFFFFF" localSheetId="2" hidden="1">{#N/A,#N/A,FALSE,"정공"}</definedName>
    <definedName name="FFFFFFFFFFF" localSheetId="5" hidden="1">{#N/A,#N/A,FALSE,"정공"}</definedName>
    <definedName name="FFFFFFFFFFF" hidden="1">{#N/A,#N/A,FALSE,"정공"}</definedName>
    <definedName name="fffgfg" localSheetId="2" hidden="1">{#N/A,#N/A,FALSE,"단축1";#N/A,#N/A,FALSE,"단축2";#N/A,#N/A,FALSE,"단축3";#N/A,#N/A,FALSE,"장축";#N/A,#N/A,FALSE,"4WD"}</definedName>
    <definedName name="fffgfg" localSheetId="5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JD" localSheetId="2" hidden="1">{#N/A,#N/A,FALSE,"단축1";#N/A,#N/A,FALSE,"단축2";#N/A,#N/A,FALSE,"단축3";#N/A,#N/A,FALSE,"장축";#N/A,#N/A,FALSE,"4WD"}</definedName>
    <definedName name="FJD" localSheetId="5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localSheetId="2" hidden="1">{#N/A,#N/A,TRUE,"Y생산";#N/A,#N/A,TRUE,"Y판매";#N/A,#N/A,TRUE,"Y총물량";#N/A,#N/A,TRUE,"Y능력";#N/A,#N/A,TRUE,"YKD"}</definedName>
    <definedName name="fkla" localSheetId="5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EXIBLE.T.L" localSheetId="2" hidden="1">{#N/A,#N/A,FALSE,"단축1";#N/A,#N/A,FALSE,"단축2";#N/A,#N/A,FALSE,"단축3";#N/A,#N/A,FALSE,"장축";#N/A,#N/A,FALSE,"4WD"}</definedName>
    <definedName name="FLEXIBLE.T.L" localSheetId="5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O투입시UPH조정" localSheetId="2" hidden="1">{#N/A,#N/A,FALSE,"단축1";#N/A,#N/A,FALSE,"단축2";#N/A,#N/A,FALSE,"단축3";#N/A,#N/A,FALSE,"장축";#N/A,#N/A,FALSE,"4WD"}</definedName>
    <definedName name="FO투입시UPH조정" localSheetId="5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w">{0;0;0;0;1;#N/A;0;0;0.3;0.3;2;FALSE;FALSE;FALSE;FALSE;FALSE;#N/A;1;#N/A;1;1;"";""}</definedName>
    <definedName name="G">{#N/A,#N/A,FALSE,"96 3월물량표";#N/A,#N/A,FALSE,"96 4월물량표";#N/A,#N/A,FALSE,"96 5월물량표"}</definedName>
    <definedName name="GDF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gfdgfdgfdg">[19]forecasted_IS!$A$1:$D$53</definedName>
    <definedName name="GFF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ld" localSheetId="2" hidden="1">{#N/A,#N/A,TRUE,"Y생산";#N/A,#N/A,TRUE,"Y판매";#N/A,#N/A,TRUE,"Y총물량";#N/A,#N/A,TRUE,"Y능력";#N/A,#N/A,TRUE,"YKD"}</definedName>
    <definedName name="gfld" localSheetId="5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RGH" localSheetId="2" hidden="1">{#N/A,#N/A,TRUE,"Y생산";#N/A,#N/A,TRUE,"Y판매";#N/A,#N/A,TRUE,"Y총물량";#N/A,#N/A,TRUE,"Y능력";#N/A,#N/A,TRUE,"YKD"}</definedName>
    <definedName name="GFRGH" localSheetId="5" hidden="1">{#N/A,#N/A,TRUE,"Y생산";#N/A,#N/A,TRUE,"Y판매";#N/A,#N/A,TRUE,"Y총물량";#N/A,#N/A,TRUE,"Y능력";#N/A,#N/A,TRUE,"YKD"}</definedName>
    <definedName name="GFRGH" hidden="1">{#N/A,#N/A,TRUE,"Y생산";#N/A,#N/A,TRUE,"Y판매";#N/A,#N/A,TRUE,"Y총물량";#N/A,#N/A,TRUE,"Y능력";#N/A,#N/A,TRUE,"YKD"}</definedName>
    <definedName name="gfs">{0.1;0;0.382758620689655;0;0;0;0.258620689655172;0;0.258620689655172}</definedName>
    <definedName name="GGG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localSheetId="2" hidden="1">{#N/A,#N/A,FALSE,"96 3월물량표";#N/A,#N/A,FALSE,"96 4월물량표";#N/A,#N/A,FALSE,"96 5월물량표"}</definedName>
    <definedName name="GHUTGHF" localSheetId="5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kd" localSheetId="2" hidden="1">{#N/A,#N/A,FALSE,"COL-HIS"}</definedName>
    <definedName name="gkd" localSheetId="5" hidden="1">{#N/A,#N/A,FALSE,"COL-HIS"}</definedName>
    <definedName name="gkd" hidden="1">{#N/A,#N/A,FALSE,"COL-HIS"}</definedName>
    <definedName name="H" localSheetId="2" hidden="1">{#N/A,#N/A,TRUE,"Y생산";#N/A,#N/A,TRUE,"Y판매";#N/A,#N/A,TRUE,"Y총물량";#N/A,#N/A,TRUE,"Y능력";#N/A,#N/A,TRUE,"YKD"}</definedName>
    <definedName name="H" localSheetId="5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3직행율1" localSheetId="2" hidden="1">{#N/A,#N/A,TRUE,"Y생산";#N/A,#N/A,TRUE,"Y판매";#N/A,#N/A,TRUE,"Y총물량";#N/A,#N/A,TRUE,"Y능력";#N/A,#N/A,TRUE,"YKD"}</definedName>
    <definedName name="H3직행율1" localSheetId="5" hidden="1">{#N/A,#N/A,TRUE,"Y생산";#N/A,#N/A,TRUE,"Y판매";#N/A,#N/A,TRUE,"Y총물량";#N/A,#N/A,TRUE,"Y능력";#N/A,#N/A,TRUE,"YKD"}</definedName>
    <definedName name="H3직행율1" hidden="1">{#N/A,#N/A,TRUE,"Y생산";#N/A,#N/A,TRUE,"Y판매";#N/A,#N/A,TRUE,"Y총물량";#N/A,#N/A,TRUE,"Y능력";#N/A,#N/A,TRUE,"YKD"}</definedName>
    <definedName name="HFG" localSheetId="2" hidden="1">{#N/A,#N/A,TRUE,"Y생산";#N/A,#N/A,TRUE,"Y판매";#N/A,#N/A,TRUE,"Y총물량";#N/A,#N/A,TRUE,"Y능력";#N/A,#N/A,TRUE,"YKD"}</definedName>
    <definedName name="HFG" localSheetId="5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HH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KLL" localSheetId="2" hidden="1">{#N/A,#N/A,TRUE,"Y생산";#N/A,#N/A,TRUE,"Y판매";#N/A,#N/A,TRUE,"Y총물량";#N/A,#N/A,TRUE,"Y능력";#N/A,#N/A,TRUE,"YKD"}</definedName>
    <definedName name="HJKLL" localSheetId="5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pv" localSheetId="2" hidden="1">{#N/A,#N/A,FALSE,"단축1";#N/A,#N/A,FALSE,"단축2";#N/A,#N/A,FALSE,"단축3";#N/A,#N/A,FALSE,"장축";#N/A,#N/A,FALSE,"4WD"}</definedName>
    <definedName name="hpv" localSheetId="5" hidden="1">{#N/A,#N/A,FALSE,"단축1";#N/A,#N/A,FALSE,"단축2";#N/A,#N/A,FALSE,"단축3";#N/A,#N/A,FALSE,"장축";#N/A,#N/A,FALSE,"4WD"}</definedName>
    <definedName name="hpv" hidden="1">{#N/A,#N/A,FALSE,"단축1";#N/A,#N/A,FALSE,"단축2";#N/A,#N/A,FALSE,"단축3";#N/A,#N/A,FALSE,"장축";#N/A,#N/A,FALSE,"4WD"}</definedName>
    <definedName name="HTML_CodePage" hidden="1">949</definedName>
    <definedName name="HTML_Control" localSheetId="2" hidden="1">{"'보고양식'!$A$58:$K$111"}</definedName>
    <definedName name="HTML_Control" localSheetId="5" hidden="1">{"'보고양식'!$A$58:$K$111"}</definedName>
    <definedName name="HTML_Control" localSheetId="4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YP" localSheetId="2" hidden="1">#REF!</definedName>
    <definedName name="HYP" localSheetId="5" hidden="1">#REF!</definedName>
    <definedName name="HYP" hidden="1">#REF!</definedName>
    <definedName name="ic" localSheetId="2" hidden="1">{#N/A,#N/A,FALSE,"단축1";#N/A,#N/A,FALSE,"단축2";#N/A,#N/A,FALSE,"단축3";#N/A,#N/A,FALSE,"장축";#N/A,#N/A,FALSE,"4WD"}</definedName>
    <definedName name="ic" localSheetId="5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"2012-05-02 오후 10:46:3"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>1</definedName>
    <definedName name="IRR">[8]기본데이터!$C$7</definedName>
    <definedName name="JJJ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JJJ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localSheetId="2" hidden="1">{#N/A,#N/A,TRUE,"Y생산";#N/A,#N/A,TRUE,"Y판매";#N/A,#N/A,TRUE,"Y총물량";#N/A,#N/A,TRUE,"Y능력";#N/A,#N/A,TRUE,"YKD"}</definedName>
    <definedName name="JK" localSheetId="5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2" hidden="1">{#N/A,#N/A,TRUE,"Y생산";#N/A,#N/A,TRUE,"Y판매";#N/A,#N/A,TRUE,"Y총물량";#N/A,#N/A,TRUE,"Y능력";#N/A,#N/A,TRUE,"YKD"}</definedName>
    <definedName name="K" localSheetId="5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1공장" localSheetId="2" hidden="1">{#N/A,#N/A,TRUE,"Y생산";#N/A,#N/A,TRUE,"Y판매";#N/A,#N/A,TRUE,"Y총물량";#N/A,#N/A,TRUE,"Y능력";#N/A,#N/A,TRUE,"YKD"}</definedName>
    <definedName name="k1공장" localSheetId="5" hidden="1">{#N/A,#N/A,TRUE,"Y생산";#N/A,#N/A,TRUE,"Y판매";#N/A,#N/A,TRUE,"Y총물량";#N/A,#N/A,TRUE,"Y능력";#N/A,#N/A,TRUE,"YKD"}</definedName>
    <definedName name="k1공장" hidden="1">{#N/A,#N/A,TRUE,"Y생산";#N/A,#N/A,TRUE,"Y판매";#N/A,#N/A,TRUE,"Y총물량";#N/A,#N/A,TRUE,"Y능력";#N/A,#N/A,TRUE,"YKD"}</definedName>
    <definedName name="K8M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K8M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localSheetId="2" hidden="1">#REF!</definedName>
    <definedName name="key" localSheetId="5" hidden="1">#REF!</definedName>
    <definedName name="key" hidden="1">#REF!</definedName>
    <definedName name="KHN" localSheetId="2" hidden="1">{"'보고양식'!$A$58:$K$111"}</definedName>
    <definedName name="KHN" localSheetId="5" hidden="1">{"'보고양식'!$A$58:$K$111"}</definedName>
    <definedName name="KHN" localSheetId="4" hidden="1">{"'보고양식'!$A$58:$K$111"}</definedName>
    <definedName name="KHN" localSheetId="3" hidden="1">{"'보고양식'!$A$58:$K$111"}</definedName>
    <definedName name="KHN" hidden="1">{"'보고양식'!$A$58:$K$111"}</definedName>
    <definedName name="KIM" localSheetId="2" hidden="1">{#N/A,#N/A,FALSE,"단축1";#N/A,#N/A,FALSE,"단축2";#N/A,#N/A,FALSE,"단축3";#N/A,#N/A,FALSE,"장축";#N/A,#N/A,FALSE,"4WD"}</definedName>
    <definedName name="KIM" localSheetId="5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K" localSheetId="2" hidden="1">{#N/A,#N/A,TRUE,"Y생산";#N/A,#N/A,TRUE,"Y판매";#N/A,#N/A,TRUE,"Y총물량";#N/A,#N/A,TRUE,"Y능력";#N/A,#N/A,TRUE,"YKD"}</definedName>
    <definedName name="KK" localSheetId="5" hidden="1">{#N/A,#N/A,TRUE,"Y생산";#N/A,#N/A,TRUE,"Y판매";#N/A,#N/A,TRUE,"Y총물량";#N/A,#N/A,TRUE,"Y능력";#N/A,#N/A,TRUE,"YKD"}</definedName>
    <definedName name="KK" hidden="1">{#N/A,#N/A,TRUE,"Y생산";#N/A,#N/A,TRUE,"Y판매";#N/A,#N/A,TRUE,"Y총물량";#N/A,#N/A,TRUE,"Y능력";#N/A,#N/A,TRUE,"YKD"}</definedName>
    <definedName name="kkk" localSheetId="2" hidden="1">{#N/A,#N/A,FALSE,"단축1";#N/A,#N/A,FALSE,"단축2";#N/A,#N/A,FALSE,"단축3";#N/A,#N/A,FALSE,"장축";#N/A,#N/A,FALSE,"4WD"}</definedName>
    <definedName name="kkk" localSheetId="5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localSheetId="2" hidden="1">#REF!</definedName>
    <definedName name="kkkk" localSheetId="5" hidden="1">#REF!</definedName>
    <definedName name="kkkk" hidden="1">#REF!</definedName>
    <definedName name="KK노무비" localSheetId="2" hidden="1">{#N/A,#N/A,TRUE,"Y생산";#N/A,#N/A,TRUE,"Y판매";#N/A,#N/A,TRUE,"Y총물량";#N/A,#N/A,TRUE,"Y능력";#N/A,#N/A,TRUE,"YKD"}</definedName>
    <definedName name="KK노무비" localSheetId="5" hidden="1">{#N/A,#N/A,TRUE,"Y생산";#N/A,#N/A,TRUE,"Y판매";#N/A,#N/A,TRUE,"Y총물량";#N/A,#N/A,TRUE,"Y능력";#N/A,#N/A,TRUE,"YKD"}</definedName>
    <definedName name="KK노무비" hidden="1">{#N/A,#N/A,TRUE,"Y생산";#N/A,#N/A,TRUE,"Y판매";#N/A,#N/A,TRUE,"Y총물량";#N/A,#N/A,TRUE,"Y능력";#N/A,#N/A,TRUE,"YKD"}</definedName>
    <definedName name="KMD" localSheetId="2" hidden="1">{#N/A,#N/A,FALSE,"96 3월물량표";#N/A,#N/A,FALSE,"96 4월물량표";#N/A,#N/A,FALSE,"96 5월물량표"}</definedName>
    <definedName name="KMD" localSheetId="5" hidden="1">{#N/A,#N/A,FALSE,"96 3월물량표";#N/A,#N/A,FALSE,"96 4월물량표";#N/A,#N/A,FALSE,"96 5월물량표"}</definedName>
    <definedName name="KMD" hidden="1">{#N/A,#N/A,FALSE,"96 3월물량표";#N/A,#N/A,FALSE,"96 4월물량표";#N/A,#N/A,FALSE,"96 5월물량표"}</definedName>
    <definedName name="KSJJ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U" localSheetId="2" hidden="1">{#N/A,#N/A,TRUE,"Y생산";#N/A,#N/A,TRUE,"Y판매";#N/A,#N/A,TRUE,"Y총물량";#N/A,#N/A,TRUE,"Y능력";#N/A,#N/A,TRUE,"YKD"}</definedName>
    <definedName name="KU" localSheetId="5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_Adjust">[20]Links!$H$1:$H$65536</definedName>
    <definedName name="L_AJE_Tot">[20]Links!$G$1:$G$65536</definedName>
    <definedName name="L_CY_Beg">[20]Links!$F$1:$F$65536</definedName>
    <definedName name="L_CY_End">[20]Links!$J$1:$J$65536</definedName>
    <definedName name="L_PY_End">[20]Links!$K$1:$K$65536</definedName>
    <definedName name="L_RJE_Tot">[20]Links!$I$1:$I$65536</definedName>
    <definedName name="Language">[20]basic_info!$C$3</definedName>
    <definedName name="LINE검토2" localSheetId="2" hidden="1">{#N/A,#N/A,TRUE,"Y생산";#N/A,#N/A,TRUE,"Y판매";#N/A,#N/A,TRUE,"Y총물량";#N/A,#N/A,TRUE,"Y능력";#N/A,#N/A,TRUE,"YKD"}</definedName>
    <definedName name="LINE검토2" localSheetId="5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HGFDF" localSheetId="2" hidden="1">{#N/A,#N/A,TRUE,"Y생산";#N/A,#N/A,TRUE,"Y판매";#N/A,#N/A,TRUE,"Y총물량";#N/A,#N/A,TRUE,"Y능력";#N/A,#N/A,TRUE,"YKD"}</definedName>
    <definedName name="LKHGFDF" localSheetId="5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LD" localSheetId="2" hidden="1">{#N/A,#N/A,TRUE,"Y생산";#N/A,#N/A,TRUE,"Y판매";#N/A,#N/A,TRUE,"Y총물량";#N/A,#N/A,TRUE,"Y능력";#N/A,#N/A,TRUE,"YKD"}</definedName>
    <definedName name="LLLLD" localSheetId="5" hidden="1">{#N/A,#N/A,TRUE,"Y생산";#N/A,#N/A,TRUE,"Y판매";#N/A,#N/A,TRUE,"Y총물량";#N/A,#N/A,TRUE,"Y능력";#N/A,#N/A,TRUE,"YKD"}</definedName>
    <definedName name="LLLLD" hidden="1">{#N/A,#N/A,TRUE,"Y생산";#N/A,#N/A,TRUE,"Y판매";#N/A,#N/A,TRUE,"Y총물량";#N/A,#N/A,TRUE,"Y능력";#N/A,#N/A,TRUE,"YKD"}</definedName>
    <definedName name="LLLLL" localSheetId="2" hidden="1">{#N/A,#N/A,FALSE,"단축1";#N/A,#N/A,FALSE,"단축2";#N/A,#N/A,FALSE,"단축3";#N/A,#N/A,FALSE,"장축";#N/A,#N/A,FALSE,"4WD"}</definedName>
    <definedName name="LLLLL" localSheetId="5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oanAC">INDIRECT("Data!$B$2:$B$"&amp;COUNTA([18]Data!$B$1:$B$65536))</definedName>
    <definedName name="MH향상" localSheetId="2" hidden="1">{#N/A,#N/A,TRUE,"Y생산";#N/A,#N/A,TRUE,"Y판매";#N/A,#N/A,TRUE,"Y총물량";#N/A,#N/A,TRUE,"Y능력";#N/A,#N/A,TRUE,"YKD"}</definedName>
    <definedName name="MH향상" localSheetId="5" hidden="1">{#N/A,#N/A,TRUE,"Y생산";#N/A,#N/A,TRUE,"Y판매";#N/A,#N/A,TRUE,"Y총물량";#N/A,#N/A,TRUE,"Y능력";#N/A,#N/A,TRUE,"YKD"}</definedName>
    <definedName name="MH향상" hidden="1">{#N/A,#N/A,TRUE,"Y생산";#N/A,#N/A,TRUE,"Y판매";#N/A,#N/A,TRUE,"Y총물량";#N/A,#N/A,TRUE,"Y능력";#N/A,#N/A,TRUE,"YKD"}</definedName>
    <definedName name="MonFirst">[14]Settings!$G$13</definedName>
    <definedName name="month">[14]Calendar!$C$3</definedName>
    <definedName name="monthName">[14]Settings!$G$6</definedName>
    <definedName name="monthNames">[14]Settings!$C$5:$C$16</definedName>
    <definedName name="N" localSheetId="2" hidden="1">{#N/A,#N/A,FALSE,"96 3월물량표";#N/A,#N/A,FALSE,"96 4월물량표";#N/A,#N/A,FALSE,"96 5월물량표"}</definedName>
    <definedName name="N" localSheetId="5" hidden="1">{#N/A,#N/A,FALSE,"96 3월물량표";#N/A,#N/A,FALSE,"96 4월물량표";#N/A,#N/A,FALSE,"96 5월물량표"}</definedName>
    <definedName name="N" hidden="1">{#N/A,#N/A,FALSE,"96 3월물량표";#N/A,#N/A,FALSE,"96 4월물량표";#N/A,#N/A,FALSE,"96 5월물량표"}</definedName>
    <definedName name="New">{0;0;0;0;1;#N/A;0;0;0.3;0.3;2;FALSE;FALSE;FALSE;FALSE;FALSE;#N/A;1;96;#N/A;#N/A;"";""}</definedName>
    <definedName name="nextMonth">[14]Settings!$G$11</definedName>
    <definedName name="nextMonthName">[14]Settings!$G$12</definedName>
    <definedName name="NGH" localSheetId="2" hidden="1">{#N/A,#N/A,TRUE,"Y생산";#N/A,#N/A,TRUE,"Y판매";#N/A,#N/A,TRUE,"Y총물량";#N/A,#N/A,TRUE,"Y능력";#N/A,#N/A,TRUE,"YKD"}</definedName>
    <definedName name="NGH" localSheetId="5" hidden="1">{#N/A,#N/A,TRUE,"Y생산";#N/A,#N/A,TRUE,"Y판매";#N/A,#N/A,TRUE,"Y총물량";#N/A,#N/A,TRUE,"Y능력";#N/A,#N/A,TRUE,"YKD"}</definedName>
    <definedName name="NGH" hidden="1">{#N/A,#N/A,TRUE,"Y생산";#N/A,#N/A,TRUE,"Y판매";#N/A,#N/A,TRUE,"Y총물량";#N/A,#N/A,TRUE,"Y능력";#N/A,#N/A,TRUE,"YKD"}</definedName>
    <definedName name="NH" localSheetId="2" hidden="1">#REF!</definedName>
    <definedName name="NH" localSheetId="5" hidden="1">#REF!</definedName>
    <definedName name="NH" hidden="1">#REF!</definedName>
    <definedName name="nhgv" localSheetId="2" hidden="1">{#N/A,#N/A,FALSE,"주요여수신";#N/A,#N/A,FALSE,"수신금리";#N/A,#N/A,FALSE,"대출금리";#N/A,#N/A,FALSE,"신규대출";#N/A,#N/A,FALSE,"총액대출"}</definedName>
    <definedName name="nhgv" localSheetId="5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NL" localSheetId="2" hidden="1">{#N/A,#N/A,FALSE,"단축1";#N/A,#N/A,FALSE,"단축2";#N/A,#N/A,FALSE,"단축3";#N/A,#N/A,FALSE,"장축";#N/A,#N/A,FALSE,"4WD"}</definedName>
    <definedName name="NNL" localSheetId="5" hidden="1">{#N/A,#N/A,FALSE,"단축1";#N/A,#N/A,FALSE,"단축2";#N/A,#N/A,FALSE,"단축3";#N/A,#N/A,FALSE,"장축";#N/A,#N/A,FALSE,"4WD"}</definedName>
    <definedName name="NNL" hidden="1">{#N/A,#N/A,FALSE,"단축1";#N/A,#N/A,FALSE,"단축2";#N/A,#N/A,FALSE,"단축3";#N/A,#N/A,FALSE,"장축";#N/A,#N/A,FALSE,"4WD"}</definedName>
    <definedName name="NNN" localSheetId="2" hidden="1">{#N/A,#N/A,FALSE,"96 3월물량표";#N/A,#N/A,FALSE,"96 4월물량표";#N/A,#N/A,FALSE,"96 5월물량표"}</definedName>
    <definedName name="NNN" localSheetId="5" hidden="1">{#N/A,#N/A,FALSE,"96 3월물량표";#N/A,#N/A,FALSE,"96 4월물량표";#N/A,#N/A,FALSE,"96 5월물량표"}</definedName>
    <definedName name="NNN" hidden="1">{#N/A,#N/A,FALSE,"96 3월물량표";#N/A,#N/A,FALSE,"96 4월물량표";#N/A,#N/A,FALSE,"96 5월물량표"}</definedName>
    <definedName name="NW" localSheetId="2" hidden="1">{#N/A,#N/A,FALSE,"단축1";#N/A,#N/A,FALSE,"단축2";#N/A,#N/A,FALSE,"단축3";#N/A,#N/A,FALSE,"장축";#N/A,#N/A,FALSE,"4WD"}</definedName>
    <definedName name="NW" localSheetId="5" hidden="1">{#N/A,#N/A,FALSE,"단축1";#N/A,#N/A,FALSE,"단축2";#N/A,#N/A,FALSE,"단축3";#N/A,#N/A,FALSE,"장축";#N/A,#N/A,FALSE,"4WD"}</definedName>
    <definedName name="NW" hidden="1">{#N/A,#N/A,FALSE,"단축1";#N/A,#N/A,FALSE,"단축2";#N/A,#N/A,FALSE,"단축3";#N/A,#N/A,FALSE,"장축";#N/A,#N/A,FALSE,"4WD"}</definedName>
    <definedName name="O" localSheetId="2" hidden="1">{#N/A,#N/A,TRUE,"Y생산";#N/A,#N/A,TRUE,"Y판매";#N/A,#N/A,TRUE,"Y총물량";#N/A,#N/A,TRUE,"Y능력";#N/A,#N/A,TRUE,"YKD"}</definedName>
    <definedName name="O" localSheetId="5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OO" localSheetId="2" hidden="1">{#N/A,#N/A,TRUE,"Y생산";#N/A,#N/A,TRUE,"Y판매";#N/A,#N/A,TRUE,"Y총물량";#N/A,#N/A,TRUE,"Y능력";#N/A,#N/A,TRUE,"YKD"}</definedName>
    <definedName name="OOO" localSheetId="5" hidden="1">{#N/A,#N/A,TRUE,"Y생산";#N/A,#N/A,TRUE,"Y판매";#N/A,#N/A,TRUE,"Y총물량";#N/A,#N/A,TRUE,"Y능력";#N/A,#N/A,TRUE,"YKD"}</definedName>
    <definedName name="OOO" hidden="1">{#N/A,#N/A,TRUE,"Y생산";#N/A,#N/A,TRUE,"Y판매";#N/A,#N/A,TRUE,"Y총물량";#N/A,#N/A,TRUE,"Y능력";#N/A,#N/A,TRUE,"YKD"}</definedName>
    <definedName name="P_?">'[6]97년추정손익계산서'!$G$6:$G$86</definedName>
    <definedName name="P2예산" localSheetId="2" hidden="1">{#N/A,#N/A,FALSE,"단축1";#N/A,#N/A,FALSE,"단축2";#N/A,#N/A,FALSE,"단축3";#N/A,#N/A,FALSE,"장축";#N/A,#N/A,FALSE,"4WD"}</definedName>
    <definedName name="P2예산" localSheetId="5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5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DWN" localSheetId="2" hidden="1">#REF!</definedName>
    <definedName name="PADWN" localSheetId="5" hidden="1">#REF!</definedName>
    <definedName name="PADWN" hidden="1">#REF!</definedName>
    <definedName name="PART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c">'[4]1담당0113'!$F$260</definedName>
    <definedName name="PP" localSheetId="2" hidden="1">{#N/A,#N/A,TRUE,"Y생산";#N/A,#N/A,TRUE,"Y판매";#N/A,#N/A,TRUE,"Y총물량";#N/A,#N/A,TRUE,"Y능력";#N/A,#N/A,TRUE,"YKD"}</definedName>
    <definedName name="PP" localSheetId="5" hidden="1">{#N/A,#N/A,TRUE,"Y생산";#N/A,#N/A,TRUE,"Y판매";#N/A,#N/A,TRUE,"Y총물량";#N/A,#N/A,TRUE,"Y능력";#N/A,#N/A,TRUE,"YKD"}</definedName>
    <definedName name="PP" hidden="1">{#N/A,#N/A,TRUE,"Y생산";#N/A,#N/A,TRUE,"Y판매";#N/A,#N/A,TRUE,"Y총물량";#N/A,#N/A,TRUE,"Y능력";#N/A,#N/A,TRUE,"YKD"}</definedName>
    <definedName name="PPK" localSheetId="2" hidden="1">{#N/A,#N/A,FALSE,"96 3월물량표";#N/A,#N/A,FALSE,"96 4월물량표";#N/A,#N/A,FALSE,"96 5월물량표"}</definedName>
    <definedName name="PPK" localSheetId="5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o" localSheetId="2" hidden="1">{#N/A,#N/A,FALSE,"단축1";#N/A,#N/A,FALSE,"단축2";#N/A,#N/A,FALSE,"단축3";#N/A,#N/A,FALSE,"장축";#N/A,#N/A,FALSE,"4WD"}</definedName>
    <definedName name="ppo" localSheetId="5" hidden="1">{#N/A,#N/A,FALSE,"단축1";#N/A,#N/A,FALSE,"단축2";#N/A,#N/A,FALSE,"단축3";#N/A,#N/A,FALSE,"장축";#N/A,#N/A,FALSE,"4WD"}</definedName>
    <definedName name="ppo" hidden="1">{#N/A,#N/A,FALSE,"단축1";#N/A,#N/A,FALSE,"단축2";#N/A,#N/A,FALSE,"단축3";#N/A,#N/A,FALSE,"장축";#N/A,#N/A,FALSE,"4WD"}</definedName>
    <definedName name="prevMonth">[14]Settings!$G$9</definedName>
    <definedName name="prevMonthName">[14]Settings!$G$10</definedName>
    <definedName name="print모두">[21]국외감가상각내역0103!$A$1:$J$82</definedName>
    <definedName name="PROTO2" localSheetId="2" hidden="1">{#N/A,#N/A,FALSE,"단축1";#N/A,#N/A,FALSE,"단축2";#N/A,#N/A,FALSE,"단축3";#N/A,#N/A,FALSE,"장축";#N/A,#N/A,FALSE,"4WD"}</definedName>
    <definedName name="PROTO2" localSheetId="5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2" hidden="1">{#N/A,#N/A,FALSE,"단축1";#N/A,#N/A,FALSE,"단축2";#N/A,#N/A,FALSE,"단축3";#N/A,#N/A,FALSE,"장축";#N/A,#N/A,FALSE,"4WD"}</definedName>
    <definedName name="PROTO3" localSheetId="5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T6AL5AR40">[7]보고서!PRT6AL5AR40</definedName>
    <definedName name="PRT6AU5BA41">[7]보고서!PRT6AU5BA41</definedName>
    <definedName name="PRT6B5H25">[7]보고서!PRT6B5H25</definedName>
    <definedName name="PRT6BD5BK32">[7]보고서!PRT6BD5BK32</definedName>
    <definedName name="prt6bn252bt288">[7]보고서!prt6bn252bt288</definedName>
    <definedName name="prt6bn46bt82">[7]보고서!prt6bn46bt82</definedName>
    <definedName name="PRT6BN5BT41">[7]보고서!PRT6BN5BT41</definedName>
    <definedName name="prt6bv7cc30">[7]보고서!prt6bv7cc30</definedName>
    <definedName name="prt6cf5cl37">[7]보고서!prt6cf5cl37</definedName>
    <definedName name="prt6co5cs41">[7]보고서!prt6co5cs41</definedName>
    <definedName name="prt6cv5dg33">[7]보고서!prt6cv5dg33</definedName>
    <definedName name="PRT6K31U52">[7]보고서!PRT6K31U52</definedName>
    <definedName name="PRT6K4U25">[7]보고서!PRT6K4U25</definedName>
    <definedName name="PRT6K57W79">[7]보고서!PRT6K57W79</definedName>
    <definedName name="PRT6K85U107">[7]보고서!PRT6K85U107</definedName>
    <definedName name="PRT6X4AI25">[7]보고서!PRT6X4AI25</definedName>
    <definedName name="PT다추가" localSheetId="2" hidden="1">{#N/A,#N/A,TRUE,"Y생산";#N/A,#N/A,TRUE,"Y판매";#N/A,#N/A,TRUE,"Y총물량";#N/A,#N/A,TRUE,"Y능력";#N/A,#N/A,TRUE,"YKD"}</definedName>
    <definedName name="PT다추가" localSheetId="5" hidden="1">{#N/A,#N/A,TRUE,"Y생산";#N/A,#N/A,TRUE,"Y판매";#N/A,#N/A,TRUE,"Y총물량";#N/A,#N/A,TRUE,"Y능력";#N/A,#N/A,TRUE,"YKD"}</definedName>
    <definedName name="PT다추가" hidden="1">{#N/A,#N/A,TRUE,"Y생산";#N/A,#N/A,TRUE,"Y판매";#N/A,#N/A,TRUE,"Y총물량";#N/A,#N/A,TRUE,"Y능력";#N/A,#N/A,TRUE,"YKD"}</definedName>
    <definedName name="QEQ" localSheetId="2" hidden="1">{#N/A,#N/A,FALSE,"기술료 비교"}</definedName>
    <definedName name="QEQ" localSheetId="5" hidden="1">{#N/A,#N/A,FALSE,"기술료 비교"}</definedName>
    <definedName name="QEQ" hidden="1">{#N/A,#N/A,FALSE,"기술료 비교"}</definedName>
    <definedName name="qlty" localSheetId="2" hidden="1">{#N/A,#N/A,TRUE,"Y생산";#N/A,#N/A,TRUE,"Y판매";#N/A,#N/A,TRUE,"Y총물량";#N/A,#N/A,TRUE,"Y능력";#N/A,#N/A,TRUE,"YKD"}</definedName>
    <definedName name="qlty" localSheetId="5" hidden="1">{#N/A,#N/A,TRUE,"Y생산";#N/A,#N/A,TRUE,"Y판매";#N/A,#N/A,TRUE,"Y총물량";#N/A,#N/A,TRUE,"Y능력";#N/A,#N/A,TRUE,"YKD"}</definedName>
    <definedName name="qlty" hidden="1">{#N/A,#N/A,TRUE,"Y생산";#N/A,#N/A,TRUE,"Y판매";#N/A,#N/A,TRUE,"Y총물량";#N/A,#N/A,TRUE,"Y능력";#N/A,#N/A,TRUE,"YKD"}</definedName>
    <definedName name="QQQAAASSS" localSheetId="2" hidden="1">{#N/A,#N/A,TRUE,"Y생산";#N/A,#N/A,TRUE,"Y판매";#N/A,#N/A,TRUE,"Y총물량";#N/A,#N/A,TRUE,"Y능력";#N/A,#N/A,TRUE,"YKD"}</definedName>
    <definedName name="QQQAAASSS" localSheetId="5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2" hidden="1">{#N/A,#N/A,FALSE,"96 3월물량표";#N/A,#N/A,FALSE,"96 4월물량표";#N/A,#N/A,FALSE,"96 5월물량표"}</definedName>
    <definedName name="QQQQ" localSheetId="5" hidden="1">{#N/A,#N/A,FALSE,"96 3월물량표";#N/A,#N/A,FALSE,"96 4월물량표";#N/A,#N/A,FALSE,"96 5월물량표"}</definedName>
    <definedName name="QQQQ" hidden="1">{#N/A,#N/A,FALSE,"96 3월물량표";#N/A,#N/A,FALSE,"96 4월물량표";#N/A,#N/A,FALSE,"96 5월물량표"}</definedName>
    <definedName name="QQQQQQQ" localSheetId="2" hidden="1">{#N/A,#N/A,TRUE,"Y생산";#N/A,#N/A,TRUE,"Y판매";#N/A,#N/A,TRUE,"Y총물량";#N/A,#N/A,TRUE,"Y능력";#N/A,#N/A,TRUE,"YKD"}</definedName>
    <definedName name="QQQQQQQ" localSheetId="5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" localSheetId="2" hidden="1">{#N/A,#N/A,TRUE,"Y생산";#N/A,#N/A,TRUE,"Y판매";#N/A,#N/A,TRUE,"Y총물량";#N/A,#N/A,TRUE,"Y능력";#N/A,#N/A,TRUE,"YKD"}</definedName>
    <definedName name="qqqqqqqqq" localSheetId="5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w">{0;0;0;0;1;#N/A;0;0;0.3;0.3;2;FALSE;FALSE;FALSE;FALSE;FALSE;#N/A;1;100;#N/A;#N/A;"";""}</definedName>
    <definedName name="QWE" localSheetId="2" hidden="1">{#N/A,#N/A,FALSE,"단축1";#N/A,#N/A,FALSE,"단축2";#N/A,#N/A,FALSE,"단축3";#N/A,#N/A,FALSE,"장축";#N/A,#N/A,FALSE,"4WD"}</definedName>
    <definedName name="QWE" localSheetId="5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5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Rab">[3]Variables!$B$16</definedName>
    <definedName name="rating1">[22]configure!$A$41:$B$62</definedName>
    <definedName name="Rb">[3]Variables!$B$15</definedName>
    <definedName name="red">{0.1;0;0.45;0;0;0;0;0;0.45}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K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RK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LA" localSheetId="2" hidden="1">{#N/A,#N/A,TRUE,"Y생산";#N/A,#N/A,TRUE,"Y판매";#N/A,#N/A,TRUE,"Y총물량";#N/A,#N/A,TRUE,"Y능력";#N/A,#N/A,TRUE,"YKD"}</definedName>
    <definedName name="RLA" localSheetId="5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OTJSRHKWJD1" localSheetId="2" hidden="1">{#N/A,#N/A,FALSE,"단축1";#N/A,#N/A,FALSE,"단축2";#N/A,#N/A,FALSE,"단축3";#N/A,#N/A,FALSE,"장축";#N/A,#N/A,FALSE,"4WD"}</definedName>
    <definedName name="ROTJSRHKWJD1" localSheetId="5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Pghlr" localSheetId="2" hidden="1">{#N/A,#N/A,FALSE,"기술료 비교"}</definedName>
    <definedName name="rPghlr" localSheetId="5" hidden="1">{#N/A,#N/A,FALSE,"기술료 비교"}</definedName>
    <definedName name="rPghlr" hidden="1">{#N/A,#N/A,FALSE,"기술료 비교"}</definedName>
    <definedName name="RRR" localSheetId="2" hidden="1">{#N/A,#N/A,FALSE,"표지";#N/A,#N/A,FALSE,"전제";#N/A,#N/A,FALSE,"손익-자 (2)";#N/A,#N/A,FALSE,"손익-자";#N/A,#N/A,FALSE,"손익-마 (2)";#N/A,#N/A,FALSE,"손익-마";#N/A,#N/A,FALSE,"총손최종"}</definedName>
    <definedName name="RRR" localSheetId="5" hidden="1">{#N/A,#N/A,FALSE,"표지";#N/A,#N/A,FALSE,"전제";#N/A,#N/A,FALSE,"손익-자 (2)";#N/A,#N/A,FALSE,"손익-자";#N/A,#N/A,FALSE,"손익-마 (2)";#N/A,#N/A,FALSE,"손익-마";#N/A,#N/A,FALSE,"총손최종"}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RRRRR">[7]보고서!RRRRR</definedName>
    <definedName name="S">[23]기준!$B$13</definedName>
    <definedName name="S_Adjust_Data">[20]Lead!$I$1:$I$5</definedName>
    <definedName name="S_AJE_Tot_Data">[20]Lead!$H$1:$H$5</definedName>
    <definedName name="S_CY_Beg_Data">[20]Lead!$F$1:$F$5</definedName>
    <definedName name="S_CY_End_Data">[20]Lead!$K$1:$K$5</definedName>
    <definedName name="S_PY_End_Data">[20]Lead!$M$1:$M$5</definedName>
    <definedName name="S_RJE_Tot_Data">[20]Lead!$J$1:$J$5</definedName>
    <definedName name="SD" localSheetId="2" hidden="1">{#N/A,#N/A,FALSE,"표지";#N/A,#N/A,FALSE,"전제";#N/A,#N/A,FALSE,"손익-자 (2)";#N/A,#N/A,FALSE,"손익-자";#N/A,#N/A,FALSE,"손익-마 (2)";#N/A,#N/A,FALSE,"손익-마";#N/A,#N/A,FALSE,"총손최종"}</definedName>
    <definedName name="SD" localSheetId="5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dfgsdfhsdfhs">[9]대환취급!$A$1:$N$3416</definedName>
    <definedName name="sds" localSheetId="2" hidden="1">{"'보고양식'!$A$58:$K$111"}</definedName>
    <definedName name="sds" localSheetId="5" hidden="1">{"'보고양식'!$A$58:$K$111"}</definedName>
    <definedName name="sds" localSheetId="4" hidden="1">{"'보고양식'!$A$58:$K$111"}</definedName>
    <definedName name="sds" localSheetId="3" hidden="1">{"'보고양식'!$A$58:$K$111"}</definedName>
    <definedName name="sds" hidden="1">{"'보고양식'!$A$58:$K$111"}</definedName>
    <definedName name="SGF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SHE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incode">[24]YHCODE!$B$3:$F$2087</definedName>
    <definedName name="SK" localSheetId="2" hidden="1">{#N/A,#N/A,FALSE,"표지";#N/A,#N/A,FALSE,"전제";#N/A,#N/A,FALSE,"대당";#N/A,#N/A,FALSE,"가공비";#N/A,#N/A,FALSE,"재료비";#N/A,#N/A,FALSE,"손익"}</definedName>
    <definedName name="SK" localSheetId="5" hidden="1">{#N/A,#N/A,FALSE,"표지";#N/A,#N/A,FALSE,"전제";#N/A,#N/A,FALSE,"대당";#N/A,#N/A,FALSE,"가공비";#N/A,#N/A,FALSE,"재료비";#N/A,#N/A,FALSE,"손익"}</definedName>
    <definedName name="SK" hidden="1">{#N/A,#N/A,FALSE,"표지";#N/A,#N/A,FALSE,"전제";#N/A,#N/A,FALSE,"대당";#N/A,#N/A,FALSE,"가공비";#N/A,#N/A,FALSE,"재료비";#N/A,#N/A,FALSE,"손익"}</definedName>
    <definedName name="SKEKSK" localSheetId="2" hidden="1">{#N/A,#N/A,FALSE,"품의서";#N/A,#N/A,FALSE,"전제";#N/A,#N/A,FALSE,"총손";#N/A,#N/A,FALSE,"손익"}</definedName>
    <definedName name="SKEKSK" localSheetId="5" hidden="1">{#N/A,#N/A,FALSE,"품의서";#N/A,#N/A,FALSE,"전제";#N/A,#N/A,FALSE,"총손";#N/A,#N/A,FALSE,"손익"}</definedName>
    <definedName name="SKEKSK" hidden="1">{#N/A,#N/A,FALSE,"품의서";#N/A,#N/A,FALSE,"전제";#N/A,#N/A,FALSE,"총손";#N/A,#N/A,FALSE,"손익"}</definedName>
    <definedName name="sksk" localSheetId="2" hidden="1">{#N/A,#N/A,FALSE,"주요여수신";#N/A,#N/A,FALSE,"수신금리";#N/A,#N/A,FALSE,"대출금리";#N/A,#N/A,FALSE,"신규대출";#N/A,#N/A,FALSE,"총액대출"}</definedName>
    <definedName name="sksk" localSheetId="5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부자재" localSheetId="2" hidden="1">{#N/A,#N/A,FALSE,"신규dep";#N/A,#N/A,FALSE,"신규dep-금형상각후";#N/A,#N/A,FALSE,"신규dep-연구비상각후";#N/A,#N/A,FALSE,"신규dep-기계,공구상각후"}</definedName>
    <definedName name="SM부자재" localSheetId="5" hidden="1">{#N/A,#N/A,FALSE,"신규dep";#N/A,#N/A,FALSE,"신규dep-금형상각후";#N/A,#N/A,FALSE,"신규dep-연구비상각후";#N/A,#N/A,FALSE,"신규dep-기계,공구상각후"}</definedName>
    <definedName name="SM부자재" hidden="1">{#N/A,#N/A,FALSE,"신규dep";#N/A,#N/A,FALSE,"신규dep-금형상각후";#N/A,#N/A,FALSE,"신규dep-연구비상각후";#N/A,#N/A,FALSE,"신규dep-기계,공구상각후"}</definedName>
    <definedName name="SOS" localSheetId="2" hidden="1">#REF!</definedName>
    <definedName name="SOS" localSheetId="5" hidden="1">#REF!</definedName>
    <definedName name="SOS" hidden="1">#REF!</definedName>
    <definedName name="SS" localSheetId="2" hidden="1">{#N/A,#N/A,FALSE,"계약직(여)"}</definedName>
    <definedName name="SS" localSheetId="5" hidden="1">{#N/A,#N/A,FALSE,"계약직(여)"}</definedName>
    <definedName name="SS" hidden="1">{#N/A,#N/A,FALSE,"계약직(여)"}</definedName>
    <definedName name="SSS" localSheetId="2" hidden="1">#REF!</definedName>
    <definedName name="SSS" localSheetId="5" hidden="1">#REF!</definedName>
    <definedName name="SSS" hidden="1">#REF!</definedName>
    <definedName name="SSSSSS" localSheetId="2" hidden="1">#REF!</definedName>
    <definedName name="SSSSSS" localSheetId="5" hidden="1">#REF!</definedName>
    <definedName name="SSSSSS" localSheetId="4" hidden="1">#REF!</definedName>
    <definedName name="SSSSSS" localSheetId="3" hidden="1">#REF!</definedName>
    <definedName name="SSSSSS" hidden="1">#REF!</definedName>
    <definedName name="startDate">[14]Settings!$G$7</definedName>
    <definedName name="startDayOfWeek">[14]Settings!$G$8</definedName>
    <definedName name="sx">{0.1;0;0.382758620689655;0;0;0;0.258620689655172;0;0.258620689655172}</definedName>
    <definedName name="t">[25]별제권_정리담보권1!$O$6:$O$213</definedName>
    <definedName name="tc" localSheetId="2" hidden="1">{#N/A,#N/A,FALSE,"단축1";#N/A,#N/A,FALSE,"단축2";#N/A,#N/A,FALSE,"단축3";#N/A,#N/A,FALSE,"장축";#N/A,#N/A,FALSE,"4WD"}</definedName>
    <definedName name="tc" localSheetId="5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5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localSheetId="2" hidden="1">{#N/A,#N/A,TRUE,"Y생산";#N/A,#N/A,TRUE,"Y판매";#N/A,#N/A,TRUE,"Y총물량";#N/A,#N/A,TRUE,"Y능력";#N/A,#N/A,TRUE,"YKD"}</definedName>
    <definedName name="TEWR" localSheetId="5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RangeCount" hidden="1">2</definedName>
    <definedName name="THEME2" localSheetId="2" hidden="1">{#N/A,#N/A,FALSE,"96 3월물량표";#N/A,#N/A,FALSE,"96 4월물량표";#N/A,#N/A,FALSE,"96 5월물량표"}</definedName>
    <definedName name="THEME2" localSheetId="5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LE5" localSheetId="2" hidden="1">{#N/A,#N/A,FALSE,"기술료 비교"}</definedName>
    <definedName name="TITLE5" localSheetId="5" hidden="1">{#N/A,#N/A,FALSE,"기술료 비교"}</definedName>
    <definedName name="TITLE5" hidden="1">{#N/A,#N/A,FALSE,"기술료 비교"}</definedName>
    <definedName name="TJAUDLWS" localSheetId="2" hidden="1">{#N/A,#N/A,TRUE,"Y생산";#N/A,#N/A,TRUE,"Y판매";#N/A,#N/A,TRUE,"Y총물량";#N/A,#N/A,TRUE,"Y능력";#N/A,#N/A,TRUE,"YKD"}</definedName>
    <definedName name="TJAUDLWS" localSheetId="5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">[7]보고서!PRT6BN5BT41</definedName>
    <definedName name="TOFHDNS" localSheetId="2" hidden="1">#REF!</definedName>
    <definedName name="TOFHDNS" localSheetId="5" hidden="1">#REF!</definedName>
    <definedName name="TOFHDNS" hidden="1">#REF!</definedName>
    <definedName name="tp" localSheetId="2" hidden="1">{#N/A,#N/A,FALSE,"주요여수신";#N/A,#N/A,FALSE,"수신금리";#N/A,#N/A,FALSE,"대출금리";#N/A,#N/A,FALSE,"신규대출";#N/A,#N/A,FALSE,"총액대출"}</definedName>
    <definedName name="tp" localSheetId="5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rim" localSheetId="2" hidden="1">#REF!</definedName>
    <definedName name="trim" localSheetId="5" hidden="1">#REF!</definedName>
    <definedName name="trim" hidden="1">#REF!</definedName>
    <definedName name="trim1" localSheetId="2" hidden="1">#REF!</definedName>
    <definedName name="trim1" localSheetId="5" hidden="1">#REF!</definedName>
    <definedName name="trim1" hidden="1">#REF!</definedName>
    <definedName name="TT" localSheetId="2" hidden="1">{#N/A,#N/A,FALSE,"UNIT";#N/A,#N/A,FALSE,"UNIT";#N/A,#N/A,FALSE,"계정"}</definedName>
    <definedName name="TT" localSheetId="5" hidden="1">{#N/A,#N/A,FALSE,"UNIT";#N/A,#N/A,FALSE,"UNIT";#N/A,#N/A,FALSE,"계정"}</definedName>
    <definedName name="TT" hidden="1">{#N/A,#N/A,FALSE,"UNIT";#N/A,#N/A,FALSE,"UNIT";#N/A,#N/A,FALSE,"계정"}</definedName>
    <definedName name="TY" localSheetId="2" hidden="1">#REF!</definedName>
    <definedName name="TY" localSheetId="5" hidden="1">#REF!</definedName>
    <definedName name="TY" hidden="1">#REF!</definedName>
    <definedName name="UB" localSheetId="2" hidden="1">#REF!</definedName>
    <definedName name="UB" localSheetId="5" hidden="1">#REF!</definedName>
    <definedName name="UB" hidden="1">#REF!</definedName>
    <definedName name="VALUE">[26]기대회수Schedule!$A$8:$HE$179</definedName>
    <definedName name="vfdgvfdgdf">[11]f_IS!$A$4:$D$55</definedName>
    <definedName name="VPDLSXM" localSheetId="2" hidden="1">{#N/A,#N/A,TRUE,"Y생산";#N/A,#N/A,TRUE,"Y판매";#N/A,#N/A,TRUE,"Y총물량";#N/A,#N/A,TRUE,"Y능력";#N/A,#N/A,TRUE,"YKD"}</definedName>
    <definedName name="VPDLSXM" localSheetId="5" hidden="1">{#N/A,#N/A,TRUE,"Y생산";#N/A,#N/A,TRUE,"Y판매";#N/A,#N/A,TRUE,"Y총물량";#N/A,#N/A,TRUE,"Y능력";#N/A,#N/A,TRUE,"YKD"}</definedName>
    <definedName name="VPDLSXM" hidden="1">{#N/A,#N/A,TRUE,"Y생산";#N/A,#N/A,TRUE,"Y판매";#N/A,#N/A,TRUE,"Y총물량";#N/A,#N/A,TRUE,"Y능력";#N/A,#N/A,TRUE,"YKD"}</definedName>
    <definedName name="VZXSF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localSheetId="2" hidden="1">{#N/A,#N/A,TRUE,"Y생산";#N/A,#N/A,TRUE,"Y판매";#N/A,#N/A,TRUE,"Y총물량";#N/A,#N/A,TRUE,"Y능력";#N/A,#N/A,TRUE,"YKD"}</definedName>
    <definedName name="WEARF" localSheetId="5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fg">{0;0;0;0;1;#N/A;0;0;0.3;0.3;2;FALSE;FALSE;FALSE;FALSE;FALSE;#N/A;1;100;#N/A;#N/A;"";""}</definedName>
    <definedName name="weekday">{1,2,3,4,5,6,7}</definedName>
    <definedName name="weekday_dates">[14]Calendar!$C$8,[14]Calendar!$E$8,[14]Calendar!$G$8,[14]Calendar!$I$8,[14]Calendar!$K$8,[14]Calendar!$K$14,[14]Calendar!$I$14,[14]Calendar!$G$14,[14]Calendar!$E$14,[14]Calendar!$C$14,[14]Calendar!$C$20,[14]Calendar!$E$20,[14]Calendar!$G$20,[14]Calendar!$I$20,[14]Calendar!$K$20,[14]Calendar!$K$26,[14]Calendar!$I$26,[14]Calendar!$G$26,[14]Calendar!$E$26,[14]Calendar!$C$26,[14]Calendar!$C$32,[14]Calendar!$E$32,[14]Calendar!$G$32,[14]Calendar!$I$32,[14]Calendar!$K$32,[14]Calendar!$C$38</definedName>
    <definedName name="weekend_dates">[14]Calendar!$A$38,[14]Calendar!$A$32,[14]Calendar!$A$26,[14]Calendar!$A$20,[14]Calendar!$A$14,[14]Calendar!$A$8,[14]Calendar!$M$8,[14]Calendar!$M$14,[14]Calendar!$M$20,[14]Calendar!$M$26,[14]Calendar!$M$32</definedName>
    <definedName name="WeekNo">{1;2;3;4;5;6}</definedName>
    <definedName name="WEFRWE" localSheetId="2" hidden="1">{#N/A,#N/A,FALSE,"단축1";#N/A,#N/A,FALSE,"단축2";#N/A,#N/A,FALSE,"단축3";#N/A,#N/A,FALSE,"장축";#N/A,#N/A,FALSE,"4WD"}</definedName>
    <definedName name="WEFRWE" localSheetId="5" hidden="1">{#N/A,#N/A,FALSE,"단축1";#N/A,#N/A,FALSE,"단축2";#N/A,#N/A,FALSE,"단축3";#N/A,#N/A,FALSE,"장축";#N/A,#N/A,FALSE,"4WD"}</definedName>
    <definedName name="WEFRWE" hidden="1">{#N/A,#N/A,FALSE,"단축1";#N/A,#N/A,FALSE,"단축2";#N/A,#N/A,FALSE,"단축3";#N/A,#N/A,FALSE,"장축";#N/A,#N/A,FALSE,"4WD"}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IIWIW" localSheetId="2" hidden="1">{#N/A,#N/A,TRUE,"Y생산";#N/A,#N/A,TRUE,"Y판매";#N/A,#N/A,TRUE,"Y총물량";#N/A,#N/A,TRUE,"Y능력";#N/A,#N/A,TRUE,"YKD"}</definedName>
    <definedName name="WIIWIW" localSheetId="5" hidden="1">{#N/A,#N/A,TRUE,"Y생산";#N/A,#N/A,TRUE,"Y판매";#N/A,#N/A,TRUE,"Y총물량";#N/A,#N/A,TRUE,"Y능력";#N/A,#N/A,TRUE,"YKD"}</definedName>
    <definedName name="WIIWIW" hidden="1">{#N/A,#N/A,TRUE,"Y생산";#N/A,#N/A,TRUE,"Y판매";#N/A,#N/A,TRUE,"Y총물량";#N/A,#N/A,TRUE,"Y능력";#N/A,#N/A,TRUE,"YKD"}</definedName>
    <definedName name="wjdwlswlswlslwlsl" localSheetId="2" hidden="1">{#N/A,#N/A,TRUE,"Y생산";#N/A,#N/A,TRUE,"Y판매";#N/A,#N/A,TRUE,"Y총물량";#N/A,#N/A,TRUE,"Y능력";#N/A,#N/A,TRUE,"YKD"}</definedName>
    <definedName name="wjdwlswlswlslwlsl" localSheetId="5" hidden="1">{#N/A,#N/A,TRUE,"Y생산";#N/A,#N/A,TRUE,"Y판매";#N/A,#N/A,TRUE,"Y총물량";#N/A,#N/A,TRUE,"Y능력";#N/A,#N/A,TRUE,"YKD"}</definedName>
    <definedName name="wjdwlswlswlslwlsl" hidden="1">{#N/A,#N/A,TRUE,"Y생산";#N/A,#N/A,TRUE,"Y판매";#N/A,#N/A,TRUE,"Y총물량";#N/A,#N/A,TRUE,"Y능력";#N/A,#N/A,TRUE,"YKD"}</definedName>
    <definedName name="wkworhgk" localSheetId="2" hidden="1">{#N/A,#N/A,TRUE,"Y생산";#N/A,#N/A,TRUE,"Y판매";#N/A,#N/A,TRUE,"Y총물량";#N/A,#N/A,TRUE,"Y능력";#N/A,#N/A,TRUE,"YKD"}</definedName>
    <definedName name="wkworhgk" localSheetId="5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5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sheet">[27]!worksheet</definedName>
    <definedName name="wrn" localSheetId="2" hidden="1">{#N/A,#N/A,FALSE,"단축1";#N/A,#N/A,FALSE,"단축2";#N/A,#N/A,FALSE,"단축3";#N/A,#N/A,FALSE,"장축";#N/A,#N/A,FALSE,"4WD"}</definedName>
    <definedName name="wrn" localSheetId="5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2" hidden="1">{#N/A,#N/A,FALSE,"96 3월물량표";#N/A,#N/A,FALSE,"96 4월물량표";#N/A,#N/A,FALSE,"96 5월물량표"}</definedName>
    <definedName name="wrn.345." localSheetId="5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a." localSheetId="2" hidden="1">{#N/A,#N/A,FALSE,"UNIT";#N/A,#N/A,FALSE,"UNIT";#N/A,#N/A,FALSE,"계정"}</definedName>
    <definedName name="wrn.aa." localSheetId="5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2" hidden="1">{#N/A,#N/A,FALSE,"을지 (4)";#N/A,#N/A,FALSE,"을지 (5)";#N/A,#N/A,FALSE,"을지 (6)"}</definedName>
    <definedName name="wrn.AU._.검사성적서." localSheetId="5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5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localSheetId="2" hidden="1">{#N/A,#N/A,FALSE,"COL-HIS"}</definedName>
    <definedName name="wrn.COLLECTION._.HISTORY._.REPORT." localSheetId="5" hidden="1">{#N/A,#N/A,FALSE,"COL-HIS"}</definedName>
    <definedName name="wrn.COLLECTION._.HISTORY._.REPORT." hidden="1">{#N/A,#N/A,FALSE,"COL-HIS"}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EM.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2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5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localSheetId="2" hidden="1">{#N/A,#N/A,FALSE,"견적대비-2"}</definedName>
    <definedName name="wrn.tou구매." localSheetId="5" hidden="1">{#N/A,#N/A,FALSE,"견적대비-2"}</definedName>
    <definedName name="wrn.tou구매." hidden="1">{#N/A,#N/A,FALSE,"견적대비-2"}</definedName>
    <definedName name="wrn.VT수익성._.FULL._.SET.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5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localSheetId="2" hidden="1">{#N/A,#N/A,FALSE,"확정합계잔액"}</definedName>
    <definedName name="wrn.결산서." localSheetId="5" hidden="1">{#N/A,#N/A,FALSE,"확정합계잔액"}</definedName>
    <definedName name="wrn.결산서." hidden="1">{#N/A,#N/A,FALSE,"확정합계잔액"}</definedName>
    <definedName name="wrn.급여인상안." localSheetId="2" hidden="1">{#N/A,#N/A,FALSE,"계약직(여)"}</definedName>
    <definedName name="wrn.급여인상안." localSheetId="5" hidden="1">{#N/A,#N/A,FALSE,"계약직(여)"}</definedName>
    <definedName name="wrn.급여인상안." hidden="1">{#N/A,#N/A,FALSE,"계약직(여)"}</definedName>
    <definedName name="wrn.기술료._.비교." localSheetId="2" hidden="1">{#N/A,#N/A,FALSE,"기술료 비교"}</definedName>
    <definedName name="wrn.기술료._.비교." localSheetId="5" hidden="1">{#N/A,#N/A,FALSE,"기술료 비교"}</definedName>
    <definedName name="wrn.기술료._.비교." hidden="1">{#N/A,#N/A,FALSE,"기술료 비교"}</definedName>
    <definedName name="wrn.리스현황." localSheetId="2" hidden="1">{#N/A,#N/A,FALSE,"집계표"}</definedName>
    <definedName name="wrn.리스현황." localSheetId="5" hidden="1">{#N/A,#N/A,FALSE,"집계표"}</definedName>
    <definedName name="wrn.리스현황." hidden="1">{#N/A,#N/A,FALSE,"집계표"}</definedName>
    <definedName name="wrn.보고서." localSheetId="2" hidden="1">{#N/A,#N/A,FALSE,"Sheet1";#N/A,#N/A,FALSE,"기평9607"}</definedName>
    <definedName name="wrn.보고서." localSheetId="5" hidden="1">{#N/A,#N/A,FALSE,"Sheet1";#N/A,#N/A,FALSE,"기평9607"}</definedName>
    <definedName name="wrn.보고서." localSheetId="4" hidden="1">{#N/A,#N/A,FALSE,"Sheet1";#N/A,#N/A,FALSE,"기평9607"}</definedName>
    <definedName name="wrn.보고서." localSheetId="3" hidden="1">{#N/A,#N/A,FALSE,"Sheet1";#N/A,#N/A,FALSE,"기평9607"}</definedName>
    <definedName name="wrn.보고서." hidden="1">{#N/A,#N/A,FALSE,"Sheet1";#N/A,#N/A,FALSE,"기평9607"}</definedName>
    <definedName name="wrn.보험현황." localSheetId="2" hidden="1">{#N/A,#N/A,FALSE,"보험현황";#N/A,#N/A,FALSE,"보험현황"}</definedName>
    <definedName name="wrn.보험현황." localSheetId="5" hidden="1">{#N/A,#N/A,FALSE,"보험현황";#N/A,#N/A,FALSE,"보험현황"}</definedName>
    <definedName name="wrn.보험현황." hidden="1">{#N/A,#N/A,FALSE,"보험현황";#N/A,#N/A,FALSE,"보험현황"}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localSheetId="2" hidden="1">{#N/A,#N/A,FALSE,"품의서";#N/A,#N/A,FALSE,"전제";#N/A,#N/A,FALSE,"총손";#N/A,#N/A,FALSE,"손익"}</definedName>
    <definedName name="wrn.선사." localSheetId="5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분석." localSheetId="2" hidden="1">{#N/A,#N/A,TRUE,"재고분석";#N/A,#N/A,TRUE,"입고현황"}</definedName>
    <definedName name="wrn.재고분석." localSheetId="5" hidden="1">{#N/A,#N/A,TRUE,"재고분석";#N/A,#N/A,TRUE,"입고현황"}</definedName>
    <definedName name="wrn.재고분석." hidden="1">{#N/A,#N/A,TRUE,"재고분석";#N/A,#N/A,TRUE,"입고현황"}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공정보고." localSheetId="2" hidden="1">{#N/A,#N/A,FALSE,"Sheet8"}</definedName>
    <definedName name="wrn.주간공정보고." localSheetId="5" hidden="1">{#N/A,#N/A,FALSE,"Sheet8"}</definedName>
    <definedName name="wrn.주간공정보고." localSheetId="4" hidden="1">{#N/A,#N/A,FALSE,"Sheet8"}</definedName>
    <definedName name="wrn.주간공정보고." localSheetId="3" hidden="1">{#N/A,#N/A,FALSE,"Sheet8"}</definedName>
    <definedName name="wrn.주간공정보고." hidden="1">{#N/A,#N/A,FALSE,"Sheet8"}</definedName>
    <definedName name="wrn.주간공정보고서." localSheetId="2" hidden="1">{#N/A,#N/A,FALSE,"Sheet8"}</definedName>
    <definedName name="wrn.주간공정보고서." localSheetId="5" hidden="1">{#N/A,#N/A,FALSE,"Sheet8"}</definedName>
    <definedName name="wrn.주간공정보고서." localSheetId="4" hidden="1">{#N/A,#N/A,FALSE,"Sheet8"}</definedName>
    <definedName name="wrn.주간공정보고서." localSheetId="3" hidden="1">{#N/A,#N/A,FALSE,"Sheet8"}</definedName>
    <definedName name="wrn.주간공정보고서." hidden="1">{#N/A,#N/A,FALSE,"Sheet8"}</definedName>
    <definedName name="wrn.직좌.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2" hidden="1">{#N/A,#N/A,FALSE,"표지";#N/A,#N/A,FALSE,"전제";#N/A,#N/A,FALSE,"대당";#N/A,#N/A,FALSE,"가공비";#N/A,#N/A,FALSE,"재료비";#N/A,#N/A,FALSE,"손익"}</definedName>
    <definedName name="wrn.직중." localSheetId="5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2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localSheetId="2" hidden="1">{#N/A,#N/A,FALSE,"주요여수신";#N/A,#N/A,FALSE,"수신금리";#N/A,#N/A,FALSE,"대출금리";#N/A,#N/A,FALSE,"신규대출";#N/A,#N/A,FALSE,"총액대출"}</definedName>
    <definedName name="wrn.한국은행._.보고서." localSheetId="5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현대정공구매현황." localSheetId="2" hidden="1">{#N/A,#N/A,FALSE,"정공"}</definedName>
    <definedName name="wrn.현대정공구매현황." localSheetId="5" hidden="1">{#N/A,#N/A,FALSE,"정공"}</definedName>
    <definedName name="wrn.현대정공구매현황." hidden="1">{#N/A,#N/A,FALSE,"정공"}</definedName>
    <definedName name="wrn.ㅛY차보고" localSheetId="2" hidden="1">{#N/A,#N/A,TRUE,"Y생산";#N/A,#N/A,TRUE,"Y판매";#N/A,#N/A,TRUE,"Y총물량";#N/A,#N/A,TRUE,"Y능력";#N/A,#N/A,TRUE,"YKD"}</definedName>
    <definedName name="wrn.ㅛY차보고" localSheetId="5" hidden="1">{#N/A,#N/A,TRUE,"Y생산";#N/A,#N/A,TRUE,"Y판매";#N/A,#N/A,TRUE,"Y총물량";#N/A,#N/A,TRUE,"Y능력";#N/A,#N/A,TRUE,"YKD"}</definedName>
    <definedName name="wrn.ㅛY차보고" hidden="1">{#N/A,#N/A,TRUE,"Y생산";#N/A,#N/A,TRUE,"Y판매";#N/A,#N/A,TRUE,"Y총물량";#N/A,#N/A,TRUE,"Y능력";#N/A,#N/A,TRUE,"YKD"}</definedName>
    <definedName name="ws" localSheetId="2" hidden="1">{"'보고양식'!$A$58:$K$111"}</definedName>
    <definedName name="ws" localSheetId="5" hidden="1">{"'보고양식'!$A$58:$K$111"}</definedName>
    <definedName name="ws" localSheetId="4" hidden="1">{"'보고양식'!$A$58:$K$111"}</definedName>
    <definedName name="ws" localSheetId="3" hidden="1">{"'보고양식'!$A$58:$K$111"}</definedName>
    <definedName name="ws" hidden="1">{"'보고양식'!$A$58:$K$111"}</definedName>
    <definedName name="WWWWWW" localSheetId="2" hidden="1">{#N/A,#N/A,FALSE,"표지";#N/A,#N/A,FALSE,"전제";#N/A,#N/A,FALSE,"대당";#N/A,#N/A,FALSE,"가공비";#N/A,#N/A,FALSE,"재료비";#N/A,#N/A,FALSE,"손익"}</definedName>
    <definedName name="WWWWWW" localSheetId="5" hidden="1">{#N/A,#N/A,FALSE,"표지";#N/A,#N/A,FALSE,"전제";#N/A,#N/A,FALSE,"대당";#N/A,#N/A,FALSE,"가공비";#N/A,#N/A,FALSE,"재료비";#N/A,#N/A,FALSE,"손익"}</definedName>
    <definedName name="WWWWWW" hidden="1">{#N/A,#N/A,FALSE,"표지";#N/A,#N/A,FALSE,"전제";#N/A,#N/A,FALSE,"대당";#N/A,#N/A,FALSE,"가공비";#N/A,#N/A,FALSE,"재료비";#N/A,#N/A,FALSE,"손익"}</definedName>
    <definedName name="XNXNX" localSheetId="2" hidden="1">{#N/A,#N/A,TRUE,"Y생산";#N/A,#N/A,TRUE,"Y판매";#N/A,#N/A,TRUE,"Y총물량";#N/A,#N/A,TRUE,"Y능력";#N/A,#N/A,TRUE,"YKD"}</definedName>
    <definedName name="XNXNX" localSheetId="5" hidden="1">{#N/A,#N/A,TRUE,"Y생산";#N/A,#N/A,TRUE,"Y판매";#N/A,#N/A,TRUE,"Y총물량";#N/A,#N/A,TRUE,"Y능력";#N/A,#N/A,TRUE,"YKD"}</definedName>
    <definedName name="XNXNX" hidden="1">{#N/A,#N/A,TRUE,"Y생산";#N/A,#N/A,TRUE,"Y판매";#N/A,#N/A,TRUE,"Y총물량";#N/A,#N/A,TRUE,"Y능력";#N/A,#N/A,TRUE,"YKD"}</definedName>
    <definedName name="XREF_COLUMN_1" localSheetId="2" hidden="1">#REF!</definedName>
    <definedName name="XREF_COLUMN_1" localSheetId="5" hidden="1">#REF!</definedName>
    <definedName name="XREF_COLUMN_1" localSheetId="4" hidden="1">#REF!</definedName>
    <definedName name="XREF_COLUMN_1" localSheetId="3" hidden="1">#REF!</definedName>
    <definedName name="XREF_COLUMN_1" hidden="1">#REF!</definedName>
    <definedName name="XREF_COLUMN_2" localSheetId="2" hidden="1">#REF!</definedName>
    <definedName name="XREF_COLUMN_2" localSheetId="5" hidden="1">#REF!</definedName>
    <definedName name="XREF_COLUMN_2" localSheetId="4" hidden="1">#REF!</definedName>
    <definedName name="XREF_COLUMN_2" localSheetId="3" hidden="1">#REF!</definedName>
    <definedName name="XREF_COLUMN_2" hidden="1">#REF!</definedName>
    <definedName name="XREF_COLUMN_3" localSheetId="2" hidden="1">#REF!</definedName>
    <definedName name="XREF_COLUMN_3" localSheetId="5" hidden="1">#REF!</definedName>
    <definedName name="XREF_COLUMN_3" localSheetId="4" hidden="1">#REF!</definedName>
    <definedName name="XREF_COLUMN_3" localSheetId="3" hidden="1">#REF!</definedName>
    <definedName name="XREF_COLUMN_3" hidden="1">#REF!</definedName>
    <definedName name="XREF_COLUMN_4" localSheetId="2" hidden="1">#REF!</definedName>
    <definedName name="XREF_COLUMN_4" localSheetId="5" hidden="1">#REF!</definedName>
    <definedName name="XREF_COLUMN_4" localSheetId="4" hidden="1">#REF!</definedName>
    <definedName name="XREF_COLUMN_4" localSheetId="3" hidden="1">#REF!</definedName>
    <definedName name="XREF_COLUMN_4" hidden="1">#REF!</definedName>
    <definedName name="XREF_COLUMN_5" localSheetId="2" hidden="1">#REF!</definedName>
    <definedName name="XREF_COLUMN_5" localSheetId="5" hidden="1">#REF!</definedName>
    <definedName name="XREF_COLUMN_5" localSheetId="4" hidden="1">#REF!</definedName>
    <definedName name="XREF_COLUMN_5" localSheetId="3" hidden="1">#REF!</definedName>
    <definedName name="XREF_COLUMN_5" hidden="1">#REF!</definedName>
    <definedName name="XREF_COLUMN_6" localSheetId="2" hidden="1">#REF!</definedName>
    <definedName name="XREF_COLUMN_6" localSheetId="5" hidden="1">#REF!</definedName>
    <definedName name="XREF_COLUMN_6" localSheetId="4" hidden="1">#REF!</definedName>
    <definedName name="XREF_COLUMN_6" localSheetId="3" hidden="1">#REF!</definedName>
    <definedName name="XREF_COLUMN_6" hidden="1">#REF!</definedName>
    <definedName name="XREF_COLUMN_7" localSheetId="2" hidden="1">#REF!</definedName>
    <definedName name="XREF_COLUMN_7" localSheetId="5" hidden="1">#REF!</definedName>
    <definedName name="XREF_COLUMN_7" localSheetId="4" hidden="1">#REF!</definedName>
    <definedName name="XREF_COLUMN_7" localSheetId="3" hidden="1">#REF!</definedName>
    <definedName name="XREF_COLUMN_7" hidden="1">#REF!</definedName>
    <definedName name="XRefActiveRow" localSheetId="2" hidden="1">#REF!</definedName>
    <definedName name="XRefActiveRow" localSheetId="5" hidden="1">#REF!</definedName>
    <definedName name="XRefActiveRow" hidden="1">#REF!</definedName>
    <definedName name="XRefColumnsCount" hidden="1">7</definedName>
    <definedName name="XRefCopy1" localSheetId="2" hidden="1">#REF!</definedName>
    <definedName name="XRefCopy1" localSheetId="5" hidden="1">#REF!</definedName>
    <definedName name="XRefCopy1" hidden="1">#REF!</definedName>
    <definedName name="XRefCopy1Row" localSheetId="2" hidden="1">#REF!</definedName>
    <definedName name="XRefCopy1Row" localSheetId="5" hidden="1">#REF!</definedName>
    <definedName name="XRefCopy1Row" hidden="1">#REF!</definedName>
    <definedName name="XRefCopy2" localSheetId="2" hidden="1">#REF!</definedName>
    <definedName name="XRefCopy2" localSheetId="5" hidden="1">#REF!</definedName>
    <definedName name="XRefCopy2" hidden="1">#REF!</definedName>
    <definedName name="XRefCopy2Row" localSheetId="2" hidden="1">#REF!</definedName>
    <definedName name="XRefCopy2Row" localSheetId="5" hidden="1">#REF!</definedName>
    <definedName name="XRefCopy2Row" hidden="1">#REF!</definedName>
    <definedName name="XRefCopyRangeCount" hidden="1">7</definedName>
    <definedName name="XRefPaste5Row" localSheetId="2" hidden="1">#REF!</definedName>
    <definedName name="XRefPaste5Row" localSheetId="5" hidden="1">#REF!</definedName>
    <definedName name="XRefPaste5Row" localSheetId="4" hidden="1">#REF!</definedName>
    <definedName name="XRefPaste5Row" localSheetId="3" hidden="1">#REF!</definedName>
    <definedName name="XRefPaste5Row" hidden="1">#REF!</definedName>
    <definedName name="XRefPasteRangeCount" hidden="1">9</definedName>
    <definedName name="year">[14]Calendar!$F$3</definedName>
    <definedName name="yhbscode">[24]YHCODE!$A$5:$F$1022</definedName>
    <definedName name="yhplcode">[24]YHCODE!$A$1023:$F$2089</definedName>
    <definedName name="YYY" localSheetId="2" hidden="1">{#N/A,#N/A,TRUE,"Y생산";#N/A,#N/A,TRUE,"Y판매";#N/A,#N/A,TRUE,"Y총물량";#N/A,#N/A,TRUE,"Y능력";#N/A,#N/A,TRUE,"YKD"}</definedName>
    <definedName name="YYY" localSheetId="5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z" localSheetId="2" hidden="1">{#N/A,#N/A,FALSE,"Aging Summary";#N/A,#N/A,FALSE,"Ratio Analysis";#N/A,#N/A,FALSE,"Test 120 Day Accts";#N/A,#N/A,FALSE,"Tickmarks"}</definedName>
    <definedName name="z" localSheetId="5" hidden="1">{#N/A,#N/A,FALSE,"Aging Summary";#N/A,#N/A,FALSE,"Ratio Analysis";#N/A,#N/A,FALSE,"Test 120 Day Accts";#N/A,#N/A,FALSE,"Tickmarks"}</definedName>
    <definedName name="z" localSheetId="4" hidden="1">{#N/A,#N/A,FALSE,"Aging Summary";#N/A,#N/A,FALSE,"Ratio Analysis";#N/A,#N/A,FALSE,"Test 120 Day Accts";#N/A,#N/A,FALSE,"Tickmarks"}</definedName>
    <definedName name="z" localSheetId="3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BN" localSheetId="2" hidden="1">{#N/A,#N/A,FALSE,"단축1";#N/A,#N/A,FALSE,"단축2";#N/A,#N/A,FALSE,"단축3";#N/A,#N/A,FALSE,"장축";#N/A,#N/A,FALSE,"4WD"}</definedName>
    <definedName name="ZBN" localSheetId="5" hidden="1">{#N/A,#N/A,FALSE,"단축1";#N/A,#N/A,FALSE,"단축2";#N/A,#N/A,FALSE,"단축3";#N/A,#N/A,FALSE,"장축";#N/A,#N/A,FALSE,"4WD"}</definedName>
    <definedName name="ZBN" hidden="1">{#N/A,#N/A,FALSE,"단축1";#N/A,#N/A,FALSE,"단축2";#N/A,#N/A,FALSE,"단축3";#N/A,#N/A,FALSE,"장축";#N/A,#N/A,FALSE,"4WD"}</definedName>
    <definedName name="ZDHGKSDL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XC" localSheetId="2" hidden="1">#REF!</definedName>
    <definedName name="ZXC" localSheetId="5" hidden="1">#REF!</definedName>
    <definedName name="ZXC" hidden="1">#REF!</definedName>
    <definedName name="ZXCZXC" localSheetId="2" hidden="1">#REF!</definedName>
    <definedName name="ZXCZXC" localSheetId="5" hidden="1">#REF!</definedName>
    <definedName name="ZXCZXC" hidden="1">#REF!</definedName>
    <definedName name="ㄱㄱ" localSheetId="2" hidden="1">{#N/A,#N/A,FALSE,"UNIT";#N/A,#N/A,FALSE,"UNIT";#N/A,#N/A,FALSE,"계정"}</definedName>
    <definedName name="ㄱㄱ" localSheetId="5" hidden="1">{#N/A,#N/A,FALSE,"UNIT";#N/A,#N/A,FALSE,"UNIT";#N/A,#N/A,FALSE,"계정"}</definedName>
    <definedName name="ㄱㄱ" hidden="1">{#N/A,#N/A,FALSE,"UNIT";#N/A,#N/A,FALSE,"UNIT";#N/A,#N/A,FALSE,"계정"}</definedName>
    <definedName name="ㄱㄱㄱ" localSheetId="2" hidden="1">{#N/A,#N/A,FALSE,"UNIT";#N/A,#N/A,FALSE,"UNIT";#N/A,#N/A,FALSE,"계정"}</definedName>
    <definedName name="ㄱㄱㄱ" localSheetId="5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2" hidden="1">{#N/A,#N/A,FALSE,"UNIT";#N/A,#N/A,FALSE,"UNIT";#N/A,#N/A,FALSE,"계정"}</definedName>
    <definedName name="ㄱㄱㄱㄱㄱ" localSheetId="5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2" hidden="1">{#N/A,#N/A,FALSE,"단축1";#N/A,#N/A,FALSE,"단축2";#N/A,#N/A,FALSE,"단축3";#N/A,#N/A,FALSE,"장축";#N/A,#N/A,FALSE,"4WD"}</definedName>
    <definedName name="ㄱㅇ" localSheetId="5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5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2" hidden="1">{#N/A,#N/A,TRUE,"Y생산";#N/A,#N/A,TRUE,"Y판매";#N/A,#N/A,TRUE,"Y총물량";#N/A,#N/A,TRUE,"Y능력";#N/A,#N/A,TRUE,"YKD"}</definedName>
    <definedName name="가2" localSheetId="5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계대변">'[28]합동별(기표용)'!$Z$1:$Z$65536</definedName>
    <definedName name="가계차변">'[28]합동별(기표용)'!$E$1:$E$65536</definedName>
    <definedName name="가구">'[4]1담당0113'!$F$134</definedName>
    <definedName name="가구1">'[4]2담당0113'!$F$267</definedName>
    <definedName name="가나다" localSheetId="2" hidden="1">{#N/A,#N/A,FALSE,"단축1";#N/A,#N/A,FALSE,"단축2";#N/A,#N/A,FALSE,"단축3";#N/A,#N/A,FALSE,"장축";#N/A,#N/A,FALSE,"4WD"}</definedName>
    <definedName name="가나다" localSheetId="5" hidden="1">{#N/A,#N/A,FALSE,"단축1";#N/A,#N/A,FALSE,"단축2";#N/A,#N/A,FALSE,"단축3";#N/A,#N/A,FALSE,"장축";#N/A,#N/A,FALSE,"4WD"}</definedName>
    <definedName name="가나다" hidden="1">{#N/A,#N/A,FALSE,"단축1";#N/A,#N/A,FALSE,"단축2";#N/A,#N/A,FALSE,"단축3";#N/A,#N/A,FALSE,"장축";#N/A,#N/A,FALSE,"4WD"}</definedName>
    <definedName name="가동" localSheetId="2" hidden="1">{#N/A,#N/A,TRUE,"Y생산";#N/A,#N/A,TRUE,"Y판매";#N/A,#N/A,TRUE,"Y총물량";#N/A,#N/A,TRUE,"Y능력";#N/A,#N/A,TRUE,"YKD"}</definedName>
    <definedName name="가동" localSheetId="5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5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localSheetId="2" hidden="1">#REF!</definedName>
    <definedName name="가동비" localSheetId="5" hidden="1">#REF!</definedName>
    <definedName name="가동비" hidden="1">#REF!</definedName>
    <definedName name="가동조건" localSheetId="2" hidden="1">{#N/A,#N/A,FALSE,"96 3월물량표";#N/A,#N/A,FALSE,"96 4월물량표";#N/A,#N/A,FALSE,"96 5월물량표"}</definedName>
    <definedName name="가동조건" localSheetId="5" hidden="1">{#N/A,#N/A,FALSE,"96 3월물량표";#N/A,#N/A,FALSE,"96 4월물량표";#N/A,#N/A,FALSE,"96 5월물량표"}</definedName>
    <definedName name="가동조건" hidden="1">{#N/A,#N/A,FALSE,"96 3월물량표";#N/A,#N/A,FALSE,"96 4월물량표";#N/A,#N/A,FALSE,"96 5월물량표"}</definedName>
    <definedName name="가아나" localSheetId="2" hidden="1">{#N/A,#N/A,TRUE,"Y생산";#N/A,#N/A,TRUE,"Y판매";#N/A,#N/A,TRUE,"Y총물량";#N/A,#N/A,TRUE,"Y능력";#N/A,#N/A,TRUE,"YKD"}</definedName>
    <definedName name="가아나" localSheetId="5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을" localSheetId="2" hidden="1">{#N/A,#N/A,TRUE,"Y생산";#N/A,#N/A,TRUE,"Y판매";#N/A,#N/A,TRUE,"Y총물량";#N/A,#N/A,TRUE,"Y능력";#N/A,#N/A,TRUE,"YKD"}</definedName>
    <definedName name="가을" localSheetId="5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가자" localSheetId="2" hidden="1">{#N/A,#N/A,TRUE,"Y생산";#N/A,#N/A,TRUE,"Y판매";#N/A,#N/A,TRUE,"Y총물량";#N/A,#N/A,TRUE,"Y능력";#N/A,#N/A,TRUE,"YKD"}</definedName>
    <definedName name="가자" localSheetId="5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지급금추가">'[29]CashFlow(중간집계)'!$J$9:$J$52</definedName>
    <definedName name="가타" localSheetId="2" hidden="1">{#N/A,#N/A,TRUE,"Y생산";#N/A,#N/A,TRUE,"Y판매";#N/A,#N/A,TRUE,"Y총물량";#N/A,#N/A,TRUE,"Y능력";#N/A,#N/A,TRUE,"YKD"}</definedName>
    <definedName name="가타" localSheetId="5" hidden="1">{#N/A,#N/A,TRUE,"Y생산";#N/A,#N/A,TRUE,"Y판매";#N/A,#N/A,TRUE,"Y총물량";#N/A,#N/A,TRUE,"Y능력";#N/A,#N/A,TRUE,"YKD"}</definedName>
    <definedName name="가타" hidden="1">{#N/A,#N/A,TRUE,"Y생산";#N/A,#N/A,TRUE,"Y판매";#N/A,#N/A,TRUE,"Y총물량";#N/A,#N/A,TRUE,"Y능력";#N/A,#N/A,TRUE,"YKD"}</definedName>
    <definedName name="간" localSheetId="2" hidden="1">{#N/A,#N/A,FALSE,"UNIT";#N/A,#N/A,FALSE,"UNIT";#N/A,#N/A,FALSE,"계정"}</definedName>
    <definedName name="간" localSheetId="5" hidden="1">{#N/A,#N/A,FALSE,"UNIT";#N/A,#N/A,FALSE,"UNIT";#N/A,#N/A,FALSE,"계정"}</definedName>
    <definedName name="간" hidden="1">{#N/A,#N/A,FALSE,"UNIT";#N/A,#N/A,FALSE,"UNIT";#N/A,#N/A,FALSE,"계정"}</definedName>
    <definedName name="감가상각OT">[7]보고서!감가상각OT</definedName>
    <definedName name="갑지자동">[30]갑지!$B$15,[30]갑지!$J$6,[30]갑지!$R$6,[30]갑지!$Z$6,[30]갑지!$AH$6,[30]갑지!$AP$6,[30]갑지!$AX$6</definedName>
    <definedName name="강" localSheetId="2" hidden="1">{#N/A,#N/A,FALSE,"단축1";#N/A,#N/A,FALSE,"단축2";#N/A,#N/A,FALSE,"단축3";#N/A,#N/A,FALSE,"장축";#N/A,#N/A,FALSE,"4WD"}</definedName>
    <definedName name="강" localSheetId="5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대변">'[28]합동별(기표용)'!$AA$1:$AA$65536</definedName>
    <definedName name="개발차변">'[28]합동별(기표용)'!$F$1:$F$65536</definedName>
    <definedName name="개선과장1" localSheetId="2" hidden="1">{#N/A,#N/A,FALSE,"단축1";#N/A,#N/A,FALSE,"단축2";#N/A,#N/A,FALSE,"단축3";#N/A,#N/A,FALSE,"장축";#N/A,#N/A,FALSE,"4WD"}</definedName>
    <definedName name="개선과장1" localSheetId="5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5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localSheetId="2" hidden="1">{#N/A,#N/A,FALSE,"단축1";#N/A,#N/A,FALSE,"단축2";#N/A,#N/A,FALSE,"단축3";#N/A,#N/A,FALSE,"장축";#N/A,#N/A,FALSE,"4WD"}</definedName>
    <definedName name="개선과제1" localSheetId="5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localSheetId="2" hidden="1">{#N/A,#N/A,TRUE,"Y생산";#N/A,#N/A,TRUE,"Y판매";#N/A,#N/A,TRUE,"Y총물량";#N/A,#N/A,TRUE,"Y능력";#N/A,#N/A,TRUE,"YKD"}</definedName>
    <definedName name="개선내용" localSheetId="5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2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시후이자">#REF!,#REF!,#REF!,#REF!,#REF!,#REF!</definedName>
    <definedName name="개인대변">'[28]합동별(기표용)'!$AF$1:$AF$65536</definedName>
    <definedName name="개인차변">'[28]합동별(기표용)'!$K$1:$K$65536</definedName>
    <definedName name="갸" localSheetId="2" hidden="1">{#N/A,#N/A,TRUE,"Y생산";#N/A,#N/A,TRUE,"Y판매";#N/A,#N/A,TRUE,"Y총물량";#N/A,#N/A,TRUE,"Y능력";#N/A,#N/A,TRUE,"YKD"}</definedName>
    <definedName name="갸" localSheetId="5" hidden="1">{#N/A,#N/A,TRUE,"Y생산";#N/A,#N/A,TRUE,"Y판매";#N/A,#N/A,TRUE,"Y총물량";#N/A,#N/A,TRUE,"Y능력";#N/A,#N/A,TRUE,"YKD"}</definedName>
    <definedName name="갸" hidden="1">{#N/A,#N/A,TRUE,"Y생산";#N/A,#N/A,TRUE,"Y판매";#N/A,#N/A,TRUE,"Y총물량";#N/A,#N/A,TRUE,"Y능력";#N/A,#N/A,TRUE,"YKD"}</definedName>
    <definedName name="거거" localSheetId="2" hidden="1">{#N/A,#N/A,TRUE,"Y생산";#N/A,#N/A,TRUE,"Y판매";#N/A,#N/A,TRUE,"Y총물량";#N/A,#N/A,TRUE,"Y능력";#N/A,#N/A,TRUE,"YKD"}</definedName>
    <definedName name="거거" localSheetId="5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거래종결일">[31]Assumption!$C$11</definedName>
    <definedName name="건" localSheetId="2" hidden="1">{#N/A,#N/A,FALSE,"단축1";#N/A,#N/A,FALSE,"단축2";#N/A,#N/A,FALSE,"단축3";#N/A,#N/A,FALSE,"장축";#N/A,#N/A,FALSE,"4WD"}</definedName>
    <definedName name="건" localSheetId="5" hidden="1">{#N/A,#N/A,FALSE,"단축1";#N/A,#N/A,FALSE,"단축2";#N/A,#N/A,FALSE,"단축3";#N/A,#N/A,FALSE,"장축";#N/A,#N/A,FALSE,"4WD"}</definedName>
    <definedName name="건" hidden="1">{#N/A,#N/A,FALSE,"단축1";#N/A,#N/A,FALSE,"단축2";#N/A,#N/A,FALSE,"단축3";#N/A,#N/A,FALSE,"장축";#N/A,#N/A,FALSE,"4WD"}</definedName>
    <definedName name="건설사보증금액">'[32]6 취합중'!$I$3:$I$4870</definedName>
    <definedName name="건설사순위">'[32]6 취합중'!$H$3:$H$4870</definedName>
    <definedName name="건열" localSheetId="2" hidden="1">{#N/A,#N/A,TRUE,"Y생산";#N/A,#N/A,TRUE,"Y판매";#N/A,#N/A,TRUE,"Y총물량";#N/A,#N/A,TRUE,"Y능력";#N/A,#N/A,TRUE,"YKD"}</definedName>
    <definedName name="건열" localSheetId="5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건전성" localSheetId="2" hidden="1">#REF!</definedName>
    <definedName name="건전성" localSheetId="5" hidden="1">#REF!</definedName>
    <definedName name="건전성" localSheetId="4" hidden="1">#REF!</definedName>
    <definedName name="건전성" localSheetId="3" hidden="1">#REF!</definedName>
    <definedName name="건전성" hidden="1">#REF!</definedName>
    <definedName name="게" localSheetId="2" hidden="1">{#N/A,#N/A,FALSE,"단축1";#N/A,#N/A,FALSE,"단축2";#N/A,#N/A,FALSE,"단축3";#N/A,#N/A,FALSE,"장축";#N/A,#N/A,FALSE,"4WD"}</definedName>
    <definedName name="게" localSheetId="5" hidden="1">{#N/A,#N/A,FALSE,"단축1";#N/A,#N/A,FALSE,"단축2";#N/A,#N/A,FALSE,"단축3";#N/A,#N/A,FALSE,"장축";#N/A,#N/A,FALSE,"4WD"}</definedName>
    <definedName name="게" hidden="1">{#N/A,#N/A,FALSE,"단축1";#N/A,#N/A,FALSE,"단축2";#N/A,#N/A,FALSE,"단축3";#N/A,#N/A,FALSE,"장축";#N/A,#N/A,FALSE,"4WD"}</definedName>
    <definedName name="결산일">[33]정의!$B$4</definedName>
    <definedName name="결ㅈ제ㅔㅔ" localSheetId="2" hidden="1">{#N/A,#N/A,FALSE,"주요여수신";#N/A,#N/A,FALSE,"수신금리";#N/A,#N/A,FALSE,"대출금리";#N/A,#N/A,FALSE,"신규대출";#N/A,#N/A,FALSE,"총액대출"}</definedName>
    <definedName name="결ㅈ제ㅔㅔ" localSheetId="5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제2" localSheetId="2" hidden="1">{#N/A,#N/A,FALSE,"주요여수신";#N/A,#N/A,FALSE,"수신금리";#N/A,#N/A,FALSE,"대출금리";#N/A,#N/A,FALSE,"신규대출";#N/A,#N/A,FALSE,"총액대출"}</definedName>
    <definedName name="결제2" localSheetId="5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락률">[34]경락률!$B$9:$AE$252</definedName>
    <definedName name="경로" localSheetId="2" hidden="1">{#N/A,#N/A,TRUE,"Y생산";#N/A,#N/A,TRUE,"Y판매";#N/A,#N/A,TRUE,"Y총물량";#N/A,#N/A,TRUE,"Y능력";#N/A,#N/A,TRUE,"YKD"}</definedName>
    <definedName name="경로" localSheetId="5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매비용_여신성">#REF!</definedName>
    <definedName name="경매신청일">[35]Assumption!$C$5</definedName>
    <definedName name="경매신청일C">[36]Assumption!$D$12</definedName>
    <definedName name="경매회수비용">[34]법원비용!$M$9:$M$56</definedName>
    <definedName name="경상비8월" localSheetId="2" hidden="1">{#N/A,#N/A,FALSE,"단축1";#N/A,#N/A,FALSE,"단축2";#N/A,#N/A,FALSE,"단축3";#N/A,#N/A,FALSE,"장축";#N/A,#N/A,FALSE,"4WD"}</definedName>
    <definedName name="경상비8월" localSheetId="5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5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약" localSheetId="2" hidden="1">{#N/A,#N/A,FALSE,"계약직(여)"}</definedName>
    <definedName name="계약" localSheetId="5" hidden="1">{#N/A,#N/A,FALSE,"계약직(여)"}</definedName>
    <definedName name="계약" hidden="1">{#N/A,#N/A,FALSE,"계약직(여)"}</definedName>
    <definedName name="계정종합표" localSheetId="2" hidden="1">{#N/A,#N/A,TRUE,"Y생산";#N/A,#N/A,TRUE,"Y판매";#N/A,#N/A,TRUE,"Y총물량";#N/A,#N/A,TRUE,"Y능력";#N/A,#N/A,TRUE,"YKD"}</definedName>
    <definedName name="계정종합표" localSheetId="5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획" localSheetId="2" hidden="1">{#N/A,#N/A,FALSE,"기술료 비교"}</definedName>
    <definedName name="계획" localSheetId="5" hidden="1">{#N/A,#N/A,FALSE,"기술료 비교"}</definedName>
    <definedName name="계획" hidden="1">{#N/A,#N/A,FALSE,"기술료 비교"}</definedName>
    <definedName name="계획.1" localSheetId="2" hidden="1">{#N/A,#N/A,FALSE,"단축1";#N/A,#N/A,FALSE,"단축2";#N/A,#N/A,FALSE,"단축3";#N/A,#N/A,FALSE,"장축";#N/A,#N/A,FALSE,"4WD"}</definedName>
    <definedName name="계획.1" localSheetId="5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5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5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미정" localSheetId="2" hidden="1">{#N/A,#N/A,FALSE,"표지";#N/A,#N/A,FALSE,"전제";#N/A,#N/A,FALSE,"손익-자 (2)";#N/A,#N/A,FALSE,"손익-자";#N/A,#N/A,FALSE,"손익-마 (2)";#N/A,#N/A,FALSE,"손익-마";#N/A,#N/A,FALSE,"총손최종"}</definedName>
    <definedName name="고객미정" localSheetId="5" hidden="1">{#N/A,#N/A,FALSE,"표지";#N/A,#N/A,FALSE,"전제";#N/A,#N/A,FALSE,"손익-자 (2)";#N/A,#N/A,FALSE,"손익-자";#N/A,#N/A,FALSE,"손익-마 (2)";#N/A,#N/A,FALSE,"손익-마";#N/A,#N/A,FALSE,"총손최종"}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고인돌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공사집계" localSheetId="2" hidden="1">{#N/A,#N/A,FALSE,"집계표"}</definedName>
    <definedName name="공사집계" localSheetId="5" hidden="1">{#N/A,#N/A,FALSE,"집계표"}</definedName>
    <definedName name="공사집계" hidden="1">{#N/A,#N/A,FALSE,"집계표"}</definedName>
    <definedName name="공성환" localSheetId="2" hidden="1">{#N/A,#N/A,FALSE,"단축1";#N/A,#N/A,FALSE,"단축2";#N/A,#N/A,FALSE,"단축3";#N/A,#N/A,FALSE,"장축";#N/A,#N/A,FALSE,"4WD"}</definedName>
    <definedName name="공성환" localSheetId="5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ㅌ오" localSheetId="2" hidden="1">{#N/A,#N/A,TRUE,"Y생산";#N/A,#N/A,TRUE,"Y판매";#N/A,#N/A,TRUE,"Y총물량";#N/A,#N/A,TRUE,"Y능력";#N/A,#N/A,TRUE,"YKD"}</definedName>
    <definedName name="공ㅌ오" localSheetId="5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과목세목현황" localSheetId="2" hidden="1">{#N/A,#N/A,TRUE,"Y생산";#N/A,#N/A,TRUE,"Y판매";#N/A,#N/A,TRUE,"Y총물량";#N/A,#N/A,TRUE,"Y능력";#N/A,#N/A,TRUE,"YKD"}</definedName>
    <definedName name="과목세목현황" localSheetId="5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localSheetId="2" hidden="1">{#N/A,#N/A,TRUE,"Y생산";#N/A,#N/A,TRUE,"Y판매";#N/A,#N/A,TRUE,"Y총물량";#N/A,#N/A,TRUE,"Y능력";#N/A,#N/A,TRUE,"YKD"}</definedName>
    <definedName name="관리지표2" localSheetId="5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교육" localSheetId="2" hidden="1">{#N/A,#N/A,TRUE,"Y생산";#N/A,#N/A,TRUE,"Y판매";#N/A,#N/A,TRUE,"Y총물량";#N/A,#N/A,TRUE,"Y능력";#N/A,#N/A,TRUE,"YKD"}</definedName>
    <definedName name="교육" localSheetId="5" hidden="1">{#N/A,#N/A,TRUE,"Y생산";#N/A,#N/A,TRUE,"Y판매";#N/A,#N/A,TRUE,"Y총물량";#N/A,#N/A,TRUE,"Y능력";#N/A,#N/A,TRUE,"YKD"}</definedName>
    <definedName name="교육" hidden="1">{#N/A,#N/A,TRUE,"Y생산";#N/A,#N/A,TRUE,"Y판매";#N/A,#N/A,TRUE,"Y총물량";#N/A,#N/A,TRUE,"Y능력";#N/A,#N/A,TRUE,"YKD"}</definedName>
    <definedName name="교육세">[37]Assumption!$C$54</definedName>
    <definedName name="구분">#REF!:#REF!</definedName>
    <definedName name="국고보조" localSheetId="2" hidden="1">{#N/A,#N/A,FALSE,"보험현황";#N/A,#N/A,FALSE,"보험현황"}</definedName>
    <definedName name="국고보조" localSheetId="5" hidden="1">{#N/A,#N/A,FALSE,"보험현황";#N/A,#N/A,FALSE,"보험현황"}</definedName>
    <definedName name="국고보조" hidden="1">{#N/A,#N/A,FALSE,"보험현황";#N/A,#N/A,FALSE,"보험현황"}</definedName>
    <definedName name="국민주대변">'[28]합동별(기표용)'!$AO$1:$AO$65536</definedName>
    <definedName name="국민주차변">'[28]합동별(기표용)'!$T$1:$T$65536</definedName>
    <definedName name="국산차">'[4]1담당0113'!$F$78</definedName>
    <definedName name="국산차1">'[4]2담당0113'!$F$119</definedName>
    <definedName name="권역">'[32]6 취합중'!$C$3:$C$4870</definedName>
    <definedName name="그" localSheetId="2" hidden="1">{#N/A,#N/A,FALSE,"단축1";#N/A,#N/A,FALSE,"단축2";#N/A,#N/A,FALSE,"단축3";#N/A,#N/A,FALSE,"장축";#N/A,#N/A,FALSE,"4WD"}</definedName>
    <definedName name="그" localSheetId="5" hidden="1">{#N/A,#N/A,FALSE,"단축1";#N/A,#N/A,FALSE,"단축2";#N/A,#N/A,FALSE,"단축3";#N/A,#N/A,FALSE,"장축";#N/A,#N/A,FALSE,"4WD"}</definedName>
    <definedName name="그" hidden="1">{#N/A,#N/A,FALSE,"단축1";#N/A,#N/A,FALSE,"단축2";#N/A,#N/A,FALSE,"단축3";#N/A,#N/A,FALSE,"장축";#N/A,#N/A,FALSE,"4WD"}</definedName>
    <definedName name="그냥">'[38]매각대상(전체)'!$CA$9:$CA$2493</definedName>
    <definedName name="그냥2">'[38]매각대상(전체)'!$CB$9:$CB$2493</definedName>
    <definedName name="그림1" localSheetId="2" hidden="1">{#N/A,#N/A,FALSE,"을지 (4)";#N/A,#N/A,FALSE,"을지 (5)";#N/A,#N/A,FALSE,"을지 (6)"}</definedName>
    <definedName name="그림1" localSheetId="5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5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로대변">'[28]합동별(기표용)'!$AH$1:$AH$65536</definedName>
    <definedName name="근로차변">'[28]합동별(기표용)'!$M$1:$M$65536</definedName>
    <definedName name="금월" localSheetId="2" hidden="1">{#N/A,#N/A,TRUE,"Y생산";#N/A,#N/A,TRUE,"Y판매";#N/A,#N/A,TRUE,"Y총물량";#N/A,#N/A,TRUE,"Y능력";#N/A,#N/A,TRUE,"YKD"}</definedName>
    <definedName name="금월" localSheetId="5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융회사">'[32]6 취합중'!$E$3:$E$4870</definedName>
    <definedName name="금채단대변">'[28]합동별(기표용)'!$AR$1:$AR$65536</definedName>
    <definedName name="금채단차변">'[28]합동별(기표용)'!$W$1:$W$65536</definedName>
    <definedName name="금형" localSheetId="2" hidden="1">{#N/A,#N/A,FALSE,"단축1";#N/A,#N/A,FALSE,"단축2";#N/A,#N/A,FALSE,"단축3";#N/A,#N/A,FALSE,"장축";#N/A,#N/A,FALSE,"4WD"}</definedName>
    <definedName name="금형" localSheetId="5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2" hidden="1">{#N/A,#N/A,FALSE,"단축1";#N/A,#N/A,FALSE,"단축2";#N/A,#N/A,FALSE,"단축3";#N/A,#N/A,FALSE,"장축";#N/A,#N/A,FALSE,"4WD"}</definedName>
    <definedName name="금형편성표" localSheetId="5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localSheetId="2" hidden="1">{#N/A,#N/A,FALSE,"계약직(여)"}</definedName>
    <definedName name="급여인상안" localSheetId="5" hidden="1">{#N/A,#N/A,FALSE,"계약직(여)"}</definedName>
    <definedName name="급여인상안" hidden="1">{#N/A,#N/A,FALSE,"계약직(여)"}</definedName>
    <definedName name="기" localSheetId="2" hidden="1">{#N/A,#N/A,TRUE,"Y생산";#N/A,#N/A,TRUE,"Y판매";#N/A,#N/A,TRUE,"Y총물량";#N/A,#N/A,TRUE,"Y능력";#N/A,#N/A,TRUE,"YKD"}</definedName>
    <definedName name="기" localSheetId="5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아" localSheetId="2" hidden="1">{#N/A,#N/A,FALSE,"단축1";#N/A,#N/A,FALSE,"단축2";#N/A,#N/A,FALSE,"단축3";#N/A,#N/A,FALSE,"장축";#N/A,#N/A,FALSE,"4WD"}</definedName>
    <definedName name="기아" localSheetId="5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업대변">'[28]합동별(기표용)'!$AC$1:$AC$65536</definedName>
    <definedName name="기업차변">'[28]합동별(기표용)'!$H$1:$H$65536</definedName>
    <definedName name="기존" localSheetId="2" hidden="1">{#N/A,#N/A,FALSE,"UNIT";#N/A,#N/A,FALSE,"UNIT";#N/A,#N/A,FALSE,"계정"}</definedName>
    <definedName name="기존" localSheetId="5" hidden="1">{#N/A,#N/A,FALSE,"UNIT";#N/A,#N/A,FALSE,"UNIT";#N/A,#N/A,FALSE,"계정"}</definedName>
    <definedName name="기존" hidden="1">{#N/A,#N/A,FALSE,"UNIT";#N/A,#N/A,FALSE,"UNIT";#N/A,#N/A,FALSE,"계정"}</definedName>
    <definedName name="기주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 localSheetId="2" hidden="1">{#N/A,#N/A,FALSE,"기술료 비교"}</definedName>
    <definedName name="기준" localSheetId="5" hidden="1">{#N/A,#N/A,FALSE,"기술료 비교"}</definedName>
    <definedName name="기준" hidden="1">{#N/A,#N/A,FALSE,"기술료 비교"}</definedName>
    <definedName name="기준월">[39]현황요약!$B$2</definedName>
    <definedName name="기타">#REF!</definedName>
    <definedName name="기타1">'[4]2담당0113'!$F$475</definedName>
    <definedName name="기타지방지역영업점">[40]!기타지방지역영업점</definedName>
    <definedName name="김도윤" localSheetId="2" hidden="1">{#N/A,#N/A,TRUE,"Y생산";#N/A,#N/A,TRUE,"Y판매";#N/A,#N/A,TRUE,"Y총물량";#N/A,#N/A,TRUE,"Y능력";#N/A,#N/A,TRUE,"YKD"}</definedName>
    <definedName name="김도윤" localSheetId="5" hidden="1">{#N/A,#N/A,TRUE,"Y생산";#N/A,#N/A,TRUE,"Y판매";#N/A,#N/A,TRUE,"Y총물량";#N/A,#N/A,TRUE,"Y능력";#N/A,#N/A,TRUE,"YKD"}</definedName>
    <definedName name="김도윤" hidden="1">{#N/A,#N/A,TRUE,"Y생산";#N/A,#N/A,TRUE,"Y판매";#N/A,#N/A,TRUE,"Y총물량";#N/A,#N/A,TRUE,"Y능력";#N/A,#N/A,TRUE,"YKD"}</definedName>
    <definedName name="김돌" localSheetId="2" hidden="1">{#N/A,#N/A,TRUE,"Y생산";#N/A,#N/A,TRUE,"Y판매";#N/A,#N/A,TRUE,"Y총물량";#N/A,#N/A,TRUE,"Y능력";#N/A,#N/A,TRUE,"YKD"}</definedName>
    <definedName name="김돌" localSheetId="5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동탁" localSheetId="2" hidden="1">{#N/A,#N/A,FALSE,"단축1";#N/A,#N/A,FALSE,"단축2";#N/A,#N/A,FALSE,"단축3";#N/A,#N/A,FALSE,"장축";#N/A,#N/A,FALSE,"4WD"}</definedName>
    <definedName name="김동탁" localSheetId="5" hidden="1">{#N/A,#N/A,FALSE,"단축1";#N/A,#N/A,FALSE,"단축2";#N/A,#N/A,FALSE,"단축3";#N/A,#N/A,FALSE,"장축";#N/A,#N/A,FALSE,"4WD"}</definedName>
    <definedName name="김동탁" hidden="1">{#N/A,#N/A,FALSE,"단축1";#N/A,#N/A,FALSE,"단축2";#N/A,#N/A,FALSE,"단축3";#N/A,#N/A,FALSE,"장축";#N/A,#N/A,FALSE,"4WD"}</definedName>
    <definedName name="김선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선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선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2" hidden="1">{#N/A,#N/A,FALSE,"주요여수신";#N/A,#N/A,FALSE,"수신금리";#N/A,#N/A,FALSE,"대출금리";#N/A,#N/A,FALSE,"신규대출";#N/A,#N/A,FALSE,"총액대출"}</definedName>
    <definedName name="ㄴ" localSheetId="5" hidden="1">{#N/A,#N/A,FALSE,"주요여수신";#N/A,#N/A,FALSE,"수신금리";#N/A,#N/A,FALSE,"대출금리";#N/A,#N/A,FALSE,"신규대출";#N/A,#N/A,FALSE,"총액대출"}</definedName>
    <definedName name="ㄴ" hidden="1">{#N/A,#N/A,FALSE,"주요여수신";#N/A,#N/A,FALSE,"수신금리";#N/A,#N/A,FALSE,"대출금리";#N/A,#N/A,FALSE,"신규대출";#N/A,#N/A,FALSE,"총액대출"}</definedName>
    <definedName name="ㄴㄴ" localSheetId="2" hidden="1">{#N/A,#N/A,FALSE,"Aging Summary";#N/A,#N/A,FALSE,"Ratio Analysis";#N/A,#N/A,FALSE,"Test 120 Day Accts";#N/A,#N/A,FALSE,"Tickmarks"}</definedName>
    <definedName name="ㄴㄴ" localSheetId="5" hidden="1">{#N/A,#N/A,FALSE,"Aging Summary";#N/A,#N/A,FALSE,"Ratio Analysis";#N/A,#N/A,FALSE,"Test 120 Day Accts";#N/A,#N/A,FALSE,"Tickmarks"}</definedName>
    <definedName name="ㄴㄴ" localSheetId="4" hidden="1">{#N/A,#N/A,FALSE,"Aging Summary";#N/A,#N/A,FALSE,"Ratio Analysis";#N/A,#N/A,FALSE,"Test 120 Day Accts";#N/A,#N/A,FALSE,"Tickmarks"}</definedName>
    <definedName name="ㄴㄴ" localSheetId="3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ㄴㄴㄴㄴㄴ" localSheetId="2" hidden="1">#REF!</definedName>
    <definedName name="ㄴㄴㄴㄴㄴㄴ" localSheetId="5" hidden="1">#REF!</definedName>
    <definedName name="ㄴㄴㄴㄴㄴㄴ" hidden="1">#REF!</definedName>
    <definedName name="ㄴㄴㅁ" localSheetId="2" hidden="1">#REF!</definedName>
    <definedName name="ㄴㄴㅁ" localSheetId="5" hidden="1">#REF!</definedName>
    <definedName name="ㄴㄴㅁ" hidden="1">#REF!</definedName>
    <definedName name="ㄴㅁㅇㅎㅇ롱로" localSheetId="2" hidden="1">#REF!</definedName>
    <definedName name="ㄴㅁㅇㅎㅇ롱로" localSheetId="5" hidden="1">#REF!</definedName>
    <definedName name="ㄴㅁㅇㅎㅇ롱로" hidden="1">#REF!</definedName>
    <definedName name="ㄴㅇ" localSheetId="2" hidden="1">{#N/A,#N/A,TRUE,"Y생산";#N/A,#N/A,TRUE,"Y판매";#N/A,#N/A,TRUE,"Y총물량";#N/A,#N/A,TRUE,"Y능력";#N/A,#N/A,TRUE,"YKD"}</definedName>
    <definedName name="ㄴㅇ" localSheetId="5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2" hidden="1">{#N/A,#N/A,FALSE,"단축1";#N/A,#N/A,FALSE,"단축2";#N/A,#N/A,FALSE,"단축3";#N/A,#N/A,FALSE,"장축";#N/A,#N/A,FALSE,"4WD"}</definedName>
    <definedName name="ㄴㅇㄴ" localSheetId="5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ㄴㅇㄹ" localSheetId="2" hidden="1">{#N/A,#N/A,FALSE,"UNIT";#N/A,#N/A,FALSE,"UNIT";#N/A,#N/A,FALSE,"계정"}</definedName>
    <definedName name="ㄴㅇㄹ" localSheetId="5" hidden="1">{#N/A,#N/A,FALSE,"UNIT";#N/A,#N/A,FALSE,"UNIT";#N/A,#N/A,FALSE,"계정"}</definedName>
    <definedName name="ㄴㅇㄹ" hidden="1">{#N/A,#N/A,FALSE,"UNIT";#N/A,#N/A,FALSE,"UNIT";#N/A,#N/A,FALSE,"계정"}</definedName>
    <definedName name="ㄴㅇㄹㄴㅇ">[11]f_BS!$A$4:$E$43</definedName>
    <definedName name="ㄴㅇㄹㅁㅇㄹ" localSheetId="2" hidden="1">{#N/A,#N/A,FALSE,"UNIT";#N/A,#N/A,FALSE,"UNIT";#N/A,#N/A,FALSE,"계정"}</definedName>
    <definedName name="ㄴㅇㄹㅁㅇㄹ" localSheetId="5" hidden="1">{#N/A,#N/A,FALSE,"UNIT";#N/A,#N/A,FALSE,"UNIT";#N/A,#N/A,FALSE,"계정"}</definedName>
    <definedName name="ㄴㅇㄹㅁㅇㄹ" hidden="1">{#N/A,#N/A,FALSE,"UNIT";#N/A,#N/A,FALSE,"UNIT";#N/A,#N/A,FALSE,"계정"}</definedName>
    <definedName name="ㄴㅇ라" localSheetId="2" hidden="1">{#N/A,#N/A,FALSE,"계약직(여)"}</definedName>
    <definedName name="ㄴㅇ라" localSheetId="5" hidden="1">{#N/A,#N/A,FALSE,"계약직(여)"}</definedName>
    <definedName name="ㄴㅇ라" hidden="1">{#N/A,#N/A,FALSE,"계약직(여)"}</definedName>
    <definedName name="ㄴㅋ" localSheetId="2" hidden="1">{#N/A,#N/A,FALSE,"단축1";#N/A,#N/A,FALSE,"단축2";#N/A,#N/A,FALSE,"단축3";#N/A,#N/A,FALSE,"장축";#N/A,#N/A,FALSE,"4WD"}</definedName>
    <definedName name="ㄴㅋ" localSheetId="5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나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localSheetId="2" hidden="1">{#N/A,#N/A,FALSE,"품의서";#N/A,#N/A,FALSE,"전제";#N/A,#N/A,FALSE,"총손";#N/A,#N/A,FALSE,"손익"}</definedName>
    <definedName name="나다" localSheetId="5" hidden="1">{#N/A,#N/A,FALSE,"품의서";#N/A,#N/A,FALSE,"전제";#N/A,#N/A,FALSE,"총손";#N/A,#N/A,FALSE,"손익"}</definedName>
    <definedName name="나다" hidden="1">{#N/A,#N/A,FALSE,"품의서";#N/A,#N/A,FALSE,"전제";#N/A,#N/A,FALSE,"총손";#N/A,#N/A,FALSE,"손익"}</definedName>
    <definedName name="낙찰_배당">[41]가정!$C$29</definedName>
    <definedName name="낙찰대금">[31]Summary!$C$39</definedName>
    <definedName name="낙찰대금_낙관">[31]Summary!$C$84</definedName>
    <definedName name="낙찰대금_비관">[31]Summary!$C$129</definedName>
    <definedName name="냉난방">'[4]1담당0113'!$F$181</definedName>
    <definedName name="냉난방1">'[4]2담당0113'!$F$323</definedName>
    <definedName name="냉무" localSheetId="2" hidden="1">{#N/A,#N/A,FALSE,"계약직(여)"}</definedName>
    <definedName name="냉무" localSheetId="5" hidden="1">{#N/A,#N/A,FALSE,"계약직(여)"}</definedName>
    <definedName name="냉무" hidden="1">{#N/A,#N/A,FALSE,"계약직(여)"}</definedName>
    <definedName name="너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너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후대변">'[28]합동별(기표용)'!$AB$1:$AB$65536</definedName>
    <definedName name="노후차변">'[28]합동별(기표용)'!$G$1:$G$65536</definedName>
    <definedName name="누리" localSheetId="2" hidden="1">{#N/A,#N/A,TRUE,"Y생산";#N/A,#N/A,TRUE,"Y판매";#N/A,#N/A,TRUE,"Y총물량";#N/A,#N/A,TRUE,"Y능력";#N/A,#N/A,TRUE,"YKD"}</definedName>
    <definedName name="누리" localSheetId="5" hidden="1">{#N/A,#N/A,TRUE,"Y생산";#N/A,#N/A,TRUE,"Y판매";#N/A,#N/A,TRUE,"Y총물량";#N/A,#N/A,TRUE,"Y능력";#N/A,#N/A,TRUE,"YKD"}</definedName>
    <definedName name="누리" hidden="1">{#N/A,#N/A,TRUE,"Y생산";#N/A,#N/A,TRUE,"Y판매";#N/A,#N/A,TRUE,"Y총물량";#N/A,#N/A,TRUE,"Y능력";#N/A,#N/A,TRUE,"YKD"}</definedName>
    <definedName name="누적비용" localSheetId="2" hidden="1">{#N/A,#N/A,TRUE,"Y생산";#N/A,#N/A,TRUE,"Y판매";#N/A,#N/A,TRUE,"Y총물량";#N/A,#N/A,TRUE,"Y능력";#N/A,#N/A,TRUE,"YKD"}</definedName>
    <definedName name="누적비용" localSheetId="5" hidden="1">{#N/A,#N/A,TRUE,"Y생산";#N/A,#N/A,TRUE,"Y판매";#N/A,#N/A,TRUE,"Y총물량";#N/A,#N/A,TRUE,"Y능력";#N/A,#N/A,TRUE,"YKD"}</definedName>
    <definedName name="누적비용" hidden="1">{#N/A,#N/A,TRUE,"Y생산";#N/A,#N/A,TRUE,"Y판매";#N/A,#N/A,TRUE,"Y총물량";#N/A,#N/A,TRUE,"Y능력";#N/A,#N/A,TRUE,"YKD"}</definedName>
    <definedName name="닝잉" localSheetId="2" hidden="1">{#N/A,#N/A,TRUE,"Y생산";#N/A,#N/A,TRUE,"Y판매";#N/A,#N/A,TRUE,"Y총물량";#N/A,#N/A,TRUE,"Y능력";#N/A,#N/A,TRUE,"YKD"}</definedName>
    <definedName name="닝잉" localSheetId="5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ㄴ밈">{0;0;0;0;1;#N/A;0;0;0.3;0.3;2;FALSE;FALSE;FALSE;FALSE;FALSE;#N/A;1;96;#N/A;#N/A;"";""}</definedName>
    <definedName name="ㄷㄴㅊ투ㅠ" localSheetId="2" hidden="1">{#N/A,#N/A,FALSE,"96 3월물량표";#N/A,#N/A,FALSE,"96 4월물량표";#N/A,#N/A,FALSE,"96 5월물량표"}</definedName>
    <definedName name="ㄷㄴㅊ투ㅠ" localSheetId="5" hidden="1">{#N/A,#N/A,FALSE,"96 3월물량표";#N/A,#N/A,FALSE,"96 4월물량표";#N/A,#N/A,FALSE,"96 5월물량표"}</definedName>
    <definedName name="ㄷㄴㅊ투ㅠ" hidden="1">{#N/A,#N/A,FALSE,"96 3월물량표";#N/A,#N/A,FALSE,"96 4월물량표";#N/A,#N/A,FALSE,"96 5월물량표"}</definedName>
    <definedName name="ㄷㄷ" localSheetId="2" hidden="1">{#N/A,#N/A,FALSE,"단축1";#N/A,#N/A,FALSE,"단축2";#N/A,#N/A,FALSE,"단축3";#N/A,#N/A,FALSE,"장축";#N/A,#N/A,FALSE,"4WD"}</definedName>
    <definedName name="ㄷㄷ" localSheetId="5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{#N/A,#N/A,FALSE,"UNIT";#N/A,#N/A,FALSE,"UNIT";#N/A,#N/A,FALSE,"계정"}</definedName>
    <definedName name="ㄷㄷㄷ" localSheetId="5" hidden="1">{#N/A,#N/A,FALSE,"UNIT";#N/A,#N/A,FALSE,"UNIT";#N/A,#N/A,FALSE,"계정"}</definedName>
    <definedName name="ㄷㄷㄷ" hidden="1">{#N/A,#N/A,FALSE,"UNIT";#N/A,#N/A,FALSE,"UNIT";#N/A,#N/A,FALSE,"계정"}</definedName>
    <definedName name="ㄷㄷㄷㄷㄷㄷㄷㄷ" localSheetId="2" hidden="1">#REF!</definedName>
    <definedName name="ㄷㄷㄷㄷㄷㄷㄷㄷ" localSheetId="5" hidden="1">#REF!</definedName>
    <definedName name="ㄷㄷㄷㄷㄷㄷㄷㄷ" hidden="1">#REF!</definedName>
    <definedName name="ㄷㅇ" localSheetId="2" hidden="1">{#N/A,#N/A,TRUE,"Y생산";#N/A,#N/A,TRUE,"Y판매";#N/A,#N/A,TRUE,"Y총물량";#N/A,#N/A,TRUE,"Y능력";#N/A,#N/A,TRUE,"YKD"}</definedName>
    <definedName name="ㄷㅇ" localSheetId="5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시" localSheetId="2" hidden="1">{#N/A,#N/A,TRUE,"Y생산";#N/A,#N/A,TRUE,"Y판매";#N/A,#N/A,TRUE,"Y총물량";#N/A,#N/A,TRUE,"Y능력";#N/A,#N/A,TRUE,"YKD"}</definedName>
    <definedName name="다시" localSheetId="5" hidden="1">{#N/A,#N/A,TRUE,"Y생산";#N/A,#N/A,TRUE,"Y판매";#N/A,#N/A,TRUE,"Y총물량";#N/A,#N/A,TRUE,"Y능력";#N/A,#N/A,TRUE,"YKD"}</definedName>
    <definedName name="다시" hidden="1">{#N/A,#N/A,TRUE,"Y생산";#N/A,#N/A,TRUE,"Y판매";#N/A,#N/A,TRUE,"Y총물량";#N/A,#N/A,TRUE,"Y능력";#N/A,#N/A,TRUE,"YKD"}</definedName>
    <definedName name="다시사" localSheetId="2" hidden="1">{#N/A,#N/A,TRUE,"Y생산";#N/A,#N/A,TRUE,"Y판매";#N/A,#N/A,TRUE,"Y총물량";#N/A,#N/A,TRUE,"Y능력";#N/A,#N/A,TRUE,"YKD"}</definedName>
    <definedName name="다시사" localSheetId="5" hidden="1">{#N/A,#N/A,TRUE,"Y생산";#N/A,#N/A,TRUE,"Y판매";#N/A,#N/A,TRUE,"Y총물량";#N/A,#N/A,TRUE,"Y능력";#N/A,#N/A,TRUE,"YKD"}</definedName>
    <definedName name="다시사" hidden="1">{#N/A,#N/A,TRUE,"Y생산";#N/A,#N/A,TRUE,"Y판매";#N/A,#N/A,TRUE,"Y총물량";#N/A,#N/A,TRUE,"Y능력";#N/A,#N/A,TRUE,"YKD"}</definedName>
    <definedName name="단가기준" localSheetId="2" hidden="1">{#N/A,#N/A,TRUE,"Y생산";#N/A,#N/A,TRUE,"Y판매";#N/A,#N/A,TRUE,"Y총물량";#N/A,#N/A,TRUE,"Y능력";#N/A,#N/A,TRUE,"YKD"}</definedName>
    <definedName name="단가기준" localSheetId="5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5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2" hidden="1">{#N/A,#N/A,TRUE,"Y생산";#N/A,#N/A,TRUE,"Y판매";#N/A,#N/A,TRUE,"Y총물량";#N/A,#N/A,TRUE,"Y능력";#N/A,#N/A,TRUE,"YKD"}</definedName>
    <definedName name="단기대여금" localSheetId="5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위대변">'[28]합동별(기표용)'!$AJ$1:$AJ$65536</definedName>
    <definedName name="단위차변">'[28]합동별(기표용)'!$O$1:$O$65536</definedName>
    <definedName name="단조편성표" localSheetId="2" hidden="1">{#N/A,#N/A,FALSE,"단축1";#N/A,#N/A,FALSE,"단축2";#N/A,#N/A,FALSE,"단축3";#N/A,#N/A,FALSE,"장축";#N/A,#N/A,FALSE,"4WD"}</definedName>
    <definedName name="단조편성표" localSheetId="5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담당별조정" localSheetId="2" hidden="1">{#N/A,#N/A,FALSE,"신규dep";#N/A,#N/A,FALSE,"신규dep-금형상각후";#N/A,#N/A,FALSE,"신규dep-연구비상각후";#N/A,#N/A,FALSE,"신규dep-기계,공구상각후"}</definedName>
    <definedName name="담당별조정" localSheetId="5" hidden="1">{#N/A,#N/A,FALSE,"신규dep";#N/A,#N/A,FALSE,"신규dep-금형상각후";#N/A,#N/A,FALSE,"신규dep-연구비상각후";#N/A,#N/A,FALSE,"신규dep-기계,공구상각후"}</definedName>
    <definedName name="담당별조정" hidden="1">{#N/A,#N/A,FALSE,"신규dep";#N/A,#N/A,FALSE,"신규dep-금형상각후";#N/A,#N/A,FALSE,"신규dep-연구비상각후";#N/A,#N/A,FALSE,"신규dep-기계,공구상각후"}</definedName>
    <definedName name="담보물형태2">[42]목록!$E$2:$E$73</definedName>
    <definedName name="담보부자산관리수수료">[31]Assumption!$D$27</definedName>
    <definedName name="담보유형">[43]Data!$H$2:$H$4</definedName>
    <definedName name="당행회수경매비용">[34]법원비용!$N$9:$N$56</definedName>
    <definedName name="당행회수경매비용현가">'[44]CashFlow(중간집계)'!$J$9:$J$52</definedName>
    <definedName name="대4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localSheetId="2" hidden="1">{#N/A,#N/A,FALSE,"표지";#N/A,#N/A,FALSE,"전제";#N/A,#N/A,FALSE,"대당";#N/A,#N/A,FALSE,"가공비";#N/A,#N/A,FALSE,"재료비";#N/A,#N/A,FALSE,"손익"}</definedName>
    <definedName name="대5" localSheetId="5" hidden="1">{#N/A,#N/A,FALSE,"표지";#N/A,#N/A,FALSE,"전제";#N/A,#N/A,FALSE,"대당";#N/A,#N/A,FALSE,"가공비";#N/A,#N/A,FALSE,"재료비";#N/A,#N/A,FALSE,"손익"}</definedName>
    <definedName name="대5" hidden="1">{#N/A,#N/A,FALSE,"표지";#N/A,#N/A,FALSE,"전제";#N/A,#N/A,FALSE,"대당";#N/A,#N/A,FALSE,"가공비";#N/A,#N/A,FALSE,"재료비";#N/A,#N/A,FALSE,"손익"}</definedName>
    <definedName name="대6" localSheetId="2" hidden="1">{#N/A,#N/A,FALSE,"품의서";#N/A,#N/A,FALSE,"전제";#N/A,#N/A,FALSE,"총손";#N/A,#N/A,FALSE,"손익"}</definedName>
    <definedName name="대6" localSheetId="5" hidden="1">{#N/A,#N/A,FALSE,"품의서";#N/A,#N/A,FALSE,"전제";#N/A,#N/A,FALSE,"총손";#N/A,#N/A,FALSE,"손익"}</definedName>
    <definedName name="대6" hidden="1">{#N/A,#N/A,FALSE,"품의서";#N/A,#N/A,FALSE,"전제";#N/A,#N/A,FALSE,"총손";#N/A,#N/A,FALSE,"손익"}</definedName>
    <definedName name="대발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발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방총괄" localSheetId="2" hidden="1">{#N/A,#N/A,FALSE,"단축1";#N/A,#N/A,FALSE,"단축2";#N/A,#N/A,FALSE,"단축3";#N/A,#N/A,FALSE,"장축";#N/A,#N/A,FALSE,"4WD"}</definedName>
    <definedName name="대방총괄" localSheetId="5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합계">'[28]합동별(기표용)'!$AU$1:$AU$65536</definedName>
    <definedName name="대상" localSheetId="2" hidden="1">{#N/A,#N/A,FALSE,"품의서";#N/A,#N/A,FALSE,"전제";#N/A,#N/A,FALSE,"총손";#N/A,#N/A,FALSE,"손익"}</definedName>
    <definedName name="대상" localSheetId="5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상전기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손상각회수실적">{0;0;0;0;1;#N/A;0;0;0.3;0.3;2;FALSE;FALSE;FALSE;FALSE;FALSE;#N/A;1;96;#N/A;#N/A;"";""}</definedName>
    <definedName name="대여금" localSheetId="2" hidden="1">{#N/A,#N/A,FALSE,"보험현황";#N/A,#N/A,FALSE,"보험현황"}</definedName>
    <definedName name="대여금" localSheetId="5" hidden="1">{#N/A,#N/A,FALSE,"보험현황";#N/A,#N/A,FALSE,"보험현황"}</definedName>
    <definedName name="대여금" hidden="1">{#N/A,#N/A,FALSE,"보험현황";#N/A,#N/A,FALSE,"보험현황"}</definedName>
    <definedName name="대원" localSheetId="2" hidden="1">#REF!</definedName>
    <definedName name="대원" localSheetId="5" hidden="1">#REF!</definedName>
    <definedName name="대원" hidden="1">#REF!</definedName>
    <definedName name="대원3" localSheetId="2" hidden="1">#REF!</definedName>
    <definedName name="대원3" localSheetId="5" hidden="1">#REF!</definedName>
    <definedName name="대원3" hidden="1">#REF!</definedName>
    <definedName name="대원4" localSheetId="2" hidden="1">#REF!</definedName>
    <definedName name="대원4" localSheetId="5" hidden="1">#REF!</definedName>
    <definedName name="대원4" hidden="1">#REF!</definedName>
    <definedName name="대차대조표" localSheetId="2" hidden="1">{#N/A,#N/A,FALSE,"보험현황";#N/A,#N/A,FALSE,"보험현황"}</definedName>
    <definedName name="대차대조표" localSheetId="5" hidden="1">{#N/A,#N/A,FALSE,"보험현황";#N/A,#N/A,FALSE,"보험현황"}</definedName>
    <definedName name="대차대조표" hidden="1">{#N/A,#N/A,FALSE,"보험현황";#N/A,#N/A,FALSE,"보험현황"}</definedName>
    <definedName name="대차대조표_최종" localSheetId="2" hidden="1">{#N/A,#N/A,FALSE,"보험현황";#N/A,#N/A,FALSE,"보험현황"}</definedName>
    <definedName name="대차대조표_최종" localSheetId="5" hidden="1">{#N/A,#N/A,FALSE,"보험현황";#N/A,#N/A,FALSE,"보험현황"}</definedName>
    <definedName name="대차대조표_최종" hidden="1">{#N/A,#N/A,FALSE,"보험현황";#N/A,#N/A,FALSE,"보험현황"}</definedName>
    <definedName name="대출잔액">[34]LoanList!$S$9:$S$25</definedName>
    <definedName name="도장" localSheetId="2" hidden="1">{#N/A,#N/A,TRUE,"Y생산";#N/A,#N/A,TRUE,"Y판매";#N/A,#N/A,TRUE,"Y총물량";#N/A,#N/A,TRUE,"Y능력";#N/A,#N/A,TRUE,"YKD"}</definedName>
    <definedName name="도장" localSheetId="5" hidden="1">{#N/A,#N/A,TRUE,"Y생산";#N/A,#N/A,TRUE,"Y판매";#N/A,#N/A,TRUE,"Y총물량";#N/A,#N/A,TRUE,"Y능력";#N/A,#N/A,TRUE,"YKD"}</definedName>
    <definedName name="도장" hidden="1">{#N/A,#N/A,TRUE,"Y생산";#N/A,#N/A,TRUE,"Y판매";#N/A,#N/A,TRUE,"Y총물량";#N/A,#N/A,TRUE,"Y능력";#N/A,#N/A,TRUE,"YKD"}</definedName>
    <definedName name="독일" localSheetId="2" hidden="1">{#N/A,#N/A,TRUE,"Y생산";#N/A,#N/A,TRUE,"Y판매";#N/A,#N/A,TRUE,"Y총물량";#N/A,#N/A,TRUE,"Y능력";#N/A,#N/A,TRUE,"YKD"}</definedName>
    <definedName name="독일" localSheetId="5" hidden="1">{#N/A,#N/A,TRUE,"Y생산";#N/A,#N/A,TRUE,"Y판매";#N/A,#N/A,TRUE,"Y총물량";#N/A,#N/A,TRUE,"Y능력";#N/A,#N/A,TRUE,"YKD"}</definedName>
    <definedName name="독일" hidden="1">{#N/A,#N/A,TRUE,"Y생산";#N/A,#N/A,TRUE,"Y판매";#N/A,#N/A,TRUE,"Y총물량";#N/A,#N/A,TRUE,"Y능력";#N/A,#N/A,TRUE,"YKD"}</definedName>
    <definedName name="동서별2">[25]별제권_정리담보권1!$T$6:$T$213</definedName>
    <definedName name="등록세">[31]Assumption!$C$73</definedName>
    <definedName name="디젤1" localSheetId="2" hidden="1">{#N/A,#N/A,FALSE,"단축1";#N/A,#N/A,FALSE,"단축2";#N/A,#N/A,FALSE,"단축3";#N/A,#N/A,FALSE,"장축";#N/A,#N/A,FALSE,"4WD"}</definedName>
    <definedName name="디젤1" localSheetId="5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디ㅣ낭" localSheetId="2" hidden="1">{#N/A,#N/A,TRUE,"Y생산";#N/A,#N/A,TRUE,"Y판매";#N/A,#N/A,TRUE,"Y총물량";#N/A,#N/A,TRUE,"Y능력";#N/A,#N/A,TRUE,"YKD"}</definedName>
    <definedName name="디ㅣ낭" localSheetId="5" hidden="1">{#N/A,#N/A,TRUE,"Y생산";#N/A,#N/A,TRUE,"Y판매";#N/A,#N/A,TRUE,"Y총물량";#N/A,#N/A,TRUE,"Y능력";#N/A,#N/A,TRUE,"YKD"}</definedName>
    <definedName name="디ㅣ낭" hidden="1">{#N/A,#N/A,TRUE,"Y생산";#N/A,#N/A,TRUE,"Y판매";#N/A,#N/A,TRUE,"Y총물량";#N/A,#N/A,TRUE,"Y능력";#N/A,#N/A,TRUE,"YKD"}</definedName>
    <definedName name="ㄹㄴㅇㅁㅇㄴ" localSheetId="2" hidden="1">{#N/A,#N/A,FALSE,"UNIT";#N/A,#N/A,FALSE,"UNIT";#N/A,#N/A,FALSE,"계정"}</definedName>
    <definedName name="ㄹㄴㅇㅁㅇㄴ" localSheetId="5" hidden="1">{#N/A,#N/A,FALSE,"UNIT";#N/A,#N/A,FALSE,"UNIT";#N/A,#N/A,FALSE,"계정"}</definedName>
    <definedName name="ㄹㄴㅇㅁㅇㄴ" hidden="1">{#N/A,#N/A,FALSE,"UNIT";#N/A,#N/A,FALSE,"UNIT";#N/A,#N/A,FALSE,"계정"}</definedName>
    <definedName name="ㄹㄴㅇㅁㅇㄹ" localSheetId="2" hidden="1">{#N/A,#N/A,FALSE,"UNIT";#N/A,#N/A,FALSE,"UNIT";#N/A,#N/A,FALSE,"계정"}</definedName>
    <definedName name="ㄹㄴㅇㅁㅇㄹ" localSheetId="5" hidden="1">{#N/A,#N/A,FALSE,"UNIT";#N/A,#N/A,FALSE,"UNIT";#N/A,#N/A,FALSE,"계정"}</definedName>
    <definedName name="ㄹㄴㅇㅁㅇㄹ" hidden="1">{#N/A,#N/A,FALSE,"UNIT";#N/A,#N/A,FALSE,"UNIT";#N/A,#N/A,FALSE,"계정"}</definedName>
    <definedName name="ㄹㄹㄹ" localSheetId="2" hidden="1">#REF!</definedName>
    <definedName name="ㄹㄹㄹ" localSheetId="5" hidden="1">#REF!</definedName>
    <definedName name="ㄹㄹㄹ" hidden="1">#REF!</definedName>
    <definedName name="ㄹㅇ" localSheetId="2" hidden="1">{#N/A,#N/A,TRUE,"Y생산";#N/A,#N/A,TRUE,"Y판매";#N/A,#N/A,TRUE,"Y총물량";#N/A,#N/A,TRUE,"Y능력";#N/A,#N/A,TRUE,"YKD"}</definedName>
    <definedName name="ㄹㅇ" localSheetId="5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어ㅓ럴" localSheetId="2" hidden="1">{#N/A,#N/A,FALSE,"단축1";#N/A,#N/A,FALSE,"단축2";#N/A,#N/A,FALSE,"단축3";#N/A,#N/A,FALSE,"장축";#N/A,#N/A,FALSE,"4WD"}</definedName>
    <definedName name="ㄹ어ㅓ럴" localSheetId="5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5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러시아" localSheetId="2" hidden="1">{#N/A,#N/A,FALSE,"단축1";#N/A,#N/A,FALSE,"단축2";#N/A,#N/A,FALSE,"단축3";#N/A,#N/A,FALSE,"장축";#N/A,#N/A,FALSE,"4WD"}</definedName>
    <definedName name="러시아" localSheetId="5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렁ㅁ니만ㅇ" localSheetId="2" hidden="1">{#N/A,#N/A,FALSE,"주요여수신";#N/A,#N/A,FALSE,"수신금리";#N/A,#N/A,FALSE,"대출금리";#N/A,#N/A,FALSE,"신규대출";#N/A,#N/A,FALSE,"총액대출"}</definedName>
    <definedName name="렁ㅁ니만ㅇ" localSheetId="5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류" localSheetId="2" hidden="1">{#N/A,#N/A,TRUE,"Y생산";#N/A,#N/A,TRUE,"Y판매";#N/A,#N/A,TRUE,"Y총물량";#N/A,#N/A,TRUE,"Y능력";#N/A,#N/A,TRUE,"YKD"}</definedName>
    <definedName name="류" localSheetId="5" hidden="1">{#N/A,#N/A,TRUE,"Y생산";#N/A,#N/A,TRUE,"Y판매";#N/A,#N/A,TRUE,"Y총물량";#N/A,#N/A,TRUE,"Y능력";#N/A,#N/A,TRUE,"YKD"}</definedName>
    <definedName name="류" hidden="1">{#N/A,#N/A,TRUE,"Y생산";#N/A,#N/A,TRUE,"Y판매";#N/A,#N/A,TRUE,"Y총물량";#N/A,#N/A,TRUE,"Y능력";#N/A,#N/A,TRUE,"YKD"}</definedName>
    <definedName name="ㅀㅇ" localSheetId="2" hidden="1">#REF!</definedName>
    <definedName name="ㅀㅇ" localSheetId="5" hidden="1">#REF!</definedName>
    <definedName name="ㅀㅇ" hidden="1">#REF!</definedName>
    <definedName name="ㅁㄴ" localSheetId="2" hidden="1">{#N/A,#N/A,TRUE,"Y생산";#N/A,#N/A,TRUE,"Y판매";#N/A,#N/A,TRUE,"Y총물량";#N/A,#N/A,TRUE,"Y능력";#N/A,#N/A,TRUE,"YKD"}</definedName>
    <definedName name="ㅁㄴ" localSheetId="5" hidden="1">{#N/A,#N/A,TRUE,"Y생산";#N/A,#N/A,TRUE,"Y판매";#N/A,#N/A,TRUE,"Y총물량";#N/A,#N/A,TRUE,"Y능력";#N/A,#N/A,TRUE,"YKD"}</definedName>
    <definedName name="ㅁㄴ" hidden="1">{#N/A,#N/A,TRUE,"Y생산";#N/A,#N/A,TRUE,"Y판매";#N/A,#N/A,TRUE,"Y총물량";#N/A,#N/A,TRUE,"Y능력";#N/A,#N/A,TRUE,"YKD"}</definedName>
    <definedName name="ㅁㄴㅁ" localSheetId="2" hidden="1">{#N/A,#N/A,TRUE,"Y생산";#N/A,#N/A,TRUE,"Y판매";#N/A,#N/A,TRUE,"Y총물량";#N/A,#N/A,TRUE,"Y능력";#N/A,#N/A,TRUE,"YKD"}</definedName>
    <definedName name="ㅁㄴㅁ" localSheetId="5" hidden="1">{#N/A,#N/A,TRUE,"Y생산";#N/A,#N/A,TRUE,"Y판매";#N/A,#N/A,TRUE,"Y총물량";#N/A,#N/A,TRUE,"Y능력";#N/A,#N/A,TRUE,"YKD"}</definedName>
    <definedName name="ㅁㄴㅁ" hidden="1">{#N/A,#N/A,TRUE,"Y생산";#N/A,#N/A,TRUE,"Y판매";#N/A,#N/A,TRUE,"Y총물량";#N/A,#N/A,TRUE,"Y능력";#N/A,#N/A,TRUE,"YKD"}</definedName>
    <definedName name="ㅁㄴㅇㄴㄹ" localSheetId="2" hidden="1">#REF!</definedName>
    <definedName name="ㅁㄴㅇㄴㄹ" localSheetId="5" hidden="1">#REF!</definedName>
    <definedName name="ㅁㄴㅇㄴㄹ" localSheetId="4" hidden="1">#REF!</definedName>
    <definedName name="ㅁㄴㅇㄴㄹ" localSheetId="3" hidden="1">#REF!</definedName>
    <definedName name="ㅁㄴㅇㄴㄹ" hidden="1">#REF!</definedName>
    <definedName name="ㅁㄴㅇㄹ" localSheetId="2" hidden="1">{#N/A,#N/A,TRUE,"Y생산";#N/A,#N/A,TRUE,"Y판매";#N/A,#N/A,TRUE,"Y총물량";#N/A,#N/A,TRUE,"Y능력";#N/A,#N/A,TRUE,"YKD"}</definedName>
    <definedName name="ㅁㄴㅇㄹ" localSheetId="5" hidden="1">{#N/A,#N/A,TRUE,"Y생산";#N/A,#N/A,TRUE,"Y판매";#N/A,#N/A,TRUE,"Y총물량";#N/A,#N/A,TRUE,"Y능력";#N/A,#N/A,TRUE,"YKD"}</definedName>
    <definedName name="ㅁㄴㅇㄹ" hidden="1">{#N/A,#N/A,TRUE,"Y생산";#N/A,#N/A,TRUE,"Y판매";#N/A,#N/A,TRUE,"Y총물량";#N/A,#N/A,TRUE,"Y능력";#N/A,#N/A,TRUE,"YKD"}</definedName>
    <definedName name="ㅁㅁ" localSheetId="2" hidden="1">{#N/A,#N/A,FALSE,"집계표"}</definedName>
    <definedName name="ㅁㅁ" localSheetId="5" hidden="1">{#N/A,#N/A,FALSE,"집계표"}</definedName>
    <definedName name="ㅁㅁ" hidden="1">{#N/A,#N/A,FALSE,"집계표"}</definedName>
    <definedName name="ㅁㅁㅁㅁ" localSheetId="2" hidden="1">{#N/A,#N/A,FALSE,"UNIT";#N/A,#N/A,FALSE,"UNIT";#N/A,#N/A,FALSE,"계정"}</definedName>
    <definedName name="ㅁㅁㅁㅁ" localSheetId="5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2" hidden="1">{#N/A,#N/A,FALSE,"UNIT";#N/A,#N/A,FALSE,"UNIT";#N/A,#N/A,FALSE,"계정"}</definedName>
    <definedName name="ㅁㅁㅁㅁㅁ" localSheetId="5" hidden="1">{#N/A,#N/A,FALSE,"UNIT";#N/A,#N/A,FALSE,"UNIT";#N/A,#N/A,FALSE,"계정"}</definedName>
    <definedName name="ㅁㅁㅁㅁㅁ" hidden="1">{#N/A,#N/A,FALSE,"UNIT";#N/A,#N/A,FALSE,"UNIT";#N/A,#N/A,FALSE,"계정"}</definedName>
    <definedName name="ㅁㅇ" localSheetId="2" hidden="1">{#N/A,#N/A,TRUE,"Y생산";#N/A,#N/A,TRUE,"Y판매";#N/A,#N/A,TRUE,"Y총물량";#N/A,#N/A,TRUE,"Y능력";#N/A,#N/A,TRUE,"YKD"}</definedName>
    <definedName name="ㅁㅇ" localSheetId="5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마11111" localSheetId="2" hidden="1">{#N/A,#N/A,TRUE,"Y생산";#N/A,#N/A,TRUE,"Y판매";#N/A,#N/A,TRUE,"Y총물량";#N/A,#N/A,TRUE,"Y능력";#N/A,#N/A,TRUE,"YKD"}</definedName>
    <definedName name="마11111" localSheetId="5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감" localSheetId="2" hidden="1">{#N/A,#N/A,TRUE,"Y생산";#N/A,#N/A,TRUE,"Y판매";#N/A,#N/A,TRUE,"Y총물량";#N/A,#N/A,TRUE,"Y능력";#N/A,#N/A,TRUE,"YKD"}</definedName>
    <definedName name="마감" localSheetId="5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localSheetId="2" hidden="1">{#N/A,#N/A,TRUE,"Y생산";#N/A,#N/A,TRUE,"Y판매";#N/A,#N/A,TRUE,"Y총물량";#N/A,#N/A,TRUE,"Y능력";#N/A,#N/A,TRUE,"YKD"}</definedName>
    <definedName name="마감12" localSheetId="5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localSheetId="2" hidden="1">{#N/A,#N/A,FALSE,"96 3월물량표";#N/A,#N/A,FALSE,"96 4월물량표";#N/A,#N/A,FALSE,"96 5월물량표"}</definedName>
    <definedName name="마감123" localSheetId="5" hidden="1">{#N/A,#N/A,FALSE,"96 3월물량표";#N/A,#N/A,FALSE,"96 4월물량표";#N/A,#N/A,FALSE,"96 5월물량표"}</definedName>
    <definedName name="마감123" hidden="1">{#N/A,#N/A,FALSE,"96 3월물량표";#N/A,#N/A,FALSE,"96 4월물량표";#N/A,#N/A,FALSE,"96 5월물량표"}</definedName>
    <definedName name="마감830" localSheetId="2" hidden="1">{#N/A,#N/A,TRUE,"Y생산";#N/A,#N/A,TRUE,"Y판매";#N/A,#N/A,TRUE,"Y총물량";#N/A,#N/A,TRUE,"Y능력";#N/A,#N/A,TRUE,"YKD"}</definedName>
    <definedName name="마감830" localSheetId="5" hidden="1">{#N/A,#N/A,TRUE,"Y생산";#N/A,#N/A,TRUE,"Y판매";#N/A,#N/A,TRUE,"Y총물량";#N/A,#N/A,TRUE,"Y능력";#N/A,#N/A,TRUE,"YKD"}</definedName>
    <definedName name="마감830" hidden="1">{#N/A,#N/A,TRUE,"Y생산";#N/A,#N/A,TRUE,"Y판매";#N/A,#N/A,TRUE,"Y총물량";#N/A,#N/A,TRUE,"Y능력";#N/A,#N/A,TRUE,"YKD"}</definedName>
    <definedName name="마감831" localSheetId="2" hidden="1">{#N/A,#N/A,FALSE,"96 3월물량표";#N/A,#N/A,FALSE,"96 4월물량표";#N/A,#N/A,FALSE,"96 5월물량표"}</definedName>
    <definedName name="마감831" localSheetId="5" hidden="1">{#N/A,#N/A,FALSE,"96 3월물량표";#N/A,#N/A,FALSE,"96 4월물량표";#N/A,#N/A,FALSE,"96 5월물량표"}</definedName>
    <definedName name="마감831" hidden="1">{#N/A,#N/A,FALSE,"96 3월물량표";#N/A,#N/A,FALSE,"96 4월물량표";#N/A,#N/A,FALSE,"96 5월물량표"}</definedName>
    <definedName name="매각수수료">[45]기본데이터!$A$48:$E$54</definedName>
    <definedName name="매출05" localSheetId="2" hidden="1">{#N/A,#N/A,FALSE,"단축1";#N/A,#N/A,FALSE,"단축2";#N/A,#N/A,FALSE,"단축3";#N/A,#N/A,FALSE,"장축";#N/A,#N/A,FALSE,"4WD"}</definedName>
    <definedName name="매출05" localSheetId="5" hidden="1">{#N/A,#N/A,FALSE,"단축1";#N/A,#N/A,FALSE,"단축2";#N/A,#N/A,FALSE,"단축3";#N/A,#N/A,FALSE,"장축";#N/A,#N/A,FALSE,"4WD"}</definedName>
    <definedName name="매출05" hidden="1">{#N/A,#N/A,FALSE,"단축1";#N/A,#N/A,FALSE,"단축2";#N/A,#N/A,FALSE,"단축3";#N/A,#N/A,FALSE,"장축";#N/A,#N/A,FALSE,"4WD"}</definedName>
    <definedName name="매출2005" localSheetId="2" hidden="1">{#N/A,#N/A,FALSE,"단축1";#N/A,#N/A,FALSE,"단축2";#N/A,#N/A,FALSE,"단축3";#N/A,#N/A,FALSE,"장축";#N/A,#N/A,FALSE,"4WD"}</definedName>
    <definedName name="매출2005" localSheetId="5" hidden="1">{#N/A,#N/A,FALSE,"단축1";#N/A,#N/A,FALSE,"단축2";#N/A,#N/A,FALSE,"단축3";#N/A,#N/A,FALSE,"장축";#N/A,#N/A,FALSE,"4WD"}</definedName>
    <definedName name="매출2005" hidden="1">{#N/A,#N/A,FALSE,"단축1";#N/A,#N/A,FALSE,"단축2";#N/A,#N/A,FALSE,"단축3";#N/A,#N/A,FALSE,"장축";#N/A,#N/A,FALSE,"4WD"}</definedName>
    <definedName name="매출5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5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계획" localSheetId="2" hidden="1">{#N/A,#N/A,FALSE,"UNIT";#N/A,#N/A,FALSE,"UNIT";#N/A,#N/A,FALSE,"계정"}</definedName>
    <definedName name="매출계획" localSheetId="5" hidden="1">{#N/A,#N/A,FALSE,"UNIT";#N/A,#N/A,FALSE,"UNIT";#N/A,#N/A,FALSE,"계정"}</definedName>
    <definedName name="매출계획" hidden="1">{#N/A,#N/A,FALSE,"UNIT";#N/A,#N/A,FALSE,"UNIT";#N/A,#N/A,FALSE,"계정"}</definedName>
    <definedName name="매출원가" localSheetId="2" hidden="1">{#N/A,#N/A,FALSE,"Aging Summary";#N/A,#N/A,FALSE,"Ratio Analysis";#N/A,#N/A,FALSE,"Test 120 Day Accts";#N/A,#N/A,FALSE,"Tickmarks"}</definedName>
    <definedName name="매출원가" localSheetId="5" hidden="1">{#N/A,#N/A,FALSE,"Aging Summary";#N/A,#N/A,FALSE,"Ratio Analysis";#N/A,#N/A,FALSE,"Test 120 Day Accts";#N/A,#N/A,FALSE,"Tickmarks"}</definedName>
    <definedName name="매출원가" localSheetId="4" hidden="1">{#N/A,#N/A,FALSE,"Aging Summary";#N/A,#N/A,FALSE,"Ratio Analysis";#N/A,#N/A,FALSE,"Test 120 Day Accts";#N/A,#N/A,FALSE,"Tickmarks"}</definedName>
    <definedName name="매출원가" localSheetId="3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localSheetId="4" hidden="1">{#N/A,#N/A,FALSE,"Aging Summary";#N/A,#N/A,FALSE,"Ratio Analysis";#N/A,#N/A,FALSE,"Test 120 Day Accts";#N/A,#N/A,FALSE,"Tickmarks"}</definedName>
    <definedName name="매출원가1" localSheetId="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금감원" localSheetId="2" hidden="1">{#N/A,#N/A,FALSE,"보험현황";#N/A,#N/A,FALSE,"보험현황"}</definedName>
    <definedName name="매출채권_금감원" localSheetId="5" hidden="1">{#N/A,#N/A,FALSE,"보험현황";#N/A,#N/A,FALSE,"보험현황"}</definedName>
    <definedName name="매출채권_금감원" hidden="1">{#N/A,#N/A,FALSE,"보험현황";#N/A,#N/A,FALSE,"보험현황"}</definedName>
    <definedName name="명목GDP산업분류2">[46]명목GDPRData!$A$5:$A$52</definedName>
    <definedName name="모" localSheetId="2" hidden="1">{#N/A,#N/A,FALSE,"UNIT";#N/A,#N/A,FALSE,"UNIT";#N/A,#N/A,FALSE,"계정"}</definedName>
    <definedName name="모" localSheetId="5" hidden="1">{#N/A,#N/A,FALSE,"UNIT";#N/A,#N/A,FALSE,"UNIT";#N/A,#N/A,FALSE,"계정"}</definedName>
    <definedName name="모" hidden="1">{#N/A,#N/A,FALSE,"UNIT";#N/A,#N/A,FALSE,"UNIT";#N/A,#N/A,FALSE,"계정"}</definedName>
    <definedName name="목차" localSheetId="2" hidden="1">{#N/A,#N/A,FALSE,"주요여수신";#N/A,#N/A,FALSE,"수신금리";#N/A,#N/A,FALSE,"대출금리";#N/A,#N/A,FALSE,"신규대출";#N/A,#N/A,FALSE,"총액대출"}</definedName>
    <definedName name="목차" localSheetId="5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2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표고객속보">[47]목표고객속보!$D$4:$L$190</definedName>
    <definedName name="무빙로보트현황" localSheetId="2" hidden="1">{#N/A,#N/A,FALSE,"단축1";#N/A,#N/A,FALSE,"단축2";#N/A,#N/A,FALSE,"단축3";#N/A,#N/A,FALSE,"장축";#N/A,#N/A,FALSE,"4WD"}</definedName>
    <definedName name="무빙로보트현황" localSheetId="5" hidden="1">{#N/A,#N/A,FALSE,"단축1";#N/A,#N/A,FALSE,"단축2";#N/A,#N/A,FALSE,"단축3";#N/A,#N/A,FALSE,"장축";#N/A,#N/A,FALSE,"4WD"}</definedName>
    <definedName name="무빙로보트현황" hidden="1">{#N/A,#N/A,FALSE,"단축1";#N/A,#N/A,FALSE,"단축2";#N/A,#N/A,FALSE,"단축3";#N/A,#N/A,FALSE,"장축";#N/A,#N/A,FALSE,"4WD"}</definedName>
    <definedName name="무선">'[4]1담당0113'!$F$279</definedName>
    <definedName name="무선1">'[4]2담당0113'!$F$491</definedName>
    <definedName name="무형자산" localSheetId="2" hidden="1">{#N/A,#N/A,FALSE,"Aging Summary";#N/A,#N/A,FALSE,"Ratio Analysis";#N/A,#N/A,FALSE,"Test 120 Day Accts";#N/A,#N/A,FALSE,"Tickmarks"}</definedName>
    <definedName name="무형자산" localSheetId="5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제3" localSheetId="2" hidden="1">{#N/A,#N/A,FALSE,"단축1";#N/A,#N/A,FALSE,"단축2";#N/A,#N/A,FALSE,"단축3";#N/A,#N/A,FALSE,"장축";#N/A,#N/A,FALSE,"4WD"}</definedName>
    <definedName name="문제3" localSheetId="5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2" hidden="1">{#N/A,#N/A,TRUE,"Y생산";#N/A,#N/A,TRUE,"Y판매";#N/A,#N/A,TRUE,"Y총물량";#N/A,#N/A,TRUE,"Y능력";#N/A,#N/A,TRUE,"YKD"}</definedName>
    <definedName name="물랴자" localSheetId="5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localSheetId="2" hidden="1">{#N/A,#N/A,TRUE,"Y생산";#N/A,#N/A,TRUE,"Y판매";#N/A,#N/A,TRUE,"Y총물량";#N/A,#N/A,TRUE,"Y능력";#N/A,#N/A,TRUE,"YKD"}</definedName>
    <definedName name="물량수전ㅇ" localSheetId="5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2" hidden="1">{#N/A,#N/A,TRUE,"Y생산";#N/A,#N/A,TRUE,"Y판매";#N/A,#N/A,TRUE,"Y총물량";#N/A,#N/A,TRUE,"Y능력";#N/A,#N/A,TRUE,"YKD"}</definedName>
    <definedName name="물수" localSheetId="5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localSheetId="2" hidden="1">{#N/A,#N/A,FALSE,"기술료 비교"}</definedName>
    <definedName name="뮤" localSheetId="5" hidden="1">{#N/A,#N/A,FALSE,"기술료 비교"}</definedName>
    <definedName name="뮤" hidden="1">{#N/A,#N/A,FALSE,"기술료 비교"}</definedName>
    <definedName name="미수이자">[34]LoanList!$T$9:$T$25</definedName>
    <definedName name="미이행">[40]!미이행</definedName>
    <definedName name="미접수0805" localSheetId="2" hidden="1">{"'Sheet1'!$A$1:$D$15"}</definedName>
    <definedName name="미접수0805" localSheetId="5" hidden="1">{"'Sheet1'!$A$1:$D$15"}</definedName>
    <definedName name="미접수0805" hidden="1">{"'Sheet1'!$A$1:$D$15"}</definedName>
    <definedName name="미ㅣ">{0;0;0;0;1;#N/A;0;0;0.3;0.3;2;FALSE;FALSE;FALSE;FALSE;FALSE;#N/A;1;96;#N/A;#N/A;"";""}</definedName>
    <definedName name="ㅂ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ㄹ어ㅏㄹ아ㅐㅑ" localSheetId="2" hidden="1">#REF!</definedName>
    <definedName name="ㅂㄹ어ㅏㄹ아ㅐㅑ" localSheetId="5" hidden="1">#REF!</definedName>
    <definedName name="ㅂㄹ어ㅏㄹ아ㅐㅑ" hidden="1">#REF!</definedName>
    <definedName name="ㅂㅂ" localSheetId="2" hidden="1">{#N/A,#N/A,FALSE,"단축1";#N/A,#N/A,FALSE,"단축2";#N/A,#N/A,FALSE,"단축3";#N/A,#N/A,FALSE,"장축";#N/A,#N/A,FALSE,"4WD"}</definedName>
    <definedName name="ㅂㅂ" localSheetId="5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{#N/A,#N/A,FALSE,"96 3월물량표";#N/A,#N/A,FALSE,"96 4월물량표";#N/A,#N/A,FALSE,"96 5월물량표"}</definedName>
    <definedName name="ㅂㅂㅂ" localSheetId="5" hidden="1">{#N/A,#N/A,FALSE,"96 3월물량표";#N/A,#N/A,FALSE,"96 4월물량표";#N/A,#N/A,FALSE,"96 5월물량표"}</definedName>
    <definedName name="ㅂㅂㅂ" hidden="1">{#N/A,#N/A,FALSE,"96 3월물량표";#N/A,#N/A,FALSE,"96 4월물량표";#N/A,#N/A,FALSE,"96 5월물량표"}</definedName>
    <definedName name="바바라" localSheetId="2" hidden="1">{#N/A,#N/A,TRUE,"Y생산";#N/A,#N/A,TRUE,"Y판매";#N/A,#N/A,TRUE,"Y총물량";#N/A,#N/A,TRUE,"Y능력";#N/A,#N/A,TRUE,"YKD"}</definedName>
    <definedName name="바바라" localSheetId="5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야" localSheetId="2" hidden="1">{#N/A,#N/A,TRUE,"Y생산";#N/A,#N/A,TRUE,"Y판매";#N/A,#N/A,TRUE,"Y총물량";#N/A,#N/A,TRUE,"Y능력";#N/A,#N/A,TRUE,"YKD"}</definedName>
    <definedName name="바보야" localSheetId="5" hidden="1">{#N/A,#N/A,TRUE,"Y생산";#N/A,#N/A,TRUE,"Y판매";#N/A,#N/A,TRUE,"Y총물량";#N/A,#N/A,TRUE,"Y능력";#N/A,#N/A,TRUE,"YKD"}</definedName>
    <definedName name="바보야" hidden="1">{#N/A,#N/A,TRUE,"Y생산";#N/A,#N/A,TRUE,"Y판매";#N/A,#N/A,TRUE,"Y총물량";#N/A,#N/A,TRUE,"Y능력";#N/A,#N/A,TRUE,"YKD"}</definedName>
    <definedName name="박" localSheetId="2" hidden="1">{#N/A,#N/A,FALSE,"주요여수신";#N/A,#N/A,FALSE,"수신금리";#N/A,#N/A,FALSE,"대출금리";#N/A,#N/A,FALSE,"신규대출";#N/A,#N/A,FALSE,"총액대출"}</definedName>
    <definedName name="박" localSheetId="5" hidden="1">{#N/A,#N/A,FALSE,"주요여수신";#N/A,#N/A,FALSE,"수신금리";#N/A,#N/A,FALSE,"대출금리";#N/A,#N/A,FALSE,"신규대출";#N/A,#N/A,FALSE,"총액대출"}</definedName>
    <definedName name="박" hidden="1">{#N/A,#N/A,FALSE,"주요여수신";#N/A,#N/A,FALSE,"수신금리";#N/A,#N/A,FALSE,"대출금리";#N/A,#N/A,FALSE,"신규대출";#N/A,#N/A,FALSE,"총액대출"}</definedName>
    <definedName name="박기현" localSheetId="2" hidden="1">{#N/A,#N/A,TRUE,"Y생산";#N/A,#N/A,TRUE,"Y판매";#N/A,#N/A,TRUE,"Y총물량";#N/A,#N/A,TRUE,"Y능력";#N/A,#N/A,TRUE,"YKD"}</definedName>
    <definedName name="박기현" localSheetId="5" hidden="1">{#N/A,#N/A,TRUE,"Y생산";#N/A,#N/A,TRUE,"Y판매";#N/A,#N/A,TRUE,"Y총물량";#N/A,#N/A,TRUE,"Y능력";#N/A,#N/A,TRUE,"YKD"}</definedName>
    <definedName name="박기현" hidden="1">{#N/A,#N/A,TRUE,"Y생산";#N/A,#N/A,TRUE,"Y판매";#N/A,#N/A,TRUE,"Y총물량";#N/A,#N/A,TRUE,"Y능력";#N/A,#N/A,TRUE,"YKD"}</definedName>
    <definedName name="박명용" localSheetId="2" hidden="1">{#N/A,#N/A,TRUE,"Y생산";#N/A,#N/A,TRUE,"Y판매";#N/A,#N/A,TRUE,"Y총물량";#N/A,#N/A,TRUE,"Y능력";#N/A,#N/A,TRUE,"YKD"}</definedName>
    <definedName name="박명용" localSheetId="5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받" localSheetId="2" hidden="1">{#N/A,#N/A,TRUE,"Y생산";#N/A,#N/A,TRUE,"Y판매";#N/A,#N/A,TRUE,"Y총물량";#N/A,#N/A,TRUE,"Y능력";#N/A,#N/A,TRUE,"YKD"}</definedName>
    <definedName name="받" localSheetId="5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밤">[48]basic_info!$C$3</definedName>
    <definedName name="배당기일">[49]담보평가!$BN$9:$BN$178</definedName>
    <definedName name="배당액">[49]담보평가!$BR$9:$BR$178</definedName>
    <definedName name="배당율1">[50]배당율!$B$8:$C$24</definedName>
    <definedName name="배당율2">[50]배당율!$E$8:$G$24</definedName>
    <definedName name="버가" localSheetId="2" hidden="1">{#N/A,#N/A,FALSE,"96 3월물량표";#N/A,#N/A,FALSE,"96 4월물량표";#N/A,#N/A,FALSE,"96 5월물량표"}</definedName>
    <definedName name="버가" localSheetId="5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법인개인">[51]개인법인구분!$B$2:$D$1331</definedName>
    <definedName name="법인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인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인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변경후" localSheetId="2" hidden="1">{#N/A,#N/A,FALSE,"단축1";#N/A,#N/A,FALSE,"단축2";#N/A,#N/A,FALSE,"단축3";#N/A,#N/A,FALSE,"장축";#N/A,#N/A,FALSE,"4WD"}</definedName>
    <definedName name="변경후" localSheetId="5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변환사급가" localSheetId="2" hidden="1">{#N/A,#N/A,TRUE,"Y생산";#N/A,#N/A,TRUE,"Y판매";#N/A,#N/A,TRUE,"Y총물량";#N/A,#N/A,TRUE,"Y능력";#N/A,#N/A,TRUE,"YKD"}</definedName>
    <definedName name="변환사급가" localSheetId="5" hidden="1">{#N/A,#N/A,TRUE,"Y생산";#N/A,#N/A,TRUE,"Y판매";#N/A,#N/A,TRUE,"Y총물량";#N/A,#N/A,TRUE,"Y능력";#N/A,#N/A,TRUE,"YKD"}</definedName>
    <definedName name="변환사급가" hidden="1">{#N/A,#N/A,TRUE,"Y생산";#N/A,#N/A,TRUE,"Y판매";#N/A,#N/A,TRUE,"Y총물량";#N/A,#N/A,TRUE,"Y능력";#N/A,#N/A,TRUE,"YKD"}</definedName>
    <definedName name="보고" localSheetId="2" hidden="1">{#N/A,#N/A,FALSE,"UNIT";#N/A,#N/A,FALSE,"UNIT";#N/A,#N/A,FALSE,"계정"}</definedName>
    <definedName name="보고" localSheetId="5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2" hidden="1">{#N/A,#N/A,FALSE,"UNIT";#N/A,#N/A,FALSE,"UNIT";#N/A,#N/A,FALSE,"계정"}</definedName>
    <definedName name="보고기준" localSheetId="5" hidden="1">{#N/A,#N/A,FALSE,"UNIT";#N/A,#N/A,FALSE,"UNIT";#N/A,#N/A,FALSE,"계정"}</definedName>
    <definedName name="보고기준" hidden="1">{#N/A,#N/A,FALSE,"UNIT";#N/A,#N/A,FALSE,"UNIT";#N/A,#N/A,FALSE,"계정"}</definedName>
    <definedName name="보고서1" localSheetId="2" hidden="1">{#N/A,#N/A,FALSE,"단축1";#N/A,#N/A,FALSE,"단축2";#N/A,#N/A,FALSE,"단축3";#N/A,#N/A,FALSE,"장축";#N/A,#N/A,FALSE,"4WD"}</definedName>
    <definedName name="보고서1" localSheetId="5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보고자료" localSheetId="2" hidden="1">{#N/A,#N/A,FALSE,"집계표"}</definedName>
    <definedName name="보고자료" localSheetId="5" hidden="1">{#N/A,#N/A,FALSE,"집계표"}</definedName>
    <definedName name="보고자료" hidden="1">{#N/A,#N/A,FALSE,"집계표"}</definedName>
    <definedName name="보증분류2">[52]보증어음분류!$B$12:$F$17</definedName>
    <definedName name="보증분류3">[52]보증어음분류!$B$19:$F$26</definedName>
    <definedName name="보증분류4">[52]보증어음분류!$B$28:$F$29</definedName>
    <definedName name="복사기">'[4]1담당0113'!$F$268</definedName>
    <definedName name="복사기1">'[4]2담당0113'!$F$433</definedName>
    <definedName name="본문1" localSheetId="2" hidden="1">{#N/A,#N/A,FALSE,"단축1";#N/A,#N/A,FALSE,"단축2";#N/A,#N/A,FALSE,"단축3";#N/A,#N/A,FALSE,"장축";#N/A,#N/A,FALSE,"4WD"}</definedName>
    <definedName name="본문1" localSheetId="5" hidden="1">{#N/A,#N/A,FALSE,"단축1";#N/A,#N/A,FALSE,"단축2";#N/A,#N/A,FALSE,"단축3";#N/A,#N/A,FALSE,"장축";#N/A,#N/A,FALSE,"4WD"}</definedName>
    <definedName name="본문1" hidden="1">{#N/A,#N/A,FALSE,"단축1";#N/A,#N/A,FALSE,"단축2";#N/A,#N/A,FALSE,"단축3";#N/A,#N/A,FALSE,"장축";#N/A,#N/A,FALSE,"4WD"}</definedName>
    <definedName name="본부집중지점관리">[40]!본부집중지점관리</definedName>
    <definedName name="부" localSheetId="2" hidden="1">{#N/A,#N/A,FALSE,"단축1";#N/A,#N/A,FALSE,"단축2";#N/A,#N/A,FALSE,"단축3";#N/A,#N/A,FALSE,"장축";#N/A,#N/A,FALSE,"4WD"}</definedName>
    <definedName name="부" localSheetId="5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동산대변">'[28]합동별(기표용)'!$AP$1:$AP$65536</definedName>
    <definedName name="부동산차변">'[28]합동별(기표용)'!$U$1:$U$65536</definedName>
    <definedName name="부속" localSheetId="2" hidden="1">#REF!</definedName>
    <definedName name="부속" localSheetId="5" hidden="1">#REF!</definedName>
    <definedName name="부속" localSheetId="4" hidden="1">#REF!</definedName>
    <definedName name="부속" localSheetId="3" hidden="1">#REF!</definedName>
    <definedName name="부속" hidden="1">#REF!</definedName>
    <definedName name="부진영업점요약표">[40]!부진영업점요약표</definedName>
    <definedName name="분기별" localSheetId="2" hidden="1">{#N/A,#N/A,TRUE,"Y생산";#N/A,#N/A,TRUE,"Y판매";#N/A,#N/A,TRUE,"Y총물량";#N/A,#N/A,TRUE,"Y능력";#N/A,#N/A,TRUE,"YKD"}</definedName>
    <definedName name="분기별" localSheetId="5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불량재고경비실적" localSheetId="2" hidden="1">{#N/A,#N/A,TRUE,"Y생산";#N/A,#N/A,TRUE,"Y판매";#N/A,#N/A,TRUE,"Y총물량";#N/A,#N/A,TRUE,"Y능력";#N/A,#N/A,TRUE,"YKD"}</definedName>
    <definedName name="불량재고경비실적" localSheetId="5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불특대변">'[28]합동별(기표용)'!$Y$1:$Y$65536</definedName>
    <definedName name="불특차변">'[28]합동별(기표용)'!$D$1:$D$65536</definedName>
    <definedName name="비용12월">[53]비용!$B$1363:$L$1378</definedName>
    <definedName name="비용1월">[53]비용!$B$1561:$L$1576</definedName>
    <definedName name="비용4월">[54]비용!$B$180:$L$195</definedName>
    <definedName name="비용7월">[55]비용!$B$776:$L$791</definedName>
    <definedName name="ㅅ" localSheetId="2" hidden="1">{#N/A,#N/A,TRUE,"Y생산";#N/A,#N/A,TRUE,"Y판매";#N/A,#N/A,TRUE,"Y총물량";#N/A,#N/A,TRUE,"Y능력";#N/A,#N/A,TRUE,"YKD"}</definedName>
    <definedName name="ㅅ" localSheetId="5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ㅅ" localSheetId="2" hidden="1">{#N/A,#N/A,FALSE,"단축1";#N/A,#N/A,FALSE,"단축2";#N/A,#N/A,FALSE,"단축3";#N/A,#N/A,FALSE,"장축";#N/A,#N/A,FALSE,"4WD"}</definedName>
    <definedName name="ㅅㅅㅅ" localSheetId="5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ㅅ" localSheetId="2" hidden="1">{#N/A,#N/A,FALSE,"UNIT";#N/A,#N/A,FALSE,"UNIT";#N/A,#N/A,FALSE,"계정"}</definedName>
    <definedName name="ㅅㅅㅅㅅ" localSheetId="5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2" hidden="1">{#N/A,#N/A,FALSE,"UNIT";#N/A,#N/A,FALSE,"UNIT";#N/A,#N/A,FALSE,"계정"}</definedName>
    <definedName name="ㅅㅅㅅㅅㅅㅅㅅ" localSheetId="5" hidden="1">{#N/A,#N/A,FALSE,"UNIT";#N/A,#N/A,FALSE,"UNIT";#N/A,#N/A,FALSE,"계정"}</definedName>
    <definedName name="ㅅㅅㅅㅅㅅㅅㅅ" hidden="1">{#N/A,#N/A,FALSE,"UNIT";#N/A,#N/A,FALSE,"UNIT";#N/A,#N/A,FALSE,"계정"}</definedName>
    <definedName name="사고뭉치" localSheetId="2" hidden="1">{#N/A,#N/A,FALSE,"96 3월물량표";#N/A,#N/A,FALSE,"96 4월물량표";#N/A,#N/A,FALSE,"96 5월물량표"}</definedName>
    <definedName name="사고뭉치" localSheetId="5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모분류1">[52]사모사채분류!$B$8:$F$10</definedName>
    <definedName name="사모분류2">[52]사모사채분류!$B$12:$F$17</definedName>
    <definedName name="사모분류3">[52]사모사채분류!$B$19:$F$26</definedName>
    <definedName name="사모분류4">[52]사모사채분류!$B$28:$F$29</definedName>
    <definedName name="사업계획" localSheetId="2" hidden="1">{#N/A,#N/A,FALSE,"기술료 비교"}</definedName>
    <definedName name="사업계획" localSheetId="5" hidden="1">{#N/A,#N/A,FALSE,"기술료 비교"}</definedName>
    <definedName name="사업계획" hidden="1">{#N/A,#N/A,FALSE,"기술료 비교"}</definedName>
    <definedName name="사업계획5" localSheetId="2" hidden="1">{#N/A,#N/A,FALSE,"기술료 비교"}</definedName>
    <definedName name="사업계획5" localSheetId="5" hidden="1">{#N/A,#N/A,FALSE,"기술료 비교"}</definedName>
    <definedName name="사업계획5" hidden="1">{#N/A,#N/A,FALSE,"기술료 비교"}</definedName>
    <definedName name="사업활성" localSheetId="2" hidden="1">{#N/A,#N/A,FALSE,"UNIT";#N/A,#N/A,FALSE,"UNIT";#N/A,#N/A,FALSE,"계정"}</definedName>
    <definedName name="사업활성" localSheetId="5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2" hidden="1">{#N/A,#N/A,FALSE,"단축1";#N/A,#N/A,FALSE,"단축2";#N/A,#N/A,FALSE,"단축3";#N/A,#N/A,FALSE,"장축";#N/A,#N/A,FALSE,"4WD"}</definedName>
    <definedName name="사진" localSheetId="5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2" hidden="1">{#N/A,#N/A,FALSE,"단축1";#N/A,#N/A,FALSE,"단축2";#N/A,#N/A,FALSE,"단축3";#N/A,#N/A,FALSE,"장축";#N/A,#N/A,FALSE,"4WD"}</definedName>
    <definedName name="사진1" localSheetId="5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5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5" hidden="1">{#N/A,#N/A,FALSE,"정공"}</definedName>
    <definedName name="삼성" hidden="1">{#N/A,#N/A,FALSE,"정공"}</definedName>
    <definedName name="상도2" localSheetId="2" hidden="1">{#N/A,#N/A,FALSE,"단축1";#N/A,#N/A,FALSE,"단축2";#N/A,#N/A,FALSE,"단축3";#N/A,#N/A,FALSE,"장축";#N/A,#N/A,FALSE,"4WD"}</definedName>
    <definedName name="상도2" localSheetId="5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새" localSheetId="2" hidden="1">{#N/A,#N/A,FALSE,"주요여수신";#N/A,#N/A,FALSE,"수신금리";#N/A,#N/A,FALSE,"대출금리";#N/A,#N/A,FALSE,"신규대출";#N/A,#N/A,FALSE,"총액대출"}</definedName>
    <definedName name="새" localSheetId="5" hidden="1">{#N/A,#N/A,FALSE,"주요여수신";#N/A,#N/A,FALSE,"수신금리";#N/A,#N/A,FALSE,"대출금리";#N/A,#N/A,FALSE,"신규대출";#N/A,#N/A,FALSE,"총액대출"}</definedName>
    <definedName name="새" hidden="1">{#N/A,#N/A,FALSE,"주요여수신";#N/A,#N/A,FALSE,"수신금리";#N/A,#N/A,FALSE,"대출금리";#N/A,#N/A,FALSE,"신규대출";#N/A,#N/A,FALSE,"총액대출"}</definedName>
    <definedName name="새부" localSheetId="2" hidden="1">{#N/A,#N/A,TRUE,"Y생산";#N/A,#N/A,TRUE,"Y판매";#N/A,#N/A,TRUE,"Y총물량";#N/A,#N/A,TRUE,"Y능력";#N/A,#N/A,TRUE,"YKD"}</definedName>
    <definedName name="새부" localSheetId="5" hidden="1">{#N/A,#N/A,TRUE,"Y생산";#N/A,#N/A,TRUE,"Y판매";#N/A,#N/A,TRUE,"Y총물량";#N/A,#N/A,TRUE,"Y능력";#N/A,#N/A,TRUE,"YKD"}</definedName>
    <definedName name="새부" hidden="1">{#N/A,#N/A,TRUE,"Y생산";#N/A,#N/A,TRUE,"Y판매";#N/A,#N/A,TRUE,"Y총물량";#N/A,#N/A,TRUE,"Y능력";#N/A,#N/A,TRUE,"YKD"}</definedName>
    <definedName name="새천년" localSheetId="2" hidden="1">{#N/A,#N/A,TRUE,"Y생산";#N/A,#N/A,TRUE,"Y판매";#N/A,#N/A,TRUE,"Y총물량";#N/A,#N/A,TRUE,"Y능력";#N/A,#N/A,TRUE,"YKD"}</definedName>
    <definedName name="새천년" localSheetId="5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샘플">[56]담보명세!$B$1:$AD$4</definedName>
    <definedName name="샘플2">'[57]Sheet1 (2)'!$D$246:$D$248</definedName>
    <definedName name="생기양식" localSheetId="2" hidden="1">{#N/A,#N/A,TRUE,"Y생산";#N/A,#N/A,TRUE,"Y판매";#N/A,#N/A,TRUE,"Y총물량";#N/A,#N/A,TRUE,"Y능력";#N/A,#N/A,TRUE,"YKD"}</definedName>
    <definedName name="생기양식" localSheetId="5" hidden="1">{#N/A,#N/A,TRUE,"Y생산";#N/A,#N/A,TRUE,"Y판매";#N/A,#N/A,TRUE,"Y총물량";#N/A,#N/A,TRUE,"Y능력";#N/A,#N/A,TRUE,"YKD"}</definedName>
    <definedName name="생기양식" hidden="1">{#N/A,#N/A,TRUE,"Y생산";#N/A,#N/A,TRUE,"Y판매";#N/A,#N/A,TRUE,"Y총물량";#N/A,#N/A,TRUE,"Y능력";#N/A,#N/A,TRUE,"YKD"}</definedName>
    <definedName name="생산" localSheetId="2" hidden="1">{#N/A,#N/A,TRUE,"Y생산";#N/A,#N/A,TRUE,"Y판매";#N/A,#N/A,TRUE,"Y총물량";#N/A,#N/A,TRUE,"Y능력";#N/A,#N/A,TRUE,"YKD"}</definedName>
    <definedName name="생산" localSheetId="5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1" localSheetId="2" hidden="1">{#N/A,#N/A,FALSE,"96 3월물량표";#N/A,#N/A,FALSE,"96 4월물량표";#N/A,#N/A,FALSE,"96 5월물량표"}</definedName>
    <definedName name="생산1" localSheetId="5" hidden="1">{#N/A,#N/A,FALSE,"96 3월물량표";#N/A,#N/A,FALSE,"96 4월물량표";#N/A,#N/A,FALSE,"96 5월물량표"}</definedName>
    <definedName name="생산1" hidden="1">{#N/A,#N/A,FALSE,"96 3월물량표";#N/A,#N/A,FALSE,"96 4월물량표";#N/A,#N/A,FALSE,"96 5월물량표"}</definedName>
    <definedName name="생산TON" localSheetId="2" hidden="1">{#N/A,#N/A,TRUE,"Y생산";#N/A,#N/A,TRUE,"Y판매";#N/A,#N/A,TRUE,"Y총물량";#N/A,#N/A,TRUE,"Y능력";#N/A,#N/A,TRUE,"YKD"}</definedName>
    <definedName name="생산TON" localSheetId="5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localSheetId="2" hidden="1">{#N/A,#N/A,TRUE,"Y생산";#N/A,#N/A,TRUE,"Y판매";#N/A,#N/A,TRUE,"Y총물량";#N/A,#N/A,TRUE,"Y능력";#N/A,#N/A,TRUE,"YKD"}</definedName>
    <definedName name="생산성향상" localSheetId="5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localSheetId="2" hidden="1">{#N/A,#N/A,TRUE,"Y생산";#N/A,#N/A,TRUE,"Y판매";#N/A,#N/A,TRUE,"Y총물량";#N/A,#N/A,TRUE,"Y능력";#N/A,#N/A,TRUE,"YKD"}</definedName>
    <definedName name="생산특장2" localSheetId="5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2" hidden="1">{#N/A,#N/A,TRUE,"Y생산";#N/A,#N/A,TRUE,"Y판매";#N/A,#N/A,TRUE,"Y총물량";#N/A,#N/A,TRUE,"Y능력";#N/A,#N/A,TRUE,"YKD"}</definedName>
    <definedName name="생산합격" localSheetId="5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조조직도" localSheetId="2" hidden="1">{#N/A,#N/A,TRUE,"Y생산";#N/A,#N/A,TRUE,"Y판매";#N/A,#N/A,TRUE,"Y총물량";#N/A,#N/A,TRUE,"Y능력";#N/A,#N/A,TRUE,"YKD"}</definedName>
    <definedName name="생조조직도" localSheetId="5" hidden="1">{#N/A,#N/A,TRUE,"Y생산";#N/A,#N/A,TRUE,"Y판매";#N/A,#N/A,TRUE,"Y총물량";#N/A,#N/A,TRUE,"Y능력";#N/A,#N/A,TRUE,"YKD"}</definedName>
    <definedName name="생조조직도" hidden="1">{#N/A,#N/A,TRUE,"Y생산";#N/A,#N/A,TRUE,"Y판매";#N/A,#N/A,TRUE,"Y총물량";#N/A,#N/A,TRUE,"Y능력";#N/A,#N/A,TRUE,"YKD"}</definedName>
    <definedName name="서승수" localSheetId="2" hidden="1">{#N/A,#N/A,TRUE,"Y생산";#N/A,#N/A,TRUE,"Y판매";#N/A,#N/A,TRUE,"Y총물량";#N/A,#N/A,TRUE,"Y능력";#N/A,#N/A,TRUE,"YKD"}</definedName>
    <definedName name="서승수" localSheetId="5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서천" localSheetId="2" hidden="1">{#N/A,#N/A,FALSE,"표지";#N/A,#N/A,FALSE,"전제";#N/A,#N/A,FALSE,"손익-자 (2)";#N/A,#N/A,FALSE,"손익-자";#N/A,#N/A,FALSE,"손익-마 (2)";#N/A,#N/A,FALSE,"손익-마";#N/A,#N/A,FALSE,"총손최종"}</definedName>
    <definedName name="서천" localSheetId="5" hidden="1">{#N/A,#N/A,FALSE,"표지";#N/A,#N/A,FALSE,"전제";#N/A,#N/A,FALSE,"손익-자 (2)";#N/A,#N/A,FALSE,"손익-자";#N/A,#N/A,FALSE,"손익-마 (2)";#N/A,#N/A,FALSE,"손익-마";#N/A,#N/A,FALSE,"총손최종"}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서천통일관광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선택">[58]외화Schedule!$D$27:$F$38,[58]외화Schedule!$I$27:$K$38,[58]외화Schedule!$D$40:$F$51,[58]외화Schedule!$I$40:$K$51,[58]외화Schedule!$D$53:$F$64,[58]외화Schedule!$I$53:$K$64</definedName>
    <definedName name="설변" localSheetId="2" hidden="1">{#N/A,#N/A,FALSE,"단축1";#N/A,#N/A,FALSE,"단축2";#N/A,#N/A,FALSE,"단축3";#N/A,#N/A,FALSE,"장축";#N/A,#N/A,FALSE,"4WD"}</definedName>
    <definedName name="설변" localSheetId="5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5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성" localSheetId="2" hidden="1">{#N/A,#N/A,FALSE,"UNIT";#N/A,#N/A,FALSE,"UNIT";#N/A,#N/A,FALSE,"계정"}</definedName>
    <definedName name="성" localSheetId="5" hidden="1">{#N/A,#N/A,FALSE,"UNIT";#N/A,#N/A,FALSE,"UNIT";#N/A,#N/A,FALSE,"계정"}</definedName>
    <definedName name="성" hidden="1">{#N/A,#N/A,FALSE,"UNIT";#N/A,#N/A,FALSE,"UNIT";#N/A,#N/A,FALSE,"계정"}</definedName>
    <definedName name="성구" localSheetId="2" hidden="1">{#N/A,#N/A,FALSE,"단축1";#N/A,#N/A,FALSE,"단축2";#N/A,#N/A,FALSE,"단축3";#N/A,#N/A,FALSE,"장축";#N/A,#N/A,FALSE,"4WD"}</definedName>
    <definedName name="성구" localSheetId="5" hidden="1">{#N/A,#N/A,FALSE,"단축1";#N/A,#N/A,FALSE,"단축2";#N/A,#N/A,FALSE,"단축3";#N/A,#N/A,FALSE,"장축";#N/A,#N/A,FALSE,"4WD"}</definedName>
    <definedName name="성구" hidden="1">{#N/A,#N/A,FALSE,"단축1";#N/A,#N/A,FALSE,"단축2";#N/A,#N/A,FALSE,"단축3";#N/A,#N/A,FALSE,"장축";#N/A,#N/A,FALSE,"4WD"}</definedName>
    <definedName name="성능시험2" localSheetId="2" hidden="1">{#N/A,#N/A,FALSE,"단축1";#N/A,#N/A,FALSE,"단축2";#N/A,#N/A,FALSE,"단축3";#N/A,#N/A,FALSE,"장축";#N/A,#N/A,FALSE,"4WD"}</definedName>
    <definedName name="성능시험2" localSheetId="5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6월" localSheetId="2" hidden="1">{#N/A,#N/A,FALSE,"단축1";#N/A,#N/A,FALSE,"단축2";#N/A,#N/A,FALSE,"단축3";#N/A,#N/A,FALSE,"장축";#N/A,#N/A,FALSE,"4WD"}</definedName>
    <definedName name="세부6월" localSheetId="5" hidden="1">{#N/A,#N/A,FALSE,"단축1";#N/A,#N/A,FALSE,"단축2";#N/A,#N/A,FALSE,"단축3";#N/A,#N/A,FALSE,"장축";#N/A,#N/A,FALSE,"4WD"}</definedName>
    <definedName name="세부6월" hidden="1">{#N/A,#N/A,FALSE,"단축1";#N/A,#N/A,FALSE,"단축2";#N/A,#N/A,FALSE,"단축3";#N/A,#N/A,FALSE,"장축";#N/A,#N/A,FALSE,"4WD"}</definedName>
    <definedName name="세부LIST2" localSheetId="2" hidden="1">{#N/A,#N/A,FALSE,"단축1";#N/A,#N/A,FALSE,"단축2";#N/A,#N/A,FALSE,"단축3";#N/A,#N/A,FALSE,"장축";#N/A,#N/A,FALSE,"4WD"}</definedName>
    <definedName name="세부LIST2" localSheetId="5" hidden="1">{#N/A,#N/A,FALSE,"단축1";#N/A,#N/A,FALSE,"단축2";#N/A,#N/A,FALSE,"단축3";#N/A,#N/A,FALSE,"장축";#N/A,#N/A,FALSE,"4WD"}</definedName>
    <definedName name="세부LIST2" hidden="1">{#N/A,#N/A,FALSE,"단축1";#N/A,#N/A,FALSE,"단축2";#N/A,#N/A,FALSE,"단축3";#N/A,#N/A,FALSE,"장축";#N/A,#N/A,FALSE,"4WD"}</definedName>
    <definedName name="세부계정" localSheetId="2" hidden="1">{#N/A,#N/A,FALSE,"주요여수신";#N/A,#N/A,FALSE,"수신금리";#N/A,#N/A,FALSE,"대출금리";#N/A,#N/A,FALSE,"신규대출";#N/A,#N/A,FALSE,"총액대출"}</definedName>
    <definedName name="세부계정" localSheetId="5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5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2" hidden="1">{#N/A,#N/A,FALSE,"단축1";#N/A,#N/A,FALSE,"단축2";#N/A,#N/A,FALSE,"단축3";#N/A,#N/A,FALSE,"장축";#N/A,#N/A,FALSE,"4WD"}</definedName>
    <definedName name="세부일정" localSheetId="5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2" hidden="1">{#N/A,#N/A,FALSE,"단축1";#N/A,#N/A,FALSE,"단축2";#N/A,#N/A,FALSE,"단축3";#N/A,#N/A,FALSE,"장축";#N/A,#N/A,FALSE,"4WD"}</definedName>
    <definedName name="세부일정.1" localSheetId="5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localSheetId="2" hidden="1">{#N/A,#N/A,TRUE,"Y생산";#N/A,#N/A,TRUE,"Y판매";#N/A,#N/A,TRUE,"Y총물량";#N/A,#N/A,TRUE,"Y능력";#N/A,#N/A,TRUE,"YKD"}</definedName>
    <definedName name="세피아축소" localSheetId="5" hidden="1">{#N/A,#N/A,TRUE,"Y생산";#N/A,#N/A,TRUE,"Y판매";#N/A,#N/A,TRUE,"Y총물량";#N/A,#N/A,TRUE,"Y능력";#N/A,#N/A,TRUE,"YKD"}</definedName>
    <definedName name="세피아축소" hidden="1">{#N/A,#N/A,TRUE,"Y생산";#N/A,#N/A,TRUE,"Y판매";#N/A,#N/A,TRUE,"Y총물량";#N/A,#N/A,TRUE,"Y능력";#N/A,#N/A,TRUE,"YKD"}</definedName>
    <definedName name="셀리카" localSheetId="2" hidden="1">#REF!</definedName>
    <definedName name="셀리카" localSheetId="5" hidden="1">#REF!</definedName>
    <definedName name="셀리카" hidden="1">#REF!</definedName>
    <definedName name="소" localSheetId="2" hidden="1">{#N/A,#N/A,TRUE,"Y생산";#N/A,#N/A,TRUE,"Y판매";#N/A,#N/A,TRUE,"Y총물량";#N/A,#N/A,TRUE,"Y능력";#N/A,#N/A,TRUE,"YKD"}</definedName>
    <definedName name="소" localSheetId="5" hidden="1">{#N/A,#N/A,TRUE,"Y생산";#N/A,#N/A,TRUE,"Y판매";#N/A,#N/A,TRUE,"Y총물량";#N/A,#N/A,TRUE,"Y능력";#N/A,#N/A,TRUE,"YKD"}</definedName>
    <definedName name="소" hidden="1">{#N/A,#N/A,TRUE,"Y생산";#N/A,#N/A,TRUE,"Y판매";#N/A,#N/A,TRUE,"Y총물량";#N/A,#N/A,TRUE,"Y능력";#N/A,#N/A,TRUE,"YKD"}</definedName>
    <definedName name="소액임차보증금">CHOOSE([59]Assumptions!$C$57,[59]Assumptions!$E$62:$E$65,[59]Assumptions!$E$62:$F$65)</definedName>
    <definedName name="소접수">[60]소접수기존파일모음!$B$1:$H$150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5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화주철장판" localSheetId="2" hidden="1">{#N/A,#N/A,FALSE,"단축1";#N/A,#N/A,FALSE,"단축2";#N/A,#N/A,FALSE,"단축3";#N/A,#N/A,FALSE,"장축";#N/A,#N/A,FALSE,"4WD"}</definedName>
    <definedName name="소화주철장판" localSheetId="5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localSheetId="2" hidden="1">{#N/A,#N/A,FALSE,"UNIT";#N/A,#N/A,FALSE,"UNIT";#N/A,#N/A,FALSE,"계정"}</definedName>
    <definedName name="손익3" localSheetId="5" hidden="1">{#N/A,#N/A,FALSE,"UNIT";#N/A,#N/A,FALSE,"UNIT";#N/A,#N/A,FALSE,"계정"}</definedName>
    <definedName name="손익3" hidden="1">{#N/A,#N/A,FALSE,"UNIT";#N/A,#N/A,FALSE,"UNIT";#N/A,#N/A,FALSE,"계정"}</definedName>
    <definedName name="손익개정">[7]보고서!손익개정</definedName>
    <definedName name="손익계산서" localSheetId="2" hidden="1">{#N/A,#N/A,FALSE,"보험현황";#N/A,#N/A,FALSE,"보험현황"}</definedName>
    <definedName name="손익계산서" localSheetId="5" hidden="1">{#N/A,#N/A,FALSE,"보험현황";#N/A,#N/A,FALSE,"보험현황"}</definedName>
    <definedName name="손익계산서" hidden="1">{#N/A,#N/A,FALSE,"보험현황";#N/A,#N/A,FALSE,"보험현황"}</definedName>
    <definedName name="손익계산서_최종" localSheetId="2" hidden="1">{#N/A,#N/A,FALSE,"보험현황";#N/A,#N/A,FALSE,"보험현황"}</definedName>
    <definedName name="손익계산서_최종" localSheetId="5" hidden="1">{#N/A,#N/A,FALSE,"보험현황";#N/A,#N/A,FALSE,"보험현황"}</definedName>
    <definedName name="손익계산서_최종" hidden="1">{#N/A,#N/A,FALSE,"보험현황";#N/A,#N/A,FALSE,"보험현황"}</definedName>
    <definedName name="손익예상" localSheetId="2" hidden="1">{#N/A,#N/A,FALSE,"UNIT";#N/A,#N/A,FALSE,"UNIT";#N/A,#N/A,FALSE,"계정"}</definedName>
    <definedName name="손익예상" localSheetId="5" hidden="1">{#N/A,#N/A,FALSE,"UNIT";#N/A,#N/A,FALSE,"UNIT";#N/A,#N/A,FALSE,"계정"}</definedName>
    <definedName name="손익예상" hidden="1">{#N/A,#N/A,FALSE,"UNIT";#N/A,#N/A,FALSE,"UNIT";#N/A,#N/A,FALSE,"계정"}</definedName>
    <definedName name="송" localSheetId="2" hidden="1">{#N/A,#N/A,TRUE,"Y생산";#N/A,#N/A,TRUE,"Y판매";#N/A,#N/A,TRUE,"Y총물량";#N/A,#N/A,TRUE,"Y능력";#N/A,#N/A,TRUE,"YKD"}</definedName>
    <definedName name="송" localSheetId="5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달료">[31]Assumption!$C$71</definedName>
    <definedName name="송창기" localSheetId="2" hidden="1">{#N/A,#N/A,TRUE,"Y생산";#N/A,#N/A,TRUE,"Y판매";#N/A,#N/A,TRUE,"Y총물량";#N/A,#N/A,TRUE,"Y능력";#N/A,#N/A,TRUE,"YKD"}</definedName>
    <definedName name="송창기" localSheetId="5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량산출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산출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산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선비세부" localSheetId="2" hidden="1">#REF!</definedName>
    <definedName name="수선비세부" localSheetId="5" hidden="1">#REF!</definedName>
    <definedName name="수선비세부" hidden="1">#REF!</definedName>
    <definedName name="수율2" localSheetId="2" hidden="1">{#N/A,#N/A,FALSE,"단축1";#N/A,#N/A,FALSE,"단축2";#N/A,#N/A,FALSE,"단축3";#N/A,#N/A,FALSE,"장축";#N/A,#N/A,FALSE,"4WD"}</definedName>
    <definedName name="수율2" localSheetId="5" hidden="1">{#N/A,#N/A,FALSE,"단축1";#N/A,#N/A,FALSE,"단축2";#N/A,#N/A,FALSE,"단축3";#N/A,#N/A,FALSE,"장축";#N/A,#N/A,FALSE,"4WD"}</definedName>
    <definedName name="수율2" hidden="1">{#N/A,#N/A,FALSE,"단축1";#N/A,#N/A,FALSE,"단축2";#N/A,#N/A,FALSE,"단축3";#N/A,#N/A,FALSE,"장축";#N/A,#N/A,FALSE,"4WD"}</definedName>
    <definedName name="수익4속" localSheetId="2" hidden="1">{#N/A,#N/A,FALSE,"단축1";#N/A,#N/A,FALSE,"단축2";#N/A,#N/A,FALSE,"단축3";#N/A,#N/A,FALSE,"장축";#N/A,#N/A,FALSE,"4WD"}</definedName>
    <definedName name="수익4속" localSheetId="5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익증권1">[61]수익증권평가!$B$9:$D$11</definedName>
    <definedName name="수익증권2">[61]수익증권평가!$B$13:$D$18</definedName>
    <definedName name="수익증권3">[61]수익증권평가!$B$20:$D$27</definedName>
    <definedName name="수익증권4">[61]수익증권평가!$B$29:$D$30</definedName>
    <definedName name="수익증권5">[61]수익증권평가!$G$9:$G$11</definedName>
    <definedName name="수익증권6">[61]수익증권평가!$G$13:$G$18</definedName>
    <definedName name="수익증권7">[61]수익증권평가!$G$20:$G$27</definedName>
    <definedName name="수익증권8">[61]수익증권평가!$G$29:$G$30</definedName>
    <definedName name="수입차">'[4]1담당0113'!$F$131</definedName>
    <definedName name="수입차1">'[4]2담당0113'!$F$260</definedName>
    <definedName name="수정물량" localSheetId="2" hidden="1">{#N/A,#N/A,TRUE,"Y생산";#N/A,#N/A,TRUE,"Y판매";#N/A,#N/A,TRUE,"Y총물량";#N/A,#N/A,TRUE,"Y능력";#N/A,#N/A,TRUE,"YKD"}</definedName>
    <definedName name="수정물량" localSheetId="5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">[7]보고서!prt6bn46bt82</definedName>
    <definedName name="수정지급보증액">'[62]R data - PF대출(건별)'!$P$2:$P$1880</definedName>
    <definedName name="수출오더현황12월" localSheetId="2" hidden="1">{#N/A,#N/A,TRUE,"Y생산";#N/A,#N/A,TRUE,"Y판매";#N/A,#N/A,TRUE,"Y총물량";#N/A,#N/A,TRUE,"Y능력";#N/A,#N/A,TRUE,"YKD"}</definedName>
    <definedName name="수출오더현황12월" localSheetId="5" hidden="1">{#N/A,#N/A,TRUE,"Y생산";#N/A,#N/A,TRUE,"Y판매";#N/A,#N/A,TRUE,"Y총물량";#N/A,#N/A,TRUE,"Y능력";#N/A,#N/A,TRUE,"YKD"}</definedName>
    <definedName name="수출오더현황12월" hidden="1">{#N/A,#N/A,TRUE,"Y생산";#N/A,#N/A,TRUE,"Y판매";#N/A,#N/A,TRUE,"Y총물량";#N/A,#N/A,TRUE,"Y능력";#N/A,#N/A,TRUE,"YKD"}</definedName>
    <definedName name="수출입외형속보">[63]수출입외형_속보!$D$4:$Q$189</definedName>
    <definedName name="수출판촉비총괄" hidden="1">#N/A</definedName>
    <definedName name="승부">'[57]Sheet1 (2)'!$F$2:$F$676</definedName>
    <definedName name="승부2">'[57]Sheet1 (2)'!$G$2:$G$649</definedName>
    <definedName name="승인">"C"</definedName>
    <definedName name="승인권한2" localSheetId="2" hidden="1">{#N/A,#N/A,FALSE,"단축1";#N/A,#N/A,FALSE,"단축2";#N/A,#N/A,FALSE,"단축3";#N/A,#N/A,FALSE,"장축";#N/A,#N/A,FALSE,"4WD"}</definedName>
    <definedName name="승인권한2" localSheetId="5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시간" localSheetId="2" hidden="1">{#N/A,#N/A,TRUE,"Y생산";#N/A,#N/A,TRUE,"Y판매";#N/A,#N/A,TRUE,"Y총물량";#N/A,#N/A,TRUE,"Y능력";#N/A,#N/A,TRUE,"YKD"}</definedName>
    <definedName name="시간" localSheetId="5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공사순위">'[62]R data - PF대출(건별)'!$N$2:$N$1880</definedName>
    <definedName name="시군구2">[42]목록!$D$2:$D$256</definedName>
    <definedName name="시설투자" localSheetId="2" hidden="1">{#N/A,#N/A,FALSE,"UNIT";#N/A,#N/A,FALSE,"UNIT";#N/A,#N/A,FALSE,"계정"}</definedName>
    <definedName name="시설투자" localSheetId="5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2" hidden="1">{#N/A,#N/A,FALSE,"UNIT";#N/A,#N/A,FALSE,"UNIT";#N/A,#N/A,FALSE,"계정"}</definedName>
    <definedName name="시설투자계획_월별" localSheetId="5" hidden="1">{#N/A,#N/A,FALSE,"UNIT";#N/A,#N/A,FALSE,"UNIT";#N/A,#N/A,FALSE,"계정"}</definedName>
    <definedName name="시설투자계획_월별" hidden="1">{#N/A,#N/A,FALSE,"UNIT";#N/A,#N/A,FALSE,"UNIT";#N/A,#N/A,FALSE,"계정"}</definedName>
    <definedName name="시장동향" localSheetId="2" hidden="1">{#N/A,#N/A,TRUE,"Y생산";#N/A,#N/A,TRUE,"Y판매";#N/A,#N/A,TRUE,"Y총물량";#N/A,#N/A,TRUE,"Y능력";#N/A,#N/A,TRUE,"YKD"}</definedName>
    <definedName name="시장동향" localSheetId="5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험일정p2" localSheetId="2" hidden="1">{#N/A,#N/A,FALSE,"단축1";#N/A,#N/A,FALSE,"단축2";#N/A,#N/A,FALSE,"단축3";#N/A,#N/A,FALSE,"장축";#N/A,#N/A,FALSE,"4WD"}</definedName>
    <definedName name="시험일정p2" localSheetId="5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AT종합" localSheetId="2" hidden="1">{#N/A,#N/A,FALSE,"단축1";#N/A,#N/A,FALSE,"단축2";#N/A,#N/A,FALSE,"단축3";#N/A,#N/A,FALSE,"장축";#N/A,#N/A,FALSE,"4WD"}</definedName>
    <definedName name="신AT종합" localSheetId="5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개인대변">'[28]합동별(기표용)'!$AM$1:$AM$65536</definedName>
    <definedName name="신개인차변">'[28]합동별(기표용)'!$R$1:$R$65536</definedName>
    <definedName name="신규" localSheetId="2" hidden="1">{#N/A,#N/A,FALSE,"신규dep";#N/A,#N/A,FALSE,"신규dep-금형상각후";#N/A,#N/A,FALSE,"신규dep-연구비상각후";#N/A,#N/A,FALSE,"신규dep-기계,공구상각후"}</definedName>
    <definedName name="신규" localSheetId="5" hidden="1">{#N/A,#N/A,FALSE,"신규dep";#N/A,#N/A,FALSE,"신규dep-금형상각후";#N/A,#N/A,FALSE,"신규dep-연구비상각후";#N/A,#N/A,FALSE,"신규dep-기계,공구상각후"}</definedName>
    <definedName name="신규" hidden="1">{#N/A,#N/A,FALSE,"신규dep";#N/A,#N/A,FALSE,"신규dep-금형상각후";#N/A,#N/A,FALSE,"신규dep-연구비상각후";#N/A,#N/A,FALSE,"신규dep-기계,공구상각후"}</definedName>
    <definedName name="신노후대변">'[28]합동별(기표용)'!$AN$1:$AN$65536</definedName>
    <definedName name="신노후차변">'[28]합동별(기표용)'!$S$1:$S$65536</definedName>
    <definedName name="신문공고">[64]기본데이터!$E$33</definedName>
    <definedName name="신문공고료">[31]Assumption!$C$66</definedName>
    <definedName name="신세대종합" localSheetId="2" hidden="1">{#N/A,#N/A,FALSE,"단축1";#N/A,#N/A,FALSE,"단축2";#N/A,#N/A,FALSE,"단축3";#N/A,#N/A,FALSE,"장축";#N/A,#N/A,FALSE,"4WD"}</definedName>
    <definedName name="신세대종합" localSheetId="5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보증서회수예상율">[65]Assumption!$D$31</definedName>
    <definedName name="신종대변">'[28]합동별(기표용)'!$AI$1:$AI$65536</definedName>
    <definedName name="신종차변">'[28]합동별(기표용)'!$N$1:$N$65536</definedName>
    <definedName name="신추진사업" localSheetId="2" hidden="1">{#N/A,#N/A,TRUE,"Y생산";#N/A,#N/A,TRUE,"Y판매";#N/A,#N/A,TRUE,"Y총물량";#N/A,#N/A,TRUE,"Y능력";#N/A,#N/A,TRUE,"YKD"}</definedName>
    <definedName name="신추진사업" localSheetId="5" hidden="1">{#N/A,#N/A,TRUE,"Y생산";#N/A,#N/A,TRUE,"Y판매";#N/A,#N/A,TRUE,"Y총물량";#N/A,#N/A,TRUE,"Y능력";#N/A,#N/A,TRUE,"YKD"}</definedName>
    <definedName name="신추진사업" hidden="1">{#N/A,#N/A,TRUE,"Y생산";#N/A,#N/A,TRUE,"Y판매";#N/A,#N/A,TRUE,"Y총물량";#N/A,#N/A,TRUE,"Y능력";#N/A,#N/A,TRUE,"YKD"}</definedName>
    <definedName name="신한4분기">{0;0;0;0;1;#N/A;0;0;0.3;0.3;2;FALSE;FALSE;FALSE;FALSE;FALSE;#N/A;1;96;#N/A;#N/A;"";""}</definedName>
    <definedName name="실시" localSheetId="2" hidden="1">{#N/A,#N/A,FALSE,"단축1";#N/A,#N/A,FALSE,"단축2";#N/A,#N/A,FALSE,"단축3";#N/A,#N/A,FALSE,"장축";#N/A,#N/A,FALSE,"4WD"}</definedName>
    <definedName name="실시" localSheetId="5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4월" localSheetId="2" hidden="1">{#N/A,#N/A,FALSE,"UNIT";#N/A,#N/A,FALSE,"UNIT";#N/A,#N/A,FALSE,"계정"}</definedName>
    <definedName name="실적4월" localSheetId="5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2" hidden="1">{#N/A,#N/A,FALSE,"UNIT";#N/A,#N/A,FALSE,"UNIT";#N/A,#N/A,FALSE,"계정"}</definedName>
    <definedName name="실적6월" localSheetId="5" hidden="1">{#N/A,#N/A,FALSE,"UNIT";#N/A,#N/A,FALSE,"UNIT";#N/A,#N/A,FALSE,"계정"}</definedName>
    <definedName name="실적6월" hidden="1">{#N/A,#N/A,FALSE,"UNIT";#N/A,#N/A,FALSE,"UNIT";#N/A,#N/A,FALSE,"계정"}</definedName>
    <definedName name="실적원" localSheetId="2" hidden="1">{#N/A,#N/A,TRUE,"Y생산";#N/A,#N/A,TRUE,"Y판매";#N/A,#N/A,TRUE,"Y총물량";#N/A,#N/A,TRUE,"Y능력";#N/A,#N/A,TRUE,"YKD"}</definedName>
    <definedName name="실적원" localSheetId="5" hidden="1">{#N/A,#N/A,TRUE,"Y생산";#N/A,#N/A,TRUE,"Y판매";#N/A,#N/A,TRUE,"Y총물량";#N/A,#N/A,TRUE,"Y능력";#N/A,#N/A,TRUE,"YKD"}</definedName>
    <definedName name="실적원" hidden="1">{#N/A,#N/A,TRUE,"Y생산";#N/A,#N/A,TRUE,"Y판매";#N/A,#N/A,TRUE,"Y총물량";#N/A,#N/A,TRUE,"Y능력";#N/A,#N/A,TRUE,"YKD"}</definedName>
    <definedName name="실지배당액">'[66]CashFlow(중간집계)'!$G$9:$G$343</definedName>
    <definedName name="실지배당액현가">'[44]CashFlow(중간집계)'!$I$9:$I$61</definedName>
    <definedName name="실지배당액현가액">'[44]CashFlow(중간집계)'!$I$9:$I$61</definedName>
    <definedName name="심상묵" localSheetId="2" hidden="1">{#N/A,#N/A,TRUE,"Y생산";#N/A,#N/A,TRUE,"Y판매";#N/A,#N/A,TRUE,"Y총물량";#N/A,#N/A,TRUE,"Y능력";#N/A,#N/A,TRUE,"YKD"}</definedName>
    <definedName name="심상묵" localSheetId="5" hidden="1">{#N/A,#N/A,TRUE,"Y생산";#N/A,#N/A,TRUE,"Y판매";#N/A,#N/A,TRUE,"Y총물량";#N/A,#N/A,TRUE,"Y능력";#N/A,#N/A,TRUE,"YKD"}</definedName>
    <definedName name="심상묵" hidden="1">{#N/A,#N/A,TRUE,"Y생산";#N/A,#N/A,TRUE,"Y판매";#N/A,#N/A,TRUE,"Y총물량";#N/A,#N/A,TRUE,"Y능력";#N/A,#N/A,TRUE,"YKD"}</definedName>
    <definedName name="ㅇ" localSheetId="2" hidden="1">{#N/A,#N/A,FALSE,"주요여수신";#N/A,#N/A,FALSE,"수신금리";#N/A,#N/A,FALSE,"대출금리";#N/A,#N/A,FALSE,"신규대출";#N/A,#N/A,FALSE,"총액대출"}</definedName>
    <definedName name="ㅇ" localSheetId="5" hidden="1">{#N/A,#N/A,FALSE,"주요여수신";#N/A,#N/A,FALSE,"수신금리";#N/A,#N/A,FALSE,"대출금리";#N/A,#N/A,FALSE,"신규대출";#N/A,#N/A,FALSE,"총액대출"}</definedName>
    <definedName name="ㅇ" hidden="1">{#N/A,#N/A,FALSE,"주요여수신";#N/A,#N/A,FALSE,"수신금리";#N/A,#N/A,FALSE,"대출금리";#N/A,#N/A,FALSE,"신규대출";#N/A,#N/A,FALSE,"총액대출"}</definedName>
    <definedName name="ㅇGFGFH" localSheetId="2" hidden="1">{#N/A,#N/A,FALSE,"96 3월물량표";#N/A,#N/A,FALSE,"96 4월물량표";#N/A,#N/A,FALSE,"96 5월물량표"}</definedName>
    <definedName name="ㅇGFGFH" localSheetId="5" hidden="1">{#N/A,#N/A,FALSE,"96 3월물량표";#N/A,#N/A,FALSE,"96 4월물량표";#N/A,#N/A,FALSE,"96 5월물량표"}</definedName>
    <definedName name="ㅇGFGFH" hidden="1">{#N/A,#N/A,FALSE,"96 3월물량표";#N/A,#N/A,FALSE,"96 4월물량표";#N/A,#N/A,FALSE,"96 5월물량표"}</definedName>
    <definedName name="ㅇㄴ">{0.1;0;0.382758620689655;0;0;0;0.258620689655172;0;0.258620689655172}</definedName>
    <definedName name="ㅇㄴㄻ">[67]대환취급!$A$1:$N$3416</definedName>
    <definedName name="ㅇㄴㅇㅇ" localSheetId="2" hidden="1">{#N/A,#N/A,FALSE,"UNIT";#N/A,#N/A,FALSE,"UNIT";#N/A,#N/A,FALSE,"계정"}</definedName>
    <definedName name="ㅇㄴㅇㅇ" localSheetId="5" hidden="1">{#N/A,#N/A,FALSE,"UNIT";#N/A,#N/A,FALSE,"UNIT";#N/A,#N/A,FALSE,"계정"}</definedName>
    <definedName name="ㅇㄴㅇㅇ" hidden="1">{#N/A,#N/A,FALSE,"UNIT";#N/A,#N/A,FALSE,"UNIT";#N/A,#N/A,FALSE,"계정"}</definedName>
    <definedName name="ㅇㄷㄷ" localSheetId="2" hidden="1">{#N/A,#N/A,TRUE,"Y생산";#N/A,#N/A,TRUE,"Y판매";#N/A,#N/A,TRUE,"Y총물량";#N/A,#N/A,TRUE,"Y능력";#N/A,#N/A,TRUE,"YKD"}</definedName>
    <definedName name="ㅇㄷㄷ" localSheetId="5" hidden="1">{#N/A,#N/A,TRUE,"Y생산";#N/A,#N/A,TRUE,"Y판매";#N/A,#N/A,TRUE,"Y총물량";#N/A,#N/A,TRUE,"Y능력";#N/A,#N/A,TRUE,"YKD"}</definedName>
    <definedName name="ㅇㄷㄷ" hidden="1">{#N/A,#N/A,TRUE,"Y생산";#N/A,#N/A,TRUE,"Y판매";#N/A,#N/A,TRUE,"Y총물량";#N/A,#N/A,TRUE,"Y능력";#N/A,#N/A,TRUE,"YKD"}</definedName>
    <definedName name="ㅇㄹ" localSheetId="2" hidden="1">{#N/A,#N/A,FALSE,"주요여수신";#N/A,#N/A,FALSE,"수신금리";#N/A,#N/A,FALSE,"대출금리";#N/A,#N/A,FALSE,"신규대출";#N/A,#N/A,FALSE,"총액대출"}</definedName>
    <definedName name="ㅇㄹ" localSheetId="5" hidden="1">{#N/A,#N/A,FALSE,"주요여수신";#N/A,#N/A,FALSE,"수신금리";#N/A,#N/A,FALSE,"대출금리";#N/A,#N/A,FALSE,"신규대출";#N/A,#N/A,FALSE,"총액대출"}</definedName>
    <definedName name="ㅇㄹ" hidden="1">{#N/A,#N/A,FALSE,"주요여수신";#N/A,#N/A,FALSE,"수신금리";#N/A,#N/A,FALSE,"대출금리";#N/A,#N/A,FALSE,"신규대출";#N/A,#N/A,FALSE,"총액대출"}</definedName>
    <definedName name="ㅇㄹㅇㄴㄹㄴㅇ" localSheetId="2" hidden="1">#REF!</definedName>
    <definedName name="ㅇㄹㅇㄴㄹㄴㅇ" localSheetId="5" hidden="1">#REF!</definedName>
    <definedName name="ㅇㄹㅇㄴㄹㄴㅇ" hidden="1">#REF!</definedName>
    <definedName name="ㅇㄻㄴㅇ" localSheetId="2" hidden="1">{#N/A,#N/A,FALSE,"단축1";#N/A,#N/A,FALSE,"단축2";#N/A,#N/A,FALSE,"단축3";#N/A,#N/A,FALSE,"장축";#N/A,#N/A,FALSE,"4WD"}</definedName>
    <definedName name="ㅇㄻㄴㅇ" localSheetId="5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ㅀㄴㅇㅀ">[67]대환취급!$A$1:$N$3416</definedName>
    <definedName name="ㅇㅇ" localSheetId="2" hidden="1">{#N/A,#N/A,FALSE,"주요여수신";#N/A,#N/A,FALSE,"수신금리";#N/A,#N/A,FALSE,"대출금리";#N/A,#N/A,FALSE,"신규대출";#N/A,#N/A,FALSE,"총액대출"}</definedName>
    <definedName name="ㅇㅇ" localSheetId="5" hidden="1">{#N/A,#N/A,FALSE,"주요여수신";#N/A,#N/A,FALSE,"수신금리";#N/A,#N/A,FALSE,"대출금리";#N/A,#N/A,FALSE,"신규대출";#N/A,#N/A,FALSE,"총액대출"}</definedName>
    <definedName name="ㅇㅇ" hidden="1">{#N/A,#N/A,FALSE,"주요여수신";#N/A,#N/A,FALSE,"수신금리";#N/A,#N/A,FALSE,"대출금리";#N/A,#N/A,FALSE,"신규대출";#N/A,#N/A,FALSE,"총액대출"}</definedName>
    <definedName name="ㅇㅇㄹㄹ" localSheetId="2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localSheetId="2" hidden="1">{#N/A,#N/A,TRUE,"Y생산";#N/A,#N/A,TRUE,"Y판매";#N/A,#N/A,TRUE,"Y총물량";#N/A,#N/A,TRUE,"Y능력";#N/A,#N/A,TRUE,"YKD"}</definedName>
    <definedName name="ㅇㅇㅇ" localSheetId="5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ㅇ아아ㅏ앙" localSheetId="2" hidden="1">{#N/A,#N/A,TRUE,"Y생산";#N/A,#N/A,TRUE,"Y판매";#N/A,#N/A,TRUE,"Y총물량";#N/A,#N/A,TRUE,"Y능력";#N/A,#N/A,TRUE,"YKD"}</definedName>
    <definedName name="ㅇ아아ㅏ앙" localSheetId="5" hidden="1">{#N/A,#N/A,TRUE,"Y생산";#N/A,#N/A,TRUE,"Y판매";#N/A,#N/A,TRUE,"Y총물량";#N/A,#N/A,TRUE,"Y능력";#N/A,#N/A,TRUE,"YKD"}</definedName>
    <definedName name="ㅇ아아ㅏ앙" hidden="1">{#N/A,#N/A,TRUE,"Y생산";#N/A,#N/A,TRUE,"Y판매";#N/A,#N/A,TRUE,"Y총물량";#N/A,#N/A,TRUE,"Y능력";#N/A,#N/A,TRUE,"YKD"}</definedName>
    <definedName name="ㅇㅎ" localSheetId="2" hidden="1">{#N/A,#N/A,FALSE,"단축1";#N/A,#N/A,FALSE,"단축2";#N/A,#N/A,FALSE,"단축3";#N/A,#N/A,FALSE,"장축";#N/A,#N/A,FALSE,"4WD"}</definedName>
    <definedName name="ㅇㅎ" localSheetId="5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ㅎㄹ" localSheetId="2" hidden="1">{#N/A,#N/A,TRUE,"Y생산";#N/A,#N/A,TRUE,"Y판매";#N/A,#N/A,TRUE,"Y총물량";#N/A,#N/A,TRUE,"Y능력";#N/A,#N/A,TRUE,"YKD"}</definedName>
    <definedName name="ㅇㅎㄹ" localSheetId="5" hidden="1">{#N/A,#N/A,TRUE,"Y생산";#N/A,#N/A,TRUE,"Y판매";#N/A,#N/A,TRUE,"Y총물량";#N/A,#N/A,TRUE,"Y능력";#N/A,#N/A,TRUE,"YKD"}</definedName>
    <definedName name="ㅇㅎㄹ" hidden="1">{#N/A,#N/A,TRUE,"Y생산";#N/A,#N/A,TRUE,"Y판매";#N/A,#N/A,TRUE,"Y총물량";#N/A,#N/A,TRUE,"Y능력";#N/A,#N/A,TRUE,"YKD"}</definedName>
    <definedName name="아아아" localSheetId="2" hidden="1">{#N/A,#N/A,FALSE,"기술료 비교"}</definedName>
    <definedName name="아아아" localSheetId="5" hidden="1">{#N/A,#N/A,FALSE,"기술료 비교"}</definedName>
    <definedName name="아아아" hidden="1">{#N/A,#N/A,FALSE,"기술료 비교"}</definedName>
    <definedName name="아이다" localSheetId="2" hidden="1">{#N/A,#N/A,TRUE,"Y생산";#N/A,#N/A,TRUE,"Y판매";#N/A,#N/A,TRUE,"Y총물량";#N/A,#N/A,TRUE,"Y능력";#N/A,#N/A,TRUE,"YKD"}</definedName>
    <definedName name="아이다" localSheetId="5" hidden="1">{#N/A,#N/A,TRUE,"Y생산";#N/A,#N/A,TRUE,"Y판매";#N/A,#N/A,TRUE,"Y총물량";#N/A,#N/A,TRUE,"Y능력";#N/A,#N/A,TRUE,"YKD"}</definedName>
    <definedName name="아이다" hidden="1">{#N/A,#N/A,TRUE,"Y생산";#N/A,#N/A,TRUE,"Y판매";#N/A,#N/A,TRUE,"Y총물량";#N/A,#N/A,TRUE,"Y능력";#N/A,#N/A,TRUE,"YKD"}</definedName>
    <definedName name="아ㅓㅓㅁ나ㅗㄹㄴㅁ">[68]담보명세!$B$1:$AD$4</definedName>
    <definedName name="아ㅓㅣ니" localSheetId="2" hidden="1">{#N/A,#N/A,TRUE,"Y생산";#N/A,#N/A,TRUE,"Y판매";#N/A,#N/A,TRUE,"Y총물량";#N/A,#N/A,TRUE,"Y능력";#N/A,#N/A,TRUE,"YKD"}</definedName>
    <definedName name="아ㅓㅣ니" localSheetId="5" hidden="1">{#N/A,#N/A,TRUE,"Y생산";#N/A,#N/A,TRUE,"Y판매";#N/A,#N/A,TRUE,"Y총물량";#N/A,#N/A,TRUE,"Y능력";#N/A,#N/A,TRUE,"YKD"}</definedName>
    <definedName name="아ㅓㅣ니" hidden="1">{#N/A,#N/A,TRUE,"Y생산";#N/A,#N/A,TRUE,"Y판매";#N/A,#N/A,TRUE,"Y총물량";#N/A,#N/A,TRUE,"Y능력";#N/A,#N/A,TRUE,"YKD"}</definedName>
    <definedName name="악기">'[4]1담당0113'!$F$175</definedName>
    <definedName name="악기1">'[4]2담당0113'!$F$300</definedName>
    <definedName name="야" localSheetId="2" hidden="1">{#N/A,#N/A,TRUE,"Y생산";#N/A,#N/A,TRUE,"Y판매";#N/A,#N/A,TRUE,"Y총물량";#N/A,#N/A,TRUE,"Y능력";#N/A,#N/A,TRUE,"YKD"}</definedName>
    <definedName name="야" localSheetId="5" hidden="1">{#N/A,#N/A,TRUE,"Y생산";#N/A,#N/A,TRUE,"Y판매";#N/A,#N/A,TRUE,"Y총물량";#N/A,#N/A,TRUE,"Y능력";#N/A,#N/A,TRUE,"YKD"}</definedName>
    <definedName name="야" hidden="1">{#N/A,#N/A,TRUE,"Y생산";#N/A,#N/A,TRUE,"Y판매";#N/A,#N/A,TRUE,"Y총물량";#N/A,#N/A,TRUE,"Y능력";#N/A,#N/A,TRUE,"YKD"}</definedName>
    <definedName name="양식4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>'[60]진행(자99,2000)'!$B$1238:$L$2000</definedName>
    <definedName name="에이" localSheetId="2" hidden="1">{#N/A,#N/A,TRUE,"Y생산";#N/A,#N/A,TRUE,"Y판매";#N/A,#N/A,TRUE,"Y총물량";#N/A,#N/A,TRUE,"Y능력";#N/A,#N/A,TRUE,"YKD"}</definedName>
    <definedName name="에이" localSheetId="5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 localSheetId="2" hidden="1">{#N/A,#N/A,FALSE,"단축1";#N/A,#N/A,FALSE,"단축2";#N/A,#N/A,FALSE,"단축3";#N/A,#N/A,FALSE,"장축";#N/A,#N/A,FALSE,"4WD"}</definedName>
    <definedName name="엔진" localSheetId="5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여력" localSheetId="2" hidden="1">{#N/A,#N/A,TRUE,"Y생산";#N/A,#N/A,TRUE,"Y판매";#N/A,#N/A,TRUE,"Y총물량";#N/A,#N/A,TRUE,"Y능력";#N/A,#N/A,TRUE,"YKD"}</definedName>
    <definedName name="여력" localSheetId="5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localSheetId="2" hidden="1">{#N/A,#N/A,FALSE,"96 3월물량표";#N/A,#N/A,FALSE,"96 4월물량표";#N/A,#N/A,FALSE,"96 5월물량표"}</definedName>
    <definedName name="여력인원" localSheetId="5" hidden="1">{#N/A,#N/A,FALSE,"96 3월물량표";#N/A,#N/A,FALSE,"96 4월물량표";#N/A,#N/A,FALSE,"96 5월물량표"}</definedName>
    <definedName name="여력인원" hidden="1">{#N/A,#N/A,FALSE,"96 3월물량표";#N/A,#N/A,FALSE,"96 4월물량표";#N/A,#N/A,FALSE,"96 5월물량표"}</definedName>
    <definedName name="연간예상" localSheetId="2" hidden="1">{#N/A,#N/A,FALSE,"UNIT";#N/A,#N/A,FALSE,"UNIT";#N/A,#N/A,FALSE,"계정"}</definedName>
    <definedName name="연간예상" localSheetId="5" hidden="1">{#N/A,#N/A,FALSE,"UNIT";#N/A,#N/A,FALSE,"UNIT";#N/A,#N/A,FALSE,"계정"}</definedName>
    <definedName name="연간예상" hidden="1">{#N/A,#N/A,FALSE,"UNIT";#N/A,#N/A,FALSE,"UNIT";#N/A,#N/A,FALSE,"계정"}</definedName>
    <definedName name="연구개발비_금감원" localSheetId="2" hidden="1">{#N/A,#N/A,FALSE,"보험현황";#N/A,#N/A,FALSE,"보험현황"}</definedName>
    <definedName name="연구개발비_금감원" localSheetId="5" hidden="1">{#N/A,#N/A,FALSE,"보험현황";#N/A,#N/A,FALSE,"보험현황"}</definedName>
    <definedName name="연구개발비_금감원" hidden="1">{#N/A,#N/A,FALSE,"보험현황";#N/A,#N/A,FALSE,"보험현황"}</definedName>
    <definedName name="연금대변">'[28]합동별(기표용)'!$AE$1:$AE$65536</definedName>
    <definedName name="연금차변">'[28]합동별(기표용)'!$J$1:$J$65536</definedName>
    <definedName name="연말손익" localSheetId="2" hidden="1">{#N/A,#N/A,FALSE,"UNIT";#N/A,#N/A,FALSE,"UNIT";#N/A,#N/A,FALSE,"계정"}</definedName>
    <definedName name="연말손익" localSheetId="5" hidden="1">{#N/A,#N/A,FALSE,"UNIT";#N/A,#N/A,FALSE,"UNIT";#N/A,#N/A,FALSE,"계정"}</definedName>
    <definedName name="연말손익" hidden="1">{#N/A,#N/A,FALSE,"UNIT";#N/A,#N/A,FALSE,"UNIT";#N/A,#N/A,FALSE,"계정"}</definedName>
    <definedName name="연체">{0.1;0;0.382758620689655;0;0;0;0.258620689655172;0;0.258620689655172}</definedName>
    <definedName name="연체조회">[27]!연체조회</definedName>
    <definedName name="열처리" localSheetId="2" hidden="1">{#N/A,#N/A,FALSE,"단축1";#N/A,#N/A,FALSE,"단축2";#N/A,#N/A,FALSE,"단축3";#N/A,#N/A,FALSE,"장축";#N/A,#N/A,FALSE,"4WD"}</definedName>
    <definedName name="열처리" localSheetId="5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" localSheetId="2" hidden="1">#REF!</definedName>
    <definedName name="영업" localSheetId="5" hidden="1">#REF!</definedName>
    <definedName name="영업" hidden="1">#REF!</definedName>
    <definedName name="예비분석적검토" localSheetId="2" hidden="1">{#N/A,#N/A,FALSE,"COL-HIS"}</definedName>
    <definedName name="예비분석적검토" localSheetId="5" hidden="1">{#N/A,#N/A,FALSE,"COL-HIS"}</definedName>
    <definedName name="예비분석적검토" hidden="1">{#N/A,#N/A,FALSE,"COL-HIS"}</definedName>
    <definedName name="예산" localSheetId="2" hidden="1">{#N/A,#N/A,FALSE,"단축1";#N/A,#N/A,FALSE,"단축2";#N/A,#N/A,FALSE,"단축3";#N/A,#N/A,FALSE,"장축";#N/A,#N/A,FALSE,"4WD"}</definedName>
    <definedName name="예산" localSheetId="5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4" localSheetId="2" hidden="1">{#N/A,#N/A,TRUE,"Y생산";#N/A,#N/A,TRUE,"Y판매";#N/A,#N/A,TRUE,"Y총물량";#N/A,#N/A,TRUE,"Y능력";#N/A,#N/A,TRUE,"YKD"}</definedName>
    <definedName name="예산4" localSheetId="5" hidden="1">{#N/A,#N/A,TRUE,"Y생산";#N/A,#N/A,TRUE,"Y판매";#N/A,#N/A,TRUE,"Y총물량";#N/A,#N/A,TRUE,"Y능력";#N/A,#N/A,TRUE,"YKD"}</definedName>
    <definedName name="예산4" hidden="1">{#N/A,#N/A,TRUE,"Y생산";#N/A,#N/A,TRUE,"Y판매";#N/A,#N/A,TRUE,"Y총물량";#N/A,#N/A,TRUE,"Y능력";#N/A,#N/A,TRUE,"YKD"}</definedName>
    <definedName name="예산수정" localSheetId="2" hidden="1">{#N/A,#N/A,TRUE,"Y생산";#N/A,#N/A,TRUE,"Y판매";#N/A,#N/A,TRUE,"Y총물량";#N/A,#N/A,TRUE,"Y능력";#N/A,#N/A,TRUE,"YKD"}</definedName>
    <definedName name="예산수정" localSheetId="5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상" localSheetId="2" hidden="1">{#N/A,#N/A,FALSE,"단축1";#N/A,#N/A,FALSE,"단축2";#N/A,#N/A,FALSE,"단축3";#N/A,#N/A,FALSE,"장축";#N/A,#N/A,FALSE,"4WD"}</definedName>
    <definedName name="예상" localSheetId="5" hidden="1">{#N/A,#N/A,FALSE,"단축1";#N/A,#N/A,FALSE,"단축2";#N/A,#N/A,FALSE,"단축3";#N/A,#N/A,FALSE,"장축";#N/A,#N/A,FALSE,"4WD"}</definedName>
    <definedName name="예상" hidden="1">{#N/A,#N/A,FALSE,"단축1";#N/A,#N/A,FALSE,"단축2";#N/A,#N/A,FALSE,"단축3";#N/A,#N/A,FALSE,"장축";#N/A,#N/A,FALSE,"4WD"}</definedName>
    <definedName name="예상매출" localSheetId="2" hidden="1">{#N/A,#N/A,TRUE,"Y생산";#N/A,#N/A,TRUE,"Y판매";#N/A,#N/A,TRUE,"Y총물량";#N/A,#N/A,TRUE,"Y능력";#N/A,#N/A,TRUE,"YKD"}</definedName>
    <definedName name="예상매출" localSheetId="5" hidden="1">{#N/A,#N/A,TRUE,"Y생산";#N/A,#N/A,TRUE,"Y판매";#N/A,#N/A,TRUE,"Y총물량";#N/A,#N/A,TRUE,"Y능력";#N/A,#N/A,TRUE,"YKD"}</definedName>
    <definedName name="예상매출" hidden="1">{#N/A,#N/A,TRUE,"Y생산";#N/A,#N/A,TRUE,"Y판매";#N/A,#N/A,TRUE,"Y총물량";#N/A,#N/A,TRUE,"Y능력";#N/A,#N/A,TRUE,"YKD"}</definedName>
    <definedName name="오" localSheetId="2" hidden="1">{#N/A,#N/A,FALSE,"UNIT";#N/A,#N/A,FALSE,"UNIT";#N/A,#N/A,FALSE,"계정"}</definedName>
    <definedName name="오" localSheetId="5" hidden="1">{#N/A,#N/A,FALSE,"UNIT";#N/A,#N/A,FALSE,"UNIT";#N/A,#N/A,FALSE,"계정"}</definedName>
    <definedName name="오" hidden="1">{#N/A,#N/A,FALSE,"UNIT";#N/A,#N/A,FALSE,"UNIT";#N/A,#N/A,FALSE,"계정"}</definedName>
    <definedName name="오." localSheetId="2" hidden="1">{#N/A,#N/A,FALSE,"UNIT";#N/A,#N/A,FALSE,"UNIT";#N/A,#N/A,FALSE,"계정"}</definedName>
    <definedName name="오." localSheetId="5" hidden="1">{#N/A,#N/A,FALSE,"UNIT";#N/A,#N/A,FALSE,"UNIT";#N/A,#N/A,FALSE,"계정"}</definedName>
    <definedName name="오." hidden="1">{#N/A,#N/A,FALSE,"UNIT";#N/A,#N/A,FALSE,"UNIT";#N/A,#N/A,FALSE,"계정"}</definedName>
    <definedName name="오.." localSheetId="2" hidden="1">{#N/A,#N/A,FALSE,"UNIT";#N/A,#N/A,FALSE,"UNIT";#N/A,#N/A,FALSE,"계정"}</definedName>
    <definedName name="오.." localSheetId="5" hidden="1">{#N/A,#N/A,FALSE,"UNIT";#N/A,#N/A,FALSE,"UNIT";#N/A,#N/A,FALSE,"계정"}</definedName>
    <definedName name="오.." hidden="1">{#N/A,#N/A,FALSE,"UNIT";#N/A,#N/A,FALSE,"UNIT";#N/A,#N/A,FALSE,"계정"}</definedName>
    <definedName name="오늘" localSheetId="2" hidden="1">{#N/A,#N/A,TRUE,"Y생산";#N/A,#N/A,TRUE,"Y판매";#N/A,#N/A,TRUE,"Y총물량";#N/A,#N/A,TRUE,"Y능력";#N/A,#N/A,TRUE,"YKD"}</definedName>
    <definedName name="오늘" localSheetId="5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성협" localSheetId="2" hidden="1">{#N/A,#N/A,TRUE,"Y생산";#N/A,#N/A,TRUE,"Y판매";#N/A,#N/A,TRUE,"Y총물량";#N/A,#N/A,TRUE,"Y능력";#N/A,#N/A,TRUE,"YKD"}</definedName>
    <definedName name="오성협" localSheetId="5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익환" localSheetId="2" hidden="1">{#N/A,#N/A,FALSE,"단축1";#N/A,#N/A,FALSE,"단축2";#N/A,#N/A,FALSE,"단축3";#N/A,#N/A,FALSE,"장축";#N/A,#N/A,FALSE,"4WD"}</definedName>
    <definedName name="오익환" localSheetId="5" hidden="1">{#N/A,#N/A,FALSE,"단축1";#N/A,#N/A,FALSE,"단축2";#N/A,#N/A,FALSE,"단축3";#N/A,#N/A,FALSE,"장축";#N/A,#N/A,FALSE,"4WD"}</definedName>
    <definedName name="오익환" hidden="1">{#N/A,#N/A,FALSE,"단축1";#N/A,#N/A,FALSE,"단축2";#N/A,#N/A,FALSE,"단축3";#N/A,#N/A,FALSE,"장축";#N/A,#N/A,FALSE,"4WD"}</definedName>
    <definedName name="오정진" localSheetId="2" hidden="1">{#N/A,#N/A,FALSE,"96 3월물량표";#N/A,#N/A,FALSE,"96 4월물량표";#N/A,#N/A,FALSE,"96 5월물량표"}</definedName>
    <definedName name="오정진" localSheetId="5" hidden="1">{#N/A,#N/A,FALSE,"96 3월물량표";#N/A,#N/A,FALSE,"96 4월물량표";#N/A,#N/A,FALSE,"96 5월물량표"}</definedName>
    <definedName name="오정진" hidden="1">{#N/A,#N/A,FALSE,"96 3월물량표";#N/A,#N/A,FALSE,"96 4월물량표";#N/A,#N/A,FALSE,"96 5월물량표"}</definedName>
    <definedName name="외상매입1" localSheetId="2" hidden="1">{#N/A,#N/A,FALSE,"BS";#N/A,#N/A,FALSE,"PL";#N/A,#N/A,FALSE,"처분";#N/A,#N/A,FALSE,"현금";#N/A,#N/A,FALSE,"매출";#N/A,#N/A,FALSE,"원가";#N/A,#N/A,FALSE,"경영"}</definedName>
    <definedName name="외상매입1" localSheetId="5" hidden="1">{#N/A,#N/A,FALSE,"BS";#N/A,#N/A,FALSE,"PL";#N/A,#N/A,FALSE,"처분";#N/A,#N/A,FALSE,"현금";#N/A,#N/A,FALSE,"매출";#N/A,#N/A,FALSE,"원가";#N/A,#N/A,FALSE,"경영"}</definedName>
    <definedName name="외상매입1" hidden="1">{#N/A,#N/A,FALSE,"BS";#N/A,#N/A,FALSE,"PL";#N/A,#N/A,FALSE,"처분";#N/A,#N/A,FALSE,"현금";#N/A,#N/A,FALSE,"매출";#N/A,#N/A,FALSE,"원가";#N/A,#N/A,FALSE,"경영"}</definedName>
    <definedName name="외주계획" localSheetId="2" hidden="1">{#N/A,#N/A,TRUE,"Y생산";#N/A,#N/A,TRUE,"Y판매";#N/A,#N/A,TRUE,"Y총물량";#N/A,#N/A,TRUE,"Y능력";#N/A,#N/A,TRUE,"YKD"}</definedName>
    <definedName name="외주계획" localSheetId="5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2" hidden="1">#REF!</definedName>
    <definedName name="요약" localSheetId="5" hidden="1">#REF!</definedName>
    <definedName name="요약" hidden="1">#REF!</definedName>
    <definedName name="용도차" localSheetId="2" hidden="1">{#N/A,#N/A,FALSE,"단축1";#N/A,#N/A,FALSE,"단축2";#N/A,#N/A,FALSE,"단축3";#N/A,#N/A,FALSE,"장축";#N/A,#N/A,FALSE,"4WD"}</definedName>
    <definedName name="용도차" localSheetId="5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2" hidden="1">{#N/A,#N/A,TRUE,"Y생산";#N/A,#N/A,TRUE,"Y판매";#N/A,#N/A,TRUE,"Y총물량";#N/A,#N/A,TRUE,"Y능력";#N/A,#N/A,TRUE,"YKD"}</definedName>
    <definedName name="용역" localSheetId="5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{#N/A,#N/A,FALSE,"표지";#N/A,#N/A,FALSE,"전제";#N/A,#N/A,FALSE,"손익-자 (2)";#N/A,#N/A,FALSE,"손익-자";#N/A,#N/A,FALSE,"손익-마 (2)";#N/A,#N/A,FALSE,"손익-마";#N/A,#N/A,FALSE,"총손최종"}</definedName>
    <definedName name="우리" localSheetId="5" hidden="1">{#N/A,#N/A,FALSE,"표지";#N/A,#N/A,FALSE,"전제";#N/A,#N/A,FALSE,"손익-자 (2)";#N/A,#N/A,FALSE,"손익-자";#N/A,#N/A,FALSE,"손익-마 (2)";#N/A,#N/A,FALSE,"손익-마";#N/A,#N/A,FALSE,"총손최종"}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우리가" localSheetId="2" hidden="1">{#N/A,#N/A,TRUE,"Y생산";#N/A,#N/A,TRUE,"Y판매";#N/A,#N/A,TRUE,"Y총물량";#N/A,#N/A,TRUE,"Y능력";#N/A,#N/A,TRUE,"YKD"}</definedName>
    <definedName name="우리가" localSheetId="5" hidden="1">{#N/A,#N/A,TRUE,"Y생산";#N/A,#N/A,TRUE,"Y판매";#N/A,#N/A,TRUE,"Y총물량";#N/A,#N/A,TRUE,"Y능력";#N/A,#N/A,TRUE,"YKD"}</definedName>
    <definedName name="우리가" hidden="1">{#N/A,#N/A,TRUE,"Y생산";#N/A,#N/A,TRUE,"Y판매";#N/A,#N/A,TRUE,"Y총물량";#N/A,#N/A,TRUE,"Y능력";#N/A,#N/A,TRUE,"YKD"}</definedName>
    <definedName name="우리나라" localSheetId="2" hidden="1">{#N/A,#N/A,TRUE,"Y생산";#N/A,#N/A,TRUE,"Y판매";#N/A,#N/A,TRUE,"Y총물량";#N/A,#N/A,TRUE,"Y능력";#N/A,#N/A,TRUE,"YKD"}</definedName>
    <definedName name="우리나라" localSheetId="5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사주대여금" localSheetId="2" hidden="1">#REF!</definedName>
    <definedName name="우리사주대여금" localSheetId="5" hidden="1">#REF!</definedName>
    <definedName name="우리사주대여금" hidden="1">#REF!</definedName>
    <definedName name="우발성선순위공제율">[31]Assumption!$D$33</definedName>
    <definedName name="운영1" localSheetId="2" hidden="1">{#N/A,#N/A,FALSE,"단축1";#N/A,#N/A,FALSE,"단축2";#N/A,#N/A,FALSE,"단축3";#N/A,#N/A,FALSE,"장축";#N/A,#N/A,FALSE,"4WD"}</definedName>
    <definedName name="운영1" localSheetId="5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용리스" localSheetId="2" hidden="1">{"'매출'!$A$1:$I$22"}</definedName>
    <definedName name="운용리스" localSheetId="5" hidden="1">{"'매출'!$A$1:$I$22"}</definedName>
    <definedName name="운용리스" hidden="1">{"'매출'!$A$1:$I$22"}</definedName>
    <definedName name="운용리스1" localSheetId="2" hidden="1">{"'매출'!$A$1:$I$22"}</definedName>
    <definedName name="운용리스1" localSheetId="5" hidden="1">{"'매출'!$A$1:$I$22"}</definedName>
    <definedName name="운용리스1" hidden="1">{"'매출'!$A$1:$I$22"}</definedName>
    <definedName name="웃겨">[7]보고서!prt6bv7cc30</definedName>
    <definedName name="원" localSheetId="2" hidden="1">{#N/A,#N/A,TRUE,"Y생산";#N/A,#N/A,TRUE,"Y판매";#N/A,#N/A,TRUE,"Y총물량";#N/A,#N/A,TRUE,"Y능력";#N/A,#N/A,TRUE,"YKD"}</definedName>
    <definedName name="원" localSheetId="5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테이블" localSheetId="2" hidden="1">{#N/A,#N/A,TRUE,"Y생산";#N/A,#N/A,TRUE,"Y판매";#N/A,#N/A,TRUE,"Y총물량";#N/A,#N/A,TRUE,"Y능력";#N/A,#N/A,TRUE,"YKD"}</definedName>
    <definedName name="원가테이블" localSheetId="5" hidden="1">{#N/A,#N/A,TRUE,"Y생산";#N/A,#N/A,TRUE,"Y판매";#N/A,#N/A,TRUE,"Y총물량";#N/A,#N/A,TRUE,"Y능력";#N/A,#N/A,TRUE,"YKD"}</definedName>
    <definedName name="원가테이블" hidden="1">{#N/A,#N/A,TRUE,"Y생산";#N/A,#N/A,TRUE,"Y판매";#N/A,#N/A,TRUE,"Y총물량";#N/A,#N/A,TRUE,"Y능력";#N/A,#N/A,TRUE,"YKD"}</definedName>
    <definedName name="원가화" localSheetId="2" hidden="1">{#N/A,#N/A,TRUE,"Y생산";#N/A,#N/A,TRUE,"Y판매";#N/A,#N/A,TRUE,"Y총물량";#N/A,#N/A,TRUE,"Y능력";#N/A,#N/A,TRUE,"YKD"}</definedName>
    <definedName name="원가화" localSheetId="5" hidden="1">{#N/A,#N/A,TRUE,"Y생산";#N/A,#N/A,TRUE,"Y판매";#N/A,#N/A,TRUE,"Y총물량";#N/A,#N/A,TRUE,"Y능력";#N/A,#N/A,TRUE,"YKD"}</definedName>
    <definedName name="원가화" hidden="1">{#N/A,#N/A,TRUE,"Y생산";#N/A,#N/A,TRUE,"Y판매";#N/A,#N/A,TRUE,"Y총물량";#N/A,#N/A,TRUE,"Y능력";#N/A,#N/A,TRUE,"YKD"}</definedName>
    <definedName name="원단" localSheetId="2" hidden="1">{#N/A,#N/A,TRUE,"Y생산";#N/A,#N/A,TRUE,"Y판매";#N/A,#N/A,TRUE,"Y총물량";#N/A,#N/A,TRUE,"Y능력";#N/A,#N/A,TRUE,"YKD"}</definedName>
    <definedName name="원단" localSheetId="5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재료수율3" localSheetId="2" hidden="1">{#N/A,#N/A,FALSE,"96 3월물량표";#N/A,#N/A,FALSE,"96 4월물량표";#N/A,#N/A,FALSE,"96 5월물량표"}</definedName>
    <definedName name="원재료수율3" localSheetId="5" hidden="1">{#N/A,#N/A,FALSE,"96 3월물량표";#N/A,#N/A,FALSE,"96 4월물량표";#N/A,#N/A,FALSE,"96 5월물량표"}</definedName>
    <definedName name="원재료수율3" hidden="1">{#N/A,#N/A,FALSE,"96 3월물량표";#N/A,#N/A,FALSE,"96 4월물량표";#N/A,#N/A,FALSE,"96 5월물량표"}</definedName>
    <definedName name="월별일정" localSheetId="2" hidden="1">{#N/A,#N/A,FALSE,"단축1";#N/A,#N/A,FALSE,"단축2";#N/A,#N/A,FALSE,"단축3";#N/A,#N/A,FALSE,"장축";#N/A,#N/A,FALSE,"4WD"}</definedName>
    <definedName name="월별일정" localSheetId="5" hidden="1">{#N/A,#N/A,FALSE,"단축1";#N/A,#N/A,FALSE,"단축2";#N/A,#N/A,FALSE,"단축3";#N/A,#N/A,FALSE,"장축";#N/A,#N/A,FALSE,"4WD"}</definedName>
    <definedName name="월별일정" hidden="1">{#N/A,#N/A,FALSE,"단축1";#N/A,#N/A,FALSE,"단축2";#N/A,#N/A,FALSE,"단축3";#N/A,#N/A,FALSE,"장축";#N/A,#N/A,FALSE,"4WD"}</definedName>
    <definedName name="유가증권" localSheetId="2" hidden="1">{#N/A,#N/A,FALSE,"Aging Summary";#N/A,#N/A,FALSE,"Ratio Analysis";#N/A,#N/A,FALSE,"Test 120 Day Accts";#N/A,#N/A,FALSE,"Tickmarks"}</definedName>
    <definedName name="유가증권" localSheetId="5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금감원" localSheetId="2" hidden="1">{#N/A,#N/A,FALSE,"보험현황";#N/A,#N/A,FALSE,"보험현황"}</definedName>
    <definedName name="유가증권_금감원" localSheetId="5" hidden="1">{#N/A,#N/A,FALSE,"보험현황";#N/A,#N/A,FALSE,"보험현황"}</definedName>
    <definedName name="유가증권_금감원" hidden="1">{#N/A,#N/A,FALSE,"보험현황";#N/A,#N/A,FALSE,"보험현황"}</definedName>
    <definedName name="유럽" localSheetId="2" hidden="1">{#N/A,#N/A,FALSE,"단축1";#N/A,#N/A,FALSE,"단축2";#N/A,#N/A,FALSE,"단축3";#N/A,#N/A,FALSE,"장축";#N/A,#N/A,FALSE,"4WD"}</definedName>
    <definedName name="유럽" localSheetId="5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찰수수료">[65]Assumption!$C$68</definedName>
    <definedName name="유첨.투자비2" localSheetId="2" hidden="1">{#N/A,#N/A,FALSE,"단축1";#N/A,#N/A,FALSE,"단축2";#N/A,#N/A,FALSE,"단축3";#N/A,#N/A,FALSE,"장축";#N/A,#N/A,FALSE,"4WD"}</definedName>
    <definedName name="유첨.투자비2" localSheetId="5" hidden="1">{#N/A,#N/A,FALSE,"단축1";#N/A,#N/A,FALSE,"단축2";#N/A,#N/A,FALSE,"단축3";#N/A,#N/A,FALSE,"장축";#N/A,#N/A,FALSE,"4WD"}</definedName>
    <definedName name="유첨.투자비2" hidden="1">{#N/A,#N/A,FALSE,"단축1";#N/A,#N/A,FALSE,"단축2";#N/A,#N/A,FALSE,"단축3";#N/A,#N/A,FALSE,"장축";#N/A,#N/A,FALSE,"4WD"}</definedName>
    <definedName name="유형자산명세_금감원" localSheetId="2" hidden="1">{#N/A,#N/A,FALSE,"보험현황";#N/A,#N/A,FALSE,"보험현황"}</definedName>
    <definedName name="유형자산명세_금감원" localSheetId="5" hidden="1">{#N/A,#N/A,FALSE,"보험현황";#N/A,#N/A,FALSE,"보험현황"}</definedName>
    <definedName name="유형자산명세_금감원" hidden="1">{#N/A,#N/A,FALSE,"보험현황";#N/A,#N/A,FALSE,"보험현황"}</definedName>
    <definedName name="유효" localSheetId="2" hidden="1">{#N/A,#N/A,FALSE,"주요여수신";#N/A,#N/A,FALSE,"수신금리";#N/A,#N/A,FALSE,"대출금리";#N/A,#N/A,FALSE,"신규대출";#N/A,#N/A,FALSE,"총액대출"}</definedName>
    <definedName name="유효" localSheetId="5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은행">'[62]R data - PF대출(건별)'!$K$2:$K$1880</definedName>
    <definedName name="을지자동">[30]실행!$B$6,[30]실행!$J$6,[30]실행!$R$6,[30]실행!$Z$6,[30]실행!$AH$6,[30]실행!$AP$6,[30]실행!$AX$6</definedName>
    <definedName name="이" localSheetId="2" hidden="1">{#N/A,#N/A,FALSE,"96 3월물량표";#N/A,#N/A,FALSE,"96 4월물량표";#N/A,#N/A,FALSE,"96 5월물량표"}</definedName>
    <definedName name="이" localSheetId="5" hidden="1">{#N/A,#N/A,FALSE,"96 3월물량표";#N/A,#N/A,FALSE,"96 4월물량표";#N/A,#N/A,FALSE,"96 5월물량표"}</definedName>
    <definedName name="이" hidden="1">{#N/A,#N/A,FALSE,"96 3월물량표";#N/A,#N/A,FALSE,"96 4월물량표";#N/A,#N/A,FALSE,"96 5월물량표"}</definedName>
    <definedName name="이근한" localSheetId="2" hidden="1">{#N/A,#N/A,FALSE,"단축1";#N/A,#N/A,FALSE,"단축2";#N/A,#N/A,FALSE,"단축3";#N/A,#N/A,FALSE,"장축";#N/A,#N/A,FALSE,"4WD"}</definedName>
    <definedName name="이근한" localSheetId="5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륜차1">'[4]2담당0113'!$F$257</definedName>
    <definedName name="이를충돌" localSheetId="2" hidden="1">{#N/A,#N/A,TRUE,"Y생산";#N/A,#N/A,TRUE,"Y판매";#N/A,#N/A,TRUE,"Y총물량";#N/A,#N/A,TRUE,"Y능력";#N/A,#N/A,TRUE,"YKD"}</definedName>
    <definedName name="이를충돌" localSheetId="5" hidden="1">{#N/A,#N/A,TRUE,"Y생산";#N/A,#N/A,TRUE,"Y판매";#N/A,#N/A,TRUE,"Y총물량";#N/A,#N/A,TRUE,"Y능력";#N/A,#N/A,TRUE,"YKD"}</definedName>
    <definedName name="이를충돌" hidden="1">{#N/A,#N/A,TRUE,"Y생산";#N/A,#N/A,TRUE,"Y판매";#N/A,#N/A,TRUE,"Y총물량";#N/A,#N/A,TRUE,"Y능력";#N/A,#N/A,TRUE,"YKD"}</definedName>
    <definedName name="이름" localSheetId="2" hidden="1">{#N/A,#N/A,TRUE,"Y생산";#N/A,#N/A,TRUE,"Y판매";#N/A,#N/A,TRUE,"Y총물량";#N/A,#N/A,TRUE,"Y능력";#N/A,#N/A,TRUE,"YKD"}</definedName>
    <definedName name="이름" localSheetId="5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충돌\" localSheetId="2" hidden="1">{#N/A,#N/A,TRUE,"Y생산";#N/A,#N/A,TRUE,"Y판매";#N/A,#N/A,TRUE,"Y총물량";#N/A,#N/A,TRUE,"Y능력";#N/A,#N/A,TRUE,"YKD"}</definedName>
    <definedName name="이름충돌\" localSheetId="5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면">[40]!이면</definedName>
    <definedName name="이상징후사유">[40]!이상징후사유</definedName>
    <definedName name="이연법인세2002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자율">[65]Assumption!$C$14</definedName>
    <definedName name="이해관계인">[37]Assumption!$C$52</definedName>
    <definedName name="이해관계인수">[65]Assumption!$C$70</definedName>
    <definedName name="이행보증금">[31]Summary!$C$39*[31]Assumption!$D$10</definedName>
    <definedName name="이행보증금납부기한">[31]Assumption!$C$10</definedName>
    <definedName name="이행보증금납부일">[65]Assumption!$C$10</definedName>
    <definedName name="인감신고서" localSheetId="2" hidden="1">#REF!</definedName>
    <definedName name="인감신고서" localSheetId="5" hidden="1">#REF!</definedName>
    <definedName name="인감신고서" hidden="1">#REF!</definedName>
    <definedName name="인계" localSheetId="2" hidden="1">{#N/A,#N/A,TRUE,"Y생산";#N/A,#N/A,TRUE,"Y판매";#N/A,#N/A,TRUE,"Y총물량";#N/A,#N/A,TRUE,"Y능력";#N/A,#N/A,TRUE,"YKD"}</definedName>
    <definedName name="인계" localSheetId="5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계획" localSheetId="2" hidden="1">{#N/A,#N/A,TRUE,"Y생산";#N/A,#N/A,TRUE,"Y판매";#N/A,#N/A,TRUE,"Y총물량";#N/A,#N/A,TRUE,"Y능력";#N/A,#N/A,TRUE,"YKD"}</definedName>
    <definedName name="인계획" localSheetId="5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동초" localSheetId="2" hidden="1">{#N/A,#N/A,TRUE,"Y생산";#N/A,#N/A,TRUE,"Y판매";#N/A,#N/A,TRUE,"Y총물량";#N/A,#N/A,TRUE,"Y능력";#N/A,#N/A,TRUE,"YKD"}</definedName>
    <definedName name="인동초" localSheetId="5" hidden="1">{#N/A,#N/A,TRUE,"Y생산";#N/A,#N/A,TRUE,"Y판매";#N/A,#N/A,TRUE,"Y총물량";#N/A,#N/A,TRUE,"Y능력";#N/A,#N/A,TRUE,"YKD"}</definedName>
    <definedName name="인동초" hidden="1">{#N/A,#N/A,TRUE,"Y생산";#N/A,#N/A,TRUE,"Y판매";#N/A,#N/A,TRUE,"Y총물량";#N/A,#N/A,TRUE,"Y능력";#N/A,#N/A,TRUE,"YKD"}</definedName>
    <definedName name="인원세부" localSheetId="2" hidden="1">{#N/A,#N/A,TRUE,"Y생산";#N/A,#N/A,TRUE,"Y판매";#N/A,#N/A,TRUE,"Y총물량";#N/A,#N/A,TRUE,"Y능력";#N/A,#N/A,TRUE,"YKD"}</definedName>
    <definedName name="인원세부" localSheetId="5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localSheetId="2" hidden="1">{#N/A,#N/A,FALSE,"계약직(여)"}</definedName>
    <definedName name="인원충원사유" localSheetId="5" hidden="1">{#N/A,#N/A,FALSE,"계약직(여)"}</definedName>
    <definedName name="인원충원사유" hidden="1">{#N/A,#N/A,FALSE,"계약직(여)"}</definedName>
    <definedName name="인지세">[69]기본Data!$A$61:$D$66</definedName>
    <definedName name="일동" localSheetId="2" hidden="1">{#N/A,#N/A,TRUE,"Y생산";#N/A,#N/A,TRUE,"Y판매";#N/A,#N/A,TRUE,"Y총물량";#N/A,#N/A,TRUE,"Y능력";#N/A,#N/A,TRUE,"YKD"}</definedName>
    <definedName name="일동" localSheetId="5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동성" localSheetId="2" hidden="1">{#N/A,#N/A,TRUE,"Y생산";#N/A,#N/A,TRUE,"Y판매";#N/A,#N/A,TRUE,"Y총물량";#N/A,#N/A,TRUE,"Y능력";#N/A,#N/A,TRUE,"YKD"}</definedName>
    <definedName name="일동성" localSheetId="5" hidden="1">{#N/A,#N/A,TRUE,"Y생산";#N/A,#N/A,TRUE,"Y판매";#N/A,#N/A,TRUE,"Y총물량";#N/A,#N/A,TRUE,"Y능력";#N/A,#N/A,TRUE,"YKD"}</definedName>
    <definedName name="일동성" hidden="1">{#N/A,#N/A,TRUE,"Y생산";#N/A,#N/A,TRUE,"Y판매";#N/A,#N/A,TRUE,"Y총물량";#N/A,#N/A,TRUE,"Y능력";#N/A,#N/A,TRUE,"YKD"}</definedName>
    <definedName name="일련번호">[49]담보평가!$B$9:$B$178</definedName>
    <definedName name="일련번호2">[34]법원비용!$B$9:$B$56</definedName>
    <definedName name="일면" localSheetId="2" hidden="1">{#N/A,#N/A,FALSE,"96 3월물량표";#N/A,#N/A,FALSE,"96 4월물량표";#N/A,#N/A,FALSE,"96 5월물량표"}</definedName>
    <definedName name="일면" localSheetId="5" hidden="1">{#N/A,#N/A,FALSE,"96 3월물량표";#N/A,#N/A,FALSE,"96 4월물량표";#N/A,#N/A,FALSE,"96 5월물량표"}</definedName>
    <definedName name="일면" hidden="1">{#N/A,#N/A,FALSE,"96 3월물량표";#N/A,#N/A,FALSE,"96 4월물량표";#N/A,#N/A,FALSE,"96 5월물량표"}</definedName>
    <definedName name="일이ㅏㄹ" localSheetId="2" hidden="1">{#N/A,#N/A,FALSE,"단축1";#N/A,#N/A,FALSE,"단축2";#N/A,#N/A,FALSE,"단축3";#N/A,#N/A,FALSE,"장축";#N/A,#N/A,FALSE,"4WD"}</definedName>
    <definedName name="일이ㅏㄹ" localSheetId="5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자별" localSheetId="2" hidden="1">{#N/A,#N/A,TRUE,"Y생산";#N/A,#N/A,TRUE,"Y판매";#N/A,#N/A,TRUE,"Y총물량";#N/A,#N/A,TRUE,"Y능력";#N/A,#N/A,TRUE,"YKD"}</definedName>
    <definedName name="일자별" localSheetId="5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전" localSheetId="2" hidden="1">{#N/A,#N/A,TRUE,"Y생산";#N/A,#N/A,TRUE,"Y판매";#N/A,#N/A,TRUE,"Y총물량";#N/A,#N/A,TRUE,"Y능력";#N/A,#N/A,TRUE,"YKD"}</definedName>
    <definedName name="일전" localSheetId="5" hidden="1">{#N/A,#N/A,TRUE,"Y생산";#N/A,#N/A,TRUE,"Y판매";#N/A,#N/A,TRUE,"Y총물량";#N/A,#N/A,TRUE,"Y능력";#N/A,#N/A,TRUE,"YKD"}</definedName>
    <definedName name="일전" hidden="1">{#N/A,#N/A,TRUE,"Y생산";#N/A,#N/A,TRUE,"Y판매";#N/A,#N/A,TRUE,"Y총물량";#N/A,#N/A,TRUE,"Y능력";#N/A,#N/A,TRUE,"YKD"}</definedName>
    <definedName name="일정" localSheetId="2" hidden="1">{#N/A,#N/A,TRUE,"Y생산";#N/A,#N/A,TRUE,"Y판매";#N/A,#N/A,TRUE,"Y총물량";#N/A,#N/A,TRUE,"Y능력";#N/A,#N/A,TRUE,"YKD"}</definedName>
    <definedName name="일정" localSheetId="5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총" localSheetId="2" hidden="1">{#N/A,#N/A,TRUE,"Y생산";#N/A,#N/A,TRUE,"Y판매";#N/A,#N/A,TRUE,"Y총물량";#N/A,#N/A,TRUE,"Y능력";#N/A,#N/A,TRUE,"YKD"}</definedName>
    <definedName name="일총" localSheetId="5" hidden="1">{#N/A,#N/A,TRUE,"Y생산";#N/A,#N/A,TRUE,"Y판매";#N/A,#N/A,TRUE,"Y총물량";#N/A,#N/A,TRUE,"Y능력";#N/A,#N/A,TRUE,"YKD"}</definedName>
    <definedName name="일총" hidden="1">{#N/A,#N/A,TRUE,"Y생산";#N/A,#N/A,TRUE,"Y판매";#N/A,#N/A,TRUE,"Y총물량";#N/A,#N/A,TRUE,"Y능력";#N/A,#N/A,TRUE,"YKD"}</definedName>
    <definedName name="입찰보증금">[31]Assumption!$D$9</definedName>
    <definedName name="입찰보증금_C">[31]Assumption!$E$9</definedName>
    <definedName name="입찰보증금납부기한">[31]Assumption!$C$9</definedName>
    <definedName name="입찰보증금납부일">[65]Assumption!$C$9</definedName>
    <definedName name="ㅈ" localSheetId="2" hidden="1">{#N/A,#N/A,FALSE,"주요여수신";#N/A,#N/A,FALSE,"수신금리";#N/A,#N/A,FALSE,"대출금리";#N/A,#N/A,FALSE,"신규대출";#N/A,#N/A,FALSE,"총액대출"}</definedName>
    <definedName name="ㅈ" localSheetId="5" hidden="1">{#N/A,#N/A,FALSE,"주요여수신";#N/A,#N/A,FALSE,"수신금리";#N/A,#N/A,FALSE,"대출금리";#N/A,#N/A,FALSE,"신규대출";#N/A,#N/A,FALSE,"총액대출"}</definedName>
    <definedName name="ㅈ" hidden="1">{#N/A,#N/A,FALSE,"주요여수신";#N/A,#N/A,FALSE,"수신금리";#N/A,#N/A,FALSE,"대출금리";#N/A,#N/A,FALSE,"신규대출";#N/A,#N/A,FALSE,"총액대출"}</definedName>
    <definedName name="ㅈWIIWIW" localSheetId="2" hidden="1">{#N/A,#N/A,FALSE,"96 3월물량표";#N/A,#N/A,FALSE,"96 4월물량표";#N/A,#N/A,FALSE,"96 5월물량표"}</definedName>
    <definedName name="ㅈWIIWIW" localSheetId="5" hidden="1">{#N/A,#N/A,FALSE,"96 3월물량표";#N/A,#N/A,FALSE,"96 4월물량표";#N/A,#N/A,FALSE,"96 5월물량표"}</definedName>
    <definedName name="ㅈWIIWIW" hidden="1">{#N/A,#N/A,FALSE,"96 3월물량표";#N/A,#N/A,FALSE,"96 4월물량표";#N/A,#N/A,FALSE,"96 5월물량표"}</definedName>
    <definedName name="ㅈㄷ" localSheetId="2" hidden="1">{#N/A,#N/A,TRUE,"Y생산";#N/A,#N/A,TRUE,"Y판매";#N/A,#N/A,TRUE,"Y총물량";#N/A,#N/A,TRUE,"Y능력";#N/A,#N/A,TRUE,"YKD"}</definedName>
    <definedName name="ㅈㄷ" localSheetId="5" hidden="1">{#N/A,#N/A,TRUE,"Y생산";#N/A,#N/A,TRUE,"Y판매";#N/A,#N/A,TRUE,"Y총물량";#N/A,#N/A,TRUE,"Y능력";#N/A,#N/A,TRUE,"YKD"}</definedName>
    <definedName name="ㅈㄷ" hidden="1">{#N/A,#N/A,TRUE,"Y생산";#N/A,#N/A,TRUE,"Y판매";#N/A,#N/A,TRUE,"Y총물량";#N/A,#N/A,TRUE,"Y능력";#N/A,#N/A,TRUE,"YKD"}</definedName>
    <definedName name="ㅈㄷㄳ" localSheetId="2" hidden="1">{#N/A,#N/A,FALSE,"신규dep";#N/A,#N/A,FALSE,"신규dep-금형상각후";#N/A,#N/A,FALSE,"신규dep-연구비상각후";#N/A,#N/A,FALSE,"신규dep-기계,공구상각후"}</definedName>
    <definedName name="ㅈㄷㄳ" localSheetId="5" hidden="1">{#N/A,#N/A,FALSE,"신규dep";#N/A,#N/A,FALSE,"신규dep-금형상각후";#N/A,#N/A,FALSE,"신규dep-연구비상각후";#N/A,#N/A,FALSE,"신규dep-기계,공구상각후"}</definedName>
    <definedName name="ㅈㄷㄳ" hidden="1">{#N/A,#N/A,FALSE,"신규dep";#N/A,#N/A,FALSE,"신규dep-금형상각후";#N/A,#N/A,FALSE,"신규dep-연구비상각후";#N/A,#N/A,FALSE,"신규dep-기계,공구상각후"}</definedName>
    <definedName name="ㅈㅇㄷㅇㄴㅁㅇㄴ" localSheetId="2" hidden="1">#REF!</definedName>
    <definedName name="ㅈㅇㄷㅇㄴㅁㅇㄴ" localSheetId="5" hidden="1">#REF!</definedName>
    <definedName name="ㅈㅇㄷㅇㄴㅁㅇㄴ" hidden="1">#REF!</definedName>
    <definedName name="ㅈㅈ" localSheetId="2" hidden="1">{#N/A,#N/A,FALSE,"96 3월물량표";#N/A,#N/A,FALSE,"96 4월물량표";#N/A,#N/A,FALSE,"96 5월물량표"}</definedName>
    <definedName name="ㅈㅈ" localSheetId="5" hidden="1">{#N/A,#N/A,FALSE,"96 3월물량표";#N/A,#N/A,FALSE,"96 4월물량표";#N/A,#N/A,FALSE,"96 5월물량표"}</definedName>
    <definedName name="ㅈㅈ" hidden="1">{#N/A,#N/A,FALSE,"96 3월물량표";#N/A,#N/A,FALSE,"96 4월물량표";#N/A,#N/A,FALSE,"96 5월물량표"}</definedName>
    <definedName name="ㅈㅈㅈㅈ" localSheetId="2" hidden="1">{#N/A,#N/A,TRUE,"Y생산";#N/A,#N/A,TRUE,"Y판매";#N/A,#N/A,TRUE,"Y총물량";#N/A,#N/A,TRUE,"Y능력";#N/A,#N/A,TRUE,"YKD"}</definedName>
    <definedName name="ㅈㅈㅈㅈ" localSheetId="5" hidden="1">{#N/A,#N/A,TRUE,"Y생산";#N/A,#N/A,TRUE,"Y판매";#N/A,#N/A,TRUE,"Y총물량";#N/A,#N/A,TRUE,"Y능력";#N/A,#N/A,TRUE,"YKD"}</definedName>
    <definedName name="ㅈㅈㅈㅈ" hidden="1">{#N/A,#N/A,TRUE,"Y생산";#N/A,#N/A,TRUE,"Y판매";#N/A,#N/A,TRUE,"Y총물량";#N/A,#N/A,TRUE,"Y능력";#N/A,#N/A,TRUE,"YKD"}</definedName>
    <definedName name="자" localSheetId="2" hidden="1">{#N/A,#N/A,FALSE,"UNIT";#N/A,#N/A,FALSE,"UNIT";#N/A,#N/A,FALSE,"계정"}</definedName>
    <definedName name="자" localSheetId="5" hidden="1">{#N/A,#N/A,FALSE,"UNIT";#N/A,#N/A,FALSE,"UNIT";#N/A,#N/A,FALSE,"계정"}</definedName>
    <definedName name="자" hidden="1">{#N/A,#N/A,FALSE,"UNIT";#N/A,#N/A,FALSE,"UNIT";#N/A,#N/A,FALSE,"계정"}</definedName>
    <definedName name="자." localSheetId="2" hidden="1">{#N/A,#N/A,FALSE,"UNIT";#N/A,#N/A,FALSE,"UNIT";#N/A,#N/A,FALSE,"계정"}</definedName>
    <definedName name="자." localSheetId="5" hidden="1">{#N/A,#N/A,FALSE,"UNIT";#N/A,#N/A,FALSE,"UNIT";#N/A,#N/A,FALSE,"계정"}</definedName>
    <definedName name="자." hidden="1">{#N/A,#N/A,FALSE,"UNIT";#N/A,#N/A,FALSE,"UNIT";#N/A,#N/A,FALSE,"계정"}</definedName>
    <definedName name="자.." localSheetId="2" hidden="1">{#N/A,#N/A,FALSE,"UNIT";#N/A,#N/A,FALSE,"UNIT";#N/A,#N/A,FALSE,"계정"}</definedName>
    <definedName name="자.." localSheetId="5" hidden="1">{#N/A,#N/A,FALSE,"UNIT";#N/A,#N/A,FALSE,"UNIT";#N/A,#N/A,FALSE,"계정"}</definedName>
    <definedName name="자.." hidden="1">{#N/A,#N/A,FALSE,"UNIT";#N/A,#N/A,FALSE,"UNIT";#N/A,#N/A,FALSE,"계정"}</definedName>
    <definedName name="자산기준일">[10]Assumption!$C$4</definedName>
    <definedName name="자산기준일_C">[31]Assumption!$D$7</definedName>
    <definedName name="자산기준일C">[36]Assumption!$D$6</definedName>
    <definedName name="자재기준" localSheetId="2" hidden="1">{#N/A,#N/A,TRUE,"Y생산";#N/A,#N/A,TRUE,"Y판매";#N/A,#N/A,TRUE,"Y총물량";#N/A,#N/A,TRUE,"Y능력";#N/A,#N/A,TRUE,"YKD"}</definedName>
    <definedName name="자재기준" localSheetId="5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잔존년수">[34]잔존년수!$B$7:$C$23</definedName>
    <definedName name="잠정보고" localSheetId="2" hidden="1">{#N/A,#N/A,FALSE,"주요여수신";#N/A,#N/A,FALSE,"수신금리";#N/A,#N/A,FALSE,"대출금리";#N/A,#N/A,FALSE,"신규대출";#N/A,#N/A,FALSE,"총액대출"}</definedName>
    <definedName name="잠정보고" localSheetId="5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장기대변">'[28]합동별(기표용)'!$AG$1:$AG$65536</definedName>
    <definedName name="장기차변">'[28]합동별(기표용)'!$L$1:$L$65536</definedName>
    <definedName name="장외on210">[70]장외on2!$A$4:$H$120</definedName>
    <definedName name="재" localSheetId="2" hidden="1">{#N/A,#N/A,FALSE,"UNIT";#N/A,#N/A,FALSE,"UNIT";#N/A,#N/A,FALSE,"계정"}</definedName>
    <definedName name="재" localSheetId="5" hidden="1">{#N/A,#N/A,FALSE,"UNIT";#N/A,#N/A,FALSE,"UNIT";#N/A,#N/A,FALSE,"계정"}</definedName>
    <definedName name="재" hidden="1">{#N/A,#N/A,FALSE,"UNIT";#N/A,#N/A,FALSE,"UNIT";#N/A,#N/A,FALSE,"계정"}</definedName>
    <definedName name="재고조정" localSheetId="2" hidden="1">#REF!</definedName>
    <definedName name="재고조정" localSheetId="5" hidden="1">#REF!</definedName>
    <definedName name="재고조정" hidden="1">#REF!</definedName>
    <definedName name="재분류">'[28]합동별(기표용)'!$A$1:$A$65536</definedName>
    <definedName name="저저" localSheetId="2" hidden="1">{#N/A,#N/A,FALSE,"UNIT";#N/A,#N/A,FALSE,"UNIT";#N/A,#N/A,FALSE,"계정"}</definedName>
    <definedName name="저저" localSheetId="5" hidden="1">{#N/A,#N/A,FALSE,"UNIT";#N/A,#N/A,FALSE,"UNIT";#N/A,#N/A,FALSE,"계정"}</definedName>
    <definedName name="저저" hidden="1">{#N/A,#N/A,FALSE,"UNIT";#N/A,#N/A,FALSE,"UNIT";#N/A,#N/A,FALSE,"계정"}</definedName>
    <definedName name="적립대변">'[28]합동별(기표용)'!$AD$1:$AD$65536</definedName>
    <definedName name="적립차변">'[28]합동별(기표용)'!$I$1:$I$65536</definedName>
    <definedName name="전" localSheetId="2" hidden="1">{#N/A,#N/A,FALSE,"신규dep";#N/A,#N/A,FALSE,"신규dep-금형상각후";#N/A,#N/A,FALSE,"신규dep-연구비상각후";#N/A,#N/A,FALSE,"신규dep-기계,공구상각후"}</definedName>
    <definedName name="전" localSheetId="5" hidden="1">{#N/A,#N/A,FALSE,"신규dep";#N/A,#N/A,FALSE,"신규dep-금형상각후";#N/A,#N/A,FALSE,"신규dep-연구비상각후";#N/A,#N/A,FALSE,"신규dep-기계,공구상각후"}</definedName>
    <definedName name="전" hidden="1">{#N/A,#N/A,FALSE,"신규dep";#N/A,#N/A,FALSE,"신규dep-금형상각후";#N/A,#N/A,FALSE,"신규dep-연구비상각후";#N/A,#N/A,FALSE,"신규dep-기계,공구상각후"}</definedName>
    <definedName name="전개계획" localSheetId="2" hidden="1">{#N/A,#N/A,FALSE,"단축1";#N/A,#N/A,FALSE,"단축2";#N/A,#N/A,FALSE,"단축3";#N/A,#N/A,FALSE,"장축";#N/A,#N/A,FALSE,"4WD"}</definedName>
    <definedName name="전개계획" localSheetId="5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5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5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5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공장간접" localSheetId="2" hidden="1">{#N/A,#N/A,TRUE,"Y생산";#N/A,#N/A,TRUE,"Y판매";#N/A,#N/A,TRUE,"Y총물량";#N/A,#N/A,TRUE,"Y능력";#N/A,#N/A,TRUE,"YKD"}</definedName>
    <definedName name="전공장간접" localSheetId="5" hidden="1">{#N/A,#N/A,TRUE,"Y생산";#N/A,#N/A,TRUE,"Y판매";#N/A,#N/A,TRUE,"Y총물량";#N/A,#N/A,TRUE,"Y능력";#N/A,#N/A,TRUE,"YKD"}</definedName>
    <definedName name="전공장간접" hidden="1">{#N/A,#N/A,TRUE,"Y생산";#N/A,#N/A,TRUE,"Y판매";#N/A,#N/A,TRUE,"Y총물량";#N/A,#N/A,TRUE,"Y능력";#N/A,#N/A,TRUE,"YKD"}</definedName>
    <definedName name="전기tb" localSheetId="2" hidden="1">{#N/A,#N/A,FALSE,"COL-HIS"}</definedName>
    <definedName name="전기tb" localSheetId="5" hidden="1">{#N/A,#N/A,FALSE,"COL-HIS"}</definedName>
    <definedName name="전기tb" hidden="1">{#N/A,#N/A,FALSE,"COL-HIS"}</definedName>
    <definedName name="전영업점총연체">[40]!전영업점총연체</definedName>
    <definedName name="전차종" localSheetId="2" hidden="1">{#N/A,#N/A,FALSE,"표지";#N/A,#N/A,FALSE,"전제";#N/A,#N/A,FALSE,"대당";#N/A,#N/A,FALSE,"가공비";#N/A,#N/A,FALSE,"재료비";#N/A,#N/A,FALSE,"손익"}</definedName>
    <definedName name="전차종" localSheetId="5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종합2" localSheetId="2" hidden="1">{#N/A,#N/A,FALSE,"단축1";#N/A,#N/A,FALSE,"단축2";#N/A,#N/A,FALSE,"단축3";#N/A,#N/A,FALSE,"장축";#N/A,#N/A,FALSE,"4WD"}</definedName>
    <definedName name="전체종합2" localSheetId="5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환무담보채권평가율">[31]Assumption!$D$30</definedName>
    <definedName name="절대일정" localSheetId="2" hidden="1">{#N/A,#N/A,FALSE,"신규dep";#N/A,#N/A,FALSE,"신규dep-금형상각후";#N/A,#N/A,FALSE,"신규dep-연구비상각후";#N/A,#N/A,FALSE,"신규dep-기계,공구상각후"}</definedName>
    <definedName name="절대일정" localSheetId="5" hidden="1">{#N/A,#N/A,FALSE,"신규dep";#N/A,#N/A,FALSE,"신규dep-금형상각후";#N/A,#N/A,FALSE,"신규dep-연구비상각후";#N/A,#N/A,FALSE,"신규dep-기계,공구상각후"}</definedName>
    <definedName name="절대일정" hidden="1">{#N/A,#N/A,FALSE,"신규dep";#N/A,#N/A,FALSE,"신규dep-금형상각후";#N/A,#N/A,FALSE,"신규dep-연구비상각후";#N/A,#N/A,FALSE,"신규dep-기계,공구상각후"}</definedName>
    <definedName name="절대일정3" localSheetId="2" hidden="1">{#N/A,#N/A,FALSE,"신규dep";#N/A,#N/A,FALSE,"신규dep-금형상각후";#N/A,#N/A,FALSE,"신규dep-연구비상각후";#N/A,#N/A,FALSE,"신규dep-기계,공구상각후"}</definedName>
    <definedName name="절대일정3" localSheetId="5" hidden="1">{#N/A,#N/A,FALSE,"신규dep";#N/A,#N/A,FALSE,"신규dep-금형상각후";#N/A,#N/A,FALSE,"신규dep-연구비상각후";#N/A,#N/A,FALSE,"신규dep-기계,공구상각후"}</definedName>
    <definedName name="절대일정3" hidden="1">{#N/A,#N/A,FALSE,"신규dep";#N/A,#N/A,FALSE,"신규dep-금형상각후";#N/A,#N/A,FALSE,"신규dep-연구비상각후";#N/A,#N/A,FALSE,"신규dep-기계,공구상각후"}</definedName>
    <definedName name="점호" localSheetId="2" hidden="1">{#N/A,#N/A,FALSE,"단축1";#N/A,#N/A,FALSE,"단축2";#N/A,#N/A,FALSE,"단축3";#N/A,#N/A,FALSE,"장축";#N/A,#N/A,FALSE,"4WD"}</definedName>
    <definedName name="점호" localSheetId="5" hidden="1">{#N/A,#N/A,FALSE,"단축1";#N/A,#N/A,FALSE,"단축2";#N/A,#N/A,FALSE,"단축3";#N/A,#N/A,FALSE,"장축";#N/A,#N/A,FALSE,"4WD"}</definedName>
    <definedName name="점호" hidden="1">{#N/A,#N/A,FALSE,"단축1";#N/A,#N/A,FALSE,"단축2";#N/A,#N/A,FALSE,"단축3";#N/A,#N/A,FALSE,"장축";#N/A,#N/A,FALSE,"4WD"}</definedName>
    <definedName name="정" localSheetId="2" hidden="1">{#N/A,#N/A,FALSE,"UNIT";#N/A,#N/A,FALSE,"UNIT";#N/A,#N/A,FALSE,"계정"}</definedName>
    <definedName name="정" localSheetId="5" hidden="1">{#N/A,#N/A,FALSE,"UNIT";#N/A,#N/A,FALSE,"UNIT";#N/A,#N/A,FALSE,"계정"}</definedName>
    <definedName name="정" hidden="1">{#N/A,#N/A,FALSE,"UNIT";#N/A,#N/A,FALSE,"UNIT";#N/A,#N/A,FALSE,"계정"}</definedName>
    <definedName name="정리계획">[71]정리계획CF평가!$B$7:$G$39</definedName>
    <definedName name="정문" localSheetId="2" hidden="1">{#N/A,#N/A,FALSE,"UNIT";#N/A,#N/A,FALSE,"UNIT";#N/A,#N/A,FALSE,"계정"}</definedName>
    <definedName name="정문" localSheetId="5" hidden="1">{#N/A,#N/A,FALSE,"UNIT";#N/A,#N/A,FALSE,"UNIT";#N/A,#N/A,FALSE,"계정"}</definedName>
    <definedName name="정문" hidden="1">{#N/A,#N/A,FALSE,"UNIT";#N/A,#N/A,FALSE,"UNIT";#N/A,#N/A,FALSE,"계정"}</definedName>
    <definedName name="정문식" localSheetId="2" hidden="1">{#N/A,#N/A,FALSE,"UNIT";#N/A,#N/A,FALSE,"UNIT";#N/A,#N/A,FALSE,"계정"}</definedName>
    <definedName name="정문식" localSheetId="5" hidden="1">{#N/A,#N/A,FALSE,"UNIT";#N/A,#N/A,FALSE,"UNIT";#N/A,#N/A,FALSE,"계정"}</definedName>
    <definedName name="정문식" hidden="1">{#N/A,#N/A,FALSE,"UNIT";#N/A,#N/A,FALSE,"UNIT";#N/A,#N/A,FALSE,"계정"}</definedName>
    <definedName name="정민수" localSheetId="2" hidden="1">{#N/A,#N/A,TRUE,"Y생산";#N/A,#N/A,TRUE,"Y판매";#N/A,#N/A,TRUE,"Y총물량";#N/A,#N/A,TRUE,"Y능력";#N/A,#N/A,TRUE,"YKD"}</definedName>
    <definedName name="정민수" localSheetId="5" hidden="1">{#N/A,#N/A,TRUE,"Y생산";#N/A,#N/A,TRUE,"Y판매";#N/A,#N/A,TRUE,"Y총물량";#N/A,#N/A,TRUE,"Y능력";#N/A,#N/A,TRUE,"YKD"}</definedName>
    <definedName name="정민수" hidden="1">{#N/A,#N/A,TRUE,"Y생산";#N/A,#N/A,TRUE,"Y판매";#N/A,#N/A,TRUE,"Y총물량";#N/A,#N/A,TRUE,"Y능력";#N/A,#N/A,TRUE,"YKD"}</definedName>
    <definedName name="정보이용료">[31]Assumption!$D$17</definedName>
    <definedName name="정보이용료_C">[31]Assumption!$E$17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localSheetId="2" hidden="1">{#N/A,#N/A,TRUE,"Y생산";#N/A,#N/A,TRUE,"Y판매";#N/A,#N/A,TRUE,"Y총물량";#N/A,#N/A,TRUE,"Y능력";#N/A,#N/A,TRUE,"YKD"}</definedName>
    <definedName name="정수용" localSheetId="5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왕자" localSheetId="2" hidden="1">{#N/A,#N/A,TRUE,"Y생산";#N/A,#N/A,TRUE,"Y판매";#N/A,#N/A,TRUE,"Y총물량";#N/A,#N/A,TRUE,"Y능력";#N/A,#N/A,TRUE,"YKD"}</definedName>
    <definedName name="정왕자" localSheetId="5" hidden="1">{#N/A,#N/A,TRUE,"Y생산";#N/A,#N/A,TRUE,"Y판매";#N/A,#N/A,TRUE,"Y총물량";#N/A,#N/A,TRUE,"Y능력";#N/A,#N/A,TRUE,"YKD"}</definedName>
    <definedName name="정왕자" hidden="1">{#N/A,#N/A,TRUE,"Y생산";#N/A,#N/A,TRUE,"Y판매";#N/A,#N/A,TRUE,"Y총물량";#N/A,#N/A,TRUE,"Y능력";#N/A,#N/A,TRUE,"YKD"}</definedName>
    <definedName name="정지훈" localSheetId="2" hidden="1">{#N/A,#N/A,TRUE,"Y생산";#N/A,#N/A,TRUE,"Y판매";#N/A,#N/A,TRUE,"Y총물량";#N/A,#N/A,TRUE,"Y능력";#N/A,#N/A,TRUE,"YKD"}</definedName>
    <definedName name="정지훈" localSheetId="5" hidden="1">{#N/A,#N/A,TRUE,"Y생산";#N/A,#N/A,TRUE,"Y판매";#N/A,#N/A,TRUE,"Y총물량";#N/A,#N/A,TRUE,"Y능력";#N/A,#N/A,TRUE,"YKD"}</definedName>
    <definedName name="정지훈" hidden="1">{#N/A,#N/A,TRUE,"Y생산";#N/A,#N/A,TRUE,"Y판매";#N/A,#N/A,TRUE,"Y총물량";#N/A,#N/A,TRUE,"Y능력";#N/A,#N/A,TRUE,"YKD"}</definedName>
    <definedName name="정징" localSheetId="2" hidden="1">{#N/A,#N/A,TRUE,"Y생산";#N/A,#N/A,TRUE,"Y판매";#N/A,#N/A,TRUE,"Y총물량";#N/A,#N/A,TRUE,"Y능력";#N/A,#N/A,TRUE,"YKD"}</definedName>
    <definedName name="정징" localSheetId="5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젖" localSheetId="2" hidden="1">{#N/A,#N/A,FALSE,"단축1";#N/A,#N/A,FALSE,"단축2";#N/A,#N/A,FALSE,"단축3";#N/A,#N/A,FALSE,"장축";#N/A,#N/A,FALSE,"4WD"}</definedName>
    <definedName name="젖" localSheetId="5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제2석굴암" localSheetId="2" hidden="1">{#N/A,#N/A,FALSE,"품의서";#N/A,#N/A,FALSE,"전제";#N/A,#N/A,FALSE,"총손";#N/A,#N/A,FALSE,"손익"}</definedName>
    <definedName name="제2석굴암" localSheetId="5" hidden="1">{#N/A,#N/A,FALSE,"품의서";#N/A,#N/A,FALSE,"전제";#N/A,#N/A,FALSE,"총손";#N/A,#N/A,FALSE,"손익"}</definedName>
    <definedName name="제2석굴암" hidden="1">{#N/A,#N/A,FALSE,"품의서";#N/A,#N/A,FALSE,"전제";#N/A,#N/A,FALSE,"총손";#N/A,#N/A,FALSE,"손익"}</definedName>
    <definedName name="제외차주">[72]추가가지급금!$A$1:$IV$5</definedName>
    <definedName name="제조" localSheetId="2" hidden="1">#REF!</definedName>
    <definedName name="제조" localSheetId="5" hidden="1">#REF!</definedName>
    <definedName name="제조" localSheetId="4" hidden="1">#REF!</definedName>
    <definedName name="제조" localSheetId="3" hidden="1">#REF!</definedName>
    <definedName name="제조" hidden="1">#REF!</definedName>
    <definedName name="제품별사업전략" localSheetId="2" hidden="1">{#N/A,#N/A,FALSE,"UNIT";#N/A,#N/A,FALSE,"UNIT";#N/A,#N/A,FALSE,"계정"}</definedName>
    <definedName name="제품별사업전략" localSheetId="5" hidden="1">{#N/A,#N/A,FALSE,"UNIT";#N/A,#N/A,FALSE,"UNIT";#N/A,#N/A,FALSE,"계정"}</definedName>
    <definedName name="제품별사업전략" hidden="1">{#N/A,#N/A,FALSE,"UNIT";#N/A,#N/A,FALSE,"UNIT";#N/A,#N/A,FALSE,"계정"}</definedName>
    <definedName name="조달운용1">[61]조달운용!$B$11:$G$13</definedName>
    <definedName name="조달운용10">[61]조달운용!$I$31:$P$32</definedName>
    <definedName name="조달운용11">[61]조달운용!$R$31:$V$32</definedName>
    <definedName name="조달운용12">[61]조달운용!$I$22:$P$29</definedName>
    <definedName name="조달운용2">[61]조달운용!$I$11:$P$13</definedName>
    <definedName name="조달운용3">[61]조달운용!$R$11:$V$13</definedName>
    <definedName name="조달운용4">[61]조달운용!$B$15:$G$20</definedName>
    <definedName name="조달운용5">[61]조달운용!$I$15:$P$20</definedName>
    <definedName name="조달운용6">[61]조달운용!$R$15:$V$20</definedName>
    <definedName name="조달운용7">[61]조달운용!$B$22:$G$29</definedName>
    <definedName name="조달운용8">[61]조달운용!$R$22:$V$29</definedName>
    <definedName name="조달운용9">[61]조달운용!$B$31:$G$32</definedName>
    <definedName name="조립" localSheetId="2" hidden="1">{#N/A,#N/A,FALSE,"단축1";#N/A,#N/A,FALSE,"단축2";#N/A,#N/A,FALSE,"단축3";#N/A,#N/A,FALSE,"장축";#N/A,#N/A,FALSE,"4WD"}</definedName>
    <definedName name="조립" localSheetId="5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립공수" localSheetId="2" hidden="1">{#N/A,#N/A,TRUE,"Y생산";#N/A,#N/A,TRUE,"Y판매";#N/A,#N/A,TRUE,"Y총물량";#N/A,#N/A,TRUE,"Y능력";#N/A,#N/A,TRUE,"YKD"}</definedName>
    <definedName name="조립공수" localSheetId="5" hidden="1">{#N/A,#N/A,TRUE,"Y생산";#N/A,#N/A,TRUE,"Y판매";#N/A,#N/A,TRUE,"Y총물량";#N/A,#N/A,TRUE,"Y능력";#N/A,#N/A,TRUE,"YKD"}</definedName>
    <definedName name="조립공수" hidden="1">{#N/A,#N/A,TRUE,"Y생산";#N/A,#N/A,TRUE,"Y판매";#N/A,#N/A,TRUE,"Y총물량";#N/A,#N/A,TRUE,"Y능력";#N/A,#N/A,TRUE,"YKD"}</definedName>
    <definedName name="조수익2" localSheetId="2" hidden="1">{#N/A,#N/A,FALSE,"단축1";#N/A,#N/A,FALSE,"단축2";#N/A,#N/A,FALSE,"단축3";#N/A,#N/A,FALSE,"장축";#N/A,#N/A,FALSE,"4WD"}</definedName>
    <definedName name="조수익2" localSheetId="5" hidden="1">{#N/A,#N/A,FALSE,"단축1";#N/A,#N/A,FALSE,"단축2";#N/A,#N/A,FALSE,"단축3";#N/A,#N/A,FALSE,"장축";#N/A,#N/A,FALSE,"4WD"}</definedName>
    <definedName name="조수익2" hidden="1">{#N/A,#N/A,FALSE,"단축1";#N/A,#N/A,FALSE,"단축2";#N/A,#N/A,FALSE,"단축3";#N/A,#N/A,FALSE,"장축";#N/A,#N/A,FALSE,"4WD"}</definedName>
    <definedName name="조업변경" localSheetId="2" hidden="1">{#N/A,#N/A,TRUE,"Y생산";#N/A,#N/A,TRUE,"Y판매";#N/A,#N/A,TRUE,"Y총물량";#N/A,#N/A,TRUE,"Y능력";#N/A,#N/A,TRUE,"YKD"}</definedName>
    <definedName name="조업변경" localSheetId="5" hidden="1">{#N/A,#N/A,TRUE,"Y생산";#N/A,#N/A,TRUE,"Y판매";#N/A,#N/A,TRUE,"Y총물량";#N/A,#N/A,TRUE,"Y능력";#N/A,#N/A,TRUE,"YKD"}</definedName>
    <definedName name="조업변경" hidden="1">{#N/A,#N/A,TRUE,"Y생산";#N/A,#N/A,TRUE,"Y판매";#N/A,#N/A,TRUE,"Y총물량";#N/A,#N/A,TRUE,"Y능력";#N/A,#N/A,TRUE,"YKD"}</definedName>
    <definedName name="조치" localSheetId="2" hidden="1">{#N/A,#N/A,FALSE,"단축1";#N/A,#N/A,FALSE,"단축2";#N/A,#N/A,FALSE,"단축3";#N/A,#N/A,FALSE,"장축";#N/A,#N/A,FALSE,"4WD"}</definedName>
    <definedName name="조치" localSheetId="5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" localSheetId="2" hidden="1">{#N/A,#N/A,TRUE,"Y생산";#N/A,#N/A,TRUE,"Y판매";#N/A,#N/A,TRUE,"Y총물량";#N/A,#N/A,TRUE,"Y능력";#N/A,#N/A,TRUE,"YKD"}</definedName>
    <definedName name="종합" localSheetId="5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5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5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" localSheetId="2" hidden="1">{#N/A,#N/A,FALSE,"UNIT";#N/A,#N/A,FALSE,"UNIT";#N/A,#N/A,FALSE,"계정"}</definedName>
    <definedName name="주" localSheetId="5" hidden="1">{#N/A,#N/A,FALSE,"UNIT";#N/A,#N/A,FALSE,"UNIT";#N/A,#N/A,FALSE,"계정"}</definedName>
    <definedName name="주" hidden="1">{#N/A,#N/A,FALSE,"UNIT";#N/A,#N/A,FALSE,"UNIT";#N/A,#N/A,FALSE,"계정"}</definedName>
    <definedName name="주민호" localSheetId="2" hidden="1">{#N/A,#N/A,TRUE,"Y생산";#N/A,#N/A,TRUE,"Y판매";#N/A,#N/A,TRUE,"Y총물량";#N/A,#N/A,TRUE,"Y능력";#N/A,#N/A,TRUE,"YKD"}</definedName>
    <definedName name="주민호" localSheetId="5" hidden="1">{#N/A,#N/A,TRUE,"Y생산";#N/A,#N/A,TRUE,"Y판매";#N/A,#N/A,TRUE,"Y총물량";#N/A,#N/A,TRUE,"Y능력";#N/A,#N/A,TRUE,"YKD"}</definedName>
    <definedName name="주민호" hidden="1">{#N/A,#N/A,TRUE,"Y생산";#N/A,#N/A,TRUE,"Y판매";#N/A,#N/A,TRUE,"Y총물량";#N/A,#N/A,TRUE,"Y능력";#N/A,#N/A,TRUE,"YKD"}</definedName>
    <definedName name="주식1">[61]주식평가!$B$9:$D$11</definedName>
    <definedName name="주식3">[61]주식평가!$B$20:$D$27</definedName>
    <definedName name="주식4">[61]주식평가!$B$29:$D$30</definedName>
    <definedName name="주식5">[61]주식평가!$G$9:$G$11</definedName>
    <definedName name="주식7">[61]주식평가!$G$20:$G$27</definedName>
    <definedName name="주식8">[61]주식평가!$G$29:$G$30</definedName>
    <definedName name="주식한도1">[50]한도관리2!$B$9:$C$11</definedName>
    <definedName name="주식한도2">[50]한도관리2!$E$9:$F$11</definedName>
    <definedName name="주식한도5">[50]한도관리2!$B$20:$C$27</definedName>
    <definedName name="주식한도6">[50]한도관리2!$E$20:$F$27</definedName>
    <definedName name="주식한도7">[50]한도관리2!$B$29:$C$30</definedName>
    <definedName name="주식한도8">[50]한도관리2!$E$29:$F$30</definedName>
    <definedName name="주요" localSheetId="2" hidden="1">{#N/A,#N/A,TRUE,"Y생산";#N/A,#N/A,TRUE,"Y판매";#N/A,#N/A,TRUE,"Y총물량";#N/A,#N/A,TRUE,"Y능력";#N/A,#N/A,TRUE,"YKD"}</definedName>
    <definedName name="주요" localSheetId="5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" localSheetId="2" hidden="1">{#N/A,#N/A,TRUE,"Y생산";#N/A,#N/A,TRUE,"Y판매";#N/A,#N/A,TRUE,"Y총물량";#N/A,#N/A,TRUE,"Y능력";#N/A,#N/A,TRUE,"YKD"}</definedName>
    <definedName name="주요업무" localSheetId="5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5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5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5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차계획" localSheetId="2" hidden="1">{#N/A,#N/A,FALSE,"UNIT";#N/A,#N/A,FALSE,"UNIT";#N/A,#N/A,FALSE,"계정"}</definedName>
    <definedName name="주차계획" localSheetId="5" hidden="1">{#N/A,#N/A,FALSE,"UNIT";#N/A,#N/A,FALSE,"UNIT";#N/A,#N/A,FALSE,"계정"}</definedName>
    <definedName name="주차계획" hidden="1">{#N/A,#N/A,FALSE,"UNIT";#N/A,#N/A,FALSE,"UNIT";#N/A,#N/A,FALSE,"계정"}</definedName>
    <definedName name="중고차">'[4]1담당0113'!$F$129</definedName>
    <definedName name="중고차1">'[4]2담당0113'!$F$255</definedName>
    <definedName name="중앙" localSheetId="2" hidden="1">{#N/A,#N/A,FALSE,"단축1";#N/A,#N/A,FALSE,"단축2";#N/A,#N/A,FALSE,"단축3";#N/A,#N/A,FALSE,"장축";#N/A,#N/A,FALSE,"4WD"}</definedName>
    <definedName name="중앙" localSheetId="5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localSheetId="2" hidden="1">{#N/A,#N/A,TRUE,"Y생산";#N/A,#N/A,TRUE,"Y판매";#N/A,#N/A,TRUE,"Y총물량";#N/A,#N/A,TRUE,"Y능력";#N/A,#N/A,TRUE,"YKD"}</definedName>
    <definedName name="지" localSheetId="5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나" localSheetId="2" hidden="1">#REF!</definedName>
    <definedName name="지나" localSheetId="5" hidden="1">#REF!</definedName>
    <definedName name="지나" hidden="1">#REF!</definedName>
    <definedName name="지방교육세">[31]Assumption!$C$74</definedName>
    <definedName name="지태면" localSheetId="2" hidden="1">{#N/A,#N/A,TRUE,"Y생산";#N/A,#N/A,TRUE,"Y판매";#N/A,#N/A,TRUE,"Y총물량";#N/A,#N/A,TRUE,"Y능력";#N/A,#N/A,TRUE,"YKD"}</definedName>
    <definedName name="지태면" localSheetId="5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접간접">'[32]6 취합중'!$A$3:$A$4870</definedName>
    <definedName name="진" localSheetId="2" hidden="1">{#N/A,#N/A,FALSE,"UNIT";#N/A,#N/A,FALSE,"UNIT";#N/A,#N/A,FALSE,"계정"}</definedName>
    <definedName name="진" localSheetId="5" hidden="1">{#N/A,#N/A,FALSE,"UNIT";#N/A,#N/A,FALSE,"UNIT";#N/A,#N/A,FALSE,"계정"}</definedName>
    <definedName name="진" hidden="1">{#N/A,#N/A,FALSE,"UNIT";#N/A,#N/A,FALSE,"UNIT";#N/A,#N/A,FALSE,"계정"}</definedName>
    <definedName name="진부화" localSheetId="2" hidden="1">{#N/A,#N/A,FALSE,"COL-HIS"}</definedName>
    <definedName name="진부화" localSheetId="5" hidden="1">{#N/A,#N/A,FALSE,"COL-HIS"}</definedName>
    <definedName name="진부화" hidden="1">{#N/A,#N/A,FALSE,"COL-HIS"}</definedName>
    <definedName name="진행">'[73]진행(자99,2000)'!$B$1:$L$2000</definedName>
    <definedName name="ㅉ" localSheetId="2" hidden="1">{#N/A,#N/A,TRUE,"Y생산";#N/A,#N/A,TRUE,"Y판매";#N/A,#N/A,TRUE,"Y총물량";#N/A,#N/A,TRUE,"Y능력";#N/A,#N/A,TRUE,"YKD"}</definedName>
    <definedName name="ㅉ" localSheetId="5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쪼당" localSheetId="2" hidden="1">{#N/A,#N/A,TRUE,"Y생산";#N/A,#N/A,TRUE,"Y판매";#N/A,#N/A,TRUE,"Y총물량";#N/A,#N/A,TRUE,"Y능력";#N/A,#N/A,TRUE,"YKD"}</definedName>
    <definedName name="쪼당" localSheetId="5" hidden="1">{#N/A,#N/A,TRUE,"Y생산";#N/A,#N/A,TRUE,"Y판매";#N/A,#N/A,TRUE,"Y총물량";#N/A,#N/A,TRUE,"Y능력";#N/A,#N/A,TRUE,"YKD"}</definedName>
    <definedName name="쪼당" hidden="1">{#N/A,#N/A,TRUE,"Y생산";#N/A,#N/A,TRUE,"Y판매";#N/A,#N/A,TRUE,"Y총물량";#N/A,#N/A,TRUE,"Y능력";#N/A,#N/A,TRUE,"YKD"}</definedName>
    <definedName name="ㅊ" localSheetId="2" hidden="1">#REF!</definedName>
    <definedName name="ㅊ" localSheetId="5" hidden="1">#REF!</definedName>
    <definedName name="ㅊ" hidden="1">#REF!</definedName>
    <definedName name="ㅊㅇㅇㄴ" localSheetId="2" hidden="1">#REF!</definedName>
    <definedName name="ㅊㅇㅇㄴ" localSheetId="5" hidden="1">#REF!</definedName>
    <definedName name="ㅊㅇㅇㄴ" hidden="1">#REF!</definedName>
    <definedName name="차." localSheetId="2" hidden="1">{#N/A,#N/A,FALSE,"UNIT";#N/A,#N/A,FALSE,"UNIT";#N/A,#N/A,FALSE,"계정"}</definedName>
    <definedName name="차." localSheetId="5" hidden="1">{#N/A,#N/A,FALSE,"UNIT";#N/A,#N/A,FALSE,"UNIT";#N/A,#N/A,FALSE,"계정"}</definedName>
    <definedName name="차." hidden="1">{#N/A,#N/A,FALSE,"UNIT";#N/A,#N/A,FALSE,"UNIT";#N/A,#N/A,FALSE,"계정"}</definedName>
    <definedName name="차량SVC" localSheetId="2" hidden="1">{#N/A,#N/A,FALSE,"UNIT";#N/A,#N/A,FALSE,"UNIT";#N/A,#N/A,FALSE,"계정"}</definedName>
    <definedName name="차량SVC" localSheetId="5" hidden="1">{#N/A,#N/A,FALSE,"UNIT";#N/A,#N/A,FALSE,"UNIT";#N/A,#N/A,FALSE,"계정"}</definedName>
    <definedName name="차량SVC" hidden="1">{#N/A,#N/A,FALSE,"UNIT";#N/A,#N/A,FALSE,"UNIT";#N/A,#N/A,FALSE,"계정"}</definedName>
    <definedName name="차변합계">'[28]합동별(기표용)'!$AT$1:$AT$65536</definedName>
    <definedName name="차병률" localSheetId="2" hidden="1">{#N/A,#N/A,TRUE,"Y생산";#N/A,#N/A,TRUE,"Y판매";#N/A,#N/A,TRUE,"Y총물량";#N/A,#N/A,TRUE,"Y능력";#N/A,#N/A,TRUE,"YKD"}</definedName>
    <definedName name="차병률" localSheetId="5" hidden="1">{#N/A,#N/A,TRUE,"Y생산";#N/A,#N/A,TRUE,"Y판매";#N/A,#N/A,TRUE,"Y총물량";#N/A,#N/A,TRUE,"Y능력";#N/A,#N/A,TRUE,"YKD"}</definedName>
    <definedName name="차병률" hidden="1">{#N/A,#N/A,TRUE,"Y생산";#N/A,#N/A,TRUE,"Y판매";#N/A,#N/A,TRUE,"Y총물량";#N/A,#N/A,TRUE,"Y능력";#N/A,#N/A,TRUE,"YKD"}</definedName>
    <definedName name="차이조정분" localSheetId="2" hidden="1">{"'Sheet1'!$A$1:$D$15"}</definedName>
    <definedName name="차이조정분" localSheetId="5" hidden="1">{"'Sheet1'!$A$1:$D$15"}</definedName>
    <definedName name="차이조정분" hidden="1">{"'Sheet1'!$A$1:$D$15"}</definedName>
    <definedName name="차종별" localSheetId="2" hidden="1">{#N/A,#N/A,TRUE,"Y생산";#N/A,#N/A,TRUE,"Y판매";#N/A,#N/A,TRUE,"Y총물량";#N/A,#N/A,TRUE,"Y능력";#N/A,#N/A,TRUE,"YKD"}</definedName>
    <definedName name="차종별" localSheetId="5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주번호">[34]LoanList!$C$9:$C$25</definedName>
    <definedName name="차주번호2">'[44]CashFlow(중간집계)'!$C$9:$C$61</definedName>
    <definedName name="차주번호3">'[44]CashFlow(중간집계)'!$C$9:$C$61</definedName>
    <definedName name="차주별">{0.1;0;0.45;0;0;0;0;0;0.45}</definedName>
    <definedName name="차체1" localSheetId="2" hidden="1">{#N/A,#N/A,FALSE,"단축1";#N/A,#N/A,FALSE,"단축2";#N/A,#N/A,FALSE,"단축3";#N/A,#N/A,FALSE,"장축";#N/A,#N/A,FALSE,"4WD"}</definedName>
    <definedName name="차체1" localSheetId="5" hidden="1">{#N/A,#N/A,FALSE,"단축1";#N/A,#N/A,FALSE,"단축2";#N/A,#N/A,FALSE,"단축3";#N/A,#N/A,FALSE,"장축";#N/A,#N/A,FALSE,"4WD"}</definedName>
    <definedName name="차체1" hidden="1">{#N/A,#N/A,FALSE,"단축1";#N/A,#N/A,FALSE,"단축2";#N/A,#N/A,FALSE,"단축3";#N/A,#N/A,FALSE,"장축";#N/A,#N/A,FALSE,"4WD"}</definedName>
    <definedName name="채권상각1">[61]채권상각!$B$9:$D$11</definedName>
    <definedName name="채권상각10">[61]채권상각!$H$20:$H$27</definedName>
    <definedName name="채권상각11">[61]채권상각!$H$29:$H$30</definedName>
    <definedName name="채권상각3">[61]채권상각!$B$20:$D$27</definedName>
    <definedName name="채권상각4">[61]채권상각!$B$29:$D$30</definedName>
    <definedName name="채권상각5">[61]채권상각!$F$9:$F$11</definedName>
    <definedName name="채권상각7">[61]채권상각!$F$20:$F$27</definedName>
    <definedName name="채권상각8">[61]채권상각!$F$29:$F$30</definedName>
    <definedName name="채권상각9">[61]채권상각!$H$9:$H$11</definedName>
    <definedName name="채권재조정">[39]현황요약!$B$8:$AI$149</definedName>
    <definedName name="책임분담">{0.1;0;0.45;0;0;0;0;0;0.45}</definedName>
    <definedName name="초임금비교" localSheetId="2" hidden="1">{#N/A,#N/A,FALSE,"계약직(여)"}</definedName>
    <definedName name="초임금비교" localSheetId="5" hidden="1">{#N/A,#N/A,FALSE,"계약직(여)"}</definedName>
    <definedName name="초임금비교" hidden="1">{#N/A,#N/A,FALSE,"계약직(여)"}</definedName>
    <definedName name="초임급" localSheetId="2" hidden="1">{#N/A,#N/A,FALSE,"계약직(여)"}</definedName>
    <definedName name="초임급" localSheetId="5" hidden="1">{#N/A,#N/A,FALSE,"계약직(여)"}</definedName>
    <definedName name="초임급" hidden="1">{#N/A,#N/A,FALSE,"계약직(여)"}</definedName>
    <definedName name="총무3" localSheetId="2" hidden="1">{#N/A,#N/A,FALSE,"단축1";#N/A,#N/A,FALSE,"단축2";#N/A,#N/A,FALSE,"단축3";#N/A,#N/A,FALSE,"장축";#N/A,#N/A,FALSE,"4WD"}</definedName>
    <definedName name="총무3" localSheetId="5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무팀총무팀" localSheetId="2" hidden="1">{#N/A,#N/A,TRUE,"Y생산";#N/A,#N/A,TRUE,"Y판매";#N/A,#N/A,TRUE,"Y총물량";#N/A,#N/A,TRUE,"Y능력";#N/A,#N/A,TRUE,"YKD"}</definedName>
    <definedName name="총무팀총무팀" localSheetId="5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총수신속보">[74]총수신_속보!$D$4:$P$189</definedName>
    <definedName name="최영" localSheetId="2" hidden="1">{#N/A,#N/A,FALSE,"정공"}</definedName>
    <definedName name="최영" localSheetId="5" hidden="1">{#N/A,#N/A,FALSE,"정공"}</definedName>
    <definedName name="최영" hidden="1">{#N/A,#N/A,FALSE,"정공"}</definedName>
    <definedName name="최초배당일">[31]Assumption!$C$38</definedName>
    <definedName name="추" localSheetId="2" hidden="1">{#N/A,#N/A,FALSE,"단축1";#N/A,#N/A,FALSE,"단축2";#N/A,#N/A,FALSE,"단축3";#N/A,#N/A,FALSE,"장축";#N/A,#N/A,FALSE,"4WD"}</definedName>
    <definedName name="추" localSheetId="5" hidden="1">{#N/A,#N/A,FALSE,"단축1";#N/A,#N/A,FALSE,"단축2";#N/A,#N/A,FALSE,"단축3";#N/A,#N/A,FALSE,"장축";#N/A,#N/A,FALSE,"4WD"}</definedName>
    <definedName name="추" hidden="1">{#N/A,#N/A,FALSE,"단축1";#N/A,#N/A,FALSE,"단축2";#N/A,#N/A,FALSE,"단축3";#N/A,#N/A,FALSE,"장축";#N/A,#N/A,FALSE,"4WD"}</definedName>
    <definedName name="추가대변">'[28]합동별(기표용)'!$AK$1:$AK$65536</definedName>
    <definedName name="추가차변">'[28]합동별(기표용)'!$P$1:$P$65536</definedName>
    <definedName name="추심기일">'[44]CashFlow(중간집계)'!$C$9:$M$61</definedName>
    <definedName name="추심기일1">'[44]CashFlow(중간집계)'!$C$9:$M$61</definedName>
    <definedName name="추심기일2">[66]LoanList!$AH$9:$AH$537</definedName>
    <definedName name="추심액">[66]LoanList!$AG$9:$AG$537</definedName>
    <definedName name="추정Royalty" localSheetId="2" hidden="1">#REF!</definedName>
    <definedName name="추정Royalty" localSheetId="5" hidden="1">#REF!</definedName>
    <definedName name="추정Royalty" hidden="1">#REF!</definedName>
    <definedName name="추진일정1" localSheetId="2" hidden="1">{#N/A,#N/A,FALSE,"신규dep";#N/A,#N/A,FALSE,"신규dep-금형상각후";#N/A,#N/A,FALSE,"신규dep-연구비상각후";#N/A,#N/A,FALSE,"신규dep-기계,공구상각후"}</definedName>
    <definedName name="추진일정1" localSheetId="5" hidden="1">{#N/A,#N/A,FALSE,"신규dep";#N/A,#N/A,FALSE,"신규dep-금형상각후";#N/A,#N/A,FALSE,"신규dep-연구비상각후";#N/A,#N/A,FALSE,"신규dep-기계,공구상각후"}</definedName>
    <definedName name="추진일정1" hidden="1">{#N/A,#N/A,FALSE,"신규dep";#N/A,#N/A,FALSE,"신규dep-금형상각후";#N/A,#N/A,FALSE,"신규dep-연구비상각후";#N/A,#N/A,FALSE,"신규dep-기계,공구상각후"}</definedName>
    <definedName name="출하" localSheetId="2" hidden="1">{#N/A,#N/A,FALSE,"96 3월물량표";#N/A,#N/A,FALSE,"96 4월물량표";#N/A,#N/A,FALSE,"96 5월물량표"}</definedName>
    <definedName name="출하" localSheetId="5" hidden="1">{#N/A,#N/A,FALSE,"96 3월물량표";#N/A,#N/A,FALSE,"96 4월물량표";#N/A,#N/A,FALSE,"96 5월물량표"}</definedName>
    <definedName name="출하" hidden="1">{#N/A,#N/A,FALSE,"96 3월물량표";#N/A,#N/A,FALSE,"96 4월물량표";#N/A,#N/A,FALSE,"96 5월물량표"}</definedName>
    <definedName name="충당금결과200404" localSheetId="2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충돌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localSheetId="2" hidden="1">{#N/A,#N/A,FALSE,"단축1";#N/A,#N/A,FALSE,"단축2";#N/A,#N/A,FALSE,"단축3";#N/A,#N/A,FALSE,"장축";#N/A,#N/A,FALSE,"4WD"}</definedName>
    <definedName name="ㅋㅋ" localSheetId="5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5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5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렌" localSheetId="2" hidden="1">{#N/A,#N/A,TRUE,"Y생산";#N/A,#N/A,TRUE,"Y판매";#N/A,#N/A,TRUE,"Y총물량";#N/A,#N/A,TRUE,"Y능력";#N/A,#N/A,TRUE,"YKD"}</definedName>
    <definedName name="카렌" localSheetId="5" hidden="1">{#N/A,#N/A,TRUE,"Y생산";#N/A,#N/A,TRUE,"Y판매";#N/A,#N/A,TRUE,"Y총물량";#N/A,#N/A,TRUE,"Y능력";#N/A,#N/A,TRUE,"YKD"}</definedName>
    <definedName name="카렌" hidden="1">{#N/A,#N/A,TRUE,"Y생산";#N/A,#N/A,TRUE,"Y판매";#N/A,#N/A,TRUE,"Y총물량";#N/A,#N/A,TRUE,"Y능력";#N/A,#N/A,TRUE,"YKD"}</definedName>
    <definedName name="카메라" localSheetId="2" hidden="1">{#N/A,#N/A,FALSE,"단축1";#N/A,#N/A,FALSE,"단축2";#N/A,#N/A,FALSE,"단축3";#N/A,#N/A,FALSE,"장축";#N/A,#N/A,FALSE,"4WD"}</definedName>
    <definedName name="카메라" localSheetId="5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카제기" localSheetId="2" hidden="1">{#N/A,#N/A,FALSE,"단축1";#N/A,#N/A,FALSE,"단축2";#N/A,#N/A,FALSE,"단축3";#N/A,#N/A,FALSE,"장축";#N/A,#N/A,FALSE,"4WD"}</definedName>
    <definedName name="카제기" localSheetId="5" hidden="1">{#N/A,#N/A,FALSE,"단축1";#N/A,#N/A,FALSE,"단축2";#N/A,#N/A,FALSE,"단축3";#N/A,#N/A,FALSE,"장축";#N/A,#N/A,FALSE,"4WD"}</definedName>
    <definedName name="카제기" hidden="1">{#N/A,#N/A,FALSE,"단축1";#N/A,#N/A,FALSE,"단축2";#N/A,#N/A,FALSE,"단축3";#N/A,#N/A,FALSE,"장축";#N/A,#N/A,FALSE,"4WD"}</definedName>
    <definedName name="킨사이다" localSheetId="2" hidden="1">{#N/A,#N/A,FALSE,"품의서";#N/A,#N/A,FALSE,"전제";#N/A,#N/A,FALSE,"총손";#N/A,#N/A,FALSE,"손익"}</definedName>
    <definedName name="킨사이다" localSheetId="5" hidden="1">{#N/A,#N/A,FALSE,"품의서";#N/A,#N/A,FALSE,"전제";#N/A,#N/A,FALSE,"총손";#N/A,#N/A,FALSE,"손익"}</definedName>
    <definedName name="킨사이다" hidden="1">{#N/A,#N/A,FALSE,"품의서";#N/A,#N/A,FALSE,"전제";#N/A,#N/A,FALSE,"총손";#N/A,#N/A,FALSE,"손익"}</definedName>
    <definedName name="ㅌ" localSheetId="2" hidden="1">{#N/A,#N/A,FALSE,"단축1";#N/A,#N/A,FALSE,"단축2";#N/A,#N/A,FALSE,"단축3";#N/A,#N/A,FALSE,"장축";#N/A,#N/A,FALSE,"4WD"}</definedName>
    <definedName name="ㅌ" localSheetId="5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2" hidden="1">{#N/A,#N/A,FALSE,"단축1";#N/A,#N/A,FALSE,"단축2";#N/A,#N/A,FALSE,"단축3";#N/A,#N/A,FALSE,"장축";#N/A,#N/A,FALSE,"4WD"}</definedName>
    <definedName name="ㅌㄴㅇ" localSheetId="5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localSheetId="2" hidden="1">{#N/A,#N/A,FALSE,"단축1";#N/A,#N/A,FALSE,"단축2";#N/A,#N/A,FALSE,"단축3";#N/A,#N/A,FALSE,"장축";#N/A,#N/A,FALSE,"4WD"}</definedName>
    <definedName name="ㅌㅌ" localSheetId="5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2" hidden="1">{#N/A,#N/A,FALSE,"단축1";#N/A,#N/A,FALSE,"단축2";#N/A,#N/A,FALSE,"단축3";#N/A,#N/A,FALSE,"장축";#N/A,#N/A,FALSE,"4WD"}</definedName>
    <definedName name="ㅌㅌㅌ" localSheetId="5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localSheetId="2" hidden="1">{#N/A,#N/A,FALSE,"단축1";#N/A,#N/A,FALSE,"단축2";#N/A,#N/A,FALSE,"단축3";#N/A,#N/A,FALSE,"장축";#N/A,#N/A,FALSE,"4WD"}</definedName>
    <definedName name="ㅌㅌㅌㅌ" localSheetId="5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토지단대변">'[28]합동별(기표용)'!$AS$1:$AS$65536</definedName>
    <definedName name="토지단차변">'[28]합동별(기표용)'!$X$1:$X$65536</definedName>
    <definedName name="통일전세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일전세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퇴직대변">'[28]합동별(기표용)'!$AL$1:$AL$65536</definedName>
    <definedName name="퇴직차변">'[28]합동별(기표용)'!$Q$1:$Q$65536</definedName>
    <definedName name="퇴충" localSheetId="2" hidden="1">{"'Sheet1'!$A$1:$D$15"}</definedName>
    <definedName name="퇴충" localSheetId="5" hidden="1">{"'Sheet1'!$A$1:$D$15"}</definedName>
    <definedName name="퇴충" hidden="1">{"'Sheet1'!$A$1:$D$15"}</definedName>
    <definedName name="투자" localSheetId="2" hidden="1">#REF!</definedName>
    <definedName name="투자" localSheetId="5" hidden="1">#REF!</definedName>
    <definedName name="투자" hidden="1">#REF!</definedName>
    <definedName name="투자CONC.182억" localSheetId="2" hidden="1">{#N/A,#N/A,FALSE,"단축1";#N/A,#N/A,FALSE,"단축2";#N/A,#N/A,FALSE,"단축3";#N/A,#N/A,FALSE,"장축";#N/A,#N/A,FALSE,"4WD"}</definedName>
    <definedName name="투자CONC.182억" localSheetId="5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감소분" localSheetId="2" hidden="1">{#N/A,#N/A,FALSE,"단축1";#N/A,#N/A,FALSE,"단축2";#N/A,#N/A,FALSE,"단축3";#N/A,#N/A,FALSE,"장축";#N/A,#N/A,FALSE,"4WD"}</definedName>
    <definedName name="투자감소분" localSheetId="5" hidden="1">{#N/A,#N/A,FALSE,"단축1";#N/A,#N/A,FALSE,"단축2";#N/A,#N/A,FALSE,"단축3";#N/A,#N/A,FALSE,"장축";#N/A,#N/A,FALSE,"4WD"}</definedName>
    <definedName name="투자감소분" hidden="1">{#N/A,#N/A,FALSE,"단축1";#N/A,#N/A,FALSE,"단축2";#N/A,#N/A,FALSE,"단축3";#N/A,#N/A,FALSE,"장축";#N/A,#N/A,FALSE,"4WD"}</definedName>
    <definedName name="투자계획" localSheetId="2" hidden="1">{#N/A,#N/A,FALSE,"UNIT";#N/A,#N/A,FALSE,"UNIT";#N/A,#N/A,FALSE,"계정"}</definedName>
    <definedName name="투자계획" localSheetId="5" hidden="1">{#N/A,#N/A,FALSE,"UNIT";#N/A,#N/A,FALSE,"UNIT";#N/A,#N/A,FALSE,"계정"}</definedName>
    <definedName name="투자계획" hidden="1">{#N/A,#N/A,FALSE,"UNIT";#N/A,#N/A,FALSE,"UNIT";#N/A,#N/A,FALSE,"계정"}</definedName>
    <definedName name="투자금액1" localSheetId="2" hidden="1">{#N/A,#N/A,FALSE,"단축1";#N/A,#N/A,FALSE,"단축2";#N/A,#N/A,FALSE,"단축3";#N/A,#N/A,FALSE,"장축";#N/A,#N/A,FALSE,"4WD"}</definedName>
    <definedName name="투자금액1" localSheetId="5" hidden="1">{#N/A,#N/A,FALSE,"단축1";#N/A,#N/A,FALSE,"단축2";#N/A,#N/A,FALSE,"단축3";#N/A,#N/A,FALSE,"장축";#N/A,#N/A,FALSE,"4WD"}</definedName>
    <definedName name="투자금액1" hidden="1">{#N/A,#N/A,FALSE,"단축1";#N/A,#N/A,FALSE,"단축2";#N/A,#N/A,FALSE,"단축3";#N/A,#N/A,FALSE,"장축";#N/A,#N/A,FALSE,"4WD"}</definedName>
    <definedName name="투자비.현재" localSheetId="2" hidden="1">{#N/A,#N/A,FALSE,"단축1";#N/A,#N/A,FALSE,"단축2";#N/A,#N/A,FALSE,"단축3";#N/A,#N/A,FALSE,"장축";#N/A,#N/A,FALSE,"4WD"}</definedName>
    <definedName name="투자비.현재" localSheetId="5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5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localSheetId="2" hidden="1">{#N/A,#N/A,FALSE,"단축1";#N/A,#N/A,FALSE,"단축2";#N/A,#N/A,FALSE,"단축3";#N/A,#N/A,FALSE,"장축";#N/A,#N/A,FALSE,"4WD"}</definedName>
    <definedName name="투자비비교" localSheetId="5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종합" localSheetId="2" hidden="1">{#N/A,#N/A,FALSE,"단축1";#N/A,#N/A,FALSE,"단축2";#N/A,#N/A,FALSE,"단축3";#N/A,#N/A,FALSE,"장축";#N/A,#N/A,FALSE,"4WD"}</definedName>
    <definedName name="투자비종합" localSheetId="5" hidden="1">{#N/A,#N/A,FALSE,"단축1";#N/A,#N/A,FALSE,"단축2";#N/A,#N/A,FALSE,"단축3";#N/A,#N/A,FALSE,"장축";#N/A,#N/A,FALSE,"4WD"}</definedName>
    <definedName name="투자비종합" hidden="1">{#N/A,#N/A,FALSE,"단축1";#N/A,#N/A,FALSE,"단축2";#N/A,#N/A,FALSE,"단축3";#N/A,#N/A,FALSE,"장축";#N/A,#N/A,FALSE,"4WD"}</definedName>
    <definedName name="트럭차체부" localSheetId="2" hidden="1">{#N/A,#N/A,TRUE,"Y생산";#N/A,#N/A,TRUE,"Y판매";#N/A,#N/A,TRUE,"Y총물량";#N/A,#N/A,TRUE,"Y능력";#N/A,#N/A,TRUE,"YKD"}</definedName>
    <definedName name="트럭차체부" localSheetId="5" hidden="1">{#N/A,#N/A,TRUE,"Y생산";#N/A,#N/A,TRUE,"Y판매";#N/A,#N/A,TRUE,"Y총물량";#N/A,#N/A,TRUE,"Y능력";#N/A,#N/A,TRUE,"YKD"}</definedName>
    <definedName name="트럭차체부" hidden="1">{#N/A,#N/A,TRUE,"Y생산";#N/A,#N/A,TRUE,"Y판매";#N/A,#N/A,TRUE,"Y총물량";#N/A,#N/A,TRUE,"Y능력";#N/A,#N/A,TRUE,"YKD"}</definedName>
    <definedName name="트럭차체부1" localSheetId="2" hidden="1">{#N/A,#N/A,TRUE,"Y생산";#N/A,#N/A,TRUE,"Y판매";#N/A,#N/A,TRUE,"Y총물량";#N/A,#N/A,TRUE,"Y능력";#N/A,#N/A,TRUE,"YKD"}</definedName>
    <definedName name="트럭차체부1" localSheetId="5" hidden="1">{#N/A,#N/A,TRUE,"Y생산";#N/A,#N/A,TRUE,"Y판매";#N/A,#N/A,TRUE,"Y총물량";#N/A,#N/A,TRUE,"Y능력";#N/A,#N/A,TRUE,"YKD"}</definedName>
    <definedName name="트럭차체부1" hidden="1">{#N/A,#N/A,TRUE,"Y생산";#N/A,#N/A,TRUE,"Y판매";#N/A,#N/A,TRUE,"Y총물량";#N/A,#N/A,TRUE,"Y능력";#N/A,#N/A,TRUE,"YKD"}</definedName>
    <definedName name="특2">[42]목록!$C$2:$C$17</definedName>
    <definedName name="특정대변">'[28]합동별(기표용)'!$AQ$1:$AQ$65536</definedName>
    <definedName name="특정차변">'[28]합동별(기표용)'!$V$1:$V$65536</definedName>
    <definedName name="팀별계획" localSheetId="2" hidden="1">{#N/A,#N/A,FALSE,"UNIT";#N/A,#N/A,FALSE,"UNIT";#N/A,#N/A,FALSE,"계정"}</definedName>
    <definedName name="팀별계획" localSheetId="5" hidden="1">{#N/A,#N/A,FALSE,"UNIT";#N/A,#N/A,FALSE,"UNIT";#N/A,#N/A,FALSE,"계정"}</definedName>
    <definedName name="팀별계획" hidden="1">{#N/A,#N/A,FALSE,"UNIT";#N/A,#N/A,FALSE,"UNIT";#N/A,#N/A,FALSE,"계정"}</definedName>
    <definedName name="ㅍㅍ" localSheetId="2" hidden="1">{#N/A,#N/A,FALSE,"단축1";#N/A,#N/A,FALSE,"단축2";#N/A,#N/A,FALSE,"단축3";#N/A,#N/A,FALSE,"장축";#N/A,#N/A,FALSE,"4WD"}</definedName>
    <definedName name="ㅍㅍ" localSheetId="5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관비" localSheetId="2" hidden="1">{#N/A,#N/A,FALSE,"보험현황";#N/A,#N/A,FALSE,"보험현황"}</definedName>
    <definedName name="판관비" localSheetId="5" hidden="1">{#N/A,#N/A,FALSE,"보험현황";#N/A,#N/A,FALSE,"보험현황"}</definedName>
    <definedName name="판관비" hidden="1">{#N/A,#N/A,FALSE,"보험현황";#N/A,#N/A,FALSE,"보험현황"}</definedName>
    <definedName name="판매1" localSheetId="2" hidden="1">{#N/A,#N/A,TRUE,"Y생산";#N/A,#N/A,TRUE,"Y판매";#N/A,#N/A,TRUE,"Y총물량";#N/A,#N/A,TRUE,"Y능력";#N/A,#N/A,TRUE,"YKD"}</definedName>
    <definedName name="판매1" localSheetId="5" hidden="1">{#N/A,#N/A,TRUE,"Y생산";#N/A,#N/A,TRUE,"Y판매";#N/A,#N/A,TRUE,"Y총물량";#N/A,#N/A,TRUE,"Y능력";#N/A,#N/A,TRUE,"YKD"}</definedName>
    <definedName name="판매1" hidden="1">{#N/A,#N/A,TRUE,"Y생산";#N/A,#N/A,TRUE,"Y판매";#N/A,#N/A,TRUE,"Y총물량";#N/A,#N/A,TRUE,"Y능력";#N/A,#N/A,TRUE,"YKD"}</definedName>
    <definedName name="판매목표2" localSheetId="2" hidden="1">{#N/A,#N/A,FALSE,"단축1";#N/A,#N/A,FALSE,"단축2";#N/A,#N/A,FALSE,"단축3";#N/A,#N/A,FALSE,"장축";#N/A,#N/A,FALSE,"4WD"}</definedName>
    <definedName name="판매목표2" localSheetId="5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편출1">[50]합동별편출입!$B$9:$G$11</definedName>
    <definedName name="편출3">[50]합동별편출입!$B$20:$G$27</definedName>
    <definedName name="편출4">[50]합동별편출입!$B$29:$G$31</definedName>
    <definedName name="평">3.3058</definedName>
    <definedName name="포" localSheetId="2" hidden="1">{#N/A,#N/A,FALSE,"UNIT";#N/A,#N/A,FALSE,"UNIT";#N/A,#N/A,FALSE,"계정"}</definedName>
    <definedName name="포" localSheetId="5" hidden="1">{#N/A,#N/A,FALSE,"UNIT";#N/A,#N/A,FALSE,"UNIT";#N/A,#N/A,FALSE,"계정"}</definedName>
    <definedName name="포" hidden="1">{#N/A,#N/A,FALSE,"UNIT";#N/A,#N/A,FALSE,"UNIT";#N/A,#N/A,FALSE,"계정"}</definedName>
    <definedName name="표지1" localSheetId="2" hidden="1">{#N/A,#N/A,FALSE,"단축1";#N/A,#N/A,FALSE,"단축2";#N/A,#N/A,FALSE,"단축3";#N/A,#N/A,FALSE,"장축";#N/A,#N/A,FALSE,"4WD"}</definedName>
    <definedName name="표지1" localSheetId="5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5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목표2000" localSheetId="2" hidden="1">{#N/A,#N/A,TRUE,"Y생산";#N/A,#N/A,TRUE,"Y판매";#N/A,#N/A,TRUE,"Y총물량";#N/A,#N/A,TRUE,"Y능력";#N/A,#N/A,TRUE,"YKD"}</definedName>
    <definedName name="품질목표2000" localSheetId="5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localSheetId="2" hidden="1">{#N/A,#N/A,TRUE,"Y생산";#N/A,#N/A,TRUE,"Y판매";#N/A,#N/A,TRUE,"Y총물량";#N/A,#N/A,TRUE,"Y능력";#N/A,#N/A,TRUE,"YKD"}</definedName>
    <definedName name="품질생산합격" localSheetId="5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2" hidden="1">{#N/A,#N/A,FALSE,"단축1";#N/A,#N/A,FALSE,"단축2";#N/A,#N/A,FALSE,"단축3";#N/A,#N/A,FALSE,"장축";#N/A,#N/A,FALSE,"4WD"}</definedName>
    <definedName name="프레스" localSheetId="5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지오" localSheetId="2" hidden="1">{#N/A,#N/A,FALSE,"단축1";#N/A,#N/A,FALSE,"단축2";#N/A,#N/A,FALSE,"단축3";#N/A,#N/A,FALSE,"장축";#N/A,#N/A,FALSE,"4WD"}</definedName>
    <definedName name="프레지오" localSheetId="5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" localSheetId="2" hidden="1">{#N/A,#N/A,FALSE,"단축1";#N/A,#N/A,FALSE,"단축2";#N/A,#N/A,FALSE,"단축3";#N/A,#N/A,FALSE,"장축";#N/A,#N/A,FALSE,"4WD"}</definedName>
    <definedName name="ㅎ" localSheetId="5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5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5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ㅎㅎㅎ" localSheetId="2" hidden="1">{#N/A,#N/A,FALSE,"단축1";#N/A,#N/A,FALSE,"단축2";#N/A,#N/A,FALSE,"단축3";#N/A,#N/A,FALSE,"장축";#N/A,#N/A,FALSE,"4WD"}</definedName>
    <definedName name="ㅎㅎㅎㅎ" localSheetId="5" hidden="1">{#N/A,#N/A,FALSE,"단축1";#N/A,#N/A,FALSE,"단축2";#N/A,#N/A,FALSE,"단축3";#N/A,#N/A,FALSE,"장축";#N/A,#N/A,FALSE,"4WD"}</definedName>
    <definedName name="ㅎㅎㅎㅎ" hidden="1">{#N/A,#N/A,FALSE,"단축1";#N/A,#N/A,FALSE,"단축2";#N/A,#N/A,FALSE,"단축3";#N/A,#N/A,FALSE,"장축";#N/A,#N/A,FALSE,"4WD"}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투ST" localSheetId="2" hidden="1">{#N/A,#N/A,TRUE,"Y생산";#N/A,#N/A,TRUE,"Y판매";#N/A,#N/A,TRUE,"Y총물량";#N/A,#N/A,TRUE,"Y능력";#N/A,#N/A,TRUE,"YKD"}</definedName>
    <definedName name="하반기투ST" localSheetId="5" hidden="1">{#N/A,#N/A,TRUE,"Y생산";#N/A,#N/A,TRUE,"Y판매";#N/A,#N/A,TRUE,"Y총물량";#N/A,#N/A,TRUE,"Y능력";#N/A,#N/A,TRUE,"YKD"}</definedName>
    <definedName name="하반기투ST" hidden="1">{#N/A,#N/A,TRUE,"Y생산";#N/A,#N/A,TRUE,"Y판매";#N/A,#N/A,TRUE,"Y총물량";#N/A,#N/A,TRUE,"Y능력";#N/A,#N/A,TRUE,"YKD"}</definedName>
    <definedName name="하핳" localSheetId="2" hidden="1">{#N/A,#N/A,TRUE,"Y생산";#N/A,#N/A,TRUE,"Y판매";#N/A,#N/A,TRUE,"Y총물량";#N/A,#N/A,TRUE,"Y능력";#N/A,#N/A,TRUE,"YKD"}</definedName>
    <definedName name="하핳" localSheetId="5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" localSheetId="2" hidden="1">{#N/A,#N/A,FALSE,"계약직(여)"}</definedName>
    <definedName name="한영" localSheetId="5" hidden="1">{#N/A,#N/A,FALSE,"계약직(여)"}</definedName>
    <definedName name="한영" hidden="1">{#N/A,#N/A,FALSE,"계약직(여)"}</definedName>
    <definedName name="한영사전" localSheetId="2" hidden="1">{#N/A,#N/A,TRUE,"Y생산";#N/A,#N/A,TRUE,"Y판매";#N/A,#N/A,TRUE,"Y총물량";#N/A,#N/A,TRUE,"Y능력";#N/A,#N/A,TRUE,"YKD"}</definedName>
    <definedName name="한영사전" localSheetId="5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할인율">[75]Assumption!$C$9</definedName>
    <definedName name="항고">[34]항고구분!$B$9:$D$33</definedName>
    <definedName name="항고1">[76]항고구분!$B$9:$D$33</definedName>
    <definedName name="항고고려후배당기일">'[66]CashFlow(중간집계)'!$D$9:$D$343</definedName>
    <definedName name="향후계획1" localSheetId="2" hidden="1">{#N/A,#N/A,FALSE,"단축1";#N/A,#N/A,FALSE,"단축2";#N/A,#N/A,FALSE,"단축3";#N/A,#N/A,FALSE,"장축";#N/A,#N/A,FALSE,"4WD"}</definedName>
    <definedName name="향후계획1" localSheetId="5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정">'[57]10월 급여'!$A$2:$B$676</definedName>
    <definedName name="허정훤" localSheetId="2" hidden="1">{#N/A,#N/A,TRUE,"Y생산";#N/A,#N/A,TRUE,"Y판매";#N/A,#N/A,TRUE,"Y총물량";#N/A,#N/A,TRUE,"Y능력";#N/A,#N/A,TRUE,"YKD"}</definedName>
    <definedName name="허정훤" localSheetId="5" hidden="1">{#N/A,#N/A,TRUE,"Y생산";#N/A,#N/A,TRUE,"Y판매";#N/A,#N/A,TRUE,"Y총물량";#N/A,#N/A,TRUE,"Y능력";#N/A,#N/A,TRUE,"YKD"}</definedName>
    <definedName name="허정훤" hidden="1">{#N/A,#N/A,TRUE,"Y생산";#N/A,#N/A,TRUE,"Y판매";#N/A,#N/A,TRUE,"Y총물량";#N/A,#N/A,TRUE,"Y능력";#N/A,#N/A,TRUE,"YKD"}</definedName>
    <definedName name="허허" localSheetId="2" hidden="1">{#N/A,#N/A,TRUE,"Y생산";#N/A,#N/A,TRUE,"Y판매";#N/A,#N/A,TRUE,"Y총물량";#N/A,#N/A,TRUE,"Y능력";#N/A,#N/A,TRUE,"YKD"}</definedName>
    <definedName name="허허" localSheetId="5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localSheetId="2" hidden="1">{#N/A,#N/A,FALSE,"단축1";#N/A,#N/A,FALSE,"단축2";#N/A,#N/A,FALSE,"단축3";#N/A,#N/A,FALSE,"장축";#N/A,#N/A,FALSE,"4WD"}</definedName>
    <definedName name="허ㅓ" localSheetId="5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현금" localSheetId="2" hidden="1">{#N/A,#N/A,FALSE,"보험현황";#N/A,#N/A,FALSE,"보험현황"}</definedName>
    <definedName name="현금" localSheetId="5" hidden="1">{#N/A,#N/A,FALSE,"보험현황";#N/A,#N/A,FALSE,"보험현황"}</definedName>
    <definedName name="현금" hidden="1">{#N/A,#N/A,FALSE,"보험현황";#N/A,#N/A,FALSE,"보험현황"}</definedName>
    <definedName name="현금등가물" localSheetId="2" hidden="1">{#N/A,#N/A,FALSE,"Aging Summary";#N/A,#N/A,FALSE,"Ratio Analysis";#N/A,#N/A,FALSE,"Test 120 Day Accts";#N/A,#N/A,FALSE,"Tickmarks"}</definedName>
    <definedName name="현금등가물" localSheetId="5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2" hidden="1">{#N/A,#N/A,FALSE,"Aging Summary";#N/A,#N/A,FALSE,"Ratio Analysis";#N/A,#N/A,FALSE,"Test 120 Day Accts";#N/A,#N/A,FALSE,"Tickmarks"}</definedName>
    <definedName name="현금흐름" localSheetId="5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localSheetId="2" hidden="1">{#N/A,#N/A,FALSE,"정공"}</definedName>
    <definedName name="현대" localSheetId="5" hidden="1">{#N/A,#N/A,FALSE,"정공"}</definedName>
    <definedName name="현대" hidden="1">{#N/A,#N/A,FALSE,"정공"}</definedName>
    <definedName name="현황조사료">[31]Assumption!$C$67</definedName>
    <definedName name="현황조사수수료">[37]Assumption!$C$47</definedName>
    <definedName name="호" localSheetId="2" hidden="1">{#N/A,#N/A,FALSE,"UNIT";#N/A,#N/A,FALSE,"UNIT";#N/A,#N/A,FALSE,"계정"}</definedName>
    <definedName name="호" localSheetId="5" hidden="1">{#N/A,#N/A,FALSE,"UNIT";#N/A,#N/A,FALSE,"UNIT";#N/A,#N/A,FALSE,"계정"}</definedName>
    <definedName name="호" hidden="1">{#N/A,#N/A,FALSE,"UNIT";#N/A,#N/A,FALSE,"UNIT";#N/A,#N/A,FALSE,"계정"}</definedName>
    <definedName name="호하ㅣHJHH" localSheetId="2" hidden="1">{#N/A,#N/A,TRUE,"Y생산";#N/A,#N/A,TRUE,"Y판매";#N/A,#N/A,TRUE,"Y총물량";#N/A,#N/A,TRUE,"Y능력";#N/A,#N/A,TRUE,"YKD"}</definedName>
    <definedName name="호하ㅣHJHH" localSheetId="5" hidden="1">{#N/A,#N/A,TRUE,"Y생산";#N/A,#N/A,TRUE,"Y판매";#N/A,#N/A,TRUE,"Y총물량";#N/A,#N/A,TRUE,"Y능력";#N/A,#N/A,TRUE,"YKD"}</definedName>
    <definedName name="호하ㅣHJHH" hidden="1">{#N/A,#N/A,TRUE,"Y생산";#N/A,#N/A,TRUE,"Y판매";#N/A,#N/A,TRUE,"Y총물량";#N/A,#N/A,TRUE,"Y능력";#N/A,#N/A,TRUE,"YKD"}</definedName>
    <definedName name="호ㅓㅏ" localSheetId="2" hidden="1">{#N/A,#N/A,FALSE,"96 3월물량표";#N/A,#N/A,FALSE,"96 4월물량표";#N/A,#N/A,FALSE,"96 5월물량표"}</definedName>
    <definedName name="호ㅓㅏ" localSheetId="5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" localSheetId="2" hidden="1">{#N/A,#N/A,FALSE,"96 3월물량표";#N/A,#N/A,FALSE,"96 4월물량표";#N/A,#N/A,FALSE,"96 5월물량표"}</definedName>
    <definedName name="홍" localSheetId="5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환경" localSheetId="2" hidden="1">{#N/A,#N/A,FALSE,"UNIT";#N/A,#N/A,FALSE,"UNIT";#N/A,#N/A,FALSE,"계정"}</definedName>
    <definedName name="환경" localSheetId="5" hidden="1">{#N/A,#N/A,FALSE,"UNIT";#N/A,#N/A,FALSE,"UNIT";#N/A,#N/A,FALSE,"계정"}</definedName>
    <definedName name="환경" hidden="1">{#N/A,#N/A,FALSE,"UNIT";#N/A,#N/A,FALSE,"UNIT";#N/A,#N/A,FALSE,"계정"}</definedName>
    <definedName name="회사">[33]정의!$B$3</definedName>
    <definedName name="회수일">[77]Assumption!$C$5</definedName>
    <definedName name="회신현황" localSheetId="2" hidden="1">{#N/A,#N/A,TRUE,"Y생산";#N/A,#N/A,TRUE,"Y판매";#N/A,#N/A,TRUE,"Y총물량";#N/A,#N/A,TRUE,"Y능력";#N/A,#N/A,TRUE,"YKD"}</definedName>
    <definedName name="회신현황" localSheetId="5" hidden="1">{#N/A,#N/A,TRUE,"Y생산";#N/A,#N/A,TRUE,"Y판매";#N/A,#N/A,TRUE,"Y총물량";#N/A,#N/A,TRUE,"Y능력";#N/A,#N/A,TRUE,"YKD"}</definedName>
    <definedName name="회신현황" hidden="1">{#N/A,#N/A,TRUE,"Y생산";#N/A,#N/A,TRUE,"Y판매";#N/A,#N/A,TRUE,"Y총물량";#N/A,#N/A,TRUE,"Y능력";#N/A,#N/A,TRUE,"YKD"}</definedName>
    <definedName name="회차하락율">[34]경매회차하락률!$F$9:$O$62</definedName>
    <definedName name="ㅏㅏ" localSheetId="2" hidden="1">{#N/A,#N/A,FALSE,"Aging Summary";#N/A,#N/A,FALSE,"Ratio Analysis";#N/A,#N/A,FALSE,"Test 120 Day Accts";#N/A,#N/A,FALSE,"Tickmarks"}</definedName>
    <definedName name="ㅏㅏ" localSheetId="5" hidden="1">{#N/A,#N/A,FALSE,"Aging Summary";#N/A,#N/A,FALSE,"Ratio Analysis";#N/A,#N/A,FALSE,"Test 120 Day Accts";#N/A,#N/A,FALSE,"Tickmarks"}</definedName>
    <definedName name="ㅏㅏ" localSheetId="4" hidden="1">{#N/A,#N/A,FALSE,"Aging Summary";#N/A,#N/A,FALSE,"Ratio Analysis";#N/A,#N/A,FALSE,"Test 120 Day Accts";#N/A,#N/A,FALSE,"Tickmarks"}</definedName>
    <definedName name="ㅏㅏ" localSheetId="3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localSheetId="2" hidden="1">{#N/A,#N/A,FALSE,"기술료 비교"}</definedName>
    <definedName name="ㅏㅏㅏ" localSheetId="5" hidden="1">{#N/A,#N/A,FALSE,"기술료 비교"}</definedName>
    <definedName name="ㅏㅏㅏ" hidden="1">{#N/A,#N/A,FALSE,"기술료 비교"}</definedName>
    <definedName name="ㅏㅑㅡ" localSheetId="2" hidden="1">{#N/A,#N/A,FALSE,"단축1";#N/A,#N/A,FALSE,"단축2";#N/A,#N/A,FALSE,"단축3";#N/A,#N/A,FALSE,"장축";#N/A,#N/A,FALSE,"4WD"}</definedName>
    <definedName name="ㅏㅑㅡ" localSheetId="5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ㅓ" localSheetId="2" hidden="1">{#N/A,#N/A,FALSE,"단축1";#N/A,#N/A,FALSE,"단축2";#N/A,#N/A,FALSE,"단축3";#N/A,#N/A,FALSE,"장축";#N/A,#N/A,FALSE,"4WD"}</definedName>
    <definedName name="ㅏㅓ" localSheetId="5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" localSheetId="2" hidden="1">{#N/A,#N/A,FALSE,"96 3월물량표";#N/A,#N/A,FALSE,"96 4월물량표";#N/A,#N/A,FALSE,"96 5월물량표"}</definedName>
    <definedName name="ㅏㅣ" localSheetId="5" hidden="1">{#N/A,#N/A,FALSE,"96 3월물량표";#N/A,#N/A,FALSE,"96 4월물량표";#N/A,#N/A,FALSE,"96 5월물량표"}</definedName>
    <definedName name="ㅏㅣ" hidden="1">{#N/A,#N/A,FALSE,"96 3월물량표";#N/A,#N/A,FALSE,"96 4월물량표";#N/A,#N/A,FALSE,"96 5월물량표"}</definedName>
    <definedName name="ㅓ" localSheetId="2" hidden="1">{#N/A,#N/A,TRUE,"Y생산";#N/A,#N/A,TRUE,"Y판매";#N/A,#N/A,TRUE,"Y총물량";#N/A,#N/A,TRUE,"Y능력";#N/A,#N/A,TRUE,"YKD"}</definedName>
    <definedName name="ㅓ" localSheetId="5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ㅔ" localSheetId="2" hidden="1">{#N/A,#N/A,FALSE,"단축1";#N/A,#N/A,FALSE,"단축2";#N/A,#N/A,FALSE,"단축3";#N/A,#N/A,FALSE,"장축";#N/A,#N/A,FALSE,"4WD"}</definedName>
    <definedName name="ㅔ" localSheetId="5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ㅔ" localSheetId="2" hidden="1">{#N/A,#N/A,FALSE,"을지 (4)";#N/A,#N/A,FALSE,"을지 (5)";#N/A,#N/A,FALSE,"을지 (6)"}</definedName>
    <definedName name="ㅔㅔㅔ" localSheetId="5" hidden="1">{#N/A,#N/A,FALSE,"을지 (4)";#N/A,#N/A,FALSE,"을지 (5)";#N/A,#N/A,FALSE,"을지 (6)"}</definedName>
    <definedName name="ㅔㅔㅔ" hidden="1">{#N/A,#N/A,FALSE,"을지 (4)";#N/A,#N/A,FALSE,"을지 (5)";#N/A,#N/A,FALSE,"을지 (6)"}</definedName>
    <definedName name="ㅕㅣㅎ" localSheetId="2" hidden="1">{#N/A,#N/A,FALSE,"단축1";#N/A,#N/A,FALSE,"단축2";#N/A,#N/A,FALSE,"단축3";#N/A,#N/A,FALSE,"장축";#N/A,#N/A,FALSE,"4WD"}</definedName>
    <definedName name="ㅕㅣㅎ" localSheetId="5" hidden="1">{#N/A,#N/A,FALSE,"단축1";#N/A,#N/A,FALSE,"단축2";#N/A,#N/A,FALSE,"단축3";#N/A,#N/A,FALSE,"장축";#N/A,#N/A,FALSE,"4WD"}</definedName>
    <definedName name="ㅕㅣㅎ" hidden="1">{#N/A,#N/A,FALSE,"단축1";#N/A,#N/A,FALSE,"단축2";#N/A,#N/A,FALSE,"단축3";#N/A,#N/A,FALSE,"장축";#N/A,#N/A,FALSE,"4WD"}</definedName>
    <definedName name="ㅗ" localSheetId="2" hidden="1">{#N/A,#N/A,FALSE,"단축1";#N/A,#N/A,FALSE,"단축2";#N/A,#N/A,FALSE,"단축3";#N/A,#N/A,FALSE,"장축";#N/A,#N/A,FALSE,"4WD"}</definedName>
    <definedName name="ㅗ" localSheetId="5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5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ㅓㅏ" localSheetId="2" hidden="1">#REF!</definedName>
    <definedName name="ㅗㅓㅏ" localSheetId="5" hidden="1">#REF!</definedName>
    <definedName name="ㅗㅓㅏ" hidden="1">#REF!</definedName>
    <definedName name="ㅗㅓㅐㅓㅐ" localSheetId="2" hidden="1">#REF!</definedName>
    <definedName name="ㅗㅓㅐㅓㅐ" localSheetId="5" hidden="1">#REF!</definedName>
    <definedName name="ㅗㅓㅐㅓㅐ" hidden="1">#REF!</definedName>
    <definedName name="ㅗㅗ" localSheetId="2" hidden="1">{#N/A,#N/A,FALSE,"단축1";#N/A,#N/A,FALSE,"단축2";#N/A,#N/A,FALSE,"단축3";#N/A,#N/A,FALSE,"장축";#N/A,#N/A,FALSE,"4WD"}</definedName>
    <definedName name="ㅗㅗ" localSheetId="5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" localSheetId="2" hidden="1">{#N/A,#N/A,FALSE,"단축1";#N/A,#N/A,FALSE,"단축2";#N/A,#N/A,FALSE,"단축3";#N/A,#N/A,FALSE,"장축";#N/A,#N/A,FALSE,"4WD"}</definedName>
    <definedName name="ㅛ" localSheetId="5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2" hidden="1">{#N/A,#N/A,FALSE,"단축1";#N/A,#N/A,FALSE,"단축2";#N/A,#N/A,FALSE,"단축3";#N/A,#N/A,FALSE,"장축";#N/A,#N/A,FALSE,"4WD"}</definedName>
    <definedName name="ㅜ" localSheetId="5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리" localSheetId="2" hidden="1">{#N/A,#N/A,TRUE,"Y생산";#N/A,#N/A,TRUE,"Y판매";#N/A,#N/A,TRUE,"Y총물량";#N/A,#N/A,TRUE,"Y능력";#N/A,#N/A,TRUE,"YKD"}</definedName>
    <definedName name="ㅜ리" localSheetId="5" hidden="1">{#N/A,#N/A,TRUE,"Y생산";#N/A,#N/A,TRUE,"Y판매";#N/A,#N/A,TRUE,"Y총물량";#N/A,#N/A,TRUE,"Y능력";#N/A,#N/A,TRUE,"YKD"}</definedName>
    <definedName name="ㅜ리" hidden="1">{#N/A,#N/A,TRUE,"Y생산";#N/A,#N/A,TRUE,"Y판매";#N/A,#N/A,TRUE,"Y총물량";#N/A,#N/A,TRUE,"Y능력";#N/A,#N/A,TRUE,"YKD"}</definedName>
    <definedName name="ㅡㅡㅡ" localSheetId="2" hidden="1">#REF!</definedName>
    <definedName name="ㅡㅡㅡ" localSheetId="5" hidden="1">#REF!</definedName>
    <definedName name="ㅡㅡㅡ" hidden="1">#REF!</definedName>
    <definedName name="ㅣㅏ" localSheetId="2" hidden="1">{#N/A,#N/A,FALSE,"단축1";#N/A,#N/A,FALSE,"단축2";#N/A,#N/A,FALSE,"단축3";#N/A,#N/A,FALSE,"장축";#N/A,#N/A,FALSE,"4WD"}</definedName>
    <definedName name="ㅣㅏ" localSheetId="5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ㅑㅓㅔ" localSheetId="2" hidden="1">#REF!</definedName>
    <definedName name="ㅣㅑㅓㅔ" localSheetId="5" hidden="1">#REF!</definedName>
    <definedName name="ㅣㅑㅓㅔ" hidden="1">#REF!</definedName>
    <definedName name="ㅣㅣ" localSheetId="2" hidden="1">{#N/A,#N/A,TRUE,"Y생산";#N/A,#N/A,TRUE,"Y판매";#N/A,#N/A,TRUE,"Y총물량";#N/A,#N/A,TRUE,"Y능력";#N/A,#N/A,TRUE,"YKD"}</definedName>
    <definedName name="ㅣㅣ" localSheetId="5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62913"/>
</workbook>
</file>

<file path=xl/calcChain.xml><?xml version="1.0" encoding="utf-8"?>
<calcChain xmlns="http://schemas.openxmlformats.org/spreadsheetml/2006/main">
  <c r="Z2" i="7" l="1"/>
  <c r="Z3" i="7"/>
  <c r="Z4" i="7"/>
  <c r="Z5" i="7"/>
  <c r="Z6" i="7"/>
  <c r="Z7" i="7"/>
  <c r="Z8" i="7"/>
  <c r="Z9" i="7"/>
  <c r="Z14" i="7" l="1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9" i="15"/>
  <c r="C9" i="15" s="1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8" i="14"/>
  <c r="C8" i="14"/>
  <c r="D8" i="14"/>
  <c r="E8" i="14"/>
  <c r="F8" i="14"/>
  <c r="H8" i="14"/>
  <c r="I8" i="14"/>
  <c r="J8" i="14"/>
  <c r="K8" i="14"/>
  <c r="L8" i="14"/>
  <c r="M8" i="14"/>
  <c r="N8" i="14"/>
  <c r="O8" i="14"/>
  <c r="P8" i="14"/>
  <c r="Q8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P8" i="13"/>
  <c r="O8" i="13"/>
  <c r="N8" i="13"/>
  <c r="M8" i="13"/>
  <c r="L8" i="13"/>
  <c r="K8" i="13"/>
  <c r="J8" i="13"/>
  <c r="I8" i="13"/>
  <c r="H8" i="13"/>
  <c r="F8" i="13"/>
  <c r="E8" i="13"/>
  <c r="D8" i="13"/>
  <c r="C8" i="13"/>
  <c r="B8" i="13"/>
  <c r="D9" i="15" l="1"/>
  <c r="E9" i="15" l="1"/>
  <c r="F9" i="15" l="1"/>
  <c r="G9" i="15" l="1"/>
  <c r="H9" i="15" l="1"/>
  <c r="I9" i="15" s="1"/>
  <c r="J9" i="15" s="1"/>
  <c r="K9" i="15" s="1"/>
  <c r="L9" i="15" s="1"/>
  <c r="M9" i="15" s="1"/>
  <c r="N9" i="15" s="1"/>
  <c r="O9" i="15" l="1"/>
  <c r="P9" i="15" s="1"/>
  <c r="Q9" i="15" s="1"/>
  <c r="R9" i="15" s="1"/>
  <c r="S9" i="15" s="1"/>
  <c r="L14" i="7" l="1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9" i="12"/>
  <c r="C9" i="12" l="1"/>
  <c r="D9" i="12" l="1"/>
  <c r="E9" i="12" l="1"/>
  <c r="F9" i="12" l="1"/>
  <c r="G9" i="12"/>
  <c r="H9" i="12" l="1"/>
  <c r="I9" i="12" s="1"/>
  <c r="J9" i="12" s="1"/>
  <c r="K9" i="12" s="1"/>
  <c r="L9" i="12" s="1"/>
  <c r="M9" i="12" s="1"/>
  <c r="N9" i="12" l="1"/>
  <c r="O9" i="12" s="1"/>
  <c r="A46" i="7" l="1"/>
  <c r="B46" i="7"/>
  <c r="C46" i="7"/>
  <c r="D46" i="7"/>
  <c r="F46" i="7"/>
  <c r="H46" i="7"/>
  <c r="I46" i="7"/>
  <c r="K46" i="7"/>
  <c r="M46" i="7"/>
  <c r="N46" i="7" s="1"/>
  <c r="O46" i="7"/>
  <c r="P46" i="7"/>
  <c r="Q46" i="7"/>
  <c r="R46" i="7"/>
  <c r="T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ES46" i="7"/>
  <c r="A47" i="7"/>
  <c r="B47" i="7"/>
  <c r="C47" i="7"/>
  <c r="D47" i="7"/>
  <c r="F47" i="7"/>
  <c r="H47" i="7"/>
  <c r="I47" i="7"/>
  <c r="K47" i="7"/>
  <c r="M47" i="7"/>
  <c r="N47" i="7" s="1"/>
  <c r="O47" i="7"/>
  <c r="P47" i="7"/>
  <c r="Q47" i="7"/>
  <c r="R47" i="7"/>
  <c r="T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M47" i="7"/>
  <c r="DN47" i="7"/>
  <c r="DO47" i="7"/>
  <c r="DP47" i="7"/>
  <c r="DQ47" i="7"/>
  <c r="DR47" i="7"/>
  <c r="DS47" i="7"/>
  <c r="DT47" i="7"/>
  <c r="DU47" i="7"/>
  <c r="DV47" i="7"/>
  <c r="DW47" i="7"/>
  <c r="DX47" i="7"/>
  <c r="DY47" i="7"/>
  <c r="DZ47" i="7"/>
  <c r="EA47" i="7"/>
  <c r="EB47" i="7"/>
  <c r="EC47" i="7"/>
  <c r="ED47" i="7"/>
  <c r="EE47" i="7"/>
  <c r="EF47" i="7"/>
  <c r="EG47" i="7"/>
  <c r="EH47" i="7"/>
  <c r="EI47" i="7"/>
  <c r="EJ47" i="7"/>
  <c r="EK47" i="7"/>
  <c r="EL47" i="7"/>
  <c r="EM47" i="7"/>
  <c r="EN47" i="7"/>
  <c r="EO47" i="7"/>
  <c r="EP47" i="7"/>
  <c r="EQ47" i="7"/>
  <c r="ER47" i="7"/>
  <c r="ES47" i="7"/>
  <c r="A48" i="7"/>
  <c r="B48" i="7"/>
  <c r="C48" i="7"/>
  <c r="D48" i="7"/>
  <c r="F48" i="7"/>
  <c r="H48" i="7"/>
  <c r="I48" i="7"/>
  <c r="K48" i="7"/>
  <c r="M48" i="7"/>
  <c r="N48" i="7" s="1"/>
  <c r="O48" i="7"/>
  <c r="P48" i="7"/>
  <c r="Q48" i="7"/>
  <c r="R48" i="7"/>
  <c r="T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ES48" i="7"/>
  <c r="A49" i="7"/>
  <c r="B49" i="7"/>
  <c r="C49" i="7"/>
  <c r="D49" i="7"/>
  <c r="F49" i="7"/>
  <c r="H49" i="7"/>
  <c r="I49" i="7"/>
  <c r="K49" i="7"/>
  <c r="M49" i="7"/>
  <c r="N49" i="7" s="1"/>
  <c r="O49" i="7"/>
  <c r="P49" i="7"/>
  <c r="Q49" i="7"/>
  <c r="R49" i="7"/>
  <c r="T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ES49" i="7"/>
  <c r="A50" i="7"/>
  <c r="B50" i="7"/>
  <c r="C50" i="7"/>
  <c r="D50" i="7"/>
  <c r="F50" i="7"/>
  <c r="H50" i="7"/>
  <c r="I50" i="7"/>
  <c r="K50" i="7"/>
  <c r="M50" i="7"/>
  <c r="N50" i="7" s="1"/>
  <c r="O50" i="7"/>
  <c r="P50" i="7"/>
  <c r="Q50" i="7"/>
  <c r="R50" i="7"/>
  <c r="T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ES50" i="7"/>
  <c r="A51" i="7"/>
  <c r="B51" i="7"/>
  <c r="C51" i="7"/>
  <c r="D51" i="7"/>
  <c r="F51" i="7"/>
  <c r="H51" i="7"/>
  <c r="I51" i="7"/>
  <c r="K51" i="7"/>
  <c r="M51" i="7"/>
  <c r="N51" i="7"/>
  <c r="O51" i="7"/>
  <c r="P51" i="7"/>
  <c r="Q51" i="7"/>
  <c r="R51" i="7"/>
  <c r="T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A52" i="7"/>
  <c r="B52" i="7"/>
  <c r="C52" i="7"/>
  <c r="D52" i="7"/>
  <c r="F52" i="7"/>
  <c r="H52" i="7"/>
  <c r="I52" i="7"/>
  <c r="K52" i="7"/>
  <c r="M52" i="7"/>
  <c r="N52" i="7" s="1"/>
  <c r="O52" i="7"/>
  <c r="P52" i="7"/>
  <c r="Q52" i="7"/>
  <c r="R52" i="7"/>
  <c r="T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EG52" i="7"/>
  <c r="EH52" i="7"/>
  <c r="EI52" i="7"/>
  <c r="EJ52" i="7"/>
  <c r="EK52" i="7"/>
  <c r="EL52" i="7"/>
  <c r="EM52" i="7"/>
  <c r="EN52" i="7"/>
  <c r="EO52" i="7"/>
  <c r="EP52" i="7"/>
  <c r="EQ52" i="7"/>
  <c r="ER52" i="7"/>
  <c r="ES52" i="7"/>
  <c r="A53" i="7"/>
  <c r="B53" i="7"/>
  <c r="C53" i="7"/>
  <c r="D53" i="7"/>
  <c r="F53" i="7"/>
  <c r="H53" i="7"/>
  <c r="I53" i="7"/>
  <c r="K53" i="7"/>
  <c r="M53" i="7"/>
  <c r="N53" i="7" s="1"/>
  <c r="O53" i="7"/>
  <c r="P53" i="7"/>
  <c r="Q53" i="7"/>
  <c r="R53" i="7"/>
  <c r="T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A54" i="7"/>
  <c r="B54" i="7"/>
  <c r="C54" i="7"/>
  <c r="D54" i="7"/>
  <c r="F54" i="7"/>
  <c r="H54" i="7"/>
  <c r="I54" i="7"/>
  <c r="K54" i="7"/>
  <c r="M54" i="7"/>
  <c r="N54" i="7" s="1"/>
  <c r="O54" i="7"/>
  <c r="P54" i="7"/>
  <c r="Q54" i="7"/>
  <c r="R54" i="7"/>
  <c r="T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ES54" i="7"/>
  <c r="A55" i="7"/>
  <c r="B55" i="7"/>
  <c r="C55" i="7"/>
  <c r="D55" i="7"/>
  <c r="F55" i="7"/>
  <c r="H55" i="7"/>
  <c r="I55" i="7"/>
  <c r="K55" i="7"/>
  <c r="M55" i="7"/>
  <c r="N55" i="7" s="1"/>
  <c r="O55" i="7"/>
  <c r="P55" i="7"/>
  <c r="Q55" i="7"/>
  <c r="R55" i="7"/>
  <c r="T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ES55" i="7"/>
  <c r="A56" i="7"/>
  <c r="B56" i="7"/>
  <c r="C56" i="7"/>
  <c r="D56" i="7"/>
  <c r="F56" i="7"/>
  <c r="H56" i="7"/>
  <c r="I56" i="7"/>
  <c r="K56" i="7"/>
  <c r="M56" i="7"/>
  <c r="N56" i="7" s="1"/>
  <c r="O56" i="7"/>
  <c r="P56" i="7"/>
  <c r="Q56" i="7"/>
  <c r="R56" i="7"/>
  <c r="T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ES56" i="7"/>
  <c r="A57" i="7"/>
  <c r="B57" i="7"/>
  <c r="C57" i="7"/>
  <c r="D57" i="7"/>
  <c r="F57" i="7"/>
  <c r="H57" i="7"/>
  <c r="I57" i="7"/>
  <c r="K57" i="7"/>
  <c r="M57" i="7"/>
  <c r="N57" i="7" s="1"/>
  <c r="O57" i="7"/>
  <c r="P57" i="7"/>
  <c r="Q57" i="7"/>
  <c r="R57" i="7"/>
  <c r="T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BV57" i="7"/>
  <c r="BW57" i="7"/>
  <c r="BX57" i="7"/>
  <c r="BY57" i="7"/>
  <c r="BZ57" i="7"/>
  <c r="CA57" i="7"/>
  <c r="CB57" i="7"/>
  <c r="CC57" i="7"/>
  <c r="CD57" i="7"/>
  <c r="CE57" i="7"/>
  <c r="CF57" i="7"/>
  <c r="CG57" i="7"/>
  <c r="CH57" i="7"/>
  <c r="CI57" i="7"/>
  <c r="CJ57" i="7"/>
  <c r="CK57" i="7"/>
  <c r="CL57" i="7"/>
  <c r="CM57" i="7"/>
  <c r="CN57" i="7"/>
  <c r="CO57" i="7"/>
  <c r="CP57" i="7"/>
  <c r="CQ57" i="7"/>
  <c r="CR57" i="7"/>
  <c r="CS57" i="7"/>
  <c r="CT57" i="7"/>
  <c r="CU57" i="7"/>
  <c r="CV57" i="7"/>
  <c r="CW57" i="7"/>
  <c r="CX57" i="7"/>
  <c r="CY57" i="7"/>
  <c r="CZ57" i="7"/>
  <c r="DA57" i="7"/>
  <c r="DB57" i="7"/>
  <c r="DC57" i="7"/>
  <c r="DD57" i="7"/>
  <c r="DE57" i="7"/>
  <c r="DF57" i="7"/>
  <c r="DG57" i="7"/>
  <c r="DH57" i="7"/>
  <c r="DI57" i="7"/>
  <c r="DJ57" i="7"/>
  <c r="DK57" i="7"/>
  <c r="DL57" i="7"/>
  <c r="DM57" i="7"/>
  <c r="DN57" i="7"/>
  <c r="DO57" i="7"/>
  <c r="DP57" i="7"/>
  <c r="DQ57" i="7"/>
  <c r="DR57" i="7"/>
  <c r="DS57" i="7"/>
  <c r="DT57" i="7"/>
  <c r="DU57" i="7"/>
  <c r="DV57" i="7"/>
  <c r="DW57" i="7"/>
  <c r="DX57" i="7"/>
  <c r="DY57" i="7"/>
  <c r="DZ57" i="7"/>
  <c r="EA57" i="7"/>
  <c r="EB57" i="7"/>
  <c r="EC57" i="7"/>
  <c r="ED57" i="7"/>
  <c r="EE57" i="7"/>
  <c r="EF57" i="7"/>
  <c r="EG57" i="7"/>
  <c r="EH57" i="7"/>
  <c r="EI57" i="7"/>
  <c r="EJ57" i="7"/>
  <c r="EK57" i="7"/>
  <c r="EL57" i="7"/>
  <c r="EM57" i="7"/>
  <c r="EN57" i="7"/>
  <c r="EO57" i="7"/>
  <c r="EP57" i="7"/>
  <c r="EQ57" i="7"/>
  <c r="ER57" i="7"/>
  <c r="ES57" i="7"/>
  <c r="A58" i="7"/>
  <c r="B58" i="7"/>
  <c r="C58" i="7"/>
  <c r="D58" i="7"/>
  <c r="F58" i="7"/>
  <c r="H58" i="7"/>
  <c r="I58" i="7"/>
  <c r="K58" i="7"/>
  <c r="M58" i="7"/>
  <c r="N58" i="7" s="1"/>
  <c r="O58" i="7"/>
  <c r="P58" i="7"/>
  <c r="Q58" i="7"/>
  <c r="R58" i="7"/>
  <c r="T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ES58" i="7"/>
  <c r="A59" i="7"/>
  <c r="B59" i="7"/>
  <c r="C59" i="7"/>
  <c r="D59" i="7"/>
  <c r="F59" i="7"/>
  <c r="H59" i="7"/>
  <c r="I59" i="7"/>
  <c r="K59" i="7"/>
  <c r="M59" i="7"/>
  <c r="N59" i="7" s="1"/>
  <c r="O59" i="7"/>
  <c r="P59" i="7"/>
  <c r="Q59" i="7"/>
  <c r="R59" i="7"/>
  <c r="T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ES59" i="7"/>
  <c r="A60" i="7"/>
  <c r="B60" i="7"/>
  <c r="C60" i="7"/>
  <c r="D60" i="7"/>
  <c r="F60" i="7"/>
  <c r="H60" i="7"/>
  <c r="I60" i="7"/>
  <c r="K60" i="7"/>
  <c r="M60" i="7"/>
  <c r="N60" i="7" s="1"/>
  <c r="O60" i="7"/>
  <c r="P60" i="7"/>
  <c r="Q60" i="7"/>
  <c r="R60" i="7"/>
  <c r="T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ES60" i="7"/>
  <c r="A61" i="7"/>
  <c r="B61" i="7"/>
  <c r="C61" i="7"/>
  <c r="D61" i="7"/>
  <c r="F61" i="7"/>
  <c r="H61" i="7"/>
  <c r="I61" i="7"/>
  <c r="K61" i="7"/>
  <c r="M61" i="7"/>
  <c r="N61" i="7" s="1"/>
  <c r="O61" i="7"/>
  <c r="P61" i="7"/>
  <c r="Q61" i="7"/>
  <c r="R61" i="7"/>
  <c r="T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ES61" i="7"/>
  <c r="A62" i="7"/>
  <c r="B62" i="7"/>
  <c r="C62" i="7"/>
  <c r="D62" i="7"/>
  <c r="F62" i="7"/>
  <c r="H62" i="7"/>
  <c r="I62" i="7"/>
  <c r="K62" i="7"/>
  <c r="M62" i="7"/>
  <c r="N62" i="7" s="1"/>
  <c r="O62" i="7"/>
  <c r="P62" i="7"/>
  <c r="Q62" i="7"/>
  <c r="R62" i="7"/>
  <c r="T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CW62" i="7"/>
  <c r="CX62" i="7"/>
  <c r="CY62" i="7"/>
  <c r="CZ62" i="7"/>
  <c r="DA62" i="7"/>
  <c r="DB62" i="7"/>
  <c r="DC62" i="7"/>
  <c r="DD62" i="7"/>
  <c r="DE62" i="7"/>
  <c r="DF62" i="7"/>
  <c r="DG62" i="7"/>
  <c r="DH62" i="7"/>
  <c r="DI62" i="7"/>
  <c r="DJ62" i="7"/>
  <c r="DK62" i="7"/>
  <c r="DL62" i="7"/>
  <c r="DM62" i="7"/>
  <c r="DN62" i="7"/>
  <c r="DO62" i="7"/>
  <c r="DP62" i="7"/>
  <c r="DQ62" i="7"/>
  <c r="DR62" i="7"/>
  <c r="DS62" i="7"/>
  <c r="DT62" i="7"/>
  <c r="DU62" i="7"/>
  <c r="DV62" i="7"/>
  <c r="DW62" i="7"/>
  <c r="DX62" i="7"/>
  <c r="DY62" i="7"/>
  <c r="DZ62" i="7"/>
  <c r="EA62" i="7"/>
  <c r="EB62" i="7"/>
  <c r="EC62" i="7"/>
  <c r="ED62" i="7"/>
  <c r="EE62" i="7"/>
  <c r="EF62" i="7"/>
  <c r="EG62" i="7"/>
  <c r="EH62" i="7"/>
  <c r="EI62" i="7"/>
  <c r="EJ62" i="7"/>
  <c r="EK62" i="7"/>
  <c r="EL62" i="7"/>
  <c r="EM62" i="7"/>
  <c r="EN62" i="7"/>
  <c r="EO62" i="7"/>
  <c r="EP62" i="7"/>
  <c r="EQ62" i="7"/>
  <c r="ER62" i="7"/>
  <c r="ES62" i="7"/>
  <c r="A63" i="7"/>
  <c r="B63" i="7"/>
  <c r="C63" i="7"/>
  <c r="D63" i="7"/>
  <c r="F63" i="7"/>
  <c r="H63" i="7"/>
  <c r="I63" i="7"/>
  <c r="K63" i="7"/>
  <c r="M63" i="7"/>
  <c r="N63" i="7" s="1"/>
  <c r="O63" i="7"/>
  <c r="P63" i="7"/>
  <c r="Q63" i="7"/>
  <c r="R63" i="7"/>
  <c r="J63" i="7" s="1"/>
  <c r="T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ES63" i="7"/>
  <c r="A64" i="7"/>
  <c r="B64" i="7"/>
  <c r="C64" i="7"/>
  <c r="D64" i="7"/>
  <c r="F64" i="7"/>
  <c r="H64" i="7"/>
  <c r="I64" i="7"/>
  <c r="K64" i="7"/>
  <c r="M64" i="7"/>
  <c r="N64" i="7"/>
  <c r="O64" i="7"/>
  <c r="P64" i="7"/>
  <c r="Q64" i="7"/>
  <c r="R64" i="7"/>
  <c r="T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ES64" i="7"/>
  <c r="A65" i="7"/>
  <c r="B65" i="7"/>
  <c r="C65" i="7"/>
  <c r="D65" i="7"/>
  <c r="F65" i="7"/>
  <c r="H65" i="7"/>
  <c r="I65" i="7"/>
  <c r="K65" i="7"/>
  <c r="M65" i="7"/>
  <c r="N65" i="7" s="1"/>
  <c r="O65" i="7"/>
  <c r="P65" i="7"/>
  <c r="Q65" i="7"/>
  <c r="R65" i="7"/>
  <c r="T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ES65" i="7"/>
  <c r="A66" i="7"/>
  <c r="B66" i="7"/>
  <c r="C66" i="7"/>
  <c r="D66" i="7"/>
  <c r="F66" i="7"/>
  <c r="H66" i="7"/>
  <c r="I66" i="7"/>
  <c r="K66" i="7"/>
  <c r="M66" i="7"/>
  <c r="N66" i="7" s="1"/>
  <c r="O66" i="7"/>
  <c r="P66" i="7"/>
  <c r="Q66" i="7"/>
  <c r="R66" i="7"/>
  <c r="T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ES66" i="7"/>
  <c r="A67" i="7"/>
  <c r="B67" i="7"/>
  <c r="C67" i="7"/>
  <c r="D67" i="7"/>
  <c r="F67" i="7"/>
  <c r="H67" i="7"/>
  <c r="I67" i="7"/>
  <c r="K67" i="7"/>
  <c r="M67" i="7"/>
  <c r="N67" i="7" s="1"/>
  <c r="O67" i="7"/>
  <c r="P67" i="7"/>
  <c r="Q67" i="7"/>
  <c r="R67" i="7"/>
  <c r="T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BV67" i="7"/>
  <c r="BW67" i="7"/>
  <c r="BX67" i="7"/>
  <c r="BY67" i="7"/>
  <c r="BZ67" i="7"/>
  <c r="CA67" i="7"/>
  <c r="CB67" i="7"/>
  <c r="CC67" i="7"/>
  <c r="CD67" i="7"/>
  <c r="CE67" i="7"/>
  <c r="CF67" i="7"/>
  <c r="CG67" i="7"/>
  <c r="CH67" i="7"/>
  <c r="CI67" i="7"/>
  <c r="CJ67" i="7"/>
  <c r="CK67" i="7"/>
  <c r="CL67" i="7"/>
  <c r="CM67" i="7"/>
  <c r="CN67" i="7"/>
  <c r="CO67" i="7"/>
  <c r="CP67" i="7"/>
  <c r="CQ67" i="7"/>
  <c r="CR67" i="7"/>
  <c r="CS67" i="7"/>
  <c r="CT67" i="7"/>
  <c r="CU67" i="7"/>
  <c r="CV67" i="7"/>
  <c r="CW67" i="7"/>
  <c r="CX67" i="7"/>
  <c r="CY67" i="7"/>
  <c r="CZ67" i="7"/>
  <c r="DA67" i="7"/>
  <c r="DB67" i="7"/>
  <c r="DC67" i="7"/>
  <c r="DD67" i="7"/>
  <c r="DE67" i="7"/>
  <c r="DF67" i="7"/>
  <c r="DG67" i="7"/>
  <c r="DH67" i="7"/>
  <c r="DI67" i="7"/>
  <c r="DJ67" i="7"/>
  <c r="DK67" i="7"/>
  <c r="DL67" i="7"/>
  <c r="DM67" i="7"/>
  <c r="DN67" i="7"/>
  <c r="DO67" i="7"/>
  <c r="DP67" i="7"/>
  <c r="DQ67" i="7"/>
  <c r="DR67" i="7"/>
  <c r="DS67" i="7"/>
  <c r="DT67" i="7"/>
  <c r="DU67" i="7"/>
  <c r="DV67" i="7"/>
  <c r="DW67" i="7"/>
  <c r="DX67" i="7"/>
  <c r="DY67" i="7"/>
  <c r="DZ67" i="7"/>
  <c r="EA67" i="7"/>
  <c r="EB67" i="7"/>
  <c r="EC67" i="7"/>
  <c r="ED67" i="7"/>
  <c r="EE67" i="7"/>
  <c r="EF67" i="7"/>
  <c r="EG67" i="7"/>
  <c r="EH67" i="7"/>
  <c r="EI67" i="7"/>
  <c r="EJ67" i="7"/>
  <c r="EK67" i="7"/>
  <c r="EL67" i="7"/>
  <c r="EM67" i="7"/>
  <c r="EN67" i="7"/>
  <c r="EO67" i="7"/>
  <c r="EP67" i="7"/>
  <c r="EQ67" i="7"/>
  <c r="ER67" i="7"/>
  <c r="ES67" i="7"/>
  <c r="A68" i="7"/>
  <c r="B68" i="7"/>
  <c r="C68" i="7"/>
  <c r="D68" i="7"/>
  <c r="F68" i="7"/>
  <c r="H68" i="7"/>
  <c r="I68" i="7"/>
  <c r="K68" i="7"/>
  <c r="M68" i="7"/>
  <c r="N68" i="7" s="1"/>
  <c r="O68" i="7"/>
  <c r="P68" i="7"/>
  <c r="Q68" i="7"/>
  <c r="R68" i="7"/>
  <c r="T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ES68" i="7"/>
  <c r="A69" i="7"/>
  <c r="B69" i="7"/>
  <c r="C69" i="7"/>
  <c r="D69" i="7"/>
  <c r="F69" i="7"/>
  <c r="H69" i="7"/>
  <c r="I69" i="7"/>
  <c r="K69" i="7"/>
  <c r="M69" i="7"/>
  <c r="N69" i="7" s="1"/>
  <c r="O69" i="7"/>
  <c r="P69" i="7"/>
  <c r="Q69" i="7"/>
  <c r="R69" i="7"/>
  <c r="T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ES69" i="7"/>
  <c r="A70" i="7"/>
  <c r="B70" i="7"/>
  <c r="C70" i="7"/>
  <c r="D70" i="7"/>
  <c r="F70" i="7"/>
  <c r="H70" i="7"/>
  <c r="I70" i="7"/>
  <c r="K70" i="7"/>
  <c r="M70" i="7"/>
  <c r="N70" i="7" s="1"/>
  <c r="O70" i="7"/>
  <c r="P70" i="7"/>
  <c r="Q70" i="7"/>
  <c r="R70" i="7"/>
  <c r="T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ES70" i="7"/>
  <c r="A71" i="7"/>
  <c r="B71" i="7"/>
  <c r="C71" i="7"/>
  <c r="D71" i="7"/>
  <c r="F71" i="7"/>
  <c r="H71" i="7"/>
  <c r="I71" i="7"/>
  <c r="K71" i="7"/>
  <c r="M71" i="7"/>
  <c r="N71" i="7" s="1"/>
  <c r="O71" i="7"/>
  <c r="P71" i="7"/>
  <c r="Q71" i="7"/>
  <c r="R71" i="7"/>
  <c r="T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ES71" i="7"/>
  <c r="A72" i="7"/>
  <c r="B72" i="7"/>
  <c r="C72" i="7"/>
  <c r="D72" i="7"/>
  <c r="F72" i="7"/>
  <c r="H72" i="7"/>
  <c r="I72" i="7"/>
  <c r="K72" i="7"/>
  <c r="M72" i="7"/>
  <c r="N72" i="7" s="1"/>
  <c r="O72" i="7"/>
  <c r="P72" i="7"/>
  <c r="Q72" i="7"/>
  <c r="R72" i="7"/>
  <c r="T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CW72" i="7"/>
  <c r="CX72" i="7"/>
  <c r="CY72" i="7"/>
  <c r="CZ72" i="7"/>
  <c r="DA72" i="7"/>
  <c r="DB72" i="7"/>
  <c r="DC72" i="7"/>
  <c r="DD72" i="7"/>
  <c r="DE72" i="7"/>
  <c r="DF72" i="7"/>
  <c r="DG72" i="7"/>
  <c r="DH72" i="7"/>
  <c r="DI72" i="7"/>
  <c r="DJ72" i="7"/>
  <c r="DK72" i="7"/>
  <c r="DL72" i="7"/>
  <c r="DM72" i="7"/>
  <c r="DN72" i="7"/>
  <c r="DO72" i="7"/>
  <c r="DP72" i="7"/>
  <c r="DQ72" i="7"/>
  <c r="DR72" i="7"/>
  <c r="DS72" i="7"/>
  <c r="DT72" i="7"/>
  <c r="DU72" i="7"/>
  <c r="DV72" i="7"/>
  <c r="DW72" i="7"/>
  <c r="DX72" i="7"/>
  <c r="DY72" i="7"/>
  <c r="DZ72" i="7"/>
  <c r="EA72" i="7"/>
  <c r="EB72" i="7"/>
  <c r="EC72" i="7"/>
  <c r="ED72" i="7"/>
  <c r="EE72" i="7"/>
  <c r="EF72" i="7"/>
  <c r="EG72" i="7"/>
  <c r="EH72" i="7"/>
  <c r="EI72" i="7"/>
  <c r="EJ72" i="7"/>
  <c r="EK72" i="7"/>
  <c r="EL72" i="7"/>
  <c r="EM72" i="7"/>
  <c r="EN72" i="7"/>
  <c r="EO72" i="7"/>
  <c r="EP72" i="7"/>
  <c r="EQ72" i="7"/>
  <c r="ER72" i="7"/>
  <c r="ES72" i="7"/>
  <c r="A73" i="7"/>
  <c r="B73" i="7"/>
  <c r="C73" i="7"/>
  <c r="D73" i="7"/>
  <c r="F73" i="7"/>
  <c r="H73" i="7"/>
  <c r="I73" i="7"/>
  <c r="K73" i="7"/>
  <c r="M73" i="7"/>
  <c r="N73" i="7" s="1"/>
  <c r="O73" i="7"/>
  <c r="P73" i="7"/>
  <c r="Q73" i="7"/>
  <c r="R73" i="7"/>
  <c r="T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ES73" i="7"/>
  <c r="ES45" i="7"/>
  <c r="ER45" i="7"/>
  <c r="EQ45" i="7"/>
  <c r="EP45" i="7"/>
  <c r="EO45" i="7"/>
  <c r="EN45" i="7"/>
  <c r="EM45" i="7"/>
  <c r="EL45" i="7"/>
  <c r="EK45" i="7"/>
  <c r="EJ45" i="7"/>
  <c r="EI45" i="7"/>
  <c r="EH45" i="7"/>
  <c r="EG45" i="7"/>
  <c r="EF45" i="7"/>
  <c r="EE45" i="7"/>
  <c r="ED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T45" i="7"/>
  <c r="R45" i="7"/>
  <c r="Q45" i="7"/>
  <c r="P45" i="7"/>
  <c r="O45" i="7"/>
  <c r="M45" i="7"/>
  <c r="N45" i="7" s="1"/>
  <c r="K45" i="7"/>
  <c r="I45" i="7"/>
  <c r="H45" i="7"/>
  <c r="F45" i="7"/>
  <c r="D45" i="7"/>
  <c r="C45" i="7"/>
  <c r="B45" i="7"/>
  <c r="A45" i="7"/>
  <c r="ES44" i="7"/>
  <c r="ER44" i="7"/>
  <c r="EQ44" i="7"/>
  <c r="EP44" i="7"/>
  <c r="EO44" i="7"/>
  <c r="EN44" i="7"/>
  <c r="EM44" i="7"/>
  <c r="EL44" i="7"/>
  <c r="EK44" i="7"/>
  <c r="EJ44" i="7"/>
  <c r="EI44" i="7"/>
  <c r="EH44" i="7"/>
  <c r="EG44" i="7"/>
  <c r="EF44" i="7"/>
  <c r="EE44" i="7"/>
  <c r="ED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T44" i="7"/>
  <c r="R44" i="7"/>
  <c r="Q44" i="7"/>
  <c r="P44" i="7"/>
  <c r="O44" i="7"/>
  <c r="M44" i="7"/>
  <c r="N44" i="7" s="1"/>
  <c r="K44" i="7"/>
  <c r="I44" i="7"/>
  <c r="H44" i="7"/>
  <c r="F44" i="7"/>
  <c r="D44" i="7"/>
  <c r="C44" i="7"/>
  <c r="B44" i="7"/>
  <c r="A44" i="7"/>
  <c r="ES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T43" i="7"/>
  <c r="R43" i="7"/>
  <c r="Q43" i="7"/>
  <c r="P43" i="7"/>
  <c r="O43" i="7"/>
  <c r="M43" i="7"/>
  <c r="N43" i="7" s="1"/>
  <c r="K43" i="7"/>
  <c r="I43" i="7"/>
  <c r="H43" i="7"/>
  <c r="F43" i="7"/>
  <c r="D43" i="7"/>
  <c r="C43" i="7"/>
  <c r="B43" i="7"/>
  <c r="A43" i="7"/>
  <c r="ES42" i="7"/>
  <c r="ER42" i="7"/>
  <c r="EQ42" i="7"/>
  <c r="EP42" i="7"/>
  <c r="EO42" i="7"/>
  <c r="EN42" i="7"/>
  <c r="EM42" i="7"/>
  <c r="EL42" i="7"/>
  <c r="EK42" i="7"/>
  <c r="EJ42" i="7"/>
  <c r="EI42" i="7"/>
  <c r="EH42" i="7"/>
  <c r="EG42" i="7"/>
  <c r="EF42" i="7"/>
  <c r="EE42" i="7"/>
  <c r="ED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T42" i="7"/>
  <c r="R42" i="7"/>
  <c r="Q42" i="7"/>
  <c r="P42" i="7"/>
  <c r="O42" i="7"/>
  <c r="M42" i="7"/>
  <c r="N42" i="7" s="1"/>
  <c r="K42" i="7"/>
  <c r="I42" i="7"/>
  <c r="H42" i="7"/>
  <c r="F42" i="7"/>
  <c r="D42" i="7"/>
  <c r="C42" i="7"/>
  <c r="B42" i="7"/>
  <c r="A42" i="7"/>
  <c r="ES41" i="7"/>
  <c r="ER41" i="7"/>
  <c r="EQ41" i="7"/>
  <c r="EP41" i="7"/>
  <c r="EO41" i="7"/>
  <c r="EN41" i="7"/>
  <c r="EM41" i="7"/>
  <c r="EL41" i="7"/>
  <c r="EK41" i="7"/>
  <c r="EJ41" i="7"/>
  <c r="EI41" i="7"/>
  <c r="EH41" i="7"/>
  <c r="EG41" i="7"/>
  <c r="EF41" i="7"/>
  <c r="EE41" i="7"/>
  <c r="ED41" i="7"/>
  <c r="EC41" i="7"/>
  <c r="EB41" i="7"/>
  <c r="EA41" i="7"/>
  <c r="DZ41" i="7"/>
  <c r="DY41" i="7"/>
  <c r="DX41" i="7"/>
  <c r="DW41" i="7"/>
  <c r="DV41" i="7"/>
  <c r="DU41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T41" i="7"/>
  <c r="R41" i="7"/>
  <c r="Q41" i="7"/>
  <c r="P41" i="7"/>
  <c r="O41" i="7"/>
  <c r="M41" i="7"/>
  <c r="N41" i="7" s="1"/>
  <c r="K41" i="7"/>
  <c r="I41" i="7"/>
  <c r="H41" i="7"/>
  <c r="F41" i="7"/>
  <c r="D41" i="7"/>
  <c r="C41" i="7"/>
  <c r="B41" i="7"/>
  <c r="A41" i="7"/>
  <c r="ES40" i="7"/>
  <c r="ER40" i="7"/>
  <c r="EQ40" i="7"/>
  <c r="EP40" i="7"/>
  <c r="EO40" i="7"/>
  <c r="EN40" i="7"/>
  <c r="EM40" i="7"/>
  <c r="EL40" i="7"/>
  <c r="EK40" i="7"/>
  <c r="EJ40" i="7"/>
  <c r="EI40" i="7"/>
  <c r="EH40" i="7"/>
  <c r="EG40" i="7"/>
  <c r="EF40" i="7"/>
  <c r="EE40" i="7"/>
  <c r="ED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T40" i="7"/>
  <c r="R40" i="7"/>
  <c r="Q40" i="7"/>
  <c r="P40" i="7"/>
  <c r="O40" i="7"/>
  <c r="M40" i="7"/>
  <c r="N40" i="7" s="1"/>
  <c r="K40" i="7"/>
  <c r="I40" i="7"/>
  <c r="H40" i="7"/>
  <c r="F40" i="7"/>
  <c r="D40" i="7"/>
  <c r="C40" i="7"/>
  <c r="B40" i="7"/>
  <c r="A40" i="7"/>
  <c r="W40" i="7" l="1"/>
  <c r="E57" i="7"/>
  <c r="W67" i="7"/>
  <c r="W51" i="7"/>
  <c r="AA47" i="7"/>
  <c r="W64" i="7"/>
  <c r="J48" i="7"/>
  <c r="W47" i="7"/>
  <c r="W71" i="7"/>
  <c r="AA66" i="7"/>
  <c r="AA64" i="7"/>
  <c r="J61" i="7"/>
  <c r="J60" i="7"/>
  <c r="J72" i="7"/>
  <c r="W58" i="7"/>
  <c r="J41" i="7"/>
  <c r="J70" i="7"/>
  <c r="E65" i="7"/>
  <c r="E43" i="7"/>
  <c r="E45" i="7"/>
  <c r="W55" i="7"/>
  <c r="J52" i="7"/>
  <c r="W48" i="7"/>
  <c r="U40" i="7"/>
  <c r="J45" i="7"/>
  <c r="J56" i="7"/>
  <c r="J51" i="7"/>
  <c r="E49" i="7"/>
  <c r="U73" i="7"/>
  <c r="J43" i="7"/>
  <c r="W59" i="7"/>
  <c r="W42" i="7"/>
  <c r="E67" i="7"/>
  <c r="W62" i="7"/>
  <c r="AA60" i="7"/>
  <c r="U57" i="7"/>
  <c r="W70" i="7"/>
  <c r="AA48" i="7"/>
  <c r="J67" i="7"/>
  <c r="W63" i="7"/>
  <c r="W60" i="7"/>
  <c r="W57" i="7"/>
  <c r="U50" i="7"/>
  <c r="W73" i="7"/>
  <c r="J42" i="7"/>
  <c r="U66" i="7"/>
  <c r="AA62" i="7"/>
  <c r="E61" i="7"/>
  <c r="AA59" i="7"/>
  <c r="J53" i="7"/>
  <c r="U52" i="7"/>
  <c r="E51" i="7"/>
  <c r="J47" i="7"/>
  <c r="U45" i="7"/>
  <c r="J73" i="7"/>
  <c r="J57" i="7"/>
  <c r="J49" i="7"/>
  <c r="U47" i="7"/>
  <c r="J46" i="7"/>
  <c r="AA53" i="7"/>
  <c r="E41" i="7"/>
  <c r="U43" i="7"/>
  <c r="W43" i="7"/>
  <c r="U69" i="7"/>
  <c r="U54" i="7"/>
  <c r="AA51" i="7"/>
  <c r="AA43" i="7"/>
  <c r="U44" i="7"/>
  <c r="E73" i="7"/>
  <c r="AA71" i="7"/>
  <c r="U70" i="7"/>
  <c r="U68" i="7"/>
  <c r="AA67" i="7"/>
  <c r="J59" i="7"/>
  <c r="AA55" i="7"/>
  <c r="U55" i="7"/>
  <c r="W54" i="7"/>
  <c r="U42" i="7"/>
  <c r="AA41" i="7"/>
  <c r="U41" i="7"/>
  <c r="U71" i="7"/>
  <c r="J64" i="7"/>
  <c r="U60" i="7"/>
  <c r="W46" i="7"/>
  <c r="W52" i="7"/>
  <c r="W49" i="7"/>
  <c r="E71" i="7"/>
  <c r="J71" i="7"/>
  <c r="J69" i="7"/>
  <c r="J55" i="7"/>
  <c r="E53" i="7"/>
  <c r="W68" i="7"/>
  <c r="W65" i="7"/>
  <c r="J58" i="7"/>
  <c r="U49" i="7"/>
  <c r="AA72" i="7"/>
  <c r="W72" i="7"/>
  <c r="E69" i="7"/>
  <c r="J68" i="7"/>
  <c r="U61" i="7"/>
  <c r="W61" i="7"/>
  <c r="AA56" i="7"/>
  <c r="U72" i="7"/>
  <c r="J65" i="7"/>
  <c r="U59" i="7"/>
  <c r="U58" i="7"/>
  <c r="U56" i="7"/>
  <c r="E55" i="7"/>
  <c r="U51" i="7"/>
  <c r="U48" i="7"/>
  <c r="J62" i="7"/>
  <c r="U53" i="7"/>
  <c r="AA50" i="7"/>
  <c r="AA69" i="7"/>
  <c r="W69" i="7"/>
  <c r="U67" i="7"/>
  <c r="U64" i="7"/>
  <c r="U63" i="7"/>
  <c r="W66" i="7"/>
  <c r="E63" i="7"/>
  <c r="W53" i="7"/>
  <c r="W50" i="7"/>
  <c r="E47" i="7"/>
  <c r="AA46" i="7"/>
  <c r="AA58" i="7"/>
  <c r="W56" i="7"/>
  <c r="E59" i="7"/>
  <c r="J54" i="7"/>
  <c r="U65" i="7"/>
  <c r="U62" i="7"/>
  <c r="U46" i="7"/>
  <c r="AA73" i="7"/>
  <c r="J66" i="7"/>
  <c r="J50" i="7"/>
  <c r="W44" i="7"/>
  <c r="AA44" i="7"/>
  <c r="W45" i="7"/>
  <c r="J44" i="7"/>
  <c r="AA45" i="7"/>
  <c r="W41" i="7"/>
  <c r="J40" i="7"/>
  <c r="AA70" i="7" l="1"/>
  <c r="AA42" i="7"/>
  <c r="AA57" i="7"/>
  <c r="AA61" i="7"/>
  <c r="AA54" i="7"/>
  <c r="AA40" i="7"/>
  <c r="AA68" i="7"/>
  <c r="AA49" i="7"/>
  <c r="AA63" i="7"/>
  <c r="AA65" i="7"/>
  <c r="AA52" i="7"/>
  <c r="ES39" i="7" l="1"/>
  <c r="ER39" i="7"/>
  <c r="EQ39" i="7"/>
  <c r="EP39" i="7"/>
  <c r="EO39" i="7"/>
  <c r="EN39" i="7"/>
  <c r="EM39" i="7"/>
  <c r="EL39" i="7"/>
  <c r="EK39" i="7"/>
  <c r="EJ39" i="7"/>
  <c r="EI39" i="7"/>
  <c r="EH39" i="7"/>
  <c r="EG39" i="7"/>
  <c r="EF39" i="7"/>
  <c r="EE39" i="7"/>
  <c r="ED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T39" i="7"/>
  <c r="R39" i="7"/>
  <c r="Q39" i="7"/>
  <c r="P39" i="7"/>
  <c r="O39" i="7"/>
  <c r="M39" i="7"/>
  <c r="N39" i="7" s="1"/>
  <c r="K39" i="7"/>
  <c r="I39" i="7"/>
  <c r="H39" i="7"/>
  <c r="F39" i="7"/>
  <c r="D39" i="7"/>
  <c r="C39" i="7"/>
  <c r="B39" i="7"/>
  <c r="A39" i="7"/>
  <c r="ES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T38" i="7"/>
  <c r="R38" i="7"/>
  <c r="Q38" i="7"/>
  <c r="P38" i="7"/>
  <c r="O38" i="7"/>
  <c r="M38" i="7"/>
  <c r="N38" i="7" s="1"/>
  <c r="K38" i="7"/>
  <c r="I38" i="7"/>
  <c r="H38" i="7"/>
  <c r="F38" i="7"/>
  <c r="D38" i="7"/>
  <c r="C38" i="7"/>
  <c r="B38" i="7"/>
  <c r="A38" i="7"/>
  <c r="ES37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T37" i="7"/>
  <c r="R37" i="7"/>
  <c r="Q37" i="7"/>
  <c r="P37" i="7"/>
  <c r="O37" i="7"/>
  <c r="M37" i="7"/>
  <c r="N37" i="7" s="1"/>
  <c r="K37" i="7"/>
  <c r="I37" i="7"/>
  <c r="H37" i="7"/>
  <c r="F37" i="7"/>
  <c r="D37" i="7"/>
  <c r="C37" i="7"/>
  <c r="B37" i="7"/>
  <c r="A37" i="7"/>
  <c r="ES36" i="7"/>
  <c r="ER36" i="7"/>
  <c r="EQ36" i="7"/>
  <c r="EP36" i="7"/>
  <c r="EO36" i="7"/>
  <c r="EN36" i="7"/>
  <c r="EM36" i="7"/>
  <c r="EL36" i="7"/>
  <c r="EK36" i="7"/>
  <c r="EJ36" i="7"/>
  <c r="EI36" i="7"/>
  <c r="EH36" i="7"/>
  <c r="EG36" i="7"/>
  <c r="EF36" i="7"/>
  <c r="EE36" i="7"/>
  <c r="ED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T36" i="7"/>
  <c r="R36" i="7"/>
  <c r="Q36" i="7"/>
  <c r="P36" i="7"/>
  <c r="O36" i="7"/>
  <c r="M36" i="7"/>
  <c r="N36" i="7" s="1"/>
  <c r="K36" i="7"/>
  <c r="I36" i="7"/>
  <c r="H36" i="7"/>
  <c r="F36" i="7"/>
  <c r="D36" i="7"/>
  <c r="C36" i="7"/>
  <c r="B36" i="7"/>
  <c r="A36" i="7"/>
  <c r="ES35" i="7"/>
  <c r="ER35" i="7"/>
  <c r="EQ35" i="7"/>
  <c r="EP35" i="7"/>
  <c r="EO35" i="7"/>
  <c r="EN35" i="7"/>
  <c r="EM35" i="7"/>
  <c r="EL35" i="7"/>
  <c r="EK35" i="7"/>
  <c r="EJ35" i="7"/>
  <c r="EI35" i="7"/>
  <c r="EH35" i="7"/>
  <c r="EG35" i="7"/>
  <c r="EF35" i="7"/>
  <c r="EE35" i="7"/>
  <c r="ED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T35" i="7"/>
  <c r="R35" i="7"/>
  <c r="Q35" i="7"/>
  <c r="P35" i="7"/>
  <c r="O35" i="7"/>
  <c r="M35" i="7"/>
  <c r="N35" i="7" s="1"/>
  <c r="K35" i="7"/>
  <c r="I35" i="7"/>
  <c r="H35" i="7"/>
  <c r="F35" i="7"/>
  <c r="D35" i="7"/>
  <c r="C35" i="7"/>
  <c r="B35" i="7"/>
  <c r="A35" i="7"/>
  <c r="ES34" i="7"/>
  <c r="ER34" i="7"/>
  <c r="EQ34" i="7"/>
  <c r="EP34" i="7"/>
  <c r="EO34" i="7"/>
  <c r="EN34" i="7"/>
  <c r="EM34" i="7"/>
  <c r="EL34" i="7"/>
  <c r="EK34" i="7"/>
  <c r="EJ34" i="7"/>
  <c r="EI34" i="7"/>
  <c r="EH34" i="7"/>
  <c r="EG34" i="7"/>
  <c r="EF34" i="7"/>
  <c r="EE34" i="7"/>
  <c r="ED34" i="7"/>
  <c r="EC34" i="7"/>
  <c r="EB34" i="7"/>
  <c r="EA34" i="7"/>
  <c r="DZ34" i="7"/>
  <c r="DY34" i="7"/>
  <c r="DX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T34" i="7"/>
  <c r="R34" i="7"/>
  <c r="Q34" i="7"/>
  <c r="P34" i="7"/>
  <c r="O34" i="7"/>
  <c r="M34" i="7"/>
  <c r="N34" i="7" s="1"/>
  <c r="K34" i="7"/>
  <c r="I34" i="7"/>
  <c r="H34" i="7"/>
  <c r="F34" i="7"/>
  <c r="D34" i="7"/>
  <c r="C34" i="7"/>
  <c r="B34" i="7"/>
  <c r="A34" i="7"/>
  <c r="ES33" i="7"/>
  <c r="ER33" i="7"/>
  <c r="EQ33" i="7"/>
  <c r="EP33" i="7"/>
  <c r="EO33" i="7"/>
  <c r="EN33" i="7"/>
  <c r="EM33" i="7"/>
  <c r="EL33" i="7"/>
  <c r="EK33" i="7"/>
  <c r="EJ33" i="7"/>
  <c r="EI33" i="7"/>
  <c r="EH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T33" i="7"/>
  <c r="R33" i="7"/>
  <c r="Q33" i="7"/>
  <c r="P33" i="7"/>
  <c r="O33" i="7"/>
  <c r="M33" i="7"/>
  <c r="N33" i="7" s="1"/>
  <c r="K33" i="7"/>
  <c r="I33" i="7"/>
  <c r="H33" i="7"/>
  <c r="F33" i="7"/>
  <c r="D33" i="7"/>
  <c r="C33" i="7"/>
  <c r="B33" i="7"/>
  <c r="A33" i="7"/>
  <c r="W33" i="7" s="1"/>
  <c r="ES32" i="7"/>
  <c r="ER32" i="7"/>
  <c r="EQ32" i="7"/>
  <c r="EP32" i="7"/>
  <c r="EO32" i="7"/>
  <c r="EN32" i="7"/>
  <c r="EM32" i="7"/>
  <c r="EL32" i="7"/>
  <c r="EK32" i="7"/>
  <c r="EJ32" i="7"/>
  <c r="EI32" i="7"/>
  <c r="EH32" i="7"/>
  <c r="EG32" i="7"/>
  <c r="EF32" i="7"/>
  <c r="EE32" i="7"/>
  <c r="ED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T32" i="7"/>
  <c r="R32" i="7"/>
  <c r="Q32" i="7"/>
  <c r="P32" i="7"/>
  <c r="O32" i="7"/>
  <c r="M32" i="7"/>
  <c r="N32" i="7" s="1"/>
  <c r="K32" i="7"/>
  <c r="I32" i="7"/>
  <c r="H32" i="7"/>
  <c r="F32" i="7"/>
  <c r="D32" i="7"/>
  <c r="C32" i="7"/>
  <c r="B32" i="7"/>
  <c r="A32" i="7"/>
  <c r="W32" i="7" s="1"/>
  <c r="ES31" i="7"/>
  <c r="ER31" i="7"/>
  <c r="EQ31" i="7"/>
  <c r="EP31" i="7"/>
  <c r="EO31" i="7"/>
  <c r="EN31" i="7"/>
  <c r="EM31" i="7"/>
  <c r="EL31" i="7"/>
  <c r="EK31" i="7"/>
  <c r="EJ31" i="7"/>
  <c r="EI31" i="7"/>
  <c r="EH31" i="7"/>
  <c r="EG31" i="7"/>
  <c r="EF31" i="7"/>
  <c r="EE31" i="7"/>
  <c r="ED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T31" i="7"/>
  <c r="R31" i="7"/>
  <c r="Q31" i="7"/>
  <c r="P31" i="7"/>
  <c r="O31" i="7"/>
  <c r="M31" i="7"/>
  <c r="N31" i="7" s="1"/>
  <c r="K31" i="7"/>
  <c r="I31" i="7"/>
  <c r="H31" i="7"/>
  <c r="F31" i="7"/>
  <c r="D31" i="7"/>
  <c r="C31" i="7"/>
  <c r="B31" i="7"/>
  <c r="A31" i="7"/>
  <c r="ES30" i="7"/>
  <c r="ER30" i="7"/>
  <c r="EQ30" i="7"/>
  <c r="EP30" i="7"/>
  <c r="EO30" i="7"/>
  <c r="EN30" i="7"/>
  <c r="EM30" i="7"/>
  <c r="EL30" i="7"/>
  <c r="EK30" i="7"/>
  <c r="EJ30" i="7"/>
  <c r="EI30" i="7"/>
  <c r="EH30" i="7"/>
  <c r="EG30" i="7"/>
  <c r="EF30" i="7"/>
  <c r="EE30" i="7"/>
  <c r="ED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T30" i="7"/>
  <c r="R30" i="7"/>
  <c r="Q30" i="7"/>
  <c r="P30" i="7"/>
  <c r="O30" i="7"/>
  <c r="M30" i="7"/>
  <c r="N30" i="7" s="1"/>
  <c r="K30" i="7"/>
  <c r="I30" i="7"/>
  <c r="H30" i="7"/>
  <c r="F30" i="7"/>
  <c r="D30" i="7"/>
  <c r="C30" i="7"/>
  <c r="B30" i="7"/>
  <c r="A30" i="7"/>
  <c r="ES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T29" i="7"/>
  <c r="R29" i="7"/>
  <c r="Q29" i="7"/>
  <c r="P29" i="7"/>
  <c r="O29" i="7"/>
  <c r="M29" i="7"/>
  <c r="N29" i="7" s="1"/>
  <c r="K29" i="7"/>
  <c r="I29" i="7"/>
  <c r="H29" i="7"/>
  <c r="F29" i="7"/>
  <c r="D29" i="7"/>
  <c r="C29" i="7"/>
  <c r="B29" i="7"/>
  <c r="A29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T28" i="7"/>
  <c r="R28" i="7"/>
  <c r="Q28" i="7"/>
  <c r="P28" i="7"/>
  <c r="O28" i="7"/>
  <c r="M28" i="7"/>
  <c r="N28" i="7" s="1"/>
  <c r="K28" i="7"/>
  <c r="I28" i="7"/>
  <c r="H28" i="7"/>
  <c r="F28" i="7"/>
  <c r="D28" i="7"/>
  <c r="C28" i="7"/>
  <c r="B28" i="7"/>
  <c r="A28" i="7"/>
  <c r="ES27" i="7"/>
  <c r="ER27" i="7"/>
  <c r="EQ27" i="7"/>
  <c r="EP27" i="7"/>
  <c r="EO27" i="7"/>
  <c r="EN27" i="7"/>
  <c r="EM27" i="7"/>
  <c r="EL27" i="7"/>
  <c r="EK27" i="7"/>
  <c r="EJ27" i="7"/>
  <c r="EI27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T27" i="7"/>
  <c r="R27" i="7"/>
  <c r="Q27" i="7"/>
  <c r="P27" i="7"/>
  <c r="O27" i="7"/>
  <c r="M27" i="7"/>
  <c r="N27" i="7" s="1"/>
  <c r="K27" i="7"/>
  <c r="I27" i="7"/>
  <c r="H27" i="7"/>
  <c r="F27" i="7"/>
  <c r="D27" i="7"/>
  <c r="C27" i="7"/>
  <c r="B27" i="7"/>
  <c r="A27" i="7"/>
  <c r="ES26" i="7"/>
  <c r="ER26" i="7"/>
  <c r="EQ26" i="7"/>
  <c r="EP26" i="7"/>
  <c r="EO26" i="7"/>
  <c r="EN26" i="7"/>
  <c r="EM26" i="7"/>
  <c r="EL26" i="7"/>
  <c r="EK26" i="7"/>
  <c r="EJ26" i="7"/>
  <c r="EI26" i="7"/>
  <c r="EH26" i="7"/>
  <c r="EG26" i="7"/>
  <c r="EF26" i="7"/>
  <c r="EE26" i="7"/>
  <c r="ED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T26" i="7"/>
  <c r="R26" i="7"/>
  <c r="Q26" i="7"/>
  <c r="P26" i="7"/>
  <c r="O26" i="7"/>
  <c r="M26" i="7"/>
  <c r="N26" i="7" s="1"/>
  <c r="K26" i="7"/>
  <c r="I26" i="7"/>
  <c r="H26" i="7"/>
  <c r="F26" i="7"/>
  <c r="D26" i="7"/>
  <c r="C26" i="7"/>
  <c r="B26" i="7"/>
  <c r="A26" i="7"/>
  <c r="ES25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T25" i="7"/>
  <c r="R25" i="7"/>
  <c r="Q25" i="7"/>
  <c r="P25" i="7"/>
  <c r="O25" i="7"/>
  <c r="M25" i="7"/>
  <c r="N25" i="7" s="1"/>
  <c r="K25" i="7"/>
  <c r="I25" i="7"/>
  <c r="H25" i="7"/>
  <c r="F25" i="7"/>
  <c r="D25" i="7"/>
  <c r="C25" i="7"/>
  <c r="B25" i="7"/>
  <c r="A25" i="7"/>
  <c r="ES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T24" i="7"/>
  <c r="R24" i="7"/>
  <c r="Q24" i="7"/>
  <c r="P24" i="7"/>
  <c r="O24" i="7"/>
  <c r="M24" i="7"/>
  <c r="N24" i="7" s="1"/>
  <c r="K24" i="7"/>
  <c r="I24" i="7"/>
  <c r="H24" i="7"/>
  <c r="F24" i="7"/>
  <c r="D24" i="7"/>
  <c r="C24" i="7"/>
  <c r="B24" i="7"/>
  <c r="A24" i="7"/>
  <c r="W24" i="7" s="1"/>
  <c r="ES23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T23" i="7"/>
  <c r="R23" i="7"/>
  <c r="Q23" i="7"/>
  <c r="P23" i="7"/>
  <c r="O23" i="7"/>
  <c r="M23" i="7"/>
  <c r="N23" i="7" s="1"/>
  <c r="K23" i="7"/>
  <c r="I23" i="7"/>
  <c r="H23" i="7"/>
  <c r="F23" i="7"/>
  <c r="D23" i="7"/>
  <c r="C23" i="7"/>
  <c r="B23" i="7"/>
  <c r="A23" i="7"/>
  <c r="ES22" i="7"/>
  <c r="ER22" i="7"/>
  <c r="EQ22" i="7"/>
  <c r="EP22" i="7"/>
  <c r="EO22" i="7"/>
  <c r="EN22" i="7"/>
  <c r="EM22" i="7"/>
  <c r="EL22" i="7"/>
  <c r="EK22" i="7"/>
  <c r="EJ22" i="7"/>
  <c r="EI22" i="7"/>
  <c r="EH22" i="7"/>
  <c r="EG22" i="7"/>
  <c r="EF22" i="7"/>
  <c r="EE22" i="7"/>
  <c r="ED22" i="7"/>
  <c r="EC22" i="7"/>
  <c r="EB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T22" i="7"/>
  <c r="R22" i="7"/>
  <c r="Q22" i="7"/>
  <c r="P22" i="7"/>
  <c r="O22" i="7"/>
  <c r="M22" i="7"/>
  <c r="N22" i="7" s="1"/>
  <c r="K22" i="7"/>
  <c r="I22" i="7"/>
  <c r="H22" i="7"/>
  <c r="F22" i="7"/>
  <c r="D22" i="7"/>
  <c r="C22" i="7"/>
  <c r="B22" i="7"/>
  <c r="A22" i="7"/>
  <c r="ES21" i="7"/>
  <c r="ER21" i="7"/>
  <c r="EQ21" i="7"/>
  <c r="EP21" i="7"/>
  <c r="EO21" i="7"/>
  <c r="EN21" i="7"/>
  <c r="EM21" i="7"/>
  <c r="EL21" i="7"/>
  <c r="EK21" i="7"/>
  <c r="EJ21" i="7"/>
  <c r="EI21" i="7"/>
  <c r="EH21" i="7"/>
  <c r="EG21" i="7"/>
  <c r="EF21" i="7"/>
  <c r="EE21" i="7"/>
  <c r="ED21" i="7"/>
  <c r="EC21" i="7"/>
  <c r="EB21" i="7"/>
  <c r="EA21" i="7"/>
  <c r="DZ21" i="7"/>
  <c r="DY21" i="7"/>
  <c r="DX21" i="7"/>
  <c r="DW21" i="7"/>
  <c r="DV21" i="7"/>
  <c r="DU21" i="7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T21" i="7"/>
  <c r="U21" i="7" s="1"/>
  <c r="R21" i="7"/>
  <c r="Q21" i="7"/>
  <c r="P21" i="7"/>
  <c r="O21" i="7"/>
  <c r="M21" i="7"/>
  <c r="N21" i="7" s="1"/>
  <c r="K21" i="7"/>
  <c r="I21" i="7"/>
  <c r="H21" i="7"/>
  <c r="F21" i="7"/>
  <c r="D21" i="7"/>
  <c r="C21" i="7"/>
  <c r="B21" i="7"/>
  <c r="A21" i="7"/>
  <c r="ES20" i="7"/>
  <c r="ER20" i="7"/>
  <c r="EQ20" i="7"/>
  <c r="EP20" i="7"/>
  <c r="EO20" i="7"/>
  <c r="EN20" i="7"/>
  <c r="EM20" i="7"/>
  <c r="EL20" i="7"/>
  <c r="EK20" i="7"/>
  <c r="EJ20" i="7"/>
  <c r="EI20" i="7"/>
  <c r="EH20" i="7"/>
  <c r="EG20" i="7"/>
  <c r="EF20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T20" i="7"/>
  <c r="R20" i="7"/>
  <c r="Q20" i="7"/>
  <c r="P20" i="7"/>
  <c r="O20" i="7"/>
  <c r="M20" i="7"/>
  <c r="N20" i="7" s="1"/>
  <c r="K20" i="7"/>
  <c r="I20" i="7"/>
  <c r="H20" i="7"/>
  <c r="F20" i="7"/>
  <c r="D20" i="7"/>
  <c r="C20" i="7"/>
  <c r="B20" i="7"/>
  <c r="A20" i="7"/>
  <c r="ES19" i="7"/>
  <c r="ER19" i="7"/>
  <c r="EQ19" i="7"/>
  <c r="EP19" i="7"/>
  <c r="EO19" i="7"/>
  <c r="EN19" i="7"/>
  <c r="EM19" i="7"/>
  <c r="EL19" i="7"/>
  <c r="EK19" i="7"/>
  <c r="EJ19" i="7"/>
  <c r="EI19" i="7"/>
  <c r="EH19" i="7"/>
  <c r="EG19" i="7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T19" i="7"/>
  <c r="R19" i="7"/>
  <c r="Q19" i="7"/>
  <c r="P19" i="7"/>
  <c r="O19" i="7"/>
  <c r="M19" i="7"/>
  <c r="N19" i="7" s="1"/>
  <c r="K19" i="7"/>
  <c r="I19" i="7"/>
  <c r="H19" i="7"/>
  <c r="F19" i="7"/>
  <c r="D19" i="7"/>
  <c r="C19" i="7"/>
  <c r="B19" i="7"/>
  <c r="A19" i="7"/>
  <c r="ES18" i="7"/>
  <c r="ER18" i="7"/>
  <c r="EQ18" i="7"/>
  <c r="EP18" i="7"/>
  <c r="EO18" i="7"/>
  <c r="EN18" i="7"/>
  <c r="EM18" i="7"/>
  <c r="EL18" i="7"/>
  <c r="EK18" i="7"/>
  <c r="EJ18" i="7"/>
  <c r="EI18" i="7"/>
  <c r="EH18" i="7"/>
  <c r="EG18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T18" i="7"/>
  <c r="R18" i="7"/>
  <c r="Q18" i="7"/>
  <c r="P18" i="7"/>
  <c r="O18" i="7"/>
  <c r="M18" i="7"/>
  <c r="N18" i="7" s="1"/>
  <c r="K18" i="7"/>
  <c r="I18" i="7"/>
  <c r="H18" i="7"/>
  <c r="F18" i="7"/>
  <c r="D18" i="7"/>
  <c r="C18" i="7"/>
  <c r="B18" i="7"/>
  <c r="A18" i="7"/>
  <c r="ES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T17" i="7"/>
  <c r="R17" i="7"/>
  <c r="Q17" i="7"/>
  <c r="P17" i="7"/>
  <c r="O17" i="7"/>
  <c r="M17" i="7"/>
  <c r="N17" i="7" s="1"/>
  <c r="K17" i="7"/>
  <c r="I17" i="7"/>
  <c r="H17" i="7"/>
  <c r="F17" i="7"/>
  <c r="D17" i="7"/>
  <c r="C17" i="7"/>
  <c r="B17" i="7"/>
  <c r="A17" i="7"/>
  <c r="ES16" i="7"/>
  <c r="ER16" i="7"/>
  <c r="EQ16" i="7"/>
  <c r="EP16" i="7"/>
  <c r="EO16" i="7"/>
  <c r="EN16" i="7"/>
  <c r="EM16" i="7"/>
  <c r="EL16" i="7"/>
  <c r="EK16" i="7"/>
  <c r="EJ16" i="7"/>
  <c r="EI16" i="7"/>
  <c r="EH16" i="7"/>
  <c r="EG16" i="7"/>
  <c r="EF16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T16" i="7"/>
  <c r="R16" i="7"/>
  <c r="Q16" i="7"/>
  <c r="P16" i="7"/>
  <c r="O16" i="7"/>
  <c r="M16" i="7"/>
  <c r="N16" i="7" s="1"/>
  <c r="K16" i="7"/>
  <c r="I16" i="7"/>
  <c r="H16" i="7"/>
  <c r="F16" i="7"/>
  <c r="D16" i="7"/>
  <c r="C16" i="7"/>
  <c r="B16" i="7"/>
  <c r="A16" i="7"/>
  <c r="ES15" i="7"/>
  <c r="ER15" i="7"/>
  <c r="EQ15" i="7"/>
  <c r="EP15" i="7"/>
  <c r="EO15" i="7"/>
  <c r="EN15" i="7"/>
  <c r="EM15" i="7"/>
  <c r="EL15" i="7"/>
  <c r="EK15" i="7"/>
  <c r="EJ15" i="7"/>
  <c r="EI15" i="7"/>
  <c r="EH15" i="7"/>
  <c r="EG15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T15" i="7"/>
  <c r="R15" i="7"/>
  <c r="Q15" i="7"/>
  <c r="P15" i="7"/>
  <c r="O15" i="7"/>
  <c r="M15" i="7"/>
  <c r="N15" i="7" s="1"/>
  <c r="K15" i="7"/>
  <c r="I15" i="7"/>
  <c r="H15" i="7"/>
  <c r="F15" i="7"/>
  <c r="D15" i="7"/>
  <c r="C15" i="7"/>
  <c r="B15" i="7"/>
  <c r="A15" i="7"/>
  <c r="ES14" i="7"/>
  <c r="ER14" i="7"/>
  <c r="EQ14" i="7"/>
  <c r="EP14" i="7"/>
  <c r="EO14" i="7"/>
  <c r="EN14" i="7"/>
  <c r="EM14" i="7"/>
  <c r="EL14" i="7"/>
  <c r="EK14" i="7"/>
  <c r="EJ14" i="7"/>
  <c r="EI14" i="7"/>
  <c r="EH14" i="7"/>
  <c r="EG14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T14" i="7"/>
  <c r="R14" i="7"/>
  <c r="Q14" i="7"/>
  <c r="P14" i="7"/>
  <c r="O14" i="7"/>
  <c r="M14" i="7"/>
  <c r="N14" i="7" s="1"/>
  <c r="K14" i="7"/>
  <c r="I14" i="7"/>
  <c r="H14" i="7"/>
  <c r="F14" i="7"/>
  <c r="D14" i="7"/>
  <c r="C14" i="7"/>
  <c r="B14" i="7"/>
  <c r="A14" i="7"/>
  <c r="ES13" i="7"/>
  <c r="ER13" i="7"/>
  <c r="EQ13" i="7"/>
  <c r="EP13" i="7"/>
  <c r="EO13" i="7"/>
  <c r="EN13" i="7"/>
  <c r="EM13" i="7"/>
  <c r="EL13" i="7"/>
  <c r="EK13" i="7"/>
  <c r="EJ13" i="7"/>
  <c r="EI13" i="7"/>
  <c r="EH13" i="7"/>
  <c r="EG13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T13" i="7"/>
  <c r="R13" i="7"/>
  <c r="Q13" i="7"/>
  <c r="P13" i="7"/>
  <c r="O13" i="7"/>
  <c r="M13" i="7"/>
  <c r="N13" i="7" s="1"/>
  <c r="K13" i="7"/>
  <c r="I13" i="7"/>
  <c r="H13" i="7"/>
  <c r="F13" i="7"/>
  <c r="G13" i="7" s="1"/>
  <c r="D13" i="7"/>
  <c r="C13" i="7"/>
  <c r="B13" i="7"/>
  <c r="A13" i="7"/>
  <c r="ES12" i="7"/>
  <c r="ER12" i="7"/>
  <c r="EQ12" i="7"/>
  <c r="EP12" i="7"/>
  <c r="EO12" i="7"/>
  <c r="EN12" i="7"/>
  <c r="EM12" i="7"/>
  <c r="EL12" i="7"/>
  <c r="EK12" i="7"/>
  <c r="EJ12" i="7"/>
  <c r="EI12" i="7"/>
  <c r="EH12" i="7"/>
  <c r="EG12" i="7"/>
  <c r="EF12" i="7"/>
  <c r="EE12" i="7"/>
  <c r="ED12" i="7"/>
  <c r="EC12" i="7"/>
  <c r="EB12" i="7"/>
  <c r="EA12" i="7"/>
  <c r="DZ12" i="7"/>
  <c r="DY12" i="7"/>
  <c r="DX12" i="7"/>
  <c r="DW12" i="7"/>
  <c r="DV12" i="7"/>
  <c r="DU12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T12" i="7"/>
  <c r="R12" i="7"/>
  <c r="Q12" i="7"/>
  <c r="P12" i="7"/>
  <c r="O12" i="7"/>
  <c r="M12" i="7"/>
  <c r="N12" i="7" s="1"/>
  <c r="K12" i="7"/>
  <c r="I12" i="7"/>
  <c r="H12" i="7"/>
  <c r="F12" i="7"/>
  <c r="G12" i="7" s="1"/>
  <c r="D12" i="7"/>
  <c r="C12" i="7"/>
  <c r="B12" i="7"/>
  <c r="A12" i="7"/>
  <c r="ES11" i="7"/>
  <c r="ER11" i="7"/>
  <c r="EQ11" i="7"/>
  <c r="EP11" i="7"/>
  <c r="EO11" i="7"/>
  <c r="EN11" i="7"/>
  <c r="EM11" i="7"/>
  <c r="EL11" i="7"/>
  <c r="EK11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T11" i="7"/>
  <c r="R11" i="7"/>
  <c r="Q11" i="7"/>
  <c r="P11" i="7"/>
  <c r="O11" i="7"/>
  <c r="M11" i="7"/>
  <c r="N11" i="7" s="1"/>
  <c r="K11" i="7"/>
  <c r="I11" i="7"/>
  <c r="H11" i="7"/>
  <c r="F11" i="7"/>
  <c r="G11" i="7" s="1"/>
  <c r="D11" i="7"/>
  <c r="C11" i="7"/>
  <c r="B11" i="7"/>
  <c r="A11" i="7"/>
  <c r="ES10" i="7"/>
  <c r="ER10" i="7"/>
  <c r="EQ10" i="7"/>
  <c r="EP10" i="7"/>
  <c r="EO10" i="7"/>
  <c r="EN10" i="7"/>
  <c r="EM10" i="7"/>
  <c r="EL10" i="7"/>
  <c r="EK10" i="7"/>
  <c r="EJ10" i="7"/>
  <c r="EI10" i="7"/>
  <c r="EH10" i="7"/>
  <c r="EG10" i="7"/>
  <c r="EF10" i="7"/>
  <c r="EE10" i="7"/>
  <c r="ED10" i="7"/>
  <c r="EC10" i="7"/>
  <c r="EB10" i="7"/>
  <c r="EA10" i="7"/>
  <c r="DZ10" i="7"/>
  <c r="DY10" i="7"/>
  <c r="DX10" i="7"/>
  <c r="DW10" i="7"/>
  <c r="DV10" i="7"/>
  <c r="DU10" i="7"/>
  <c r="DT10" i="7"/>
  <c r="DS10" i="7"/>
  <c r="DR10" i="7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T10" i="7"/>
  <c r="R10" i="7"/>
  <c r="Q10" i="7"/>
  <c r="P10" i="7"/>
  <c r="O10" i="7"/>
  <c r="M10" i="7"/>
  <c r="N10" i="7" s="1"/>
  <c r="K10" i="7"/>
  <c r="I10" i="7"/>
  <c r="H10" i="7"/>
  <c r="F10" i="7"/>
  <c r="G10" i="7" s="1"/>
  <c r="D10" i="7"/>
  <c r="C10" i="7"/>
  <c r="B10" i="7"/>
  <c r="A10" i="7"/>
  <c r="ES9" i="7"/>
  <c r="ER9" i="7"/>
  <c r="EQ9" i="7"/>
  <c r="EP9" i="7"/>
  <c r="EO9" i="7"/>
  <c r="EN9" i="7"/>
  <c r="EM9" i="7"/>
  <c r="EL9" i="7"/>
  <c r="EK9" i="7"/>
  <c r="EJ9" i="7"/>
  <c r="EI9" i="7"/>
  <c r="EH9" i="7"/>
  <c r="EG9" i="7"/>
  <c r="EF9" i="7"/>
  <c r="EE9" i="7"/>
  <c r="ED9" i="7"/>
  <c r="EC9" i="7"/>
  <c r="EB9" i="7"/>
  <c r="EA9" i="7"/>
  <c r="DZ9" i="7"/>
  <c r="DY9" i="7"/>
  <c r="DX9" i="7"/>
  <c r="DW9" i="7"/>
  <c r="DV9" i="7"/>
  <c r="DU9" i="7"/>
  <c r="DT9" i="7"/>
  <c r="DS9" i="7"/>
  <c r="DR9" i="7"/>
  <c r="DQ9" i="7"/>
  <c r="DP9" i="7"/>
  <c r="DO9" i="7"/>
  <c r="DN9" i="7"/>
  <c r="DM9" i="7"/>
  <c r="DL9" i="7"/>
  <c r="DK9" i="7"/>
  <c r="DJ9" i="7"/>
  <c r="DI9" i="7"/>
  <c r="DH9" i="7"/>
  <c r="DG9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T9" i="7"/>
  <c r="R9" i="7"/>
  <c r="Q9" i="7"/>
  <c r="P9" i="7"/>
  <c r="O9" i="7"/>
  <c r="M9" i="7"/>
  <c r="N9" i="7" s="1"/>
  <c r="K9" i="7"/>
  <c r="I9" i="7"/>
  <c r="H9" i="7"/>
  <c r="F9" i="7"/>
  <c r="G9" i="7" s="1"/>
  <c r="D9" i="7"/>
  <c r="C9" i="7"/>
  <c r="B9" i="7"/>
  <c r="A9" i="7"/>
  <c r="ES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C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M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T8" i="7"/>
  <c r="R8" i="7"/>
  <c r="Q8" i="7"/>
  <c r="P8" i="7"/>
  <c r="O8" i="7"/>
  <c r="M8" i="7"/>
  <c r="N8" i="7" s="1"/>
  <c r="K8" i="7"/>
  <c r="I8" i="7"/>
  <c r="H8" i="7"/>
  <c r="F8" i="7"/>
  <c r="G8" i="7" s="1"/>
  <c r="D8" i="7"/>
  <c r="C8" i="7"/>
  <c r="B8" i="7"/>
  <c r="A8" i="7"/>
  <c r="ES7" i="7"/>
  <c r="ER7" i="7"/>
  <c r="EQ7" i="7"/>
  <c r="EP7" i="7"/>
  <c r="EO7" i="7"/>
  <c r="EN7" i="7"/>
  <c r="EM7" i="7"/>
  <c r="EL7" i="7"/>
  <c r="EK7" i="7"/>
  <c r="EJ7" i="7"/>
  <c r="EI7" i="7"/>
  <c r="EH7" i="7"/>
  <c r="EG7" i="7"/>
  <c r="EF7" i="7"/>
  <c r="EE7" i="7"/>
  <c r="ED7" i="7"/>
  <c r="EC7" i="7"/>
  <c r="EB7" i="7"/>
  <c r="EA7" i="7"/>
  <c r="DZ7" i="7"/>
  <c r="DY7" i="7"/>
  <c r="DX7" i="7"/>
  <c r="DW7" i="7"/>
  <c r="DV7" i="7"/>
  <c r="DU7" i="7"/>
  <c r="DT7" i="7"/>
  <c r="DS7" i="7"/>
  <c r="DR7" i="7"/>
  <c r="DQ7" i="7"/>
  <c r="DP7" i="7"/>
  <c r="DO7" i="7"/>
  <c r="DN7" i="7"/>
  <c r="DM7" i="7"/>
  <c r="DL7" i="7"/>
  <c r="DK7" i="7"/>
  <c r="DJ7" i="7"/>
  <c r="DI7" i="7"/>
  <c r="DH7" i="7"/>
  <c r="DG7" i="7"/>
  <c r="DF7" i="7"/>
  <c r="DE7" i="7"/>
  <c r="DD7" i="7"/>
  <c r="DC7" i="7"/>
  <c r="DB7" i="7"/>
  <c r="DA7" i="7"/>
  <c r="CZ7" i="7"/>
  <c r="CY7" i="7"/>
  <c r="CX7" i="7"/>
  <c r="CW7" i="7"/>
  <c r="CV7" i="7"/>
  <c r="CU7" i="7"/>
  <c r="CT7" i="7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T7" i="7"/>
  <c r="R7" i="7"/>
  <c r="Q7" i="7"/>
  <c r="P7" i="7"/>
  <c r="O7" i="7"/>
  <c r="M7" i="7"/>
  <c r="N7" i="7" s="1"/>
  <c r="K7" i="7"/>
  <c r="I7" i="7"/>
  <c r="H7" i="7"/>
  <c r="F7" i="7"/>
  <c r="G7" i="7" s="1"/>
  <c r="D7" i="7"/>
  <c r="C7" i="7"/>
  <c r="B7" i="7"/>
  <c r="A7" i="7"/>
  <c r="ES6" i="7"/>
  <c r="ER6" i="7"/>
  <c r="EQ6" i="7"/>
  <c r="EP6" i="7"/>
  <c r="EO6" i="7"/>
  <c r="EN6" i="7"/>
  <c r="EM6" i="7"/>
  <c r="EL6" i="7"/>
  <c r="EK6" i="7"/>
  <c r="EJ6" i="7"/>
  <c r="EI6" i="7"/>
  <c r="EH6" i="7"/>
  <c r="EG6" i="7"/>
  <c r="EF6" i="7"/>
  <c r="EE6" i="7"/>
  <c r="ED6" i="7"/>
  <c r="EC6" i="7"/>
  <c r="EB6" i="7"/>
  <c r="EA6" i="7"/>
  <c r="DZ6" i="7"/>
  <c r="DY6" i="7"/>
  <c r="DX6" i="7"/>
  <c r="DW6" i="7"/>
  <c r="DV6" i="7"/>
  <c r="DU6" i="7"/>
  <c r="DT6" i="7"/>
  <c r="DS6" i="7"/>
  <c r="DR6" i="7"/>
  <c r="DQ6" i="7"/>
  <c r="DP6" i="7"/>
  <c r="DO6" i="7"/>
  <c r="DN6" i="7"/>
  <c r="DM6" i="7"/>
  <c r="DL6" i="7"/>
  <c r="DK6" i="7"/>
  <c r="DJ6" i="7"/>
  <c r="DI6" i="7"/>
  <c r="DH6" i="7"/>
  <c r="DG6" i="7"/>
  <c r="DF6" i="7"/>
  <c r="DE6" i="7"/>
  <c r="DD6" i="7"/>
  <c r="DC6" i="7"/>
  <c r="DB6" i="7"/>
  <c r="DA6" i="7"/>
  <c r="CZ6" i="7"/>
  <c r="CY6" i="7"/>
  <c r="CX6" i="7"/>
  <c r="CW6" i="7"/>
  <c r="CV6" i="7"/>
  <c r="CU6" i="7"/>
  <c r="CT6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T6" i="7"/>
  <c r="R6" i="7"/>
  <c r="Q6" i="7"/>
  <c r="P6" i="7"/>
  <c r="O6" i="7"/>
  <c r="M6" i="7"/>
  <c r="N6" i="7" s="1"/>
  <c r="K6" i="7"/>
  <c r="I6" i="7"/>
  <c r="H6" i="7"/>
  <c r="F6" i="7"/>
  <c r="G6" i="7" s="1"/>
  <c r="D6" i="7"/>
  <c r="C6" i="7"/>
  <c r="B6" i="7"/>
  <c r="A6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T5" i="7"/>
  <c r="R5" i="7"/>
  <c r="Q5" i="7"/>
  <c r="P5" i="7"/>
  <c r="O5" i="7"/>
  <c r="M5" i="7"/>
  <c r="N5" i="7" s="1"/>
  <c r="K5" i="7"/>
  <c r="I5" i="7"/>
  <c r="H5" i="7"/>
  <c r="F5" i="7"/>
  <c r="G5" i="7" s="1"/>
  <c r="D5" i="7"/>
  <c r="C5" i="7"/>
  <c r="B5" i="7"/>
  <c r="A5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T4" i="7"/>
  <c r="R4" i="7"/>
  <c r="Q4" i="7"/>
  <c r="P4" i="7"/>
  <c r="O4" i="7"/>
  <c r="M4" i="7"/>
  <c r="N4" i="7" s="1"/>
  <c r="K4" i="7"/>
  <c r="I4" i="7"/>
  <c r="H4" i="7"/>
  <c r="F4" i="7"/>
  <c r="G4" i="7" s="1"/>
  <c r="D4" i="7"/>
  <c r="C4" i="7"/>
  <c r="B4" i="7"/>
  <c r="A4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T3" i="7"/>
  <c r="R3" i="7"/>
  <c r="Q3" i="7"/>
  <c r="P3" i="7"/>
  <c r="O3" i="7"/>
  <c r="M3" i="7"/>
  <c r="N3" i="7" s="1"/>
  <c r="K3" i="7"/>
  <c r="I3" i="7"/>
  <c r="H3" i="7"/>
  <c r="F3" i="7"/>
  <c r="G3" i="7" s="1"/>
  <c r="D3" i="7"/>
  <c r="C3" i="7"/>
  <c r="B3" i="7"/>
  <c r="A3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T2" i="7"/>
  <c r="R2" i="7"/>
  <c r="Q2" i="7"/>
  <c r="P2" i="7"/>
  <c r="O2" i="7"/>
  <c r="M2" i="7"/>
  <c r="N2" i="7" s="1"/>
  <c r="K2" i="7"/>
  <c r="I2" i="7"/>
  <c r="H2" i="7"/>
  <c r="F2" i="7"/>
  <c r="G2" i="7" s="1"/>
  <c r="D2" i="7"/>
  <c r="C2" i="7"/>
  <c r="B2" i="7"/>
  <c r="A2" i="7"/>
  <c r="U13" i="7" l="1"/>
  <c r="Y2" i="7"/>
  <c r="V2" i="7"/>
  <c r="W2" i="7" s="1"/>
  <c r="L2" i="7"/>
  <c r="Y4" i="7"/>
  <c r="AA4" i="7" s="1"/>
  <c r="V4" i="7"/>
  <c r="L4" i="7"/>
  <c r="V6" i="7"/>
  <c r="W6" i="7" s="1"/>
  <c r="Y6" i="7"/>
  <c r="L6" i="7"/>
  <c r="V8" i="7"/>
  <c r="W8" i="7" s="1"/>
  <c r="Y8" i="7"/>
  <c r="AA8" i="7" s="1"/>
  <c r="L8" i="7"/>
  <c r="V10" i="7"/>
  <c r="W10" i="7" s="1"/>
  <c r="Z10" i="7"/>
  <c r="Y10" i="7"/>
  <c r="L10" i="7"/>
  <c r="V12" i="7"/>
  <c r="W12" i="7" s="1"/>
  <c r="Z12" i="7"/>
  <c r="Y12" i="7"/>
  <c r="L12" i="7"/>
  <c r="Y3" i="7"/>
  <c r="V3" i="7"/>
  <c r="W3" i="7" s="1"/>
  <c r="L3" i="7"/>
  <c r="Y5" i="7"/>
  <c r="V5" i="7"/>
  <c r="W5" i="7" s="1"/>
  <c r="L5" i="7"/>
  <c r="V7" i="7"/>
  <c r="W7" i="7" s="1"/>
  <c r="Y7" i="7"/>
  <c r="L7" i="7"/>
  <c r="V9" i="7"/>
  <c r="W9" i="7" s="1"/>
  <c r="Y9" i="7"/>
  <c r="AA9" i="7" s="1"/>
  <c r="L9" i="7"/>
  <c r="Y11" i="7"/>
  <c r="V11" i="7"/>
  <c r="W11" i="7" s="1"/>
  <c r="Z11" i="7"/>
  <c r="L11" i="7"/>
  <c r="Y13" i="7"/>
  <c r="Z13" i="7"/>
  <c r="V13" i="7"/>
  <c r="W13" i="7" s="1"/>
  <c r="L13" i="7"/>
  <c r="U5" i="7"/>
  <c r="U3" i="7"/>
  <c r="U34" i="7"/>
  <c r="W37" i="7"/>
  <c r="U2" i="7"/>
  <c r="U7" i="7"/>
  <c r="U4" i="7"/>
  <c r="U6" i="7"/>
  <c r="U30" i="7"/>
  <c r="U38" i="7"/>
  <c r="U29" i="7"/>
  <c r="U37" i="7"/>
  <c r="AA25" i="7"/>
  <c r="U12" i="7"/>
  <c r="U14" i="7"/>
  <c r="U20" i="7"/>
  <c r="U22" i="7"/>
  <c r="U28" i="7"/>
  <c r="U36" i="7"/>
  <c r="AA5" i="7"/>
  <c r="U11" i="7"/>
  <c r="U19" i="7"/>
  <c r="U27" i="7"/>
  <c r="U35" i="7"/>
  <c r="AA17" i="7"/>
  <c r="U10" i="7"/>
  <c r="U18" i="7"/>
  <c r="U26" i="7"/>
  <c r="W4" i="7"/>
  <c r="U9" i="7"/>
  <c r="U17" i="7"/>
  <c r="U25" i="7"/>
  <c r="J27" i="7"/>
  <c r="J32" i="7"/>
  <c r="U33" i="7"/>
  <c r="J35" i="7"/>
  <c r="U8" i="7"/>
  <c r="U16" i="7"/>
  <c r="W19" i="7"/>
  <c r="U24" i="7"/>
  <c r="U32" i="7"/>
  <c r="AA2" i="7"/>
  <c r="AA3" i="7"/>
  <c r="U15" i="7"/>
  <c r="U23" i="7"/>
  <c r="U31" i="7"/>
  <c r="U39" i="7"/>
  <c r="W17" i="7"/>
  <c r="W39" i="7"/>
  <c r="W31" i="7"/>
  <c r="W38" i="7"/>
  <c r="W30" i="7"/>
  <c r="AA29" i="7"/>
  <c r="W29" i="7"/>
  <c r="W36" i="7"/>
  <c r="W28" i="7"/>
  <c r="AA39" i="7"/>
  <c r="W35" i="7"/>
  <c r="W27" i="7"/>
  <c r="AA35" i="7"/>
  <c r="AA31" i="7"/>
  <c r="W34" i="7"/>
  <c r="W26" i="7"/>
  <c r="AA38" i="7"/>
  <c r="AA27" i="7"/>
  <c r="AA34" i="7"/>
  <c r="AA30" i="7"/>
  <c r="AA26" i="7"/>
  <c r="W23" i="7"/>
  <c r="W16" i="7"/>
  <c r="W22" i="7"/>
  <c r="W15" i="7"/>
  <c r="W21" i="7"/>
  <c r="AA16" i="7"/>
  <c r="J8" i="7"/>
  <c r="J11" i="7"/>
  <c r="J16" i="7"/>
  <c r="J19" i="7"/>
  <c r="J24" i="7"/>
  <c r="W14" i="7"/>
  <c r="W20" i="7"/>
  <c r="AA23" i="7"/>
  <c r="AA20" i="7"/>
  <c r="AA15" i="7"/>
  <c r="AA22" i="7"/>
  <c r="W25" i="7"/>
  <c r="AA14" i="7"/>
  <c r="W18" i="7"/>
  <c r="J34" i="7"/>
  <c r="J2" i="7"/>
  <c r="J9" i="7"/>
  <c r="J17" i="7"/>
  <c r="J25" i="7"/>
  <c r="J33" i="7"/>
  <c r="J6" i="7"/>
  <c r="J14" i="7"/>
  <c r="J22" i="7"/>
  <c r="J30" i="7"/>
  <c r="J5" i="7"/>
  <c r="J13" i="7"/>
  <c r="J21" i="7"/>
  <c r="J29" i="7"/>
  <c r="J37" i="7"/>
  <c r="J4" i="7"/>
  <c r="J12" i="7"/>
  <c r="J20" i="7"/>
  <c r="J28" i="7"/>
  <c r="J36" i="7"/>
  <c r="J38" i="7"/>
  <c r="J10" i="7"/>
  <c r="J18" i="7"/>
  <c r="J26" i="7"/>
  <c r="J3" i="7"/>
  <c r="J7" i="7"/>
  <c r="J15" i="7"/>
  <c r="J23" i="7"/>
  <c r="J31" i="7"/>
  <c r="J39" i="7"/>
  <c r="E21" i="7"/>
  <c r="E29" i="7"/>
  <c r="E37" i="7"/>
  <c r="E5" i="7"/>
  <c r="E13" i="7"/>
  <c r="E9" i="7"/>
  <c r="E17" i="7"/>
  <c r="E25" i="7"/>
  <c r="E33" i="7"/>
  <c r="E3" i="7"/>
  <c r="E11" i="7"/>
  <c r="E19" i="7"/>
  <c r="E27" i="7"/>
  <c r="E35" i="7"/>
  <c r="E7" i="7"/>
  <c r="E15" i="7"/>
  <c r="E23" i="7"/>
  <c r="E31" i="7"/>
  <c r="E39" i="7"/>
  <c r="AA10" i="7" l="1"/>
  <c r="AA11" i="7"/>
  <c r="S23" i="7"/>
  <c r="S32" i="7"/>
  <c r="S38" i="7"/>
  <c r="S69" i="7"/>
  <c r="S72" i="7"/>
  <c r="S52" i="7"/>
  <c r="S53" i="7"/>
  <c r="S14" i="7"/>
  <c r="AA21" i="7"/>
  <c r="AA28" i="7"/>
  <c r="AA12" i="7"/>
  <c r="S71" i="7"/>
  <c r="S44" i="7"/>
  <c r="S66" i="7"/>
  <c r="S68" i="7"/>
  <c r="AA6" i="7"/>
  <c r="S5" i="7"/>
  <c r="S45" i="7"/>
  <c r="S55" i="7"/>
  <c r="S47" i="7"/>
  <c r="S57" i="7"/>
  <c r="AA7" i="7"/>
  <c r="S25" i="7"/>
  <c r="S34" i="7"/>
  <c r="S6" i="7"/>
  <c r="AA36" i="7"/>
  <c r="AA37" i="7"/>
  <c r="S30" i="7"/>
  <c r="S49" i="7"/>
  <c r="S41" i="7"/>
  <c r="S51" i="7"/>
  <c r="S42" i="7"/>
  <c r="S19" i="7"/>
  <c r="S7" i="7"/>
  <c r="S15" i="7"/>
  <c r="S50" i="7"/>
  <c r="S65" i="7"/>
  <c r="S40" i="7"/>
  <c r="S67" i="7"/>
  <c r="S17" i="7"/>
  <c r="S26" i="7"/>
  <c r="S16" i="7"/>
  <c r="S36" i="7"/>
  <c r="S37" i="7"/>
  <c r="S22" i="7"/>
  <c r="S39" i="7"/>
  <c r="S56" i="7"/>
  <c r="S59" i="7"/>
  <c r="S43" i="7"/>
  <c r="S46" i="7"/>
  <c r="S35" i="7"/>
  <c r="S29" i="7"/>
  <c r="S2" i="7"/>
  <c r="S60" i="7"/>
  <c r="S63" i="7"/>
  <c r="S54" i="7"/>
  <c r="S62" i="7"/>
  <c r="S58" i="7"/>
  <c r="S9" i="7"/>
  <c r="S18" i="7"/>
  <c r="S28" i="7"/>
  <c r="S3" i="7"/>
  <c r="S31" i="7"/>
  <c r="S70" i="7"/>
  <c r="S73" i="7"/>
  <c r="S48" i="7"/>
  <c r="S64" i="7"/>
  <c r="S61" i="7"/>
  <c r="S27" i="7"/>
  <c r="S11" i="7"/>
  <c r="S20" i="7"/>
  <c r="S21" i="7"/>
  <c r="S4" i="7"/>
  <c r="S33" i="7"/>
  <c r="S10" i="7"/>
  <c r="S24" i="7"/>
  <c r="S8" i="7"/>
  <c r="S12" i="7"/>
  <c r="S13" i="7"/>
  <c r="AA32" i="7"/>
  <c r="AA33" i="7"/>
  <c r="AA13" i="7"/>
  <c r="AA18" i="7"/>
  <c r="AA24" i="7"/>
  <c r="AA19" i="7"/>
</calcChain>
</file>

<file path=xl/sharedStrings.xml><?xml version="1.0" encoding="utf-8"?>
<sst xmlns="http://schemas.openxmlformats.org/spreadsheetml/2006/main" count="2668" uniqueCount="447">
  <si>
    <t>차주No</t>
    <phoneticPr fontId="5" type="noConversion"/>
  </si>
  <si>
    <t>차주명</t>
    <phoneticPr fontId="5" type="noConversion"/>
  </si>
  <si>
    <t>안</t>
    <phoneticPr fontId="5" type="noConversion"/>
  </si>
  <si>
    <t>시나리오</t>
    <phoneticPr fontId="5" type="noConversion"/>
  </si>
  <si>
    <t>Pool</t>
    <phoneticPr fontId="5" type="noConversion"/>
  </si>
  <si>
    <t>Description</t>
    <phoneticPr fontId="5" type="noConversion"/>
  </si>
  <si>
    <t>Rate</t>
    <phoneticPr fontId="5" type="noConversion"/>
  </si>
  <si>
    <t>OPB</t>
    <phoneticPr fontId="5" type="noConversion"/>
  </si>
  <si>
    <t>할인율</t>
    <phoneticPr fontId="5" type="noConversion"/>
  </si>
  <si>
    <t>연체이자율</t>
    <phoneticPr fontId="7" type="noConversion"/>
  </si>
  <si>
    <t>Loan cap 여부</t>
    <phoneticPr fontId="7" type="noConversion"/>
  </si>
  <si>
    <t>조기변제가능성</t>
    <phoneticPr fontId="7" type="noConversion"/>
  </si>
  <si>
    <t>XNPV</t>
    <phoneticPr fontId="5" type="noConversion"/>
  </si>
  <si>
    <t>SUM</t>
    <phoneticPr fontId="5" type="noConversion"/>
  </si>
  <si>
    <t>N</t>
  </si>
  <si>
    <t>자산확정일</t>
  </si>
  <si>
    <t>차주일반정보</t>
  </si>
  <si>
    <t>차주기본정보</t>
  </si>
  <si>
    <t>매각채권정보</t>
  </si>
  <si>
    <t>비고</t>
  </si>
  <si>
    <t>일련번호</t>
  </si>
  <si>
    <t>차주명</t>
  </si>
  <si>
    <t>관련차주</t>
  </si>
  <si>
    <t>차주형태</t>
  </si>
  <si>
    <t>대출원금잔액</t>
  </si>
  <si>
    <t>가지급금</t>
  </si>
  <si>
    <t>미수이자</t>
  </si>
  <si>
    <t>R-001</t>
  </si>
  <si>
    <t>R-012</t>
  </si>
  <si>
    <t>R-028</t>
  </si>
  <si>
    <t>R-050</t>
  </si>
  <si>
    <t>R-057</t>
  </si>
  <si>
    <t>R-063</t>
  </si>
  <si>
    <t>R-066</t>
  </si>
  <si>
    <t>R-078</t>
  </si>
  <si>
    <t>R-081</t>
  </si>
  <si>
    <t>R-087</t>
  </si>
  <si>
    <t>R-093</t>
  </si>
  <si>
    <t>R-108</t>
  </si>
  <si>
    <t>R-114</t>
  </si>
  <si>
    <t>R-128</t>
  </si>
  <si>
    <t>R-133</t>
  </si>
  <si>
    <t>R-139</t>
  </si>
  <si>
    <t>신용보증서 정보</t>
  </si>
  <si>
    <t>신용보증기금</t>
  </si>
  <si>
    <t>KRW</t>
  </si>
  <si>
    <t>차주일련번호</t>
  </si>
  <si>
    <t>채권일련번호</t>
  </si>
  <si>
    <t>Regular</t>
  </si>
  <si>
    <t>Special</t>
  </si>
  <si>
    <t>계좌번호</t>
  </si>
  <si>
    <t>1,2안 역전</t>
  </si>
  <si>
    <t>Pool 검증</t>
  </si>
  <si>
    <t>Rate검증</t>
  </si>
  <si>
    <t>OPB검증</t>
  </si>
  <si>
    <t>할인율검증</t>
    <phoneticPr fontId="4" type="noConversion"/>
  </si>
  <si>
    <t>SUM검증</t>
  </si>
  <si>
    <t>인터림금액</t>
  </si>
  <si>
    <t>차이금액</t>
  </si>
  <si>
    <t>사유</t>
  </si>
  <si>
    <t>c-date보증서금액</t>
  </si>
  <si>
    <t>인터림보증서(원금)</t>
  </si>
  <si>
    <t>차이</t>
  </si>
  <si>
    <t>XNPV검증</t>
  </si>
  <si>
    <t>Sheet A</t>
    <phoneticPr fontId="4" type="noConversion"/>
  </si>
  <si>
    <t>근저당설정정보</t>
  </si>
  <si>
    <t>Pool 구분</t>
  </si>
  <si>
    <t>차주구분</t>
  </si>
  <si>
    <t>미상환원금잔액</t>
    <phoneticPr fontId="4" type="noConversion"/>
  </si>
  <si>
    <t>차주별 선순위
근저당권 설정액</t>
  </si>
  <si>
    <t>중소법인</t>
  </si>
  <si>
    <t>중소개인</t>
  </si>
  <si>
    <t>순수개인</t>
  </si>
  <si>
    <t>S-017</t>
  </si>
  <si>
    <t>회수정보</t>
    <phoneticPr fontId="5" type="noConversion"/>
  </si>
  <si>
    <t>Pool</t>
    <phoneticPr fontId="24" type="noConversion"/>
  </si>
  <si>
    <t>대출과목</t>
  </si>
  <si>
    <t>회수일자</t>
  </si>
  <si>
    <t>회수원금</t>
  </si>
  <si>
    <t>회수이자</t>
  </si>
  <si>
    <t>총회수액</t>
  </si>
  <si>
    <t>중소기업자금대출</t>
  </si>
  <si>
    <t>Y</t>
  </si>
  <si>
    <t>강제상계</t>
  </si>
  <si>
    <t>중소기업시설자금대출</t>
  </si>
  <si>
    <t>무역어음대출</t>
  </si>
  <si>
    <t>가계일반자금대출</t>
  </si>
  <si>
    <t>발생일자</t>
  </si>
  <si>
    <t>가지급금잔액
(자산확정일현재)</t>
  </si>
  <si>
    <t>신규발생금액
(자산확정일이후)</t>
  </si>
  <si>
    <t>최종잔액</t>
  </si>
  <si>
    <t>원화가지급금</t>
  </si>
  <si>
    <t>경매비용</t>
  </si>
  <si>
    <t>강제집행보전처분비</t>
  </si>
  <si>
    <t>화재보험료체당금</t>
  </si>
  <si>
    <t>담보물경비원보수</t>
  </si>
  <si>
    <t>기금부분신용보증</t>
  </si>
  <si>
    <t>기술보증기금</t>
  </si>
  <si>
    <t>기술부분신용보증</t>
  </si>
  <si>
    <t>무역보험공사</t>
  </si>
  <si>
    <t>무보전자_선적전</t>
  </si>
  <si>
    <t>경기신용보증재단</t>
  </si>
  <si>
    <t>지역전액보증서</t>
  </si>
  <si>
    <t>수탁부분신용보증</t>
  </si>
  <si>
    <t>IBK 2025-1 Program</t>
    <phoneticPr fontId="4" type="noConversion"/>
  </si>
  <si>
    <t>Pool A</t>
  </si>
  <si>
    <t>적용환율(1 USD)</t>
    <phoneticPr fontId="4" type="noConversion"/>
  </si>
  <si>
    <t>적용환율(1 EUR)</t>
  </si>
  <si>
    <t>적용환율(1 JPY)</t>
    <phoneticPr fontId="4" type="noConversion"/>
  </si>
  <si>
    <t>차주일련번호</t>
    <phoneticPr fontId="5" type="noConversion"/>
  </si>
  <si>
    <t>차주명</t>
    <phoneticPr fontId="4" type="noConversion"/>
  </si>
  <si>
    <t>차주별
근저당권설정액</t>
    <phoneticPr fontId="4" type="noConversion"/>
  </si>
  <si>
    <t>A</t>
  </si>
  <si>
    <t>(주)코***업</t>
  </si>
  <si>
    <t>R-009</t>
  </si>
  <si>
    <t>제**술(주)</t>
  </si>
  <si>
    <t>(주)효**공</t>
  </si>
  <si>
    <t>R-018</t>
  </si>
  <si>
    <t>(주)경**유</t>
  </si>
  <si>
    <t>R-020</t>
  </si>
  <si>
    <t>(주)에*****로</t>
  </si>
  <si>
    <t>S-003</t>
  </si>
  <si>
    <t>(주)삼***씨</t>
  </si>
  <si>
    <t>R-030</t>
  </si>
  <si>
    <t>나**크</t>
  </si>
  <si>
    <t>R-031</t>
  </si>
  <si>
    <t>봄**인</t>
  </si>
  <si>
    <t>R-039</t>
  </si>
  <si>
    <t>주식회사 청****스</t>
  </si>
  <si>
    <t>R-040</t>
  </si>
  <si>
    <t>오***템</t>
  </si>
  <si>
    <t>R-045</t>
  </si>
  <si>
    <t>(주)리**텍</t>
  </si>
  <si>
    <t>R-049</t>
  </si>
  <si>
    <t>한***텍</t>
  </si>
  <si>
    <t>대**장</t>
  </si>
  <si>
    <t>R-127</t>
  </si>
  <si>
    <t>R-053</t>
  </si>
  <si>
    <t>(주)대**업</t>
  </si>
  <si>
    <t>R-056</t>
  </si>
  <si>
    <t>주식회사 훈*</t>
  </si>
  <si>
    <t>대**크</t>
  </si>
  <si>
    <t>주식회사 보***알</t>
  </si>
  <si>
    <t>R-065</t>
  </si>
  <si>
    <t>(주)대***씨</t>
  </si>
  <si>
    <t>R-109, R-114</t>
  </si>
  <si>
    <t>(주)클**힐</t>
  </si>
  <si>
    <t>R-069</t>
  </si>
  <si>
    <t>엘***드(주)</t>
  </si>
  <si>
    <t>R-074</t>
  </si>
  <si>
    <t>베***업</t>
  </si>
  <si>
    <t>(주)중**속</t>
  </si>
  <si>
    <t>R-080</t>
  </si>
  <si>
    <t>두*텍</t>
  </si>
  <si>
    <t>주식회사 테****션</t>
  </si>
  <si>
    <t>그**크주식회사</t>
  </si>
  <si>
    <t>삼****업(주)</t>
  </si>
  <si>
    <t>R-098</t>
  </si>
  <si>
    <t>(주)유**크</t>
  </si>
  <si>
    <t>R-103</t>
  </si>
  <si>
    <t>농업회사법인 제***트 주식회사</t>
  </si>
  <si>
    <t>R-107</t>
  </si>
  <si>
    <t>(주)에** **스</t>
  </si>
  <si>
    <t>김*현</t>
  </si>
  <si>
    <t>R-109</t>
  </si>
  <si>
    <t>이*희</t>
  </si>
  <si>
    <t>R-065, R-114</t>
  </si>
  <si>
    <t>R-065, R-109</t>
  </si>
  <si>
    <t>R-115</t>
  </si>
  <si>
    <t>정*호</t>
  </si>
  <si>
    <t>R-120</t>
  </si>
  <si>
    <t>(주)미**션</t>
  </si>
  <si>
    <t>R-126</t>
  </si>
  <si>
    <t>김*식</t>
  </si>
  <si>
    <t>김*호</t>
  </si>
  <si>
    <t>무담보</t>
  </si>
  <si>
    <t>농업회사법인 주식회사 엠*엠</t>
  </si>
  <si>
    <t>김*희</t>
  </si>
  <si>
    <t>김*규</t>
  </si>
  <si>
    <t>R-141</t>
  </si>
  <si>
    <t>최*윤</t>
  </si>
  <si>
    <t>R-146</t>
  </si>
  <si>
    <t>주*</t>
  </si>
  <si>
    <t>R-151</t>
  </si>
  <si>
    <t>조*열</t>
  </si>
  <si>
    <t>R-152</t>
  </si>
  <si>
    <t>신*국</t>
  </si>
  <si>
    <t>에*****티(주)</t>
  </si>
  <si>
    <t>R-020, S-001, S-018</t>
  </si>
  <si>
    <t>대전지방법원 2024회합5030</t>
  </si>
  <si>
    <t>S-007</t>
  </si>
  <si>
    <t>(주)태*</t>
  </si>
  <si>
    <t>수원회생법원 2024간회합207</t>
  </si>
  <si>
    <t>S-009</t>
  </si>
  <si>
    <t>(주)태****일</t>
  </si>
  <si>
    <t>대구지방법원 2024간회합1024</t>
  </si>
  <si>
    <t>S-010</t>
  </si>
  <si>
    <t>법*****어조합법인</t>
  </si>
  <si>
    <t>광주지방법원 2024회합5017</t>
  </si>
  <si>
    <t>S-012</t>
  </si>
  <si>
    <t>(주)다*********즈</t>
  </si>
  <si>
    <t>서울회생법원 2024간회합100155</t>
  </si>
  <si>
    <t>S-015</t>
  </si>
  <si>
    <t>현**역</t>
  </si>
  <si>
    <t>서울회생법원 2024간회단100055</t>
  </si>
  <si>
    <t>정*채</t>
  </si>
  <si>
    <t>IBK 2025-1 Program</t>
    <phoneticPr fontId="4" type="noConversion"/>
  </si>
  <si>
    <t>일반여신 상계 및 회수내역(Pool A)</t>
    <phoneticPr fontId="4" type="noConversion"/>
  </si>
  <si>
    <t>채권회수정보(Collection Information)-Cut-Off 이후</t>
    <phoneticPr fontId="4" type="noConversion"/>
  </si>
  <si>
    <t>자산유형</t>
    <phoneticPr fontId="4" type="noConversion"/>
  </si>
  <si>
    <t>어싸인</t>
    <phoneticPr fontId="4" type="noConversion"/>
  </si>
  <si>
    <t>상계여부</t>
    <phoneticPr fontId="5" type="noConversion"/>
  </si>
  <si>
    <t>중소기업당좌대출</t>
  </si>
  <si>
    <t>221**085506**022</t>
  </si>
  <si>
    <t>강제상계</t>
    <phoneticPr fontId="4" type="noConversion"/>
  </si>
  <si>
    <t>원화융자담보지급보증대지급금</t>
  </si>
  <si>
    <t>221**085538**515</t>
  </si>
  <si>
    <t>2025-02-11</t>
  </si>
  <si>
    <t>기타원화지급보증대지급금</t>
  </si>
  <si>
    <t>221**085538**517</t>
  </si>
  <si>
    <t>2025-02-18</t>
  </si>
  <si>
    <t>2025-02-24</t>
  </si>
  <si>
    <t>221**085558**049</t>
  </si>
  <si>
    <t>151**599632**042</t>
  </si>
  <si>
    <t>기타운전자금대출</t>
  </si>
  <si>
    <t>151**599634**034</t>
  </si>
  <si>
    <t>2025-02-25</t>
  </si>
  <si>
    <t>임금채권보장기금대출</t>
  </si>
  <si>
    <t>2,3</t>
    <phoneticPr fontId="4" type="noConversion"/>
  </si>
  <si>
    <t>223**246732**022</t>
  </si>
  <si>
    <t>신용보증서 대위변제</t>
    <phoneticPr fontId="4" type="noConversion"/>
  </si>
  <si>
    <t>2,3</t>
  </si>
  <si>
    <t>7,8</t>
    <phoneticPr fontId="4" type="noConversion"/>
  </si>
  <si>
    <t>223**246732**036</t>
  </si>
  <si>
    <t>7,8</t>
  </si>
  <si>
    <t>460**080132**036</t>
  </si>
  <si>
    <t>461**320732**905</t>
  </si>
  <si>
    <t>2025-02-19</t>
  </si>
  <si>
    <t>2025-02-20</t>
  </si>
  <si>
    <t>219**283732**034</t>
  </si>
  <si>
    <t>173**149532**033</t>
  </si>
  <si>
    <t>173**149532**034</t>
  </si>
  <si>
    <t>173**149532**037</t>
  </si>
  <si>
    <t>564**706432**037</t>
  </si>
  <si>
    <t>012**574101**013</t>
  </si>
  <si>
    <t>012**574132**357</t>
  </si>
  <si>
    <t>557**598132**035</t>
  </si>
  <si>
    <t>1,2</t>
  </si>
  <si>
    <t>107**325604**010</t>
  </si>
  <si>
    <t>107**325632**010</t>
  </si>
  <si>
    <t>608**296934**031</t>
  </si>
  <si>
    <t>020**943732**039</t>
  </si>
  <si>
    <t>020**943732**040</t>
  </si>
  <si>
    <t>658**033132**031</t>
  </si>
  <si>
    <t>주택자금대출</t>
  </si>
  <si>
    <t>969**363532**031</t>
  </si>
  <si>
    <t>연체카드론</t>
  </si>
  <si>
    <t>969**363532**032</t>
  </si>
  <si>
    <t>132**653932**032</t>
  </si>
  <si>
    <t>492**420132**032</t>
  </si>
  <si>
    <t>123**696632**033</t>
  </si>
  <si>
    <t>461**288401**013</t>
  </si>
  <si>
    <t>2025-02-07</t>
  </si>
  <si>
    <t>461**288401**038</t>
  </si>
  <si>
    <t>109**142332**656</t>
  </si>
  <si>
    <t>545**172732**038</t>
  </si>
  <si>
    <t>545**172732**040</t>
  </si>
  <si>
    <t>545**172732**043</t>
  </si>
  <si>
    <t>신용카드계정</t>
  </si>
  <si>
    <t>943**316780**963</t>
  </si>
  <si>
    <t>소송비(변호비제외)</t>
  </si>
  <si>
    <t>변호사보수＿착수금</t>
  </si>
  <si>
    <t>2025-02-10, 2025-02-24</t>
    <phoneticPr fontId="7" type="noConversion"/>
  </si>
  <si>
    <t>회수이자</t>
    <phoneticPr fontId="4" type="noConversion"/>
  </si>
  <si>
    <t>회수원금</t>
    <phoneticPr fontId="4" type="noConversion"/>
  </si>
  <si>
    <t>어싸인</t>
    <phoneticPr fontId="7" type="noConversion"/>
  </si>
  <si>
    <t>자산유형</t>
    <phoneticPr fontId="7" type="noConversion"/>
  </si>
  <si>
    <t>Pool</t>
    <phoneticPr fontId="24" type="noConversion"/>
  </si>
  <si>
    <t>회수정보</t>
    <phoneticPr fontId="5" type="noConversion"/>
  </si>
  <si>
    <t>채권회수정보(Collection Information)-Cut-Off 이후</t>
    <phoneticPr fontId="5" type="noConversion"/>
  </si>
  <si>
    <t>가지급금 발생 및 회수내역(Pool A)</t>
    <phoneticPr fontId="7" type="noConversion"/>
  </si>
  <si>
    <t>IBK 2025-1 Program</t>
    <phoneticPr fontId="7" type="noConversion"/>
  </si>
  <si>
    <t>IBK 2025-1 Program</t>
  </si>
  <si>
    <t>Pool A</t>
    <phoneticPr fontId="4" type="noConversion"/>
  </si>
  <si>
    <t>Sheet D</t>
    <phoneticPr fontId="4" type="noConversion"/>
  </si>
  <si>
    <t>적용환율(1 USD)</t>
    <phoneticPr fontId="4" type="noConversion"/>
  </si>
  <si>
    <t>적용환율(1 JPY)</t>
    <phoneticPr fontId="4" type="noConversion"/>
  </si>
  <si>
    <t>차주기본정보</t>
    <phoneticPr fontId="5" type="noConversion"/>
  </si>
  <si>
    <t>신용보증서정보</t>
    <phoneticPr fontId="24" type="noConversion"/>
  </si>
  <si>
    <t>비고</t>
    <phoneticPr fontId="4" type="noConversion"/>
  </si>
  <si>
    <t>일련번호</t>
    <phoneticPr fontId="5" type="noConversion"/>
  </si>
  <si>
    <t>차주구분</t>
    <phoneticPr fontId="4" type="noConversion"/>
  </si>
  <si>
    <t>차주일련번호</t>
    <phoneticPr fontId="5" type="noConversion"/>
  </si>
  <si>
    <t>차주명</t>
    <phoneticPr fontId="4" type="noConversion"/>
  </si>
  <si>
    <t>보증기관</t>
    <phoneticPr fontId="5" type="noConversion"/>
  </si>
  <si>
    <t>보증종류</t>
    <phoneticPr fontId="5" type="noConversion"/>
  </si>
  <si>
    <t>보증기일</t>
    <phoneticPr fontId="4" type="noConversion"/>
  </si>
  <si>
    <t>보증서번호</t>
    <phoneticPr fontId="5" type="noConversion"/>
  </si>
  <si>
    <t>보증비율</t>
    <phoneticPr fontId="5" type="noConversion"/>
  </si>
  <si>
    <t>통화표시</t>
    <phoneticPr fontId="5" type="noConversion"/>
  </si>
  <si>
    <t>보증금액</t>
    <phoneticPr fontId="5" type="noConversion"/>
  </si>
  <si>
    <t>환산후 보증금액</t>
    <phoneticPr fontId="5" type="noConversion"/>
  </si>
  <si>
    <t>보증잔액</t>
    <phoneticPr fontId="5" type="noConversion"/>
  </si>
  <si>
    <t>환산후 보증잔액</t>
    <phoneticPr fontId="5" type="noConversion"/>
  </si>
  <si>
    <t>관련 대출채권 
일련번호</t>
    <phoneticPr fontId="5" type="noConversion"/>
  </si>
  <si>
    <t>관련 대출채권 
계좌번호</t>
    <phoneticPr fontId="5" type="noConversion"/>
  </si>
  <si>
    <t>비고</t>
    <phoneticPr fontId="5" type="noConversion"/>
  </si>
  <si>
    <t>321201600036</t>
  </si>
  <si>
    <t>221**085532***162</t>
  </si>
  <si>
    <t>94~95,97</t>
  </si>
  <si>
    <t>221**085599***036</t>
  </si>
  <si>
    <t>221**085599***037</t>
  </si>
  <si>
    <t>TPA202201565</t>
  </si>
  <si>
    <t>16~17</t>
  </si>
  <si>
    <t>151**599632***057</t>
  </si>
  <si>
    <t>TPA202201561</t>
  </si>
  <si>
    <t>1~2</t>
  </si>
  <si>
    <t>151**599632***033</t>
  </si>
  <si>
    <t>TPA202201560</t>
  </si>
  <si>
    <t>3~4</t>
  </si>
  <si>
    <t>151**599632***034</t>
  </si>
  <si>
    <t>TPA202201559</t>
  </si>
  <si>
    <t>9~10</t>
  </si>
  <si>
    <t>151**599632***048</t>
  </si>
  <si>
    <t>TPA202201562</t>
  </si>
  <si>
    <t>7~8</t>
  </si>
  <si>
    <t>151**599632***047</t>
  </si>
  <si>
    <t>309201300282</t>
  </si>
  <si>
    <t>2~3</t>
  </si>
  <si>
    <t>223**246732***022</t>
  </si>
  <si>
    <t>309201700298</t>
  </si>
  <si>
    <t>223**246732***036</t>
  </si>
  <si>
    <t>지역부분보증서</t>
  </si>
  <si>
    <t>280201400851</t>
  </si>
  <si>
    <t>460**080132***031</t>
  </si>
  <si>
    <t>TQL201900087</t>
  </si>
  <si>
    <t>608**918032***035</t>
  </si>
  <si>
    <t>TQL201900082</t>
  </si>
  <si>
    <t>608**918032***032</t>
  </si>
  <si>
    <t>TQL201900279</t>
  </si>
  <si>
    <t>608**918032***036</t>
  </si>
  <si>
    <t>TQL202000299</t>
  </si>
  <si>
    <t>608**918032***038</t>
  </si>
  <si>
    <t>409070429</t>
  </si>
  <si>
    <t>14~35</t>
  </si>
  <si>
    <t>243**267299***002</t>
  </si>
  <si>
    <t>409201500995</t>
  </si>
  <si>
    <t>243**267232***031</t>
  </si>
  <si>
    <t>418202300119</t>
  </si>
  <si>
    <t>031**267232***042</t>
  </si>
  <si>
    <t>418202300120</t>
  </si>
  <si>
    <t>031**267232***040</t>
  </si>
  <si>
    <t>418202300121</t>
  </si>
  <si>
    <t>031**267232***043</t>
  </si>
  <si>
    <t>418202300117</t>
  </si>
  <si>
    <t>031**267232***039</t>
  </si>
  <si>
    <t>418202300118</t>
  </si>
  <si>
    <t>412**322002***016</t>
  </si>
  <si>
    <t>418202300275</t>
  </si>
  <si>
    <t>031**267232***049</t>
  </si>
  <si>
    <t>418202300274</t>
  </si>
  <si>
    <t>031**267232***048</t>
  </si>
  <si>
    <t>TME202200963</t>
  </si>
  <si>
    <t>219**283732***045</t>
  </si>
  <si>
    <t>기술전액신용보증</t>
  </si>
  <si>
    <t>416202300213</t>
  </si>
  <si>
    <t>173**149532***033</t>
  </si>
  <si>
    <t>416202300214</t>
  </si>
  <si>
    <t>173**149532***034</t>
  </si>
  <si>
    <t>416202400019</t>
  </si>
  <si>
    <t>173**149532***037</t>
  </si>
  <si>
    <t>TPH201800751</t>
  </si>
  <si>
    <t>159**744432***323</t>
  </si>
  <si>
    <t>TAN202301054</t>
  </si>
  <si>
    <t>564**706432***037</t>
  </si>
  <si>
    <t>TAU201600390</t>
  </si>
  <si>
    <t>012**574101***091</t>
  </si>
  <si>
    <t>TAU201800273</t>
  </si>
  <si>
    <t>012**574132***385</t>
  </si>
  <si>
    <t>306060281</t>
  </si>
  <si>
    <t>JPY</t>
  </si>
  <si>
    <t>107**325635***830</t>
  </si>
  <si>
    <t>TQA202103198</t>
  </si>
  <si>
    <t>608**296932***034</t>
  </si>
  <si>
    <t>415202300363</t>
  </si>
  <si>
    <t>161**949532***031</t>
  </si>
  <si>
    <t>250202001604</t>
  </si>
  <si>
    <t>492**420132***032</t>
  </si>
  <si>
    <t>321201700299</t>
  </si>
  <si>
    <t>461**288401***013</t>
  </si>
  <si>
    <t>321202100308</t>
  </si>
  <si>
    <t>461**288401***038</t>
  </si>
  <si>
    <t>THG202000519</t>
  </si>
  <si>
    <t>109**142332***646</t>
  </si>
  <si>
    <t>160202200130</t>
  </si>
  <si>
    <t>109**142332***648</t>
  </si>
  <si>
    <t>THG202200309</t>
  </si>
  <si>
    <t>109**142332***651</t>
  </si>
  <si>
    <t>160202203826</t>
  </si>
  <si>
    <t>109**142332***657</t>
  </si>
  <si>
    <t>TPI201800025</t>
  </si>
  <si>
    <t>545**172732***038</t>
  </si>
  <si>
    <t>TPI202000262</t>
  </si>
  <si>
    <t>545**172732***040</t>
  </si>
  <si>
    <t>경북신용보증재단</t>
  </si>
  <si>
    <t>GBF202050000</t>
  </si>
  <si>
    <t>545**172732***043</t>
  </si>
  <si>
    <t>TIZ201600231</t>
  </si>
  <si>
    <t>USD</t>
  </si>
  <si>
    <t>5~14</t>
  </si>
  <si>
    <t>395**713199***002</t>
  </si>
  <si>
    <t>TIZ201600538</t>
  </si>
  <si>
    <t>395**713104***023</t>
  </si>
  <si>
    <t>TAT201500141</t>
  </si>
  <si>
    <t>081**936232***350</t>
  </si>
  <si>
    <t>TAW201701443</t>
  </si>
  <si>
    <t>081**936232***354</t>
  </si>
  <si>
    <t>TAW202006367</t>
  </si>
  <si>
    <t>081**936232***359</t>
  </si>
  <si>
    <t>고희정</t>
  </si>
  <si>
    <t>권오현</t>
  </si>
  <si>
    <t>문선영</t>
  </si>
  <si>
    <t>장영현</t>
  </si>
  <si>
    <t>정은혜</t>
  </si>
  <si>
    <t>강효정</t>
  </si>
  <si>
    <t>김은선</t>
  </si>
  <si>
    <t>구본명</t>
  </si>
  <si>
    <t>이나미</t>
  </si>
  <si>
    <t>나모테크</t>
  </si>
  <si>
    <t>R-030-1안</t>
  </si>
  <si>
    <t>1안</t>
  </si>
  <si>
    <t>경매진행중인바,  경매 Flow에 의한 낙찰 가정함</t>
  </si>
  <si>
    <t>N/A</t>
  </si>
  <si>
    <t>R-030-2안</t>
  </si>
  <si>
    <t>2안</t>
  </si>
  <si>
    <t>봄디자인</t>
  </si>
  <si>
    <t>R-031-1안</t>
  </si>
  <si>
    <t>현재 경매진행중인바, 경매를 통한 회수를 가정함.</t>
  </si>
  <si>
    <t>R-031-2안</t>
  </si>
  <si>
    <t>한신에스텍</t>
  </si>
  <si>
    <t>R-049-1안</t>
  </si>
  <si>
    <t>R-049-2안</t>
  </si>
  <si>
    <t>대한도장</t>
  </si>
  <si>
    <t>R-050-1안</t>
  </si>
  <si>
    <t>R-050-2안</t>
  </si>
  <si>
    <t>신용보증서 대위변제</t>
    <phoneticPr fontId="4" type="noConversion"/>
  </si>
  <si>
    <t>대위변체 추정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</si>
</sst>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-* #,##0.00_-;\-* #,##0.00_-;_-* &quot;-&quot;_-;_-@_-"/>
    <numFmt numFmtId="178" formatCode="[$-F400]h:mm:ss\ AM/PM"/>
    <numFmt numFmtId="179" formatCode="0_);[Red]\(0\)"/>
    <numFmt numFmtId="180" formatCode="#,##0_-;[Red]\(#,##0\)_-;\-_-"/>
    <numFmt numFmtId="181" formatCode="#,##0_);[Red]\(#,##0\)"/>
    <numFmt numFmtId="182" formatCode="#,##0_);[Red]\(#,##0\);\-_;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62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i/>
      <sz val="14"/>
      <name val="맑은 고딕"/>
      <family val="3"/>
      <charset val="129"/>
    </font>
    <font>
      <b/>
      <i/>
      <sz val="14"/>
      <name val="맑은 고딕"/>
      <family val="3"/>
      <charset val="129"/>
      <scheme val="minor"/>
    </font>
    <font>
      <sz val="9"/>
      <color indexed="9"/>
      <name val="맑은 고딕"/>
      <family val="3"/>
      <charset val="129"/>
    </font>
    <font>
      <b/>
      <i/>
      <sz val="9"/>
      <color indexed="9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1"/>
      <name val="Times New Roman"/>
      <family val="1"/>
    </font>
    <font>
      <b/>
      <i/>
      <sz val="18"/>
      <name val="맑은 고딕"/>
      <family val="3"/>
      <charset val="129"/>
      <scheme val="minor"/>
    </font>
    <font>
      <b/>
      <i/>
      <sz val="16"/>
      <name val="Times New Roman"/>
      <family val="1"/>
    </font>
    <font>
      <sz val="16"/>
      <name val="Times New Roman"/>
      <family val="1"/>
    </font>
    <font>
      <sz val="11"/>
      <name val="맑은 고딕"/>
      <family val="1"/>
      <charset val="129"/>
    </font>
    <font>
      <sz val="11"/>
      <name val="Times New Roman"/>
      <family val="1"/>
    </font>
    <font>
      <b/>
      <i/>
      <sz val="16"/>
      <name val="맑은 고딕"/>
      <family val="3"/>
      <charset val="129"/>
      <scheme val="minor"/>
    </font>
    <font>
      <sz val="9"/>
      <name val="Times New Roman"/>
      <family val="1"/>
    </font>
    <font>
      <b/>
      <i/>
      <sz val="12"/>
      <name val="맑은 고딕"/>
      <family val="3"/>
      <charset val="129"/>
      <scheme val="minor"/>
    </font>
    <font>
      <sz val="9"/>
      <color theme="1"/>
      <name val="Times New Roman"/>
      <family val="1"/>
    </font>
    <font>
      <sz val="11"/>
      <name val="Arial Unicode MS"/>
      <family val="1"/>
      <charset val="129"/>
    </font>
    <font>
      <b/>
      <i/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sz val="20"/>
      <name val="맑은 고딕"/>
      <family val="3"/>
      <charset val="129"/>
      <scheme val="minor"/>
    </font>
    <font>
      <b/>
      <i/>
      <sz val="20"/>
      <name val="Times New Roman"/>
      <family val="1"/>
    </font>
    <font>
      <sz val="18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i/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A452A"/>
        <bgColor indexed="64"/>
      </patternFill>
    </fill>
    <fill>
      <patternFill patternType="solid">
        <fgColor rgb="FFC5BE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9" fontId="1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6" fillId="0" borderId="0"/>
    <xf numFmtId="178" fontId="14" fillId="0" borderId="0"/>
    <xf numFmtId="0" fontId="16" fillId="0" borderId="0">
      <alignment vertical="center"/>
    </xf>
    <xf numFmtId="0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0" fontId="14" fillId="0" borderId="0"/>
    <xf numFmtId="41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92">
    <xf numFmtId="0" fontId="0" fillId="0" borderId="0" xfId="0">
      <alignment vertical="center"/>
    </xf>
    <xf numFmtId="0" fontId="3" fillId="2" borderId="1" xfId="3" applyFont="1" applyFill="1" applyBorder="1" applyAlignment="1" applyProtection="1">
      <alignment horizontal="center"/>
      <protection hidden="1"/>
    </xf>
    <xf numFmtId="0" fontId="3" fillId="2" borderId="2" xfId="3" applyFont="1" applyFill="1" applyBorder="1" applyAlignment="1" applyProtection="1">
      <alignment horizontal="center"/>
      <protection hidden="1"/>
    </xf>
    <xf numFmtId="10" fontId="6" fillId="3" borderId="3" xfId="4" applyNumberFormat="1" applyFont="1" applyFill="1" applyBorder="1" applyAlignment="1" applyProtection="1">
      <alignment horizontal="center"/>
      <protection hidden="1"/>
    </xf>
    <xf numFmtId="176" fontId="3" fillId="2" borderId="1" xfId="5" applyFont="1" applyFill="1" applyBorder="1" applyAlignment="1" applyProtection="1">
      <alignment horizontal="center"/>
      <protection hidden="1"/>
    </xf>
    <xf numFmtId="176" fontId="3" fillId="2" borderId="2" xfId="5" applyFont="1" applyFill="1" applyBorder="1" applyAlignment="1" applyProtection="1">
      <alignment horizontal="center"/>
      <protection hidden="1"/>
    </xf>
    <xf numFmtId="14" fontId="3" fillId="2" borderId="1" xfId="3" applyNumberFormat="1" applyFont="1" applyFill="1" applyBorder="1" applyAlignment="1" applyProtection="1">
      <alignment horizontal="center"/>
      <protection hidden="1"/>
    </xf>
    <xf numFmtId="0" fontId="8" fillId="4" borderId="0" xfId="3" applyFont="1" applyFill="1" applyBorder="1" applyProtection="1">
      <protection hidden="1"/>
    </xf>
    <xf numFmtId="0" fontId="8" fillId="4" borderId="0" xfId="3" applyFont="1" applyFill="1" applyBorder="1" applyAlignment="1" applyProtection="1">
      <alignment horizontal="center"/>
      <protection hidden="1"/>
    </xf>
    <xf numFmtId="0" fontId="9" fillId="4" borderId="0" xfId="3" applyFont="1" applyFill="1" applyBorder="1" applyProtection="1">
      <protection hidden="1"/>
    </xf>
    <xf numFmtId="10" fontId="8" fillId="4" borderId="0" xfId="2" applyNumberFormat="1" applyFont="1" applyFill="1" applyBorder="1" applyAlignment="1" applyProtection="1">
      <protection hidden="1"/>
    </xf>
    <xf numFmtId="41" fontId="10" fillId="4" borderId="4" xfId="1" applyFont="1" applyFill="1" applyBorder="1" applyAlignment="1" applyProtection="1">
      <protection hidden="1"/>
    </xf>
    <xf numFmtId="9" fontId="10" fillId="4" borderId="0" xfId="1" applyNumberFormat="1" applyFont="1" applyFill="1" applyBorder="1" applyAlignment="1" applyProtection="1">
      <protection hidden="1"/>
    </xf>
    <xf numFmtId="10" fontId="10" fillId="4" borderId="0" xfId="1" applyNumberFormat="1" applyFont="1" applyFill="1" applyBorder="1" applyAlignment="1" applyProtection="1">
      <protection hidden="1"/>
    </xf>
    <xf numFmtId="0" fontId="11" fillId="5" borderId="5" xfId="6" applyFont="1" applyFill="1" applyBorder="1">
      <alignment vertical="center"/>
    </xf>
    <xf numFmtId="176" fontId="8" fillId="4" borderId="0" xfId="5" applyFont="1" applyFill="1" applyBorder="1" applyProtection="1">
      <protection hidden="1"/>
    </xf>
    <xf numFmtId="176" fontId="8" fillId="4" borderId="4" xfId="3" applyNumberFormat="1" applyFont="1" applyFill="1" applyBorder="1" applyProtection="1">
      <protection hidden="1"/>
    </xf>
    <xf numFmtId="41" fontId="8" fillId="4" borderId="0" xfId="1" applyFont="1" applyFill="1" applyBorder="1" applyAlignment="1" applyProtection="1">
      <protection hidden="1"/>
    </xf>
    <xf numFmtId="0" fontId="11" fillId="5" borderId="6" xfId="6" applyFont="1" applyFill="1" applyBorder="1">
      <alignment vertical="center"/>
    </xf>
    <xf numFmtId="176" fontId="8" fillId="4" borderId="0" xfId="5" quotePrefix="1" applyFont="1" applyFill="1" applyBorder="1" applyProtection="1">
      <protection hidden="1"/>
    </xf>
    <xf numFmtId="41" fontId="12" fillId="0" borderId="22" xfId="1" applyFont="1" applyFill="1" applyBorder="1" applyAlignment="1">
      <alignment horizontal="center" vertical="center"/>
    </xf>
    <xf numFmtId="41" fontId="12" fillId="0" borderId="30" xfId="1" applyFont="1" applyFill="1" applyBorder="1" applyAlignment="1">
      <alignment horizontal="center" vertical="center"/>
    </xf>
    <xf numFmtId="41" fontId="12" fillId="0" borderId="28" xfId="1" applyFont="1" applyFill="1" applyBorder="1" applyAlignment="1">
      <alignment horizontal="center" vertical="center"/>
    </xf>
    <xf numFmtId="41" fontId="12" fillId="0" borderId="29" xfId="1" applyFont="1" applyFill="1" applyBorder="1" applyAlignment="1">
      <alignment horizontal="center" vertical="center"/>
    </xf>
    <xf numFmtId="41" fontId="12" fillId="0" borderId="33" xfId="1" applyFont="1" applyFill="1" applyBorder="1" applyAlignment="1">
      <alignment horizontal="center" vertical="center"/>
    </xf>
    <xf numFmtId="180" fontId="18" fillId="0" borderId="0" xfId="18" applyNumberFormat="1" applyFont="1" applyAlignment="1">
      <alignment horizontal="center" vertical="center"/>
    </xf>
    <xf numFmtId="180" fontId="19" fillId="0" borderId="0" xfId="20" applyNumberFormat="1" applyFont="1" applyAlignment="1">
      <alignment vertical="center"/>
    </xf>
    <xf numFmtId="180" fontId="19" fillId="0" borderId="0" xfId="20" applyNumberFormat="1" applyFont="1" applyAlignment="1">
      <alignment horizontal="center" vertical="center"/>
    </xf>
    <xf numFmtId="180" fontId="22" fillId="6" borderId="38" xfId="20" applyNumberFormat="1" applyFont="1" applyFill="1" applyBorder="1" applyAlignment="1">
      <alignment horizontal="center" vertical="center"/>
    </xf>
    <xf numFmtId="180" fontId="22" fillId="6" borderId="39" xfId="20" applyNumberFormat="1" applyFont="1" applyFill="1" applyBorder="1" applyAlignment="1">
      <alignment horizontal="center" vertical="center"/>
    </xf>
    <xf numFmtId="180" fontId="18" fillId="7" borderId="9" xfId="20" applyNumberFormat="1" applyFont="1" applyFill="1" applyBorder="1" applyAlignment="1">
      <alignment horizontal="center" vertical="center" wrapText="1"/>
    </xf>
    <xf numFmtId="180" fontId="18" fillId="7" borderId="40" xfId="20" applyNumberFormat="1" applyFont="1" applyFill="1" applyBorder="1" applyAlignment="1">
      <alignment horizontal="center" vertical="center" wrapText="1"/>
    </xf>
    <xf numFmtId="180" fontId="18" fillId="7" borderId="40" xfId="22" applyNumberFormat="1" applyFont="1" applyFill="1" applyBorder="1" applyAlignment="1">
      <alignment horizontal="center" vertical="center" wrapText="1"/>
    </xf>
    <xf numFmtId="180" fontId="18" fillId="7" borderId="10" xfId="21" applyNumberFormat="1" applyFont="1" applyFill="1" applyBorder="1" applyAlignment="1">
      <alignment horizontal="center" vertical="center" wrapText="1"/>
    </xf>
    <xf numFmtId="180" fontId="19" fillId="0" borderId="0" xfId="18" applyNumberFormat="1" applyFont="1" applyFill="1" applyBorder="1" applyAlignment="1">
      <alignment horizontal="center" vertical="center"/>
    </xf>
    <xf numFmtId="180" fontId="19" fillId="0" borderId="0" xfId="18" applyNumberFormat="1" applyFont="1" applyFill="1" applyBorder="1" applyAlignment="1">
      <alignment vertical="center"/>
    </xf>
    <xf numFmtId="0" fontId="3" fillId="8" borderId="43" xfId="3" applyFont="1" applyFill="1" applyBorder="1" applyAlignment="1" applyProtection="1">
      <alignment horizontal="center"/>
      <protection hidden="1"/>
    </xf>
    <xf numFmtId="0" fontId="8" fillId="8" borderId="44" xfId="3" applyFont="1" applyFill="1" applyBorder="1" applyAlignment="1" applyProtection="1">
      <alignment horizontal="center"/>
      <protection hidden="1"/>
    </xf>
    <xf numFmtId="0" fontId="3" fillId="8" borderId="45" xfId="3" applyFont="1" applyFill="1" applyBorder="1" applyAlignment="1" applyProtection="1">
      <alignment horizontal="center"/>
      <protection hidden="1"/>
    </xf>
    <xf numFmtId="10" fontId="10" fillId="8" borderId="44" xfId="2" applyNumberFormat="1" applyFont="1" applyFill="1" applyBorder="1" applyAlignment="1" applyProtection="1">
      <protection hidden="1"/>
    </xf>
    <xf numFmtId="41" fontId="10" fillId="8" borderId="44" xfId="24" applyFont="1" applyFill="1" applyBorder="1" applyAlignment="1" applyProtection="1">
      <protection hidden="1"/>
    </xf>
    <xf numFmtId="0" fontId="3" fillId="8" borderId="46" xfId="3" applyFont="1" applyFill="1" applyBorder="1" applyAlignment="1" applyProtection="1">
      <alignment horizontal="center"/>
      <protection hidden="1"/>
    </xf>
    <xf numFmtId="0" fontId="3" fillId="8" borderId="1" xfId="3" applyFont="1" applyFill="1" applyBorder="1" applyAlignment="1" applyProtection="1">
      <alignment horizontal="center"/>
      <protection hidden="1"/>
    </xf>
    <xf numFmtId="176" fontId="3" fillId="8" borderId="46" xfId="5" applyFont="1" applyFill="1" applyBorder="1" applyAlignment="1" applyProtection="1">
      <alignment horizontal="center"/>
      <protection hidden="1"/>
    </xf>
    <xf numFmtId="176" fontId="3" fillId="8" borderId="1" xfId="5" applyFont="1" applyFill="1" applyBorder="1" applyAlignment="1" applyProtection="1">
      <alignment horizontal="center"/>
      <protection hidden="1"/>
    </xf>
    <xf numFmtId="176" fontId="3" fillId="8" borderId="47" xfId="5" applyFont="1" applyFill="1" applyBorder="1" applyAlignment="1" applyProtection="1">
      <alignment horizontal="center"/>
      <protection hidden="1"/>
    </xf>
    <xf numFmtId="181" fontId="10" fillId="8" borderId="0" xfId="1" applyNumberFormat="1" applyFont="1" applyFill="1" applyAlignment="1" applyProtection="1">
      <protection hidden="1"/>
    </xf>
    <xf numFmtId="41" fontId="10" fillId="8" borderId="0" xfId="1" applyFont="1" applyFill="1" applyAlignment="1" applyProtection="1">
      <protection hidden="1"/>
    </xf>
    <xf numFmtId="41" fontId="10" fillId="8" borderId="0" xfId="24" applyFont="1" applyFill="1" applyAlignment="1" applyProtection="1">
      <protection hidden="1"/>
    </xf>
    <xf numFmtId="41" fontId="10" fillId="8" borderId="48" xfId="24" applyFont="1" applyFill="1" applyBorder="1" applyAlignment="1" applyProtection="1">
      <protection hidden="1"/>
    </xf>
    <xf numFmtId="41" fontId="10" fillId="8" borderId="21" xfId="24" applyFont="1" applyFill="1" applyBorder="1" applyAlignment="1" applyProtection="1">
      <protection hidden="1"/>
    </xf>
    <xf numFmtId="0" fontId="27" fillId="0" borderId="0" xfId="25" applyFont="1">
      <alignment vertical="center"/>
    </xf>
    <xf numFmtId="0" fontId="27" fillId="0" borderId="0" xfId="25" applyFont="1" applyAlignment="1">
      <alignment vertical="center" shrinkToFit="1"/>
    </xf>
    <xf numFmtId="41" fontId="29" fillId="0" borderId="0" xfId="1" applyFont="1" applyAlignment="1">
      <alignment vertical="center"/>
    </xf>
    <xf numFmtId="0" fontId="30" fillId="0" borderId="0" xfId="25" applyFont="1">
      <alignment vertical="center"/>
    </xf>
    <xf numFmtId="0" fontId="30" fillId="0" borderId="0" xfId="25" applyFont="1" applyAlignment="1">
      <alignment vertical="center" shrinkToFit="1"/>
    </xf>
    <xf numFmtId="0" fontId="31" fillId="0" borderId="0" xfId="25" applyFont="1">
      <alignment vertical="center"/>
    </xf>
    <xf numFmtId="0" fontId="32" fillId="0" borderId="0" xfId="25" applyFont="1">
      <alignment vertical="center"/>
    </xf>
    <xf numFmtId="0" fontId="30" fillId="0" borderId="0" xfId="25" applyFont="1" applyAlignment="1"/>
    <xf numFmtId="0" fontId="29" fillId="0" borderId="0" xfId="25" applyFont="1" applyAlignment="1">
      <alignment horizontal="left" vertical="center" indent="1"/>
    </xf>
    <xf numFmtId="0" fontId="32" fillId="0" borderId="0" xfId="25" applyFont="1" applyAlignment="1">
      <alignment horizontal="center" vertical="center"/>
    </xf>
    <xf numFmtId="0" fontId="25" fillId="9" borderId="7" xfId="25" applyFont="1" applyFill="1" applyBorder="1">
      <alignment vertical="center"/>
    </xf>
    <xf numFmtId="14" fontId="34" fillId="0" borderId="8" xfId="25" applyNumberFormat="1" applyFont="1" applyBorder="1" applyAlignment="1">
      <alignment horizontal="right" vertical="center" shrinkToFit="1"/>
    </xf>
    <xf numFmtId="41" fontId="32" fillId="0" borderId="0" xfId="25" applyNumberFormat="1" applyFont="1" applyAlignment="1">
      <alignment horizontal="center" vertical="center"/>
    </xf>
    <xf numFmtId="0" fontId="29" fillId="0" borderId="0" xfId="25" applyFont="1" applyAlignment="1">
      <alignment horizontal="left" vertical="center" indent="2"/>
    </xf>
    <xf numFmtId="0" fontId="34" fillId="0" borderId="0" xfId="25" applyFont="1">
      <alignment vertical="center"/>
    </xf>
    <xf numFmtId="0" fontId="32" fillId="0" borderId="0" xfId="25" applyFont="1" applyAlignment="1"/>
    <xf numFmtId="0" fontId="25" fillId="9" borderId="49" xfId="25" applyFont="1" applyFill="1" applyBorder="1">
      <alignment vertical="center"/>
    </xf>
    <xf numFmtId="177" fontId="36" fillId="0" borderId="50" xfId="1" applyNumberFormat="1" applyFont="1" applyFill="1" applyBorder="1" applyAlignment="1">
      <alignment vertical="center" shrinkToFit="1"/>
    </xf>
    <xf numFmtId="41" fontId="32" fillId="0" borderId="0" xfId="25" applyNumberFormat="1" applyFont="1" applyAlignment="1"/>
    <xf numFmtId="0" fontId="20" fillId="0" borderId="0" xfId="25" applyFont="1" applyAlignment="1">
      <alignment horizontal="left" vertical="center" indent="2"/>
    </xf>
    <xf numFmtId="41" fontId="34" fillId="0" borderId="0" xfId="1" applyFont="1" applyBorder="1" applyAlignment="1">
      <alignment vertical="center"/>
    </xf>
    <xf numFmtId="41" fontId="32" fillId="0" borderId="0" xfId="1" applyFont="1" applyFill="1" applyAlignment="1"/>
    <xf numFmtId="41" fontId="34" fillId="0" borderId="0" xfId="25" applyNumberFormat="1" applyFont="1">
      <alignment vertical="center"/>
    </xf>
    <xf numFmtId="41" fontId="37" fillId="0" borderId="0" xfId="25" applyNumberFormat="1" applyFont="1" applyAlignment="1"/>
    <xf numFmtId="0" fontId="38" fillId="0" borderId="0" xfId="25" applyFont="1">
      <alignment vertical="center"/>
    </xf>
    <xf numFmtId="0" fontId="39" fillId="0" borderId="0" xfId="25" applyFont="1">
      <alignment vertical="center"/>
    </xf>
    <xf numFmtId="0" fontId="25" fillId="0" borderId="0" xfId="25" applyFont="1" applyAlignment="1"/>
    <xf numFmtId="41" fontId="25" fillId="0" borderId="0" xfId="1" applyFont="1" applyFill="1" applyBorder="1" applyAlignment="1">
      <alignment vertical="center"/>
    </xf>
    <xf numFmtId="0" fontId="25" fillId="0" borderId="0" xfId="25" applyFont="1" applyAlignment="1">
      <alignment horizontal="center" vertical="center" shrinkToFit="1"/>
    </xf>
    <xf numFmtId="0" fontId="25" fillId="0" borderId="0" xfId="25" applyFont="1">
      <alignment vertical="center"/>
    </xf>
    <xf numFmtId="41" fontId="25" fillId="0" borderId="0" xfId="25" applyNumberFormat="1" applyFont="1" applyAlignment="1">
      <alignment horizontal="center" vertical="center" shrinkToFit="1"/>
    </xf>
    <xf numFmtId="180" fontId="22" fillId="6" borderId="11" xfId="9" applyNumberFormat="1" applyFont="1" applyFill="1" applyBorder="1" applyAlignment="1">
      <alignment horizontal="centerContinuous" vertical="center"/>
    </xf>
    <xf numFmtId="180" fontId="22" fillId="6" borderId="12" xfId="9" applyNumberFormat="1" applyFont="1" applyFill="1" applyBorder="1" applyAlignment="1">
      <alignment horizontal="centerContinuous" vertical="center"/>
    </xf>
    <xf numFmtId="180" fontId="22" fillId="6" borderId="12" xfId="9" applyNumberFormat="1" applyFont="1" applyFill="1" applyBorder="1" applyAlignment="1">
      <alignment horizontal="centerContinuous" vertical="center" shrinkToFit="1"/>
    </xf>
    <xf numFmtId="180" fontId="22" fillId="6" borderId="14" xfId="9" applyNumberFormat="1" applyFont="1" applyFill="1" applyBorder="1" applyAlignment="1">
      <alignment horizontal="center" vertical="center"/>
    </xf>
    <xf numFmtId="180" fontId="22" fillId="6" borderId="15" xfId="9" applyNumberFormat="1" applyFont="1" applyFill="1" applyBorder="1" applyAlignment="1">
      <alignment horizontal="center" vertical="center"/>
    </xf>
    <xf numFmtId="180" fontId="18" fillId="7" borderId="16" xfId="9" applyNumberFormat="1" applyFont="1" applyFill="1" applyBorder="1" applyAlignment="1">
      <alignment horizontal="center" vertical="center" wrapText="1"/>
    </xf>
    <xf numFmtId="180" fontId="12" fillId="7" borderId="18" xfId="10" applyNumberFormat="1" applyFont="1" applyFill="1" applyBorder="1" applyAlignment="1">
      <alignment horizontal="center" vertical="center" wrapText="1"/>
    </xf>
    <xf numFmtId="180" fontId="18" fillId="7" borderId="18" xfId="9" applyNumberFormat="1" applyFont="1" applyFill="1" applyBorder="1" applyAlignment="1">
      <alignment horizontal="center" vertical="center" wrapText="1"/>
    </xf>
    <xf numFmtId="180" fontId="18" fillId="9" borderId="19" xfId="9" applyNumberFormat="1" applyFont="1" applyFill="1" applyBorder="1" applyAlignment="1">
      <alignment horizontal="center" vertical="center" wrapText="1"/>
    </xf>
    <xf numFmtId="180" fontId="18" fillId="7" borderId="19" xfId="9" applyNumberFormat="1" applyFont="1" applyFill="1" applyBorder="1" applyAlignment="1">
      <alignment horizontal="center" vertical="center" shrinkToFit="1"/>
    </xf>
    <xf numFmtId="180" fontId="18" fillId="7" borderId="17" xfId="9" applyNumberFormat="1" applyFont="1" applyFill="1" applyBorder="1" applyAlignment="1">
      <alignment horizontal="center" vertical="center" wrapText="1"/>
    </xf>
    <xf numFmtId="180" fontId="18" fillId="7" borderId="19" xfId="9" applyNumberFormat="1" applyFont="1" applyFill="1" applyBorder="1" applyAlignment="1">
      <alignment horizontal="center" vertical="center" wrapText="1"/>
    </xf>
    <xf numFmtId="180" fontId="18" fillId="7" borderId="20" xfId="9" applyNumberFormat="1" applyFont="1" applyFill="1" applyBorder="1" applyAlignment="1">
      <alignment horizontal="center" vertical="center" shrinkToFit="1"/>
    </xf>
    <xf numFmtId="0" fontId="13" fillId="0" borderId="27" xfId="25" applyFont="1" applyFill="1" applyBorder="1" applyAlignment="1">
      <alignment horizontal="center" vertical="center"/>
    </xf>
    <xf numFmtId="0" fontId="12" fillId="0" borderId="28" xfId="12" applyFont="1" applyFill="1" applyBorder="1" applyAlignment="1">
      <alignment horizontal="center" vertical="center"/>
    </xf>
    <xf numFmtId="0" fontId="12" fillId="0" borderId="28" xfId="12" applyFont="1" applyFill="1" applyBorder="1" applyAlignment="1">
      <alignment horizontal="center" vertical="center" shrinkToFit="1"/>
    </xf>
    <xf numFmtId="41" fontId="12" fillId="0" borderId="31" xfId="1" applyFont="1" applyFill="1" applyBorder="1" applyAlignment="1">
      <alignment horizontal="left" vertical="center" shrinkToFit="1"/>
    </xf>
    <xf numFmtId="180" fontId="18" fillId="0" borderId="0" xfId="26" applyNumberFormat="1" applyFont="1" applyAlignment="1">
      <alignment vertical="center"/>
    </xf>
    <xf numFmtId="180" fontId="18" fillId="0" borderId="0" xfId="26" applyNumberFormat="1" applyFont="1" applyAlignment="1">
      <alignment horizontal="center" vertical="center"/>
    </xf>
    <xf numFmtId="180" fontId="19" fillId="0" borderId="0" xfId="26" applyNumberFormat="1" applyFont="1" applyAlignment="1">
      <alignment horizontal="center" vertical="center"/>
    </xf>
    <xf numFmtId="49" fontId="19" fillId="0" borderId="0" xfId="26" applyNumberFormat="1" applyFont="1" applyAlignment="1">
      <alignment horizontal="center" vertical="center"/>
    </xf>
    <xf numFmtId="0" fontId="41" fillId="0" borderId="0" xfId="27" applyFont="1" applyAlignment="1">
      <alignment horizontal="left" vertical="center"/>
    </xf>
    <xf numFmtId="0" fontId="42" fillId="0" borderId="0" xfId="27" applyFont="1" applyAlignment="1">
      <alignment horizontal="center" vertical="center"/>
    </xf>
    <xf numFmtId="0" fontId="43" fillId="0" borderId="0" xfId="27" applyFont="1" applyAlignment="1">
      <alignment horizontal="center" vertical="center"/>
    </xf>
    <xf numFmtId="0" fontId="43" fillId="0" borderId="0" xfId="27" applyFont="1">
      <alignment vertical="center"/>
    </xf>
    <xf numFmtId="41" fontId="43" fillId="0" borderId="0" xfId="27" applyNumberFormat="1" applyFont="1">
      <alignment vertical="center"/>
    </xf>
    <xf numFmtId="0" fontId="40" fillId="0" borderId="0" xfId="27" applyFont="1">
      <alignment vertical="center"/>
    </xf>
    <xf numFmtId="0" fontId="40" fillId="0" borderId="0" xfId="27" applyFont="1" applyAlignment="1">
      <alignment horizontal="center" vertical="center"/>
    </xf>
    <xf numFmtId="41" fontId="40" fillId="0" borderId="0" xfId="27" applyNumberFormat="1" applyFont="1">
      <alignment vertical="center"/>
    </xf>
    <xf numFmtId="0" fontId="21" fillId="0" borderId="0" xfId="27" applyFont="1" applyAlignment="1">
      <alignment horizontal="left" vertical="center"/>
    </xf>
    <xf numFmtId="0" fontId="44" fillId="0" borderId="0" xfId="27" applyFont="1" applyAlignment="1">
      <alignment horizontal="center" vertical="center"/>
    </xf>
    <xf numFmtId="0" fontId="44" fillId="0" borderId="0" xfId="27" applyFont="1">
      <alignment vertical="center"/>
    </xf>
    <xf numFmtId="41" fontId="44" fillId="0" borderId="0" xfId="28" applyFont="1">
      <alignment vertical="center"/>
    </xf>
    <xf numFmtId="0" fontId="35" fillId="0" borderId="0" xfId="27" applyFont="1" applyAlignment="1">
      <alignment horizontal="left" vertical="center" indent="2"/>
    </xf>
    <xf numFmtId="0" fontId="45" fillId="0" borderId="0" xfId="27" applyFont="1" applyAlignment="1">
      <alignment horizontal="center" vertical="center"/>
    </xf>
    <xf numFmtId="0" fontId="45" fillId="0" borderId="0" xfId="27" applyFont="1">
      <alignment vertical="center"/>
    </xf>
    <xf numFmtId="41" fontId="25" fillId="0" borderId="0" xfId="29" applyFont="1">
      <alignment vertical="center"/>
    </xf>
    <xf numFmtId="180" fontId="22" fillId="6" borderId="51" xfId="20" applyNumberFormat="1" applyFont="1" applyFill="1" applyBorder="1" applyAlignment="1">
      <alignment horizontal="centerContinuous" vertical="center"/>
    </xf>
    <xf numFmtId="180" fontId="22" fillId="6" borderId="52" xfId="20" applyNumberFormat="1" applyFont="1" applyFill="1" applyBorder="1" applyAlignment="1">
      <alignment horizontal="centerContinuous" vertical="center"/>
    </xf>
    <xf numFmtId="180" fontId="23" fillId="6" borderId="53" xfId="20" applyNumberFormat="1" applyFont="1" applyFill="1" applyBorder="1" applyAlignment="1">
      <alignment horizontal="centerContinuous" vertical="center"/>
    </xf>
    <xf numFmtId="180" fontId="23" fillId="6" borderId="52" xfId="20" applyNumberFormat="1" applyFont="1" applyFill="1" applyBorder="1" applyAlignment="1">
      <alignment horizontal="centerContinuous" vertical="center"/>
    </xf>
    <xf numFmtId="180" fontId="22" fillId="6" borderId="54" xfId="20" applyNumberFormat="1" applyFont="1" applyFill="1" applyBorder="1" applyAlignment="1">
      <alignment horizontal="centerContinuous" vertical="center"/>
    </xf>
    <xf numFmtId="49" fontId="22" fillId="6" borderId="52" xfId="20" applyNumberFormat="1" applyFont="1" applyFill="1" applyBorder="1" applyAlignment="1">
      <alignment horizontal="centerContinuous" vertical="center"/>
    </xf>
    <xf numFmtId="180" fontId="22" fillId="6" borderId="53" xfId="20" applyNumberFormat="1" applyFont="1" applyFill="1" applyBorder="1" applyAlignment="1">
      <alignment horizontal="centerContinuous" vertical="center"/>
    </xf>
    <xf numFmtId="180" fontId="22" fillId="6" borderId="13" xfId="21" applyNumberFormat="1" applyFont="1" applyFill="1" applyBorder="1" applyAlignment="1">
      <alignment horizontal="center" vertical="center"/>
    </xf>
    <xf numFmtId="180" fontId="22" fillId="6" borderId="55" xfId="20" applyNumberFormat="1" applyFont="1" applyFill="1" applyBorder="1" applyAlignment="1">
      <alignment horizontal="center" vertical="center"/>
    </xf>
    <xf numFmtId="180" fontId="24" fillId="0" borderId="0" xfId="20" applyNumberFormat="1" applyFont="1" applyAlignment="1">
      <alignment horizontal="center" vertical="center"/>
    </xf>
    <xf numFmtId="180" fontId="18" fillId="7" borderId="40" xfId="26" applyNumberFormat="1" applyFont="1" applyFill="1" applyBorder="1" applyAlignment="1">
      <alignment horizontal="center" vertical="center" wrapText="1"/>
    </xf>
    <xf numFmtId="49" fontId="18" fillId="7" borderId="40" xfId="20" applyNumberFormat="1" applyFont="1" applyFill="1" applyBorder="1" applyAlignment="1">
      <alignment horizontal="center" vertical="center" wrapText="1"/>
    </xf>
    <xf numFmtId="49" fontId="18" fillId="8" borderId="40" xfId="20" applyNumberFormat="1" applyFont="1" applyFill="1" applyBorder="1" applyAlignment="1">
      <alignment horizontal="center" vertical="center" wrapText="1"/>
    </xf>
    <xf numFmtId="180" fontId="19" fillId="0" borderId="0" xfId="20" applyNumberFormat="1" applyFont="1" applyAlignment="1">
      <alignment horizontal="center" vertical="center" wrapText="1"/>
    </xf>
    <xf numFmtId="180" fontId="18" fillId="0" borderId="0" xfId="20" applyNumberFormat="1" applyFont="1" applyAlignment="1">
      <alignment vertical="center"/>
    </xf>
    <xf numFmtId="180" fontId="18" fillId="0" borderId="41" xfId="20" applyNumberFormat="1" applyFont="1" applyBorder="1" applyAlignment="1">
      <alignment horizontal="center" vertical="center" shrinkToFit="1"/>
    </xf>
    <xf numFmtId="0" fontId="11" fillId="0" borderId="42" xfId="27" applyFont="1" applyBorder="1" applyAlignment="1">
      <alignment horizontal="center" vertical="center" shrinkToFit="1"/>
    </xf>
    <xf numFmtId="0" fontId="11" fillId="0" borderId="26" xfId="27" applyFont="1" applyBorder="1" applyAlignment="1">
      <alignment horizontal="left" vertical="center" shrinkToFit="1"/>
    </xf>
    <xf numFmtId="179" fontId="11" fillId="0" borderId="28" xfId="25" applyNumberFormat="1" applyFont="1" applyBorder="1" applyAlignment="1">
      <alignment horizontal="center" vertical="center"/>
    </xf>
    <xf numFmtId="0" fontId="11" fillId="8" borderId="42" xfId="27" applyFont="1" applyFill="1" applyBorder="1" applyAlignment="1">
      <alignment horizontal="center" vertical="center" shrinkToFit="1"/>
    </xf>
    <xf numFmtId="14" fontId="11" fillId="0" borderId="42" xfId="27" applyNumberFormat="1" applyFont="1" applyBorder="1" applyAlignment="1">
      <alignment horizontal="center" vertical="center" shrinkToFit="1"/>
    </xf>
    <xf numFmtId="41" fontId="11" fillId="0" borderId="42" xfId="28" applyFont="1" applyFill="1" applyBorder="1" applyAlignment="1">
      <alignment vertical="center" shrinkToFit="1"/>
    </xf>
    <xf numFmtId="41" fontId="11" fillId="0" borderId="26" xfId="28" applyFont="1" applyFill="1" applyBorder="1" applyAlignment="1">
      <alignment vertical="center" shrinkToFit="1"/>
    </xf>
    <xf numFmtId="0" fontId="11" fillId="0" borderId="56" xfId="27" applyFont="1" applyBorder="1" applyAlignment="1">
      <alignment horizontal="left" vertical="center" shrinkToFit="1"/>
    </xf>
    <xf numFmtId="180" fontId="18" fillId="0" borderId="32" xfId="20" applyNumberFormat="1" applyFont="1" applyBorder="1" applyAlignment="1">
      <alignment horizontal="center" vertical="center" shrinkToFit="1"/>
    </xf>
    <xf numFmtId="0" fontId="11" fillId="0" borderId="33" xfId="27" applyFont="1" applyBorder="1" applyAlignment="1">
      <alignment horizontal="center" vertical="center" shrinkToFit="1"/>
    </xf>
    <xf numFmtId="0" fontId="11" fillId="0" borderId="34" xfId="27" applyFont="1" applyBorder="1" applyAlignment="1">
      <alignment horizontal="left" vertical="center" shrinkToFit="1"/>
    </xf>
    <xf numFmtId="0" fontId="11" fillId="0" borderId="35" xfId="27" applyFont="1" applyBorder="1" applyAlignment="1">
      <alignment horizontal="center" vertical="center" shrinkToFit="1"/>
    </xf>
    <xf numFmtId="179" fontId="11" fillId="0" borderId="33" xfId="27" applyNumberFormat="1" applyFont="1" applyBorder="1" applyAlignment="1">
      <alignment horizontal="center" vertical="center" shrinkToFit="1"/>
    </xf>
    <xf numFmtId="14" fontId="11" fillId="0" borderId="33" xfId="27" applyNumberFormat="1" applyFont="1" applyBorder="1" applyAlignment="1">
      <alignment horizontal="center" vertical="center" shrinkToFit="1"/>
    </xf>
    <xf numFmtId="41" fontId="11" fillId="0" borderId="33" xfId="28" applyFont="1" applyFill="1" applyBorder="1" applyAlignment="1">
      <alignment vertical="center" shrinkToFit="1"/>
    </xf>
    <xf numFmtId="41" fontId="11" fillId="0" borderId="34" xfId="28" applyFont="1" applyFill="1" applyBorder="1" applyAlignment="1">
      <alignment vertical="center" shrinkToFit="1"/>
    </xf>
    <xf numFmtId="0" fontId="11" fillId="0" borderId="36" xfId="27" applyFont="1" applyBorder="1" applyAlignment="1">
      <alignment horizontal="left" vertical="center" shrinkToFit="1"/>
    </xf>
    <xf numFmtId="49" fontId="19" fillId="0" borderId="0" xfId="20" applyNumberFormat="1" applyFont="1" applyAlignment="1">
      <alignment horizontal="center" vertical="center"/>
    </xf>
    <xf numFmtId="0" fontId="42" fillId="0" borderId="0" xfId="27" applyFont="1">
      <alignment vertical="center"/>
    </xf>
    <xf numFmtId="41" fontId="45" fillId="0" borderId="0" xfId="27" applyNumberFormat="1" applyFont="1">
      <alignment vertical="center"/>
    </xf>
    <xf numFmtId="14" fontId="45" fillId="0" borderId="0" xfId="27" applyNumberFormat="1" applyFont="1">
      <alignment vertical="center"/>
    </xf>
    <xf numFmtId="179" fontId="18" fillId="0" borderId="0" xfId="26" applyNumberFormat="1" applyFont="1" applyAlignment="1">
      <alignment vertical="center"/>
    </xf>
    <xf numFmtId="179" fontId="19" fillId="0" borderId="0" xfId="26" applyNumberFormat="1" applyFont="1" applyAlignment="1">
      <alignment horizontal="center" vertical="center"/>
    </xf>
    <xf numFmtId="49" fontId="22" fillId="6" borderId="39" xfId="20" applyNumberFormat="1" applyFont="1" applyFill="1" applyBorder="1" applyAlignment="1">
      <alignment horizontal="center" vertical="center"/>
    </xf>
    <xf numFmtId="180" fontId="22" fillId="6" borderId="57" xfId="20" applyNumberFormat="1" applyFont="1" applyFill="1" applyBorder="1" applyAlignment="1">
      <alignment horizontal="center" vertical="center"/>
    </xf>
    <xf numFmtId="180" fontId="18" fillId="7" borderId="58" xfId="20" applyNumberFormat="1" applyFont="1" applyFill="1" applyBorder="1" applyAlignment="1">
      <alignment horizontal="center" vertical="center" wrapText="1"/>
    </xf>
    <xf numFmtId="180" fontId="25" fillId="0" borderId="41" xfId="20" applyNumberFormat="1" applyFont="1" applyBorder="1" applyAlignment="1">
      <alignment horizontal="center" vertical="center"/>
    </xf>
    <xf numFmtId="0" fontId="11" fillId="0" borderId="42" xfId="27" applyFont="1" applyBorder="1" applyAlignment="1">
      <alignment horizontal="center" vertical="center"/>
    </xf>
    <xf numFmtId="0" fontId="25" fillId="0" borderId="42" xfId="27" applyFont="1" applyBorder="1" applyAlignment="1">
      <alignment horizontal="center" vertical="center"/>
    </xf>
    <xf numFmtId="0" fontId="25" fillId="0" borderId="26" xfId="27" applyFont="1" applyBorder="1" applyAlignment="1">
      <alignment vertical="center" shrinkToFit="1"/>
    </xf>
    <xf numFmtId="0" fontId="25" fillId="0" borderId="25" xfId="27" applyFont="1" applyBorder="1" applyAlignment="1">
      <alignment horizontal="center" vertical="center"/>
    </xf>
    <xf numFmtId="14" fontId="25" fillId="0" borderId="42" xfId="27" applyNumberFormat="1" applyFont="1" applyBorder="1" applyAlignment="1">
      <alignment horizontal="center" vertical="center"/>
    </xf>
    <xf numFmtId="41" fontId="25" fillId="0" borderId="42" xfId="28" applyFont="1" applyFill="1" applyBorder="1" applyAlignment="1">
      <alignment vertical="center"/>
    </xf>
    <xf numFmtId="41" fontId="25" fillId="0" borderId="42" xfId="30" applyFont="1" applyFill="1" applyBorder="1" applyAlignment="1">
      <alignment horizontal="right" vertical="center"/>
    </xf>
    <xf numFmtId="41" fontId="25" fillId="0" borderId="26" xfId="30" applyFont="1" applyFill="1" applyBorder="1" applyAlignment="1">
      <alignment horizontal="right" vertical="center"/>
    </xf>
    <xf numFmtId="0" fontId="25" fillId="0" borderId="31" xfId="20" applyFont="1" applyBorder="1" applyAlignment="1">
      <alignment vertical="center"/>
    </xf>
    <xf numFmtId="180" fontId="25" fillId="0" borderId="32" xfId="20" applyNumberFormat="1" applyFont="1" applyBorder="1" applyAlignment="1">
      <alignment horizontal="center" vertical="center"/>
    </xf>
    <xf numFmtId="0" fontId="11" fillId="0" borderId="33" xfId="27" applyFont="1" applyBorder="1" applyAlignment="1">
      <alignment horizontal="center" vertical="center"/>
    </xf>
    <xf numFmtId="0" fontId="25" fillId="0" borderId="33" xfId="27" applyFont="1" applyBorder="1" applyAlignment="1">
      <alignment horizontal="center" vertical="center"/>
    </xf>
    <xf numFmtId="0" fontId="25" fillId="0" borderId="34" xfId="27" applyFont="1" applyBorder="1" applyAlignment="1">
      <alignment vertical="center" shrinkToFit="1"/>
    </xf>
    <xf numFmtId="0" fontId="25" fillId="0" borderId="35" xfId="27" applyFont="1" applyBorder="1" applyAlignment="1">
      <alignment horizontal="center" vertical="center"/>
    </xf>
    <xf numFmtId="14" fontId="25" fillId="0" borderId="33" xfId="27" applyNumberFormat="1" applyFont="1" applyBorder="1" applyAlignment="1">
      <alignment horizontal="center" vertical="center"/>
    </xf>
    <xf numFmtId="41" fontId="25" fillId="0" borderId="33" xfId="28" applyFont="1" applyFill="1" applyBorder="1" applyAlignment="1">
      <alignment vertical="center"/>
    </xf>
    <xf numFmtId="41" fontId="25" fillId="0" borderId="33" xfId="30" applyFont="1" applyFill="1" applyBorder="1" applyAlignment="1">
      <alignment horizontal="right" vertical="center"/>
    </xf>
    <xf numFmtId="41" fontId="25" fillId="0" borderId="34" xfId="30" applyFont="1" applyFill="1" applyBorder="1" applyAlignment="1">
      <alignment horizontal="right" vertical="center"/>
    </xf>
    <xf numFmtId="0" fontId="25" fillId="0" borderId="36" xfId="20" applyFont="1" applyBorder="1" applyAlignment="1">
      <alignment vertical="center"/>
    </xf>
    <xf numFmtId="0" fontId="27" fillId="0" borderId="0" xfId="0" applyFont="1">
      <alignment vertical="center"/>
    </xf>
    <xf numFmtId="180" fontId="19" fillId="0" borderId="0" xfId="16" applyNumberFormat="1" applyFont="1" applyAlignment="1">
      <alignment vertical="center"/>
    </xf>
    <xf numFmtId="0" fontId="30" fillId="0" borderId="0" xfId="0" applyFont="1">
      <alignment vertical="center"/>
    </xf>
    <xf numFmtId="0" fontId="30" fillId="0" borderId="0" xfId="0" applyFont="1" applyAlignment="1"/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indent="1"/>
    </xf>
    <xf numFmtId="0" fontId="18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indent="2"/>
    </xf>
    <xf numFmtId="0" fontId="34" fillId="0" borderId="0" xfId="0" applyFont="1">
      <alignment vertical="center"/>
    </xf>
    <xf numFmtId="0" fontId="32" fillId="0" borderId="0" xfId="0" applyFont="1" applyAlignment="1"/>
    <xf numFmtId="41" fontId="34" fillId="0" borderId="0" xfId="0" applyNumberFormat="1" applyFont="1">
      <alignment vertical="center"/>
    </xf>
    <xf numFmtId="182" fontId="32" fillId="0" borderId="0" xfId="0" applyNumberFormat="1" applyFont="1" applyAlignment="1"/>
    <xf numFmtId="0" fontId="3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36" fillId="0" borderId="0" xfId="0" applyFont="1">
      <alignment vertical="center"/>
    </xf>
    <xf numFmtId="0" fontId="46" fillId="0" borderId="0" xfId="0" applyFont="1">
      <alignment vertical="center"/>
    </xf>
    <xf numFmtId="0" fontId="25" fillId="9" borderId="9" xfId="25" applyFont="1" applyFill="1" applyBorder="1">
      <alignment vertical="center"/>
    </xf>
    <xf numFmtId="41" fontId="34" fillId="0" borderId="0" xfId="1" applyFont="1">
      <alignment vertical="center"/>
    </xf>
    <xf numFmtId="43" fontId="32" fillId="0" borderId="0" xfId="0" applyNumberFormat="1" applyFont="1" applyAlignment="1"/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18" fillId="0" borderId="0" xfId="0" applyFont="1" applyAlignment="1"/>
    <xf numFmtId="41" fontId="18" fillId="0" borderId="0" xfId="1" applyFont="1" applyFill="1" applyAlignment="1">
      <alignment horizontal="center" vertical="center"/>
    </xf>
    <xf numFmtId="180" fontId="22" fillId="6" borderId="11" xfId="11" applyNumberFormat="1" applyFont="1" applyFill="1" applyBorder="1" applyAlignment="1">
      <alignment horizontal="centerContinuous" vertical="center"/>
    </xf>
    <xf numFmtId="180" fontId="22" fillId="6" borderId="12" xfId="11" applyNumberFormat="1" applyFont="1" applyFill="1" applyBorder="1" applyAlignment="1">
      <alignment horizontal="centerContinuous" vertical="center"/>
    </xf>
    <xf numFmtId="180" fontId="22" fillId="6" borderId="14" xfId="11" applyNumberFormat="1" applyFont="1" applyFill="1" applyBorder="1" applyAlignment="1">
      <alignment horizontal="center" vertical="center"/>
    </xf>
    <xf numFmtId="180" fontId="18" fillId="7" borderId="16" xfId="11" applyNumberFormat="1" applyFont="1" applyFill="1" applyBorder="1" applyAlignment="1">
      <alignment horizontal="center" vertical="center" wrapText="1"/>
    </xf>
    <xf numFmtId="180" fontId="18" fillId="7" borderId="18" xfId="11" applyNumberFormat="1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180" fontId="18" fillId="9" borderId="18" xfId="11" applyNumberFormat="1" applyFont="1" applyFill="1" applyBorder="1" applyAlignment="1">
      <alignment horizontal="center" vertical="center" wrapText="1"/>
    </xf>
    <xf numFmtId="180" fontId="18" fillId="7" borderId="20" xfId="11" applyNumberFormat="1" applyFont="1" applyFill="1" applyBorder="1" applyAlignment="1">
      <alignment horizontal="center" vertical="center" wrapText="1"/>
    </xf>
    <xf numFmtId="0" fontId="18" fillId="0" borderId="27" xfId="16" applyFont="1" applyFill="1" applyBorder="1" applyAlignment="1">
      <alignment horizontal="center" vertical="center"/>
    </xf>
    <xf numFmtId="0" fontId="18" fillId="0" borderId="28" xfId="16" applyFont="1" applyFill="1" applyBorder="1" applyAlignment="1">
      <alignment horizontal="center" vertical="center"/>
    </xf>
    <xf numFmtId="0" fontId="25" fillId="0" borderId="29" xfId="12" applyFont="1" applyFill="1" applyBorder="1" applyAlignment="1">
      <alignment horizontal="center" vertical="center" shrinkToFit="1"/>
    </xf>
    <xf numFmtId="180" fontId="18" fillId="0" borderId="59" xfId="18" applyNumberFormat="1" applyFont="1" applyFill="1" applyBorder="1" applyAlignment="1">
      <alignment horizontal="center" vertical="center"/>
    </xf>
    <xf numFmtId="49" fontId="49" fillId="0" borderId="28" xfId="0" applyNumberFormat="1" applyFont="1" applyFill="1" applyBorder="1" applyAlignment="1">
      <alignment horizontal="center" vertical="center"/>
    </xf>
    <xf numFmtId="14" fontId="49" fillId="0" borderId="28" xfId="0" applyNumberFormat="1" applyFont="1" applyFill="1" applyBorder="1" applyAlignment="1">
      <alignment horizontal="center" vertical="center"/>
    </xf>
    <xf numFmtId="179" fontId="18" fillId="0" borderId="28" xfId="18" applyNumberFormat="1" applyFont="1" applyFill="1" applyBorder="1" applyAlignment="1">
      <alignment horizontal="center" vertical="center" shrinkToFit="1"/>
    </xf>
    <xf numFmtId="9" fontId="18" fillId="0" borderId="28" xfId="2" applyFont="1" applyFill="1" applyBorder="1" applyAlignment="1">
      <alignment horizontal="center" vertical="center"/>
    </xf>
    <xf numFmtId="180" fontId="18" fillId="0" borderId="28" xfId="18" applyNumberFormat="1" applyFont="1" applyFill="1" applyBorder="1" applyAlignment="1">
      <alignment horizontal="center" vertical="center"/>
    </xf>
    <xf numFmtId="41" fontId="18" fillId="0" borderId="28" xfId="1" applyFont="1" applyFill="1" applyBorder="1" applyAlignment="1">
      <alignment horizontal="center" vertical="center"/>
    </xf>
    <xf numFmtId="41" fontId="18" fillId="0" borderId="28" xfId="1" applyFont="1" applyFill="1" applyBorder="1" applyAlignment="1">
      <alignment vertical="center"/>
    </xf>
    <xf numFmtId="180" fontId="18" fillId="0" borderId="28" xfId="16" applyNumberFormat="1" applyFont="1" applyFill="1" applyBorder="1" applyAlignment="1">
      <alignment horizontal="center" vertical="center" shrinkToFit="1"/>
    </xf>
    <xf numFmtId="179" fontId="11" fillId="0" borderId="28" xfId="25" applyNumberFormat="1" applyFont="1" applyFill="1" applyBorder="1" applyAlignment="1">
      <alignment horizontal="center" vertical="center"/>
    </xf>
    <xf numFmtId="180" fontId="18" fillId="0" borderId="56" xfId="16" applyNumberFormat="1" applyFont="1" applyFill="1" applyBorder="1" applyAlignment="1">
      <alignment vertical="center" wrapText="1"/>
    </xf>
    <xf numFmtId="180" fontId="18" fillId="0" borderId="30" xfId="18" applyNumberFormat="1" applyFont="1" applyFill="1" applyBorder="1" applyAlignment="1">
      <alignment horizontal="center" vertical="center"/>
    </xf>
    <xf numFmtId="180" fontId="18" fillId="0" borderId="31" xfId="16" applyNumberFormat="1" applyFont="1" applyFill="1" applyBorder="1" applyAlignment="1">
      <alignment vertical="center" wrapText="1"/>
    </xf>
    <xf numFmtId="49" fontId="19" fillId="0" borderId="0" xfId="18" applyNumberFormat="1" applyFont="1" applyFill="1" applyBorder="1" applyAlignment="1">
      <alignment horizontal="center" vertical="center"/>
    </xf>
    <xf numFmtId="14" fontId="19" fillId="0" borderId="0" xfId="18" applyNumberFormat="1" applyFont="1" applyFill="1" applyBorder="1" applyAlignment="1">
      <alignment horizontal="center" vertical="center"/>
    </xf>
    <xf numFmtId="0" fontId="28" fillId="0" borderId="0" xfId="7" applyFont="1" applyAlignment="1">
      <alignment horizontal="left" vertical="center"/>
    </xf>
    <xf numFmtId="0" fontId="33" fillId="4" borderId="0" xfId="19" applyFont="1" applyFill="1" applyAlignment="1">
      <alignment horizontal="left" vertical="center" indent="1"/>
    </xf>
    <xf numFmtId="0" fontId="35" fillId="0" borderId="0" xfId="7" applyFont="1" applyAlignment="1">
      <alignment horizontal="left" vertical="center" indent="2"/>
    </xf>
    <xf numFmtId="177" fontId="36" fillId="0" borderId="10" xfId="1" applyNumberFormat="1" applyFont="1" applyFill="1" applyBorder="1" applyAlignment="1">
      <alignment vertical="center" shrinkToFit="1"/>
    </xf>
    <xf numFmtId="0" fontId="11" fillId="0" borderId="0" xfId="25" applyFont="1" applyAlignment="1"/>
    <xf numFmtId="41" fontId="25" fillId="0" borderId="0" xfId="1" applyFont="1" applyFill="1" applyAlignment="1">
      <alignment horizontal="center" vertical="center" wrapText="1"/>
    </xf>
    <xf numFmtId="180" fontId="22" fillId="6" borderId="37" xfId="9" applyNumberFormat="1" applyFont="1" applyFill="1" applyBorder="1" applyAlignment="1">
      <alignment horizontal="centerContinuous" vertical="center" shrinkToFit="1"/>
    </xf>
    <xf numFmtId="180" fontId="22" fillId="6" borderId="60" xfId="9" applyNumberFormat="1" applyFont="1" applyFill="1" applyBorder="1" applyAlignment="1">
      <alignment horizontal="center" vertical="center"/>
    </xf>
    <xf numFmtId="0" fontId="25" fillId="0" borderId="0" xfId="25" applyFont="1" applyAlignment="1">
      <alignment horizontal="center" vertical="center" wrapText="1"/>
    </xf>
    <xf numFmtId="0" fontId="40" fillId="0" borderId="0" xfId="25" applyFont="1" applyAlignment="1"/>
    <xf numFmtId="0" fontId="12" fillId="0" borderId="21" xfId="12" applyFont="1" applyBorder="1" applyAlignment="1">
      <alignment horizontal="center" vertical="center"/>
    </xf>
    <xf numFmtId="41" fontId="12" fillId="0" borderId="24" xfId="1" applyFont="1" applyFill="1" applyBorder="1" applyAlignment="1">
      <alignment horizontal="center" vertical="center"/>
    </xf>
    <xf numFmtId="41" fontId="12" fillId="0" borderId="23" xfId="1" applyFont="1" applyFill="1" applyBorder="1" applyAlignment="1">
      <alignment horizontal="center" vertical="center"/>
    </xf>
    <xf numFmtId="0" fontId="12" fillId="0" borderId="0" xfId="25" applyFont="1">
      <alignment vertical="center"/>
    </xf>
    <xf numFmtId="0" fontId="13" fillId="0" borderId="0" xfId="25" applyFont="1">
      <alignment vertical="center"/>
    </xf>
    <xf numFmtId="0" fontId="13" fillId="0" borderId="32" xfId="25" applyFont="1" applyFill="1" applyBorder="1" applyAlignment="1">
      <alignment horizontal="center" vertical="center"/>
    </xf>
    <xf numFmtId="0" fontId="12" fillId="0" borderId="33" xfId="12" applyFont="1" applyFill="1" applyBorder="1" applyAlignment="1">
      <alignment horizontal="center" vertical="center"/>
    </xf>
    <xf numFmtId="0" fontId="12" fillId="0" borderId="33" xfId="12" applyFont="1" applyFill="1" applyBorder="1" applyAlignment="1">
      <alignment horizontal="center" vertical="center" shrinkToFit="1"/>
    </xf>
    <xf numFmtId="179" fontId="12" fillId="0" borderId="33" xfId="12" applyNumberFormat="1" applyFont="1" applyFill="1" applyBorder="1" applyAlignment="1">
      <alignment horizontal="center" vertical="center" shrinkToFit="1"/>
    </xf>
    <xf numFmtId="0" fontId="12" fillId="0" borderId="34" xfId="12" applyFont="1" applyFill="1" applyBorder="1" applyAlignment="1">
      <alignment horizontal="center" vertical="center"/>
    </xf>
    <xf numFmtId="41" fontId="12" fillId="0" borderId="35" xfId="1" applyFont="1" applyFill="1" applyBorder="1" applyAlignment="1">
      <alignment horizontal="center" vertical="center"/>
    </xf>
    <xf numFmtId="41" fontId="12" fillId="0" borderId="34" xfId="1" applyFont="1" applyFill="1" applyBorder="1" applyAlignment="1">
      <alignment horizontal="center" vertical="center"/>
    </xf>
    <xf numFmtId="41" fontId="12" fillId="0" borderId="36" xfId="1" applyFont="1" applyFill="1" applyBorder="1" applyAlignment="1">
      <alignment horizontal="left" vertical="center" shrinkToFit="1"/>
    </xf>
    <xf numFmtId="0" fontId="13" fillId="0" borderId="0" xfId="25" applyFont="1" applyAlignment="1">
      <alignment vertical="center" shrinkToFit="1"/>
    </xf>
    <xf numFmtId="180" fontId="22" fillId="8" borderId="39" xfId="20" applyNumberFormat="1" applyFont="1" applyFill="1" applyBorder="1" applyAlignment="1">
      <alignment horizontal="center" vertical="center"/>
    </xf>
    <xf numFmtId="180" fontId="18" fillId="8" borderId="40" xfId="26" applyNumberFormat="1" applyFont="1" applyFill="1" applyBorder="1" applyAlignment="1">
      <alignment horizontal="center" vertical="center" wrapText="1"/>
    </xf>
    <xf numFmtId="0" fontId="11" fillId="8" borderId="61" xfId="27" applyFont="1" applyFill="1" applyBorder="1" applyAlignment="1">
      <alignment horizontal="center" vertical="center" shrinkToFit="1"/>
    </xf>
    <xf numFmtId="0" fontId="11" fillId="0" borderId="25" xfId="27" applyFont="1" applyBorder="1" applyAlignment="1">
      <alignment horizontal="center" vertical="center" shrinkToFit="1"/>
    </xf>
    <xf numFmtId="0" fontId="11" fillId="0" borderId="62" xfId="27" applyFont="1" applyBorder="1" applyAlignment="1">
      <alignment horizontal="left" vertical="center" shrinkToFit="1"/>
    </xf>
    <xf numFmtId="180" fontId="19" fillId="0" borderId="0" xfId="20" applyNumberFormat="1" applyFont="1" applyFill="1" applyAlignment="1">
      <alignment vertical="center"/>
    </xf>
    <xf numFmtId="0" fontId="25" fillId="0" borderId="62" xfId="27" applyFont="1" applyBorder="1" applyAlignment="1">
      <alignment vertical="center" shrinkToFit="1"/>
    </xf>
    <xf numFmtId="0" fontId="25" fillId="8" borderId="61" xfId="27" applyFont="1" applyFill="1" applyBorder="1" applyAlignment="1">
      <alignment horizontal="center" vertical="center" shrinkToFit="1"/>
    </xf>
    <xf numFmtId="180" fontId="19" fillId="0" borderId="0" xfId="20" applyNumberFormat="1" applyFont="1" applyFill="1" applyAlignment="1">
      <alignment horizontal="center" vertical="center" wrapText="1"/>
    </xf>
    <xf numFmtId="180" fontId="19" fillId="0" borderId="0" xfId="20" applyNumberFormat="1" applyFont="1" applyFill="1" applyAlignment="1">
      <alignment horizontal="center" vertical="center"/>
    </xf>
    <xf numFmtId="180" fontId="18" fillId="0" borderId="0" xfId="26" applyNumberFormat="1" applyFont="1" applyFill="1" applyAlignment="1">
      <alignment vertical="center"/>
    </xf>
    <xf numFmtId="0" fontId="45" fillId="0" borderId="0" xfId="27" applyFont="1" applyFill="1">
      <alignment vertical="center"/>
    </xf>
    <xf numFmtId="0" fontId="44" fillId="0" borderId="0" xfId="27" applyFont="1" applyFill="1">
      <alignment vertical="center"/>
    </xf>
    <xf numFmtId="0" fontId="40" fillId="0" borderId="0" xfId="27" applyFont="1" applyFill="1">
      <alignment vertical="center"/>
    </xf>
    <xf numFmtId="0" fontId="43" fillId="0" borderId="0" xfId="27" applyFont="1" applyFill="1">
      <alignment vertical="center"/>
    </xf>
    <xf numFmtId="0" fontId="33" fillId="0" borderId="0" xfId="19" applyFont="1" applyAlignment="1">
      <alignment horizontal="left" vertical="center" indent="1"/>
    </xf>
    <xf numFmtId="0" fontId="46" fillId="0" borderId="0" xfId="0" applyFont="1" applyAlignment="1"/>
    <xf numFmtId="41" fontId="34" fillId="0" borderId="0" xfId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180" fontId="22" fillId="6" borderId="37" xfId="11" applyNumberFormat="1" applyFont="1" applyFill="1" applyBorder="1" applyAlignment="1">
      <alignment horizontal="centerContinuous" vertical="center"/>
    </xf>
    <xf numFmtId="180" fontId="19" fillId="0" borderId="0" xfId="16" applyNumberFormat="1" applyFont="1" applyAlignment="1">
      <alignment horizontal="center" vertical="center"/>
    </xf>
    <xf numFmtId="180" fontId="19" fillId="0" borderId="0" xfId="16" applyNumberFormat="1" applyFont="1" applyAlignment="1">
      <alignment horizontal="center" vertical="center" wrapText="1"/>
    </xf>
    <xf numFmtId="179" fontId="11" fillId="0" borderId="29" xfId="25" applyNumberFormat="1" applyFont="1" applyFill="1" applyBorder="1" applyAlignment="1">
      <alignment horizontal="center" vertical="center"/>
    </xf>
    <xf numFmtId="0" fontId="18" fillId="0" borderId="32" xfId="16" applyFont="1" applyFill="1" applyBorder="1" applyAlignment="1">
      <alignment horizontal="center" vertical="center"/>
    </xf>
    <xf numFmtId="0" fontId="18" fillId="0" borderId="33" xfId="16" applyFont="1" applyFill="1" applyBorder="1" applyAlignment="1">
      <alignment horizontal="center" vertical="center"/>
    </xf>
    <xf numFmtId="0" fontId="25" fillId="0" borderId="34" xfId="12" applyFont="1" applyFill="1" applyBorder="1" applyAlignment="1">
      <alignment horizontal="center" vertical="center" shrinkToFit="1"/>
    </xf>
    <xf numFmtId="180" fontId="18" fillId="0" borderId="35" xfId="18" applyNumberFormat="1" applyFont="1" applyFill="1" applyBorder="1" applyAlignment="1">
      <alignment horizontal="center" vertical="center"/>
    </xf>
    <xf numFmtId="49" fontId="49" fillId="0" borderId="33" xfId="0" applyNumberFormat="1" applyFont="1" applyFill="1" applyBorder="1" applyAlignment="1">
      <alignment horizontal="center" vertical="center"/>
    </xf>
    <xf numFmtId="14" fontId="49" fillId="0" borderId="33" xfId="0" applyNumberFormat="1" applyFont="1" applyFill="1" applyBorder="1" applyAlignment="1">
      <alignment horizontal="center" vertical="center"/>
    </xf>
    <xf numFmtId="179" fontId="18" fillId="0" borderId="33" xfId="18" applyNumberFormat="1" applyFont="1" applyFill="1" applyBorder="1" applyAlignment="1">
      <alignment horizontal="center" vertical="center" shrinkToFit="1"/>
    </xf>
    <xf numFmtId="9" fontId="18" fillId="0" borderId="33" xfId="2" applyFont="1" applyFill="1" applyBorder="1" applyAlignment="1">
      <alignment horizontal="center" vertical="center"/>
    </xf>
    <xf numFmtId="180" fontId="18" fillId="0" borderId="33" xfId="18" applyNumberFormat="1" applyFont="1" applyFill="1" applyBorder="1" applyAlignment="1">
      <alignment horizontal="center" vertical="center"/>
    </xf>
    <xf numFmtId="41" fontId="18" fillId="0" borderId="33" xfId="1" applyFont="1" applyFill="1" applyBorder="1" applyAlignment="1">
      <alignment horizontal="center" vertical="center"/>
    </xf>
    <xf numFmtId="41" fontId="18" fillId="0" borderId="33" xfId="1" applyFont="1" applyFill="1" applyBorder="1" applyAlignment="1">
      <alignment vertical="center"/>
    </xf>
    <xf numFmtId="180" fontId="18" fillId="0" borderId="33" xfId="16" applyNumberFormat="1" applyFont="1" applyFill="1" applyBorder="1" applyAlignment="1">
      <alignment horizontal="center" vertical="center" shrinkToFit="1"/>
    </xf>
    <xf numFmtId="179" fontId="11" fillId="0" borderId="34" xfId="25" applyNumberFormat="1" applyFont="1" applyFill="1" applyBorder="1" applyAlignment="1">
      <alignment horizontal="center" vertical="center"/>
    </xf>
    <xf numFmtId="180" fontId="18" fillId="0" borderId="36" xfId="16" applyNumberFormat="1" applyFont="1" applyFill="1" applyBorder="1" applyAlignment="1">
      <alignment vertical="center" wrapText="1"/>
    </xf>
  </cellXfs>
  <cellStyles count="31">
    <cellStyle name="백분율" xfId="2" builtinId="5"/>
    <cellStyle name="백분율 14" xfId="4"/>
    <cellStyle name="쉼표 [0]" xfId="1" builtinId="6"/>
    <cellStyle name="쉼표 [0] 12 5" xfId="14"/>
    <cellStyle name="쉼표 [0] 14 2" xfId="30"/>
    <cellStyle name="쉼표 [0] 2" xfId="29"/>
    <cellStyle name="쉼표 [0] 2 2 3 5" xfId="15"/>
    <cellStyle name="쉼표 [0] 2 4 2" xfId="18"/>
    <cellStyle name="쉼표 [0] 50 2" xfId="28"/>
    <cellStyle name="쉼표 [0] 51" xfId="24"/>
    <cellStyle name="쉼표 [0]_SHB_2009-1 Template_ v01" xfId="5"/>
    <cellStyle name="표준" xfId="0" builtinId="0"/>
    <cellStyle name="표준 10 2" xfId="27"/>
    <cellStyle name="표준 10 4 2 2 2 3" xfId="25"/>
    <cellStyle name="표준 13 5" xfId="8"/>
    <cellStyle name="표준 2 10" xfId="26"/>
    <cellStyle name="표준 2 2" xfId="17"/>
    <cellStyle name="표준 2 2 2" xfId="7"/>
    <cellStyle name="표준 2 3 5" xfId="11"/>
    <cellStyle name="표준 2 3 5 2" xfId="9"/>
    <cellStyle name="표준 3" xfId="12"/>
    <cellStyle name="표준 3 2 2 2" xfId="13"/>
    <cellStyle name="표준 3 7 3" xfId="19"/>
    <cellStyle name="표준 33" xfId="6"/>
    <cellStyle name="표준 4 2" xfId="23"/>
    <cellStyle name="표준_Datadisk_주은_regular_073022" xfId="21"/>
    <cellStyle name="표준_KEB_Datadisk_0521_관련재산_test_Datadisk_Regular_주은_0816.02" xfId="22"/>
    <cellStyle name="표준_KEB_Datadisk_0521_관련재산_test_Kookmin·H&amp;CB SPC_주은일차(H0006~)_Data Disk #3_Clean" xfId="20"/>
    <cellStyle name="표준_KEB_Datadisk_0521_관련재산_test_Kookmin·H&amp;CB SPC_주은일차(H0006~)_Data Disk #3_Clean_KB SPC 2006-1 Program_DataDisk#2_Regular Asset_master_0816" xfId="16"/>
    <cellStyle name="표준_SHB_2009-1 Template_ v01" xfId="3"/>
    <cellStyle name="표준_Sheet CD(국민)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BS\Abs11\&#52292;&#44428;&#47749;&#49464;\&#52572;&#51333;&#51088;&#47308;\WINDOWS\&#48148;&#53461;%20&#54868;&#47732;\&#54620;&#48731;\ABS10\draft\1107\&#44608;&#54616;&#49437;\NPL\&#54620;&#48731;NPL\ABS(1&#50900;)\&#49352;&#50577;&#49885;\&#48277;&#47924;&#48277;&#51064;\hanvit_rl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&#48148;&#53461;%20&#54868;&#47732;\&#54620;&#48731;\ABS10\&#51068;&#48152;&#52292;&#44428;&#54217;&#44032;\&#51068;&#48152;1105\&#51068;&#48152;C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.101.5.20/&#50976;&#50689;&#54616;/&#53748;&#51649;&#44552;/&#48372;&#44256;&#51088;&#47308;/&#51116;&#47924;&#54924;&#44228;&#49892;/200102&#47749;&#50696;&#53748;&#51649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aewonlee1\AppData\Local\Microsoft\Windows\Temporary%20Internet%20Files\Content.Outlook\9BCKC585\1.ASO\9.%20&#49324;&#50629;&#44536;&#47353;&#48324;%20&#45824;&#49552;&#52649;&#45817;&#44552;%20&#49884;&#49828;&#53596;\200812\&#52628;&#44032;&#52649;&#45817;&#44552;&#47749;&#49464;_0812_v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47924;\1.&#50976;&#50516;&#53076;\2020&#45380;\2&#48516;&#44592;\&#51312;&#49436;\FU\KB-R-006-&#48149;&#51068;&#49688;(&#44305;&#47749;&#49688;&#47560;&#53944;,%2021.5&#50613;)-&#44221;&#44592;%20&#44305;&#47749;&#49884;%20&#54616;&#50504;&#46041;%2030-1%20&#51648;&#54616;&#52789;&#50808;(&#44540;&#47536;&#49345;&#44032;)_FU2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inholee\My%20Documents\my%20audit\&#45453;&#54801;\&#45453;&#54801;13&#52264;\fiinal0530\&#48372;&#44256;&#49436;\1&#52264;&#52572;&#51333;\NACF_&#51228;&#49901;&#49340;&#52264;-&#45812;&#48372;(0524&#52572;&#51333;)_&#54217;&#44032;&#51089;&#5062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My%20Documents\01.Clients\01.&#50857;&#50669;\96.&#49888;&#54620;&#51008;&#54665;NPL-2009\01.Template\SH_templ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NPL\sample\KEB\DD_F(SL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uhan\Desktop\&#49340;&#51068;&#54924;&#44228;&#48277;&#51064;\Los%20&#46364;%20&#48708;&#51648;&#45768;&#49828;\&#50864;&#47532;&#51008;&#54665;%20NPL%20&#47588;&#44033;\12&#52264;%20&#47588;&#44033;\1.&#51068;&#51221;\&#51333;&#54633;_WRB_2012-12_1&#522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aewonlee1\AppData\Local\Microsoft\Windows\Temporary%20Internet%20Files\Content.Outlook\9BCKC585\&#49888;&#50857;&#47532;&#49828;&#53356;_&#49688;&#54801;\&#49888;&#50857;&#47532;&#49828;&#53356;&#54016;&#51204;&#50857;&#54260;&#45908;\&#49888;BIS\LHS_&#54868;&#47732;&#47112;&#51060;&#50500;&#50883;\&#54876;&#50857;_&#54868;&#47732;(&#47532;&#49828;&#53356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aewonlee1\AppData\Local\Microsoft\Windows\Temporary%20Internet%20Files\Content.Outlook\9BCKC585\&#44277;&#50976;\&#49352;%20&#54260;&#45908;\&#49457;&#50629;&#44277;&#49324;-&#49688;&#51221;\&#50864;&#49457;&#47784;&#5164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My%20Documents\01.Clients\01.&#50857;&#50669;\96.&#49888;&#54620;&#51008;&#54665;NPL-2009\01.Template\SH_Template_v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nts%20and%20Settings\yjeon\My%20Documents\Leadsheet%20standard%20forma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\&#49888;&#50857;\&#48512;&#46020;&#50984;&#44277;&#49884;\&#44552;&#44048;&#50896;%20&#49888;&#50857;&#54217;&#44032;&#49892;&#51201;&#49436;%20&#48512;&#46020;&#54217;&#51216;\2003&#45380;\2003&#45380;4&#48516;&#44592;\&#44368;&#54872;&#51088;&#47308;\kis_&#50976;&#54952;&#46321;&#44553;&#47532;&#49828;&#53944;_199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nr\LOCALS~1\Temp\cash.zip&#50640;%20&#45824;&#54620;%20&#51076;&#49884;%20&#46356;&#47113;&#53552;&#47532;%202\KEB&#52264;&#51452;&#44221;&#475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nts%20and%20Settings\user\My%20Documents\&#46160;&#47336;&#48393;\&#51088;&#49328;&#50976;&#46041;&#54868;\&#44208;&#49328;(2004&#45380;)\8&#50900;\6&#50900;\Derivatives_wp042Q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aewonlee1\AppData\Local\Microsoft\Windows\Temporary%20Internet%20Files\Content.Outlook\9BCKC585\&#44277;&#50976;\&#49352;%20&#54260;&#45908;\&#49457;&#50629;&#44277;&#49324;-&#49688;&#51221;\&#46041;&#49436;&#44032;&#4439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2;&#44256;&#51221;&#47532;&#44228;&#54925;&#51064;&#4403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&#45936;&#51060;&#53552;-D\2004&#45380;%20&#44208;&#49328;\200402\bs-pl\bs(&#48372;&#51221;&#54980;)04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woori\Local%20Settings\Temporary%20Internet%20Files\Content.IE5\4H2B8163\ABS\Abs11\&#52292;&#44428;&#47749;&#49464;\&#52572;&#51333;&#51088;&#47308;\WINDOWS\&#48148;&#53461;%20&#54868;&#47732;\&#54620;&#48731;\ABS10\draft\1107\&#44608;&#54616;&#49437;\NPL\&#54620;&#48731;NPL\ABS(1&#50900;)\&#49352;&#50577;&#49885;\Cashflow&#54032;(&#53945;&#48324;&#51064;&#44032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221;&#46041;&#54788;\&#50756;&#47308;\Pool%20A+B\1115\1114\1110\1104\1102\IBK%202016-6%20Program\ICA\1101\1031\IBK%202016-2\14.%20&#54217;&#44032;&#54032;\6.%20&#48708;&#44368;&#54364;\IBK%202016-2%20Program%20Valuation_v33(IBK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nts%20and%20Settings\Admin\Local%20Settings\Temporary%20Internet%20Files\Content.IE5\77XVFPRG\Data\2008.7.31%20300&#50948;%20&#44148;&#49444;&#49324;%20&#51649;&#44036;&#51217;%20&#52292;&#47924;%20&#54788;&#54889;(08.3%20&amp;5&#47568;)\&#44148;&#49444;&#49324;%20&#52292;&#44428;&#52292;&#47924;\0.%20&#52712;&#54633;\&#51204;&#52404;&#52712;&#54633;%203&#50900;&#4756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bogi.knbank.co.kr/My%20Documents/&#51088;&#49328;&#50976;&#46041;&#54868;/&#44221;&#51008;2&#52264;/&#45824;&#49345;&#51088;&#49328;&#50689;&#50629;&#51216;&#48324;/att000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DOCUME~1\aduser\LOCALS~1\Temp\notesE8DBF2\NH18&#52264;_valuation_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221;&#46041;&#54788;\&#50756;&#47308;\Pool%20A+B\1115\1114\1110\1104\1102\IBK%202016-6%20Program\ICA\1101\1031\IBK%202016-2\14.%20&#54217;&#44032;&#54032;\6.%20&#48708;&#44368;&#54364;\&#48260;&#47532;&#51648;&#47568;&#44163;\&#44608;&#51652;&#50864;\IBK%202015-2%20program\IBK_VALUATION_2014-2_V8_140529_POOL%20C_3&#52264;&#52572;&#51333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&#44592;&#50629;&#51008;&#54665;\1.&#47588;&#44033;\1.2.2013&#45380;%201&#48516;&#44592;%20&#47588;&#44033;\&#54924;&#49688;&#50696;&#49345;&#50529;&#51312;&#49324;&#49436;\MRP%20&#48372;&#44256;&#51088;&#47308;_2013%201Q%20&#50808;&#48512;&#47588;&#44032;_0227_v1.1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608;&#44592;&#54861;\&#52992;&#51060;&#48708;&#51228;&#44396;&#52264;(2007.6)\&#47588;&#44033;&#44592;&#54364;\&#44592;&#54364;&#45236;&#50669;&#51204;&#52404;(&#52992;&#51060;&#48708;&#51228;&#44396;&#52264;)(&#52572;&#51333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WINDOWS\TEMP\&#52292;&#44428;&#51116;&#51312;&#5122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hjung\Desktop\FAS\NPL&#44288;&#47144;\3.ABS&#49892;&#49324;\&#45453;&#54801;%2013-12%20ABS&#49892;&#49324;\&#51088;&#49328;&#49892;&#49324;&#48372;&#44256;&#49436;\&#48324;&#52392;\&#48372;&#54744;&#44032;&#51077;&#47749;&#49464;(&#49892;&#47749;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\Project\ABS\&#50808;&#54872;&#51008;&#54665;%20NPL\&#50808;&#54872;NPL%20ABS%2015&#52264;\ABS%20Valuation(Final)_&#44228;&#51340;&#48324;&#54217;&#44032;&#54252;&#54632;_113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youkyungsong\AppData\Local\Microsoft\Windows\Temporary%20Internet%20Files\Content.Outlook\X6PPK3MF\IBK%202011-5%20Program_2011.10.14_2&#52264;%20&#46321;&#48376;&#49892;&#49324;_v1_SHY(&#51228;&#52636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0_My%20Document\3HJS\NPL\Template&#50672;&#44396;\0329_NPLValuat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BS\Abs11\&#52292;&#44428;&#47749;&#49464;\&#52572;&#51333;&#51088;&#47308;\WINDOWS\&#48148;&#53461;%20&#54868;&#47732;\&#54620;&#48731;\ABS10\draft\1107\&#44608;&#54616;&#49437;\NPL\&#54620;&#48731;NPL\ABS(1&#50900;)\&#49352;&#50577;&#49885;\Cashflow&#54032;(&#53945;&#48324;&#51064;&#44032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ahn\AppData\Roaming\Microsoft\Excel\IBK%20Loan%20Valuation\100%25\IBK%202012-5%20Program_Pool%20A_Valuation_&#50504;&#49464;&#48124;_S007_&#51221;&#51652;&#49328;&#50629;_&#48120;&#51064;&#44032;_&#51228;&#526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Korean\1.%20&#49888;&#50857;&#44048;&#46021;\2.%20&#50629;&#51333;&#48324;%20&#44592;&#50629;&#50668;&#49888;%20&#46041;&#54693;\&#50629;&#51333;&#48324;%20&#44592;&#50629;&#50668;&#49888;%20&#46041;&#54693;(20071Q)\New%20Analysis\&#53952;&#51676;&#44592;\&#50629;&#51333;&#48324;&#50668;&#49888;&#54788;&#54889;(0707)RD%20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~1\admin\LOCALS~1\Temp\ztv5D\(11)&#47785;&#54364;&#44256;&#44061;(0711)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flow&#54032;(&#53945;&#48324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ABC_BANK\TEMP\&#48372;&#44256;&#50577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dministrator\Local%20Settings\Temporary%20Internet%20Files\Content.IE5\WPDQYIZV\&#54924;&#49324;&#51228;&#49884;&#52292;&#44428;&#47749;&#494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0.66\&#51221;&#49692;&#50689;&#48177;&#50629;\&#49888;&#53441;\&#50629;&#47924;&#48372;&#44256;&#49436;\&#50629;&#47924;&#48372;&#44256;&#494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&#49552;&#51061;&#51221;&#47532;\FY2001\FY2001\3&#50900;(&#44048;&#49324;&#54980;)\FY01_02&#49552;&#51061;(0203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&#49552;&#51061;&#51221;&#47532;\FY2002\7&#50900;\FY02_03&#49552;&#51061;(0207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688;&#51008;\&#51116;&#47924;&#44288;&#47532;&#48512;\&#49552;&#51061;&#51221;&#47532;\FY2002\8&#50900;\FY02_03&#49552;&#51061;(02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esr\Local%20Settings\Temp\_AZTMP1_\&#51312;&#49324;&#54364;&#51089;&#49457;&#51088;&#47308;\&#50864;&#47532;&#51008;&#54665;%202005&#45380;%201&#50900;%20&#44428;&#47532;&#48516;&#49437;\&#51008;&#54665;%20&#44592;&#52488;&#51088;&#47308;\&#47588;&#44033;&#47749;&#49464;050112(050113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My%20Documents\NPL\Template\_&#51060;&#51204;&#45824;&#49345;&#52264;&#51452;\&#51060;&#51204;_&#50892;&#53356;&#50500;&#50883;\&#49933;&#50857;&#51088;&#46041;-abs&#48156;&#5466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Documents%20and%20Settings\953276\Local%20Settings\Temporary%20Internet%20Files\OLK44\KDB%202004%20Program_Valuation_102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9548;&#49569;\&#50641;&#49472;&#51088;&#47308;\&#50629;&#47924;200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ABC_BANK\TEMP\&#48372;&#44256;&#50577;&#49885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nts%20and%20Settings\Admin\Local%20Settings\Temporary%20Internet%20Files\Content.IE5\77XVFPRG\Data\2008.9.11%20&#51008;&#54665;PF%20&#54788;&#54889;(2008.6&#47568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~1\admin\LOCALS~1\Temp\ztv5D\(07)&#49688;&#52636;&#51077;&#49892;&#51201;(0711)v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ujang\AppData\Local\Microsoft\Windows\Temporary%20Internet%20Files\Content.Outlook\9W5T4F10\&#53945;&#48324;&#52292;&#44428;%20&#54217;&#44032;&#45236;&#50669;\&#54924;&#49373;%20&#51221;&#50864;&#52384;%20&#51089;&#50629;\R-055%20&#50865;&#49457;&#44552;&#49549;-&#51068;&#48152;&#45812;&#48372;&#54217;&#44032;(&#44048;&#51221;&#44032;%20UP,%20&#48372;&#51613;&#49436;&#54217;&#44032;%20&#48152;&#50689;)\Template_Special_R-055_&#50865;&#49457;&#44552;&#49549;_1&#52264;&#50756;&#47308;.xlsm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ayoungjoo\&#48148;&#53461;&#54868;&#47732;\KB%202012-2\&#52280;&#44256;&#51088;&#47308;\1.&#50629;&#47924;\&#44397;&#48124;&#51008;&#54665;\KB%202011-2%20Program\5.Valuation\KB%202011-2%20Program_Valuation_Draft_V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24;&#48376;%20-%20Cashflow&#54032;(&#51068;&#48152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Documents%20and%20Settings\jiyoungchoi\My%20Documents\2.NPL\Woori%20SB\2005-2\2005-2%200214Data\2005-2%200212&#52712;&#54633;\&#50864;&#47532;&#51008;&#54665;%202005&#45380;%201&#50900;%20&#44428;&#47532;&#48516;&#49437;\&#51008;&#54665;%20&#44592;&#52488;&#51088;&#47308;\&#47588;&#44033;&#47749;&#49464;050112(050113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USER\AppData\Local\Temp\Documents%20and%20Settings\ADuser\Desktop\Project\7.&#49328;&#50629;&#51008;&#54665;_NPL\2.regular\4.&#54620;&#49828;&#54008;\&#54620;&#49828;&#5400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&#51648;&#51216;&#49552;&#51061;\&#49688;&#51061;(&#49688;&#49688;&#47308;)\&#51648;&#51216;&#48324;&#49688;&#51061;\200206\&#51221;&#47532;(0206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BS\Abs11\&#52292;&#44428;&#47749;&#49464;\&#52572;&#51333;&#51088;&#47308;\&#44608;&#54616;&#49437;\NPL\5.&#54620;&#48731;ABS_2001\ABS(1&#50900;,2001)\work\&#49352;&#50577;&#49885;\Cashflow&#54032;(&#53945;&#48324;&#51064;&#44032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woori\Local%20Settings\Temporary%20Internet%20Files\Content.IE5\89AFS5YN\&#52292;&#44428;&#47749;&#49464;_0412(2)_&#54924;&#49373;&#52292;&#444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29;&#47924;200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~1\admin\LOCALS~1\Temp\ztv5D\(06)&#52509;&#49688;&#49888;(0711)v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236;&#51089;&#50629;\Au_Project\CHOHUNG%20BANK\CHB%20ABS(2005_2&#52264;)\&#52572;&#51333;&#51089;&#50629;&#50857;\Data\&#54620;&#48120;&#51008;&#54665;\valuation\Valuation(0816)\Valuation_KORAM2001%20Program(0820)-2nd%20versio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BS\Abs11\&#52292;&#44428;&#47749;&#49464;\&#52572;&#51333;&#51088;&#47308;\HB\Valuation_1026\3_Cashflow&#54032;(&#44592;&#53440;)-102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7.%20IBK%202005%20Program\Data%20Disk_Master\&#50976;&#46041;&#54868;&#52292;&#44428;\&#45812;&#48372;&#47749;&#49464;\&#49892;&#49324;\Documents%20and%20Settings\jeanchung\My%20Documents\1_Projects\1_NPL\IBK%202005%20Program\Sample\&#44592;&#51008;&#49340;&#52264;%20%20ABS%20Program_valu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Property Type"/>
      <sheetName val="지역법원"/>
      <sheetName val="지지옥션 낙찰가율"/>
      <sheetName val="cdm"/>
      <sheetName val="GG(2016.06)"/>
      <sheetName val="Index"/>
      <sheetName val="Sheet1"/>
      <sheetName val="Sheet3"/>
      <sheetName val="채권일반정보"/>
      <sheetName val="HFI01C_AMP_아파트"/>
      <sheetName val="신용회복채권 가격배분표"/>
      <sheetName val="적용폐지율산정"/>
      <sheetName val="코드표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_Memo"/>
      <sheetName val="Borrower"/>
      <sheetName val="Guarantor"/>
      <sheetName val="SellingDebt"/>
      <sheetName val="SuspensePayments"/>
      <sheetName val="Property"/>
      <sheetName val="PropertyDetailed"/>
      <sheetName val="OurLien"/>
      <sheetName val="LienStructure"/>
      <sheetName val="X-3 ENG"/>
      <sheetName val="blocktime"/>
      <sheetName val="해외출자현황(원본틀)"/>
      <sheetName val="수입"/>
      <sheetName val="대차"/>
      <sheetName val="손익"/>
      <sheetName val="KUNGDEVI"/>
      <sheetName val="정리채권_확정"/>
      <sheetName val="점수계산1-2"/>
      <sheetName val="Sheet1"/>
      <sheetName val="LA(INVENTORY)"/>
      <sheetName val="Ⅱ1-0타"/>
      <sheetName val="조회서"/>
      <sheetName val="인근점포"/>
      <sheetName val="#REF"/>
      <sheetName val="Variables"/>
      <sheetName val="Mainmap"/>
      <sheetName val="main_map"/>
      <sheetName val="점별(추정)"/>
      <sheetName val="CashFlow(중간집계)"/>
      <sheetName val="적용환율"/>
      <sheetName val="CapMult"/>
      <sheetName val="Industry Indices"/>
      <sheetName val="시행_cash"/>
      <sheetName val="공정"/>
      <sheetName val="97년추정손익계산서"/>
      <sheetName val="영업일보"/>
      <sheetName val="FS"/>
      <sheetName val="공기"/>
      <sheetName val="일위대가"/>
      <sheetName val="Bank charge"/>
      <sheetName val="Bank_charge"/>
    </sheetNames>
    <sheetDataSet>
      <sheetData sheetId="0"/>
      <sheetData sheetId="1" refreshError="1">
        <row r="10">
          <cell r="B10">
            <v>201</v>
          </cell>
          <cell r="C10">
            <v>0</v>
          </cell>
          <cell r="D10" t="str">
            <v>신화건설(주)</v>
          </cell>
          <cell r="E10" t="str">
            <v>Shinwha construction co,.Ltd.</v>
          </cell>
        </row>
        <row r="11">
          <cell r="B11">
            <v>204</v>
          </cell>
          <cell r="C11">
            <v>0</v>
          </cell>
          <cell r="D11" t="str">
            <v>남양통상(주)</v>
          </cell>
          <cell r="E11" t="str">
            <v>Nam-yang Tongsang</v>
          </cell>
        </row>
        <row r="12">
          <cell r="B12">
            <v>206</v>
          </cell>
          <cell r="C12">
            <v>0</v>
          </cell>
          <cell r="D12" t="str">
            <v>(주)성문국제,윤여균</v>
          </cell>
          <cell r="E12" t="str">
            <v>Sung-mon Kuk-Je Co.</v>
          </cell>
        </row>
        <row r="13">
          <cell r="B13">
            <v>207</v>
          </cell>
          <cell r="C13">
            <v>0</v>
          </cell>
          <cell r="D13" t="str">
            <v>(주)오영앤씨</v>
          </cell>
          <cell r="E13" t="str">
            <v>O-Young  NC co,.Ltd.</v>
          </cell>
        </row>
        <row r="14">
          <cell r="B14">
            <v>209</v>
          </cell>
          <cell r="C14">
            <v>0</v>
          </cell>
          <cell r="D14" t="str">
            <v>(주)영창전기</v>
          </cell>
          <cell r="E14" t="str">
            <v>Youngchang electric co,.Ltd.</v>
          </cell>
        </row>
        <row r="15">
          <cell r="B15">
            <v>210</v>
          </cell>
          <cell r="C15">
            <v>0</v>
          </cell>
          <cell r="D15" t="str">
            <v>(주)삼전폴리머</v>
          </cell>
          <cell r="E15" t="str">
            <v>Samchun Polimer Co, Ltd.</v>
          </cell>
        </row>
        <row r="16">
          <cell r="B16">
            <v>211</v>
          </cell>
          <cell r="C16">
            <v>0</v>
          </cell>
          <cell r="D16" t="str">
            <v>희성철강</v>
          </cell>
          <cell r="E16" t="str">
            <v>Hee-Sung steel Co.</v>
          </cell>
        </row>
        <row r="17">
          <cell r="B17">
            <v>212</v>
          </cell>
          <cell r="C17">
            <v>0</v>
          </cell>
          <cell r="D17" t="str">
            <v>보양기술공영(주)</v>
          </cell>
          <cell r="E17" t="str">
            <v>Boyang Kisul Construction Co, Ltd.</v>
          </cell>
        </row>
        <row r="18">
          <cell r="B18">
            <v>213</v>
          </cell>
          <cell r="C18">
            <v>0</v>
          </cell>
          <cell r="D18" t="str">
            <v>(주)의연</v>
          </cell>
          <cell r="E18" t="str">
            <v>Ui-Yon Co.</v>
          </cell>
        </row>
        <row r="19">
          <cell r="B19">
            <v>214</v>
          </cell>
          <cell r="C19">
            <v>0</v>
          </cell>
          <cell r="D19" t="str">
            <v>아이지텔레콤(주)</v>
          </cell>
          <cell r="E19" t="str">
            <v xml:space="preserve"> IGTelecom Inc</v>
          </cell>
        </row>
        <row r="20">
          <cell r="B20">
            <v>215</v>
          </cell>
          <cell r="C20">
            <v>0</v>
          </cell>
          <cell r="D20" t="str">
            <v>광양종합기계(주)</v>
          </cell>
          <cell r="E20" t="str">
            <v xml:space="preserve">Kwangyang Diesel Engin Co., Ltd </v>
          </cell>
        </row>
        <row r="21">
          <cell r="B21">
            <v>216</v>
          </cell>
          <cell r="C21">
            <v>0</v>
          </cell>
          <cell r="D21" t="str">
            <v>(주)성도비젼</v>
          </cell>
          <cell r="E21" t="str">
            <v>Sungdo Vision Co, Ltd.</v>
          </cell>
        </row>
        <row r="22">
          <cell r="B22">
            <v>217</v>
          </cell>
          <cell r="C22">
            <v>0</v>
          </cell>
          <cell r="D22" t="str">
            <v>맥아통상</v>
          </cell>
          <cell r="E22" t="str">
            <v>Mac-a trading co.,Ltd.</v>
          </cell>
        </row>
        <row r="23">
          <cell r="B23">
            <v>218</v>
          </cell>
          <cell r="C23">
            <v>0</v>
          </cell>
          <cell r="D23" t="str">
            <v>체이스노블</v>
          </cell>
          <cell r="E23" t="str">
            <v>Chasenoble co.,Ltd.</v>
          </cell>
        </row>
        <row r="24">
          <cell r="B24">
            <v>219</v>
          </cell>
          <cell r="C24">
            <v>0</v>
          </cell>
          <cell r="D24" t="str">
            <v>대동전선(주)</v>
          </cell>
          <cell r="E24" t="str">
            <v>Daedong cheonsun co,.Ltd.</v>
          </cell>
        </row>
        <row r="25">
          <cell r="B25">
            <v>220</v>
          </cell>
          <cell r="C25">
            <v>0</v>
          </cell>
          <cell r="D25" t="str">
            <v>고려보일러</v>
          </cell>
          <cell r="E25" t="str">
            <v>Korea boiler co,.Ltd.</v>
          </cell>
        </row>
        <row r="26">
          <cell r="B26">
            <v>221</v>
          </cell>
          <cell r="C26">
            <v>0</v>
          </cell>
          <cell r="D26" t="str">
            <v>(주)신세기엔터프라이즈</v>
          </cell>
          <cell r="E26" t="str">
            <v>New century enterprise co,.Ltd.</v>
          </cell>
        </row>
        <row r="27">
          <cell r="B27">
            <v>222</v>
          </cell>
          <cell r="C27">
            <v>0</v>
          </cell>
          <cell r="D27" t="str">
            <v>(주)뷰티올,이영권</v>
          </cell>
          <cell r="E27" t="str">
            <v>Beautyol Co, Ltd.</v>
          </cell>
        </row>
        <row r="28">
          <cell r="B28">
            <v>223</v>
          </cell>
          <cell r="C28">
            <v>0</v>
          </cell>
          <cell r="D28" t="str">
            <v>(주)정오정보통신</v>
          </cell>
          <cell r="E28" t="str">
            <v>Jungoh Internaitonal co,.Ltd.</v>
          </cell>
        </row>
        <row r="29">
          <cell r="B29">
            <v>224</v>
          </cell>
          <cell r="C29">
            <v>0</v>
          </cell>
          <cell r="D29" t="str">
            <v>(주)광성신호</v>
          </cell>
          <cell r="E29" t="str">
            <v>Kwansung Shinho Co, Ltd</v>
          </cell>
        </row>
        <row r="30">
          <cell r="B30">
            <v>225</v>
          </cell>
          <cell r="C30">
            <v>0</v>
          </cell>
          <cell r="D30" t="str">
            <v>(주)우창</v>
          </cell>
          <cell r="E30" t="str">
            <v>Woochang co.,Ltd.</v>
          </cell>
        </row>
        <row r="31">
          <cell r="B31">
            <v>226</v>
          </cell>
          <cell r="C31">
            <v>0</v>
          </cell>
          <cell r="D31" t="str">
            <v>(주)뻬르띠에</v>
          </cell>
          <cell r="E31" t="str">
            <v>Pertier Co, Ltd.</v>
          </cell>
        </row>
        <row r="32">
          <cell r="B32">
            <v>227</v>
          </cell>
          <cell r="C32">
            <v>0</v>
          </cell>
          <cell r="D32" t="str">
            <v>(주)두산유리공업</v>
          </cell>
          <cell r="E32" t="str">
            <v>Doosan Glass</v>
          </cell>
        </row>
        <row r="33">
          <cell r="B33">
            <v>228</v>
          </cell>
          <cell r="C33">
            <v>0</v>
          </cell>
          <cell r="D33" t="str">
            <v>신종석(덕성기업사)</v>
          </cell>
          <cell r="E33" t="str">
            <v>Shin Jongsuck(Ducksung kiup)</v>
          </cell>
        </row>
        <row r="34">
          <cell r="B34">
            <v>229</v>
          </cell>
          <cell r="C34">
            <v>0</v>
          </cell>
          <cell r="D34" t="str">
            <v>글로벌랜딩(주)</v>
          </cell>
          <cell r="E34" t="str">
            <v>Global lending co,.Ltd.</v>
          </cell>
        </row>
        <row r="35">
          <cell r="B35">
            <v>230</v>
          </cell>
          <cell r="C35">
            <v>0</v>
          </cell>
          <cell r="D35" t="str">
            <v>장경숙(서원석재)</v>
          </cell>
          <cell r="E35" t="str">
            <v>Jang Kuyung Suk</v>
          </cell>
        </row>
        <row r="36">
          <cell r="B36">
            <v>232</v>
          </cell>
          <cell r="C36">
            <v>0</v>
          </cell>
          <cell r="D36" t="str">
            <v>세진해양엔지니어링</v>
          </cell>
          <cell r="E36" t="str">
            <v>Sejin Haeyang Engineering</v>
          </cell>
        </row>
        <row r="37">
          <cell r="B37">
            <v>233</v>
          </cell>
          <cell r="C37">
            <v>0</v>
          </cell>
          <cell r="D37" t="str">
            <v>오 건영-퍼스트 쵸이스</v>
          </cell>
          <cell r="E37" t="str">
            <v>Oh kyeun young</v>
          </cell>
        </row>
        <row r="38">
          <cell r="B38">
            <v>234</v>
          </cell>
          <cell r="C38">
            <v>0</v>
          </cell>
          <cell r="D38" t="str">
            <v>자연비료(주)</v>
          </cell>
          <cell r="E38" t="str">
            <v>Ja-yan Bi-ryo Co.</v>
          </cell>
        </row>
        <row r="39">
          <cell r="B39">
            <v>236</v>
          </cell>
          <cell r="C39">
            <v>0</v>
          </cell>
          <cell r="D39" t="str">
            <v>(주)전천후</v>
          </cell>
          <cell r="E39" t="str">
            <v>Junchunhu Co,Ltd.</v>
          </cell>
        </row>
        <row r="40">
          <cell r="B40">
            <v>237</v>
          </cell>
          <cell r="C40">
            <v>0</v>
          </cell>
          <cell r="D40" t="str">
            <v>벤처정보코리아(주)</v>
          </cell>
          <cell r="E40" t="str">
            <v>Venture information korea co.</v>
          </cell>
        </row>
        <row r="41">
          <cell r="B41">
            <v>238</v>
          </cell>
          <cell r="C41">
            <v>0</v>
          </cell>
          <cell r="D41" t="str">
            <v>문인숙</v>
          </cell>
          <cell r="E41" t="str">
            <v>Moon in-suk</v>
          </cell>
        </row>
        <row r="42">
          <cell r="B42">
            <v>239</v>
          </cell>
          <cell r="C42">
            <v>0</v>
          </cell>
          <cell r="D42" t="str">
            <v>정영수-글로발 테마플라자</v>
          </cell>
          <cell r="E42" t="str">
            <v>Jung youngsoo-Global theme plaza</v>
          </cell>
        </row>
        <row r="43">
          <cell r="B43">
            <v>240</v>
          </cell>
          <cell r="C43">
            <v>0</v>
          </cell>
          <cell r="D43" t="str">
            <v>두익에너지</v>
          </cell>
          <cell r="E43" t="str">
            <v>Dookik Energy Co, Ltd.</v>
          </cell>
        </row>
        <row r="44">
          <cell r="B44">
            <v>241</v>
          </cell>
          <cell r="C44">
            <v>0</v>
          </cell>
          <cell r="D44" t="str">
            <v>성산개발</v>
          </cell>
          <cell r="E44" t="str">
            <v>Sungsan development co,.Ltd.</v>
          </cell>
        </row>
        <row r="45">
          <cell r="B45">
            <v>242</v>
          </cell>
          <cell r="C45">
            <v>0</v>
          </cell>
          <cell r="D45" t="str">
            <v>인화진흥(주)</v>
          </cell>
          <cell r="E45" t="str">
            <v>Inhwa Jinhung Co, Ltd.</v>
          </cell>
        </row>
        <row r="46">
          <cell r="B46">
            <v>243</v>
          </cell>
          <cell r="C46">
            <v>0</v>
          </cell>
          <cell r="D46" t="str">
            <v>박창규</v>
          </cell>
          <cell r="E46" t="str">
            <v>Park changgyoo</v>
          </cell>
        </row>
        <row r="47">
          <cell r="B47">
            <v>244</v>
          </cell>
          <cell r="C47">
            <v>0</v>
          </cell>
          <cell r="D47" t="str">
            <v>(주)서북전자</v>
          </cell>
        </row>
        <row r="48">
          <cell r="B48">
            <v>245</v>
          </cell>
          <cell r="C48">
            <v>0</v>
          </cell>
          <cell r="D48" t="str">
            <v>고윤필</v>
          </cell>
        </row>
        <row r="49">
          <cell r="B49">
            <v>246</v>
          </cell>
          <cell r="C49">
            <v>0</v>
          </cell>
          <cell r="D49" t="str">
            <v>(주)현대전기통신</v>
          </cell>
        </row>
        <row r="50">
          <cell r="B50">
            <v>247</v>
          </cell>
          <cell r="C50">
            <v>0</v>
          </cell>
          <cell r="D50" t="str">
            <v>신영종합상사(주)</v>
          </cell>
          <cell r="E50" t="str">
            <v>Shin-young Co.</v>
          </cell>
        </row>
        <row r="51">
          <cell r="B51">
            <v>248</v>
          </cell>
          <cell r="C51">
            <v>0</v>
          </cell>
          <cell r="D51" t="str">
            <v>(주)보승</v>
          </cell>
          <cell r="E51" t="str">
            <v>Bo-seung Co.</v>
          </cell>
        </row>
        <row r="52">
          <cell r="B52">
            <v>250</v>
          </cell>
          <cell r="C52">
            <v>0</v>
          </cell>
          <cell r="D52" t="str">
            <v>자운엔지니어링(주)</v>
          </cell>
          <cell r="E52" t="str">
            <v>Ja-woon ENG Co.</v>
          </cell>
        </row>
        <row r="53">
          <cell r="B53">
            <v>251</v>
          </cell>
          <cell r="C53">
            <v>0</v>
          </cell>
          <cell r="D53" t="str">
            <v>(주)럭키제과</v>
          </cell>
        </row>
        <row r="54">
          <cell r="B54">
            <v>252</v>
          </cell>
          <cell r="C54">
            <v>0</v>
          </cell>
          <cell r="D54" t="str">
            <v>(주)에너지서포트</v>
          </cell>
        </row>
        <row r="55">
          <cell r="B55">
            <v>253</v>
          </cell>
          <cell r="C55">
            <v>0</v>
          </cell>
          <cell r="D55" t="str">
            <v>김남억</v>
          </cell>
        </row>
        <row r="56">
          <cell r="B56">
            <v>254</v>
          </cell>
          <cell r="C56">
            <v>0</v>
          </cell>
          <cell r="D56" t="str">
            <v>윤인상 (일인상사)</v>
          </cell>
        </row>
        <row r="57">
          <cell r="B57">
            <v>255</v>
          </cell>
          <cell r="C57">
            <v>0</v>
          </cell>
          <cell r="D57" t="str">
            <v>(주)대길</v>
          </cell>
        </row>
        <row r="58">
          <cell r="B58">
            <v>256</v>
          </cell>
          <cell r="C58">
            <v>0</v>
          </cell>
          <cell r="D58" t="str">
            <v>최경동</v>
          </cell>
        </row>
        <row r="59">
          <cell r="B59">
            <v>257</v>
          </cell>
          <cell r="C59">
            <v>0</v>
          </cell>
          <cell r="D59" t="str">
            <v>북아뜨리에</v>
          </cell>
        </row>
        <row r="60">
          <cell r="B60">
            <v>258</v>
          </cell>
          <cell r="C60">
            <v>0</v>
          </cell>
          <cell r="D60" t="str">
            <v>박주용</v>
          </cell>
        </row>
        <row r="61">
          <cell r="B61">
            <v>259</v>
          </cell>
          <cell r="C61">
            <v>0</v>
          </cell>
          <cell r="D61" t="str">
            <v>안상섭(하나전기)</v>
          </cell>
        </row>
        <row r="62">
          <cell r="B62">
            <v>260</v>
          </cell>
          <cell r="C62">
            <v>0</v>
          </cell>
          <cell r="D62" t="str">
            <v>(주)화남코리아</v>
          </cell>
        </row>
        <row r="63">
          <cell r="B63">
            <v>261</v>
          </cell>
          <cell r="C63">
            <v>0</v>
          </cell>
          <cell r="D63" t="str">
            <v>박권자(대성산업)</v>
          </cell>
        </row>
        <row r="64">
          <cell r="B64">
            <v>262</v>
          </cell>
          <cell r="C64">
            <v>0</v>
          </cell>
          <cell r="D64" t="str">
            <v>진일기업</v>
          </cell>
        </row>
        <row r="65">
          <cell r="B65">
            <v>263</v>
          </cell>
          <cell r="C65">
            <v>0</v>
          </cell>
          <cell r="D65" t="str">
            <v>일흥</v>
          </cell>
        </row>
        <row r="66">
          <cell r="B66">
            <v>264</v>
          </cell>
          <cell r="C66">
            <v>0</v>
          </cell>
          <cell r="D66" t="str">
            <v>안광식(남광판지)</v>
          </cell>
        </row>
        <row r="67">
          <cell r="B67">
            <v>265</v>
          </cell>
          <cell r="C67">
            <v>0</v>
          </cell>
          <cell r="D67" t="str">
            <v>비씨아이컨설팅</v>
          </cell>
        </row>
        <row r="68">
          <cell r="B68">
            <v>266</v>
          </cell>
          <cell r="C68">
            <v>0</v>
          </cell>
          <cell r="D68" t="str">
            <v>동보테크</v>
          </cell>
        </row>
        <row r="69">
          <cell r="B69">
            <v>267</v>
          </cell>
          <cell r="C69">
            <v>0</v>
          </cell>
          <cell r="D69" t="str">
            <v>대범산업</v>
          </cell>
        </row>
        <row r="70">
          <cell r="B70">
            <v>268</v>
          </cell>
          <cell r="C70">
            <v>0</v>
          </cell>
          <cell r="D70" t="str">
            <v>신흥시너지</v>
          </cell>
        </row>
        <row r="71">
          <cell r="B71">
            <v>269</v>
          </cell>
          <cell r="C71">
            <v>0</v>
          </cell>
          <cell r="D71" t="str">
            <v>문점례(문화상사)</v>
          </cell>
        </row>
        <row r="72">
          <cell r="B72">
            <v>270</v>
          </cell>
          <cell r="C72">
            <v>0</v>
          </cell>
          <cell r="D72" t="str">
            <v>윤석원(아펙스 코리아)</v>
          </cell>
        </row>
        <row r="73">
          <cell r="B73">
            <v>271</v>
          </cell>
          <cell r="C73">
            <v>0</v>
          </cell>
          <cell r="D73" t="str">
            <v>조은영</v>
          </cell>
        </row>
        <row r="74">
          <cell r="B74">
            <v>272</v>
          </cell>
          <cell r="C74">
            <v>0</v>
          </cell>
          <cell r="D74" t="str">
            <v>박현선</v>
          </cell>
        </row>
        <row r="75">
          <cell r="B75">
            <v>274</v>
          </cell>
          <cell r="C75">
            <v>0</v>
          </cell>
          <cell r="D75" t="str">
            <v>신기철</v>
          </cell>
        </row>
        <row r="76">
          <cell r="B76">
            <v>275</v>
          </cell>
          <cell r="C76">
            <v>0</v>
          </cell>
          <cell r="D76" t="str">
            <v>박환수(삼환플라스틱)</v>
          </cell>
        </row>
        <row r="77">
          <cell r="B77">
            <v>276</v>
          </cell>
          <cell r="C77">
            <v>0</v>
          </cell>
          <cell r="D77" t="str">
            <v>산시무역</v>
          </cell>
        </row>
        <row r="78">
          <cell r="B78">
            <v>277</v>
          </cell>
          <cell r="C78">
            <v>0</v>
          </cell>
          <cell r="D78" t="str">
            <v>현명수(모원레저)</v>
          </cell>
        </row>
        <row r="79">
          <cell r="B79">
            <v>279</v>
          </cell>
          <cell r="C79">
            <v>0</v>
          </cell>
          <cell r="D79" t="str">
            <v>최병철</v>
          </cell>
        </row>
        <row r="80">
          <cell r="B80">
            <v>280</v>
          </cell>
          <cell r="C80">
            <v>0</v>
          </cell>
          <cell r="D80" t="str">
            <v>(주) 신안엔터프라이즈</v>
          </cell>
        </row>
        <row r="81">
          <cell r="B81">
            <v>281</v>
          </cell>
          <cell r="C81">
            <v>0</v>
          </cell>
          <cell r="D81" t="str">
            <v>(주)진보합섬</v>
          </cell>
        </row>
        <row r="82">
          <cell r="B82">
            <v>282</v>
          </cell>
          <cell r="C82">
            <v>0</v>
          </cell>
          <cell r="D82" t="str">
            <v>정인구</v>
          </cell>
        </row>
        <row r="83">
          <cell r="B83">
            <v>283</v>
          </cell>
          <cell r="C83">
            <v>0</v>
          </cell>
          <cell r="D83" t="str">
            <v>김덕기</v>
          </cell>
        </row>
        <row r="84">
          <cell r="B84">
            <v>284</v>
          </cell>
          <cell r="C84">
            <v>0</v>
          </cell>
          <cell r="D84" t="str">
            <v>이경자(두리랑)</v>
          </cell>
        </row>
        <row r="85">
          <cell r="B85">
            <v>285</v>
          </cell>
          <cell r="C85">
            <v>0</v>
          </cell>
          <cell r="D85" t="str">
            <v>유니언항공(주)</v>
          </cell>
          <cell r="E85" t="str">
            <v>Union Air Co.</v>
          </cell>
        </row>
        <row r="86">
          <cell r="B86">
            <v>286</v>
          </cell>
          <cell r="C86">
            <v>0</v>
          </cell>
          <cell r="D86" t="str">
            <v>미주실업(주)</v>
          </cell>
          <cell r="E86" t="str">
            <v>Mi-joo Co.</v>
          </cell>
          <cell r="F86" t="str">
            <v>Workout</v>
          </cell>
        </row>
        <row r="87">
          <cell r="B87">
            <v>287</v>
          </cell>
          <cell r="C87">
            <v>0</v>
          </cell>
          <cell r="D87" t="str">
            <v>흥진건재(주)</v>
          </cell>
          <cell r="E87" t="str">
            <v>Hueng-jin Co.</v>
          </cell>
        </row>
        <row r="88">
          <cell r="B88">
            <v>288</v>
          </cell>
          <cell r="C88">
            <v>0</v>
          </cell>
          <cell r="D88" t="str">
            <v>김영미</v>
          </cell>
          <cell r="E88" t="str">
            <v>Kim, Young-mi</v>
          </cell>
        </row>
        <row r="89">
          <cell r="B89">
            <v>289</v>
          </cell>
          <cell r="C89">
            <v>0</v>
          </cell>
          <cell r="D89" t="str">
            <v>송해천</v>
          </cell>
          <cell r="E89" t="str">
            <v>Song, Hea-chun</v>
          </cell>
        </row>
        <row r="90">
          <cell r="B90">
            <v>290</v>
          </cell>
          <cell r="C90">
            <v>0</v>
          </cell>
          <cell r="D90" t="str">
            <v>신숙자</v>
          </cell>
          <cell r="E90" t="str">
            <v>Shin, Sook-ja</v>
          </cell>
        </row>
        <row r="91">
          <cell r="B91">
            <v>291</v>
          </cell>
          <cell r="C91">
            <v>0</v>
          </cell>
          <cell r="D91" t="str">
            <v>(주)에니마삼원</v>
          </cell>
          <cell r="E91" t="str">
            <v>Animasamwon Co.</v>
          </cell>
        </row>
        <row r="92">
          <cell r="B92">
            <v>292</v>
          </cell>
          <cell r="C92">
            <v>0</v>
          </cell>
          <cell r="D92" t="str">
            <v>삼부캐터링 이현진</v>
          </cell>
          <cell r="E92" t="str">
            <v>Samboo Catering Lee, Hyun-jin</v>
          </cell>
        </row>
        <row r="93">
          <cell r="B93">
            <v>293</v>
          </cell>
          <cell r="C93">
            <v>0</v>
          </cell>
          <cell r="D93" t="str">
            <v>정철희</v>
          </cell>
          <cell r="E93" t="str">
            <v>Jung,Chul-hee</v>
          </cell>
        </row>
        <row r="94">
          <cell r="B94">
            <v>294</v>
          </cell>
          <cell r="C94">
            <v>0</v>
          </cell>
          <cell r="D94" t="str">
            <v>김용일</v>
          </cell>
          <cell r="E94" t="str">
            <v>Kim, Yong-il</v>
          </cell>
        </row>
        <row r="95">
          <cell r="B95">
            <v>295</v>
          </cell>
          <cell r="C95">
            <v>0</v>
          </cell>
          <cell r="D95" t="str">
            <v>김양순</v>
          </cell>
          <cell r="E95" t="str">
            <v>Kim, Yang-soon</v>
          </cell>
        </row>
        <row r="96">
          <cell r="B96">
            <v>296</v>
          </cell>
          <cell r="C96">
            <v>0</v>
          </cell>
          <cell r="D96" t="str">
            <v>최종악</v>
          </cell>
          <cell r="E96" t="str">
            <v>Cho,Jong-ak</v>
          </cell>
        </row>
        <row r="97">
          <cell r="B97">
            <v>297</v>
          </cell>
          <cell r="C97">
            <v>0</v>
          </cell>
          <cell r="D97" t="str">
            <v>이희영</v>
          </cell>
          <cell r="E97" t="str">
            <v>Lee, Hee-young</v>
          </cell>
        </row>
        <row r="98">
          <cell r="B98">
            <v>298</v>
          </cell>
          <cell r="C98">
            <v>0</v>
          </cell>
          <cell r="D98" t="str">
            <v>문태섭</v>
          </cell>
          <cell r="E98" t="str">
            <v>Moon, Tea-sub</v>
          </cell>
        </row>
        <row r="99">
          <cell r="B99">
            <v>299</v>
          </cell>
          <cell r="C99">
            <v>0</v>
          </cell>
          <cell r="D99" t="str">
            <v>위드시스템</v>
          </cell>
          <cell r="E99" t="str">
            <v>With system Co.</v>
          </cell>
        </row>
        <row r="100">
          <cell r="B100">
            <v>300</v>
          </cell>
          <cell r="C100">
            <v>0</v>
          </cell>
          <cell r="D100" t="str">
            <v>김병호</v>
          </cell>
          <cell r="E100" t="str">
            <v>Kim, Byoung-ho</v>
          </cell>
        </row>
        <row r="101">
          <cell r="B101">
            <v>301</v>
          </cell>
          <cell r="C101">
            <v>0</v>
          </cell>
          <cell r="D101" t="str">
            <v>동서법랑(주)</v>
          </cell>
          <cell r="E101" t="str">
            <v>Dong-Suh Bub-rang Co.</v>
          </cell>
        </row>
        <row r="102">
          <cell r="B102">
            <v>302</v>
          </cell>
          <cell r="C102">
            <v>0</v>
          </cell>
          <cell r="D102" t="str">
            <v>서문동</v>
          </cell>
          <cell r="E102" t="str">
            <v>Suh, Moon-dong</v>
          </cell>
        </row>
        <row r="103">
          <cell r="B103">
            <v>303</v>
          </cell>
          <cell r="C103">
            <v>0</v>
          </cell>
          <cell r="D103" t="str">
            <v>배호진</v>
          </cell>
          <cell r="E103" t="str">
            <v>Bae, Ho-jin</v>
          </cell>
        </row>
        <row r="104">
          <cell r="B104">
            <v>304</v>
          </cell>
          <cell r="C104">
            <v>0</v>
          </cell>
          <cell r="D104" t="str">
            <v>박미순</v>
          </cell>
          <cell r="E104" t="str">
            <v>Park, Mi-soon</v>
          </cell>
        </row>
        <row r="105">
          <cell r="B105">
            <v>305</v>
          </cell>
          <cell r="C105">
            <v>0</v>
          </cell>
          <cell r="D105" t="str">
            <v>(주)매직스톤월드</v>
          </cell>
          <cell r="E105" t="str">
            <v>Magic Stone World Co.</v>
          </cell>
        </row>
        <row r="106">
          <cell r="B106">
            <v>306</v>
          </cell>
          <cell r="C106">
            <v>0</v>
          </cell>
          <cell r="D106" t="str">
            <v>서두현</v>
          </cell>
          <cell r="E106" t="str">
            <v>Suh, Doo-hyun</v>
          </cell>
        </row>
        <row r="107">
          <cell r="B107">
            <v>307</v>
          </cell>
          <cell r="C107">
            <v>0</v>
          </cell>
          <cell r="D107" t="str">
            <v>(주)썬파이</v>
          </cell>
          <cell r="E107" t="str">
            <v>Sun Pie Co.</v>
          </cell>
        </row>
        <row r="108">
          <cell r="B108">
            <v>308</v>
          </cell>
          <cell r="C108">
            <v>0</v>
          </cell>
          <cell r="D108" t="str">
            <v>박은옥</v>
          </cell>
          <cell r="E108" t="str">
            <v>Park, Eun-ok</v>
          </cell>
        </row>
        <row r="109">
          <cell r="B109">
            <v>309</v>
          </cell>
          <cell r="C109">
            <v>0</v>
          </cell>
          <cell r="D109" t="str">
            <v>홍명자</v>
          </cell>
          <cell r="E109" t="str">
            <v>Hong, Myoung-ja</v>
          </cell>
        </row>
        <row r="110">
          <cell r="B110">
            <v>311</v>
          </cell>
          <cell r="C110">
            <v>0</v>
          </cell>
          <cell r="D110" t="str">
            <v>김광용</v>
          </cell>
          <cell r="E110" t="str">
            <v>Kim, Kwang-yong</v>
          </cell>
        </row>
        <row r="111">
          <cell r="B111">
            <v>312</v>
          </cell>
          <cell r="C111">
            <v>0</v>
          </cell>
          <cell r="D111" t="str">
            <v>비.에프(주)</v>
          </cell>
          <cell r="E111" t="str">
            <v>B.F Co.</v>
          </cell>
        </row>
        <row r="112">
          <cell r="B112">
            <v>314</v>
          </cell>
          <cell r="C112">
            <v>0</v>
          </cell>
          <cell r="D112" t="str">
            <v>황남미</v>
          </cell>
          <cell r="E112" t="str">
            <v>Hwang, Nam-mi</v>
          </cell>
        </row>
        <row r="113">
          <cell r="B113">
            <v>315</v>
          </cell>
          <cell r="C113">
            <v>0</v>
          </cell>
          <cell r="D113" t="str">
            <v>선일마블(주)</v>
          </cell>
          <cell r="E113" t="str">
            <v>Sun-il Marble Co.</v>
          </cell>
        </row>
        <row r="114">
          <cell r="B114">
            <v>316</v>
          </cell>
          <cell r="C114">
            <v>0</v>
          </cell>
          <cell r="D114" t="str">
            <v>양완목</v>
          </cell>
          <cell r="E114" t="str">
            <v>Yang, Wan-mok</v>
          </cell>
        </row>
        <row r="115">
          <cell r="B115">
            <v>317</v>
          </cell>
          <cell r="C115">
            <v>0</v>
          </cell>
          <cell r="D115" t="str">
            <v>홍달유</v>
          </cell>
          <cell r="E115" t="str">
            <v>Hong, Dal-yoo</v>
          </cell>
        </row>
        <row r="116">
          <cell r="B116">
            <v>318</v>
          </cell>
          <cell r="C116">
            <v>0</v>
          </cell>
          <cell r="D116" t="str">
            <v>이인행</v>
          </cell>
          <cell r="E116" t="str">
            <v>Lee, In-Heang</v>
          </cell>
        </row>
        <row r="117">
          <cell r="B117">
            <v>319</v>
          </cell>
          <cell r="C117">
            <v>0</v>
          </cell>
          <cell r="D117" t="str">
            <v>이기호</v>
          </cell>
          <cell r="E117" t="str">
            <v>Lee, Ki-ho</v>
          </cell>
        </row>
        <row r="118">
          <cell r="B118">
            <v>320</v>
          </cell>
          <cell r="C118">
            <v>0</v>
          </cell>
          <cell r="D118" t="str">
            <v>(주)뉴욕제과</v>
          </cell>
          <cell r="E118" t="str">
            <v>New York Bakery Co.</v>
          </cell>
        </row>
        <row r="119">
          <cell r="B119">
            <v>321</v>
          </cell>
          <cell r="C119">
            <v>0</v>
          </cell>
          <cell r="D119" t="str">
            <v>이태창</v>
          </cell>
          <cell r="E119" t="str">
            <v>Lee-TaeChang</v>
          </cell>
        </row>
        <row r="120">
          <cell r="B120">
            <v>322</v>
          </cell>
          <cell r="C120">
            <v>0</v>
          </cell>
          <cell r="D120" t="str">
            <v>이정주</v>
          </cell>
          <cell r="E120" t="str">
            <v>Lee-JungJu</v>
          </cell>
        </row>
        <row r="121">
          <cell r="B121">
            <v>323</v>
          </cell>
          <cell r="C121">
            <v>0</v>
          </cell>
          <cell r="D121" t="str">
            <v>(주)일성산업안전</v>
          </cell>
        </row>
        <row r="122">
          <cell r="B122">
            <v>324</v>
          </cell>
          <cell r="C122">
            <v>0</v>
          </cell>
          <cell r="D122" t="str">
            <v>(주)신어패럴</v>
          </cell>
        </row>
        <row r="123">
          <cell r="B123">
            <v>325</v>
          </cell>
          <cell r="C123">
            <v>0</v>
          </cell>
          <cell r="D123" t="str">
            <v>현성전기상사-엄기성</v>
          </cell>
        </row>
        <row r="124">
          <cell r="B124">
            <v>326</v>
          </cell>
          <cell r="C124">
            <v>0</v>
          </cell>
          <cell r="D124" t="str">
            <v>광진상사-홍사선</v>
          </cell>
          <cell r="E124" t="str">
            <v>Hong-SaSun</v>
          </cell>
        </row>
        <row r="125">
          <cell r="B125">
            <v>327</v>
          </cell>
          <cell r="C125">
            <v>0</v>
          </cell>
          <cell r="D125" t="str">
            <v>양우식</v>
          </cell>
          <cell r="E125" t="str">
            <v>Yang-WooSick</v>
          </cell>
        </row>
        <row r="126">
          <cell r="B126">
            <v>328</v>
          </cell>
          <cell r="C126">
            <v>0</v>
          </cell>
          <cell r="D126" t="str">
            <v>이상복</v>
          </cell>
          <cell r="E126" t="str">
            <v>Lee-SangBok</v>
          </cell>
        </row>
        <row r="127">
          <cell r="B127">
            <v>329</v>
          </cell>
          <cell r="C127">
            <v>0</v>
          </cell>
          <cell r="D127" t="str">
            <v>보령석재-윤남선</v>
          </cell>
          <cell r="E127" t="str">
            <v>Yun-NamSun</v>
          </cell>
        </row>
        <row r="128">
          <cell r="B128">
            <v>330</v>
          </cell>
          <cell r="C128">
            <v>0</v>
          </cell>
          <cell r="D128" t="str">
            <v>김재우</v>
          </cell>
          <cell r="E128" t="str">
            <v>Kim-JaeWoo</v>
          </cell>
        </row>
        <row r="129">
          <cell r="B129">
            <v>331</v>
          </cell>
          <cell r="C129">
            <v>0</v>
          </cell>
          <cell r="D129" t="str">
            <v>죠디아클럽-최은희</v>
          </cell>
          <cell r="E129" t="str">
            <v>Choi-EunHee</v>
          </cell>
        </row>
        <row r="130">
          <cell r="B130">
            <v>332</v>
          </cell>
          <cell r="C130">
            <v>0</v>
          </cell>
          <cell r="D130" t="str">
            <v>정하근</v>
          </cell>
          <cell r="E130" t="str">
            <v>Jung-HaKun</v>
          </cell>
        </row>
        <row r="131">
          <cell r="B131">
            <v>333</v>
          </cell>
          <cell r="C131">
            <v>0</v>
          </cell>
          <cell r="D131" t="str">
            <v>정춘기</v>
          </cell>
          <cell r="E131" t="str">
            <v>Jung-ChunKi</v>
          </cell>
        </row>
        <row r="132">
          <cell r="B132">
            <v>334</v>
          </cell>
          <cell r="C132">
            <v>0</v>
          </cell>
          <cell r="D132" t="str">
            <v>인창하이츠빌라일동-문병래</v>
          </cell>
          <cell r="E132" t="str">
            <v>Moon-ByungLae</v>
          </cell>
        </row>
        <row r="133">
          <cell r="B133">
            <v>335</v>
          </cell>
          <cell r="C133">
            <v>0</v>
          </cell>
          <cell r="D133" t="str">
            <v>(주)준왕산업</v>
          </cell>
        </row>
        <row r="134">
          <cell r="B134">
            <v>336</v>
          </cell>
          <cell r="C134">
            <v>0</v>
          </cell>
          <cell r="D134" t="str">
            <v>소합기업-최남정</v>
          </cell>
          <cell r="E134" t="str">
            <v>Choi-NamJung</v>
          </cell>
        </row>
        <row r="135">
          <cell r="B135">
            <v>337</v>
          </cell>
          <cell r="C135">
            <v>0</v>
          </cell>
          <cell r="D135" t="str">
            <v>청운어학학원-성진모</v>
          </cell>
          <cell r="E135" t="str">
            <v>Seong-JinMo</v>
          </cell>
        </row>
        <row r="136">
          <cell r="B136">
            <v>338</v>
          </cell>
          <cell r="C136">
            <v>0</v>
          </cell>
          <cell r="D136" t="str">
            <v>아흐바루-이순옥</v>
          </cell>
          <cell r="E136" t="str">
            <v>Lee-SunOak</v>
          </cell>
        </row>
        <row r="137">
          <cell r="B137">
            <v>339</v>
          </cell>
          <cell r="C137">
            <v>0</v>
          </cell>
          <cell r="D137" t="str">
            <v>(주)대양공업</v>
          </cell>
        </row>
        <row r="138">
          <cell r="B138">
            <v>340</v>
          </cell>
          <cell r="C138">
            <v>0</v>
          </cell>
          <cell r="D138" t="str">
            <v>(주)대한로재</v>
          </cell>
        </row>
        <row r="139">
          <cell r="B139">
            <v>342</v>
          </cell>
          <cell r="C139">
            <v>0</v>
          </cell>
          <cell r="D139" t="str">
            <v>한영엠앤드아이</v>
          </cell>
        </row>
        <row r="140">
          <cell r="B140">
            <v>343</v>
          </cell>
          <cell r="C140">
            <v>0</v>
          </cell>
          <cell r="D140" t="str">
            <v>신윤식</v>
          </cell>
        </row>
        <row r="141">
          <cell r="B141">
            <v>344</v>
          </cell>
          <cell r="C141">
            <v>0</v>
          </cell>
          <cell r="D141" t="str">
            <v>강명순</v>
          </cell>
        </row>
        <row r="142">
          <cell r="B142">
            <v>345</v>
          </cell>
          <cell r="C142">
            <v>0</v>
          </cell>
          <cell r="D142" t="str">
            <v>장규만</v>
          </cell>
        </row>
        <row r="143">
          <cell r="B143">
            <v>346</v>
          </cell>
          <cell r="C143">
            <v>0</v>
          </cell>
          <cell r="D143" t="str">
            <v>클래식시네마오즈</v>
          </cell>
        </row>
        <row r="144">
          <cell r="B144">
            <v>347</v>
          </cell>
          <cell r="C144">
            <v>0</v>
          </cell>
          <cell r="D144" t="str">
            <v>조관호</v>
          </cell>
        </row>
        <row r="145">
          <cell r="B145">
            <v>348</v>
          </cell>
          <cell r="C145">
            <v>0</v>
          </cell>
          <cell r="D145" t="str">
            <v>조현수</v>
          </cell>
          <cell r="E145" t="str">
            <v>Cho, hyun shu</v>
          </cell>
        </row>
        <row r="146">
          <cell r="B146">
            <v>349</v>
          </cell>
          <cell r="C146">
            <v>0</v>
          </cell>
          <cell r="D146" t="str">
            <v>송정환</v>
          </cell>
          <cell r="E146" t="str">
            <v>Song, sung han</v>
          </cell>
        </row>
        <row r="147">
          <cell r="B147">
            <v>350</v>
          </cell>
          <cell r="C147">
            <v>0</v>
          </cell>
          <cell r="D147" t="str">
            <v>이흥석-이성전기</v>
          </cell>
          <cell r="E147" t="str">
            <v>Lee, hung suk</v>
          </cell>
        </row>
        <row r="148">
          <cell r="B148">
            <v>351</v>
          </cell>
          <cell r="C148">
            <v>0</v>
          </cell>
          <cell r="D148" t="str">
            <v>본가설렁탕-안춘자</v>
          </cell>
          <cell r="E148" t="str">
            <v>Ahn-ChunJa</v>
          </cell>
        </row>
        <row r="149">
          <cell r="B149">
            <v>352</v>
          </cell>
          <cell r="C149">
            <v>0</v>
          </cell>
          <cell r="D149" t="str">
            <v>서울통신-유재훈</v>
          </cell>
          <cell r="E149" t="str">
            <v>Yu-JaeHun</v>
          </cell>
        </row>
        <row r="150">
          <cell r="B150">
            <v>353</v>
          </cell>
          <cell r="C150">
            <v>0</v>
          </cell>
          <cell r="D150" t="str">
            <v>정락희</v>
          </cell>
          <cell r="E150" t="str">
            <v>Jung-RakHee</v>
          </cell>
        </row>
        <row r="151">
          <cell r="B151">
            <v>354</v>
          </cell>
          <cell r="C151">
            <v>0</v>
          </cell>
          <cell r="D151" t="str">
            <v>(주)열린마음</v>
          </cell>
        </row>
        <row r="152">
          <cell r="B152">
            <v>355</v>
          </cell>
          <cell r="C152">
            <v>0</v>
          </cell>
          <cell r="D152" t="str">
            <v>(주)에스피시</v>
          </cell>
        </row>
        <row r="153">
          <cell r="B153">
            <v>356</v>
          </cell>
          <cell r="C153">
            <v>0</v>
          </cell>
          <cell r="D153" t="str">
            <v>태림조경산업</v>
          </cell>
        </row>
        <row r="154">
          <cell r="B154">
            <v>357</v>
          </cell>
          <cell r="C154">
            <v>0</v>
          </cell>
          <cell r="D154" t="str">
            <v>최재웅</v>
          </cell>
          <cell r="E154" t="str">
            <v>Choi-JaeWoong</v>
          </cell>
        </row>
        <row r="155">
          <cell r="B155">
            <v>358</v>
          </cell>
          <cell r="C155">
            <v>0</v>
          </cell>
          <cell r="D155" t="str">
            <v>두영전산시스템</v>
          </cell>
        </row>
        <row r="156">
          <cell r="B156">
            <v>359</v>
          </cell>
          <cell r="C156">
            <v>0</v>
          </cell>
          <cell r="D156" t="str">
            <v>서광순</v>
          </cell>
          <cell r="E156" t="str">
            <v>Seo-KwangSoon</v>
          </cell>
        </row>
        <row r="157">
          <cell r="B157">
            <v>360</v>
          </cell>
          <cell r="C157">
            <v>0</v>
          </cell>
          <cell r="D157" t="str">
            <v>(주)대봉아트</v>
          </cell>
        </row>
        <row r="158">
          <cell r="B158">
            <v>361</v>
          </cell>
          <cell r="C158">
            <v>0</v>
          </cell>
          <cell r="D158" t="str">
            <v>오정균</v>
          </cell>
          <cell r="E158" t="str">
            <v>Oh-JungGun</v>
          </cell>
        </row>
        <row r="159">
          <cell r="B159">
            <v>362</v>
          </cell>
          <cell r="C159">
            <v>0</v>
          </cell>
          <cell r="D159" t="str">
            <v>세일전기조명-이진섭</v>
          </cell>
        </row>
        <row r="160">
          <cell r="B160">
            <v>363</v>
          </cell>
          <cell r="C160">
            <v>0</v>
          </cell>
          <cell r="D160" t="str">
            <v>선진시스템-이진섭</v>
          </cell>
          <cell r="E160" t="str">
            <v>Lee-JinSeup</v>
          </cell>
        </row>
        <row r="161">
          <cell r="B161">
            <v>364</v>
          </cell>
          <cell r="C161">
            <v>0</v>
          </cell>
          <cell r="D161" t="str">
            <v>윤병석</v>
          </cell>
        </row>
        <row r="162">
          <cell r="B162">
            <v>365</v>
          </cell>
          <cell r="C162">
            <v>0</v>
          </cell>
          <cell r="D162" t="str">
            <v>정동주</v>
          </cell>
          <cell r="E162" t="str">
            <v>Jung-DongJu</v>
          </cell>
        </row>
        <row r="163">
          <cell r="B163">
            <v>366</v>
          </cell>
          <cell r="C163">
            <v>0</v>
          </cell>
          <cell r="D163" t="str">
            <v>손명순</v>
          </cell>
          <cell r="E163" t="str">
            <v>Son-MyungSun</v>
          </cell>
        </row>
        <row r="164">
          <cell r="B164">
            <v>367</v>
          </cell>
          <cell r="C164">
            <v>0</v>
          </cell>
          <cell r="D164" t="str">
            <v>장계희</v>
          </cell>
          <cell r="E164" t="str">
            <v>Jang-KeiHee</v>
          </cell>
        </row>
        <row r="165">
          <cell r="B165">
            <v>368</v>
          </cell>
          <cell r="C165">
            <v>0</v>
          </cell>
          <cell r="D165" t="str">
            <v>성광체인 권선수퍼 박상구</v>
          </cell>
          <cell r="E165" t="str">
            <v>Park-SangGu</v>
          </cell>
        </row>
        <row r="166">
          <cell r="B166">
            <v>369</v>
          </cell>
          <cell r="C166">
            <v>0</v>
          </cell>
          <cell r="D166" t="str">
            <v>심승욱</v>
          </cell>
          <cell r="E166" t="str">
            <v>Shim-SungWook</v>
          </cell>
        </row>
        <row r="167">
          <cell r="B167">
            <v>370</v>
          </cell>
          <cell r="C167">
            <v>0</v>
          </cell>
          <cell r="D167" t="str">
            <v>세원산업-김세영</v>
          </cell>
          <cell r="E167" t="str">
            <v>Kim-SaeYoung</v>
          </cell>
        </row>
        <row r="168">
          <cell r="B168">
            <v>371</v>
          </cell>
          <cell r="C168">
            <v>0</v>
          </cell>
          <cell r="D168" t="str">
            <v>이정민</v>
          </cell>
        </row>
        <row r="169">
          <cell r="B169">
            <v>372</v>
          </cell>
          <cell r="C169">
            <v>0</v>
          </cell>
          <cell r="D169" t="str">
            <v>성기표</v>
          </cell>
        </row>
        <row r="170">
          <cell r="B170">
            <v>373</v>
          </cell>
          <cell r="C170">
            <v>0</v>
          </cell>
          <cell r="D170" t="str">
            <v>정낙현</v>
          </cell>
        </row>
        <row r="171">
          <cell r="B171">
            <v>374</v>
          </cell>
          <cell r="C171">
            <v>0</v>
          </cell>
          <cell r="D171" t="str">
            <v>공효숙</v>
          </cell>
        </row>
        <row r="172">
          <cell r="B172">
            <v>375</v>
          </cell>
          <cell r="C172">
            <v>0</v>
          </cell>
          <cell r="D172" t="str">
            <v>민대복</v>
          </cell>
        </row>
        <row r="173">
          <cell r="B173">
            <v>376</v>
          </cell>
          <cell r="C173">
            <v>0</v>
          </cell>
          <cell r="D173" t="str">
            <v>황미숙</v>
          </cell>
        </row>
        <row r="174">
          <cell r="B174">
            <v>377</v>
          </cell>
          <cell r="C174">
            <v>0</v>
          </cell>
          <cell r="D174" t="str">
            <v>신행웅</v>
          </cell>
        </row>
        <row r="175">
          <cell r="B175">
            <v>378</v>
          </cell>
          <cell r="C175">
            <v>0</v>
          </cell>
          <cell r="D175" t="str">
            <v>(주)대양비지네스</v>
          </cell>
          <cell r="E175" t="str">
            <v>DaeYang Business Co., Ltd.</v>
          </cell>
        </row>
        <row r="176">
          <cell r="B176">
            <v>379</v>
          </cell>
          <cell r="C176">
            <v>0</v>
          </cell>
          <cell r="D176" t="str">
            <v>김기모</v>
          </cell>
        </row>
        <row r="177">
          <cell r="B177">
            <v>380</v>
          </cell>
          <cell r="C177">
            <v>0</v>
          </cell>
          <cell r="D177" t="str">
            <v>김영훈</v>
          </cell>
        </row>
        <row r="178">
          <cell r="B178">
            <v>381</v>
          </cell>
          <cell r="C178">
            <v>0</v>
          </cell>
          <cell r="D178" t="str">
            <v>(주)남성상재</v>
          </cell>
        </row>
        <row r="179">
          <cell r="B179">
            <v>382</v>
          </cell>
          <cell r="C179">
            <v>0</v>
          </cell>
          <cell r="D179" t="str">
            <v>대성냉장식품(주)</v>
          </cell>
        </row>
        <row r="180">
          <cell r="B180">
            <v>383</v>
          </cell>
          <cell r="C180">
            <v>0</v>
          </cell>
          <cell r="D180" t="str">
            <v>대대산업개발(주)</v>
          </cell>
        </row>
        <row r="181">
          <cell r="B181">
            <v>384</v>
          </cell>
          <cell r="C181">
            <v>0</v>
          </cell>
          <cell r="D181" t="str">
            <v>이영희</v>
          </cell>
        </row>
        <row r="182">
          <cell r="B182">
            <v>385</v>
          </cell>
          <cell r="C182">
            <v>0</v>
          </cell>
          <cell r="D182" t="str">
            <v>장호순</v>
          </cell>
        </row>
        <row r="183">
          <cell r="B183">
            <v>386</v>
          </cell>
          <cell r="C183">
            <v>0</v>
          </cell>
          <cell r="D183" t="str">
            <v>이정남</v>
          </cell>
        </row>
        <row r="184">
          <cell r="B184">
            <v>387</v>
          </cell>
          <cell r="C184">
            <v>0</v>
          </cell>
          <cell r="D184" t="str">
            <v>심능섭</v>
          </cell>
        </row>
        <row r="185">
          <cell r="B185">
            <v>388</v>
          </cell>
          <cell r="C185">
            <v>0</v>
          </cell>
          <cell r="D185" t="str">
            <v>이계주</v>
          </cell>
        </row>
        <row r="186">
          <cell r="B186">
            <v>389</v>
          </cell>
          <cell r="C186">
            <v>0</v>
          </cell>
          <cell r="D186" t="str">
            <v>김군일</v>
          </cell>
        </row>
        <row r="187">
          <cell r="B187">
            <v>391</v>
          </cell>
          <cell r="C187">
            <v>0</v>
          </cell>
          <cell r="D187" t="str">
            <v>박숙정</v>
          </cell>
        </row>
        <row r="188">
          <cell r="B188">
            <v>392</v>
          </cell>
          <cell r="C188">
            <v>0</v>
          </cell>
          <cell r="D188" t="str">
            <v>박진석</v>
          </cell>
        </row>
        <row r="189">
          <cell r="B189">
            <v>393</v>
          </cell>
          <cell r="C189">
            <v>0</v>
          </cell>
          <cell r="D189" t="str">
            <v>박순분</v>
          </cell>
        </row>
        <row r="190">
          <cell r="B190">
            <v>394</v>
          </cell>
          <cell r="C190">
            <v>0</v>
          </cell>
          <cell r="D190" t="str">
            <v>아람정공(주)</v>
          </cell>
        </row>
        <row r="191">
          <cell r="B191">
            <v>395</v>
          </cell>
          <cell r="C191">
            <v>0</v>
          </cell>
          <cell r="D191" t="str">
            <v>대유토건(주)</v>
          </cell>
        </row>
        <row r="192">
          <cell r="B192">
            <v>396</v>
          </cell>
          <cell r="C192">
            <v>0</v>
          </cell>
          <cell r="D192" t="str">
            <v>심성택</v>
          </cell>
        </row>
        <row r="193">
          <cell r="B193">
            <v>397</v>
          </cell>
          <cell r="C193">
            <v>0</v>
          </cell>
          <cell r="D193" t="str">
            <v>한창유통 윤숙</v>
          </cell>
        </row>
        <row r="194">
          <cell r="B194">
            <v>398</v>
          </cell>
          <cell r="C194">
            <v>0</v>
          </cell>
          <cell r="D194" t="str">
            <v>박문주</v>
          </cell>
        </row>
        <row r="195">
          <cell r="B195">
            <v>399</v>
          </cell>
          <cell r="C195">
            <v>0</v>
          </cell>
          <cell r="D195" t="str">
            <v>임상호</v>
          </cell>
        </row>
        <row r="196">
          <cell r="B196">
            <v>400</v>
          </cell>
          <cell r="C196">
            <v>0</v>
          </cell>
          <cell r="D196" t="str">
            <v>장명숙</v>
          </cell>
        </row>
        <row r="197">
          <cell r="B197">
            <v>401</v>
          </cell>
          <cell r="C197">
            <v>0</v>
          </cell>
          <cell r="D197" t="str">
            <v>이광재</v>
          </cell>
        </row>
        <row r="198">
          <cell r="B198">
            <v>402</v>
          </cell>
          <cell r="C198">
            <v>0</v>
          </cell>
          <cell r="D198" t="str">
            <v>(주)리주서키트</v>
          </cell>
        </row>
        <row r="199">
          <cell r="B199">
            <v>403</v>
          </cell>
          <cell r="C199">
            <v>0</v>
          </cell>
          <cell r="D199" t="str">
            <v>오성환</v>
          </cell>
        </row>
        <row r="200">
          <cell r="B200">
            <v>404</v>
          </cell>
          <cell r="C200">
            <v>0</v>
          </cell>
          <cell r="D200" t="str">
            <v>신완순</v>
          </cell>
        </row>
        <row r="201">
          <cell r="B201">
            <v>405</v>
          </cell>
          <cell r="C201">
            <v>0</v>
          </cell>
          <cell r="D201" t="str">
            <v>조병화</v>
          </cell>
        </row>
        <row r="202">
          <cell r="B202">
            <v>406</v>
          </cell>
          <cell r="C202">
            <v>0</v>
          </cell>
          <cell r="D202" t="str">
            <v>이미순</v>
          </cell>
        </row>
        <row r="203">
          <cell r="B203">
            <v>407</v>
          </cell>
          <cell r="C203">
            <v>0</v>
          </cell>
          <cell r="D203" t="str">
            <v>강대혁</v>
          </cell>
        </row>
        <row r="204">
          <cell r="B204">
            <v>408</v>
          </cell>
          <cell r="C204">
            <v>0</v>
          </cell>
          <cell r="D204" t="str">
            <v>이성이</v>
          </cell>
        </row>
        <row r="205">
          <cell r="B205">
            <v>409</v>
          </cell>
          <cell r="C205">
            <v>0</v>
          </cell>
          <cell r="D205" t="str">
            <v>김혁</v>
          </cell>
        </row>
        <row r="206">
          <cell r="B206">
            <v>410</v>
          </cell>
          <cell r="C206">
            <v>0</v>
          </cell>
          <cell r="D206" t="str">
            <v>최윤기</v>
          </cell>
        </row>
        <row r="207">
          <cell r="B207">
            <v>412</v>
          </cell>
          <cell r="C207">
            <v>0</v>
          </cell>
          <cell r="D207" t="str">
            <v>젤로존(주)</v>
          </cell>
        </row>
        <row r="208">
          <cell r="B208">
            <v>413</v>
          </cell>
          <cell r="C208">
            <v>0</v>
          </cell>
          <cell r="D208" t="str">
            <v>임정순</v>
          </cell>
        </row>
        <row r="209">
          <cell r="B209">
            <v>414</v>
          </cell>
          <cell r="C209">
            <v>0</v>
          </cell>
          <cell r="D209" t="str">
            <v>장동훈</v>
          </cell>
        </row>
        <row r="210">
          <cell r="B210">
            <v>415</v>
          </cell>
          <cell r="C210">
            <v>0</v>
          </cell>
          <cell r="D210" t="str">
            <v>동산건철 오호진</v>
          </cell>
        </row>
        <row r="211">
          <cell r="B211">
            <v>416</v>
          </cell>
          <cell r="C211">
            <v>0</v>
          </cell>
          <cell r="D211" t="str">
            <v>(주)제프코럴 구 승환물산(주)</v>
          </cell>
        </row>
        <row r="212">
          <cell r="B212">
            <v>417</v>
          </cell>
          <cell r="C212">
            <v>0</v>
          </cell>
          <cell r="D212" t="str">
            <v>박동린</v>
          </cell>
        </row>
        <row r="213">
          <cell r="B213">
            <v>418</v>
          </cell>
          <cell r="C213">
            <v>0</v>
          </cell>
          <cell r="D213" t="str">
            <v>명병주</v>
          </cell>
        </row>
        <row r="214">
          <cell r="B214">
            <v>419</v>
          </cell>
          <cell r="C214">
            <v>0</v>
          </cell>
          <cell r="D214" t="str">
            <v>전일복</v>
          </cell>
        </row>
        <row r="215">
          <cell r="B215">
            <v>420</v>
          </cell>
          <cell r="C215">
            <v>0</v>
          </cell>
          <cell r="D215" t="str">
            <v>조연일</v>
          </cell>
        </row>
        <row r="216">
          <cell r="B216">
            <v>421</v>
          </cell>
          <cell r="C216">
            <v>0</v>
          </cell>
          <cell r="D216" t="str">
            <v>백남우</v>
          </cell>
        </row>
        <row r="217">
          <cell r="B217">
            <v>422</v>
          </cell>
          <cell r="C217">
            <v>0</v>
          </cell>
          <cell r="D217" t="str">
            <v>김동원</v>
          </cell>
        </row>
        <row r="218">
          <cell r="B218">
            <v>423</v>
          </cell>
          <cell r="C218">
            <v>0</v>
          </cell>
          <cell r="D218" t="str">
            <v>우일필름(주)</v>
          </cell>
        </row>
        <row r="219">
          <cell r="B219">
            <v>424</v>
          </cell>
          <cell r="C219">
            <v>0</v>
          </cell>
          <cell r="D219" t="str">
            <v>함은재</v>
          </cell>
        </row>
        <row r="220">
          <cell r="B220">
            <v>425</v>
          </cell>
          <cell r="C220">
            <v>0</v>
          </cell>
          <cell r="D220" t="str">
            <v>이선행</v>
          </cell>
        </row>
        <row r="221">
          <cell r="B221">
            <v>426</v>
          </cell>
          <cell r="C221">
            <v>0</v>
          </cell>
          <cell r="D221" t="str">
            <v>이경이</v>
          </cell>
        </row>
        <row r="222">
          <cell r="B222">
            <v>427</v>
          </cell>
          <cell r="C222">
            <v>0</v>
          </cell>
          <cell r="D222" t="str">
            <v>송근자</v>
          </cell>
        </row>
        <row r="223">
          <cell r="B223">
            <v>428</v>
          </cell>
          <cell r="C223">
            <v>0</v>
          </cell>
          <cell r="D223" t="str">
            <v>홍성진-성진기공</v>
          </cell>
        </row>
        <row r="224">
          <cell r="B224">
            <v>429</v>
          </cell>
          <cell r="C224">
            <v>0</v>
          </cell>
          <cell r="D224" t="str">
            <v>강미숙</v>
          </cell>
        </row>
        <row r="225">
          <cell r="B225">
            <v>430</v>
          </cell>
          <cell r="C225">
            <v>0</v>
          </cell>
          <cell r="D225" t="str">
            <v>이왕건</v>
          </cell>
        </row>
        <row r="226">
          <cell r="B226">
            <v>431</v>
          </cell>
          <cell r="C226">
            <v>0</v>
          </cell>
          <cell r="D226" t="str">
            <v>박건용</v>
          </cell>
        </row>
        <row r="227">
          <cell r="B227">
            <v>432</v>
          </cell>
          <cell r="C227">
            <v>0</v>
          </cell>
          <cell r="D227" t="str">
            <v>문명욱</v>
          </cell>
        </row>
        <row r="228">
          <cell r="B228">
            <v>433</v>
          </cell>
          <cell r="C228">
            <v>0</v>
          </cell>
          <cell r="D228" t="str">
            <v>박규진</v>
          </cell>
        </row>
        <row r="229">
          <cell r="B229">
            <v>434</v>
          </cell>
          <cell r="C229">
            <v>0</v>
          </cell>
          <cell r="D229" t="str">
            <v>신천순</v>
          </cell>
        </row>
        <row r="230">
          <cell r="B230">
            <v>435</v>
          </cell>
          <cell r="C230">
            <v>0</v>
          </cell>
          <cell r="D230" t="str">
            <v>백창봉</v>
          </cell>
        </row>
        <row r="231">
          <cell r="B231">
            <v>436</v>
          </cell>
          <cell r="C231">
            <v>0</v>
          </cell>
          <cell r="D231" t="str">
            <v>오희국-성도엔지니어링</v>
          </cell>
        </row>
        <row r="232">
          <cell r="B232">
            <v>437</v>
          </cell>
          <cell r="C232">
            <v>0</v>
          </cell>
          <cell r="D232" t="str">
            <v>(주)동원자동차</v>
          </cell>
        </row>
        <row r="233">
          <cell r="B233">
            <v>438</v>
          </cell>
          <cell r="C233">
            <v>0</v>
          </cell>
          <cell r="D233" t="str">
            <v>김종범</v>
          </cell>
        </row>
        <row r="234">
          <cell r="B234">
            <v>439</v>
          </cell>
          <cell r="C234">
            <v>0</v>
          </cell>
          <cell r="D234" t="str">
            <v>남송환</v>
          </cell>
        </row>
        <row r="235">
          <cell r="B235">
            <v>440</v>
          </cell>
          <cell r="C235">
            <v>0</v>
          </cell>
          <cell r="D235" t="str">
            <v>우종득</v>
          </cell>
        </row>
        <row r="236">
          <cell r="B236">
            <v>442</v>
          </cell>
          <cell r="C236">
            <v>0</v>
          </cell>
          <cell r="D236" t="str">
            <v>주영일-국제물산</v>
          </cell>
        </row>
        <row r="237">
          <cell r="B237">
            <v>443</v>
          </cell>
          <cell r="C237">
            <v>0</v>
          </cell>
          <cell r="D237" t="str">
            <v>송경란</v>
          </cell>
        </row>
        <row r="238">
          <cell r="B238">
            <v>444</v>
          </cell>
          <cell r="C238">
            <v>0</v>
          </cell>
          <cell r="D238" t="str">
            <v>윤종성</v>
          </cell>
        </row>
        <row r="239">
          <cell r="B239">
            <v>445</v>
          </cell>
          <cell r="C239">
            <v>0</v>
          </cell>
          <cell r="D239" t="str">
            <v>박순창-국민문구사</v>
          </cell>
        </row>
        <row r="240">
          <cell r="B240">
            <v>446</v>
          </cell>
          <cell r="C240">
            <v>0</v>
          </cell>
          <cell r="D240" t="str">
            <v>박희원</v>
          </cell>
        </row>
        <row r="241">
          <cell r="B241">
            <v>447</v>
          </cell>
          <cell r="C241">
            <v>0</v>
          </cell>
          <cell r="D241" t="str">
            <v>(주)신일씨스템</v>
          </cell>
        </row>
        <row r="242">
          <cell r="B242">
            <v>448</v>
          </cell>
          <cell r="C242">
            <v>0</v>
          </cell>
          <cell r="D242" t="str">
            <v>김병만</v>
          </cell>
        </row>
        <row r="243">
          <cell r="B243">
            <v>449</v>
          </cell>
          <cell r="C243">
            <v>0</v>
          </cell>
          <cell r="D243" t="str">
            <v>장회익</v>
          </cell>
        </row>
        <row r="244">
          <cell r="B244">
            <v>450</v>
          </cell>
          <cell r="C244">
            <v>0</v>
          </cell>
          <cell r="D244" t="str">
            <v>문영희</v>
          </cell>
        </row>
        <row r="245">
          <cell r="B245">
            <v>451</v>
          </cell>
          <cell r="C245">
            <v>0</v>
          </cell>
          <cell r="D245" t="str">
            <v>정환기</v>
          </cell>
        </row>
        <row r="246">
          <cell r="B246">
            <v>452</v>
          </cell>
          <cell r="C246">
            <v>0</v>
          </cell>
          <cell r="D246" t="str">
            <v>윤석란</v>
          </cell>
        </row>
        <row r="247">
          <cell r="B247">
            <v>453</v>
          </cell>
          <cell r="C247">
            <v>0</v>
          </cell>
          <cell r="D247" t="str">
            <v>최갑열</v>
          </cell>
        </row>
        <row r="248">
          <cell r="B248">
            <v>454</v>
          </cell>
          <cell r="C248">
            <v>0</v>
          </cell>
          <cell r="D248" t="str">
            <v>유정순</v>
          </cell>
        </row>
        <row r="249">
          <cell r="B249">
            <v>455</v>
          </cell>
          <cell r="C249">
            <v>0</v>
          </cell>
          <cell r="D249" t="str">
            <v>(주)대진종합건설</v>
          </cell>
        </row>
        <row r="250">
          <cell r="B250">
            <v>456</v>
          </cell>
          <cell r="C250">
            <v>0</v>
          </cell>
          <cell r="D250" t="str">
            <v>손영곤</v>
          </cell>
        </row>
        <row r="251">
          <cell r="B251">
            <v>457</v>
          </cell>
          <cell r="C251">
            <v>0</v>
          </cell>
          <cell r="D251" t="str">
            <v>이좌성</v>
          </cell>
        </row>
        <row r="252">
          <cell r="B252">
            <v>458</v>
          </cell>
          <cell r="C252">
            <v>0</v>
          </cell>
          <cell r="D252" t="str">
            <v>서종대</v>
          </cell>
        </row>
        <row r="253">
          <cell r="B253">
            <v>459</v>
          </cell>
          <cell r="C253">
            <v>0</v>
          </cell>
          <cell r="D253" t="str">
            <v>송장호-동남통상</v>
          </cell>
        </row>
        <row r="254">
          <cell r="B254">
            <v>460</v>
          </cell>
          <cell r="C254">
            <v>0</v>
          </cell>
          <cell r="D254" t="str">
            <v>김원식</v>
          </cell>
        </row>
        <row r="255">
          <cell r="B255">
            <v>461</v>
          </cell>
          <cell r="C255">
            <v>0</v>
          </cell>
          <cell r="D255" t="str">
            <v>황성기</v>
          </cell>
        </row>
        <row r="256">
          <cell r="B256">
            <v>462</v>
          </cell>
          <cell r="C256">
            <v>0</v>
          </cell>
          <cell r="D256" t="str">
            <v>이주순</v>
          </cell>
        </row>
        <row r="257">
          <cell r="B257">
            <v>463</v>
          </cell>
          <cell r="C257">
            <v>0</v>
          </cell>
          <cell r="D257" t="str">
            <v>김남균-신태양농장</v>
          </cell>
        </row>
        <row r="258">
          <cell r="B258">
            <v>464</v>
          </cell>
          <cell r="C258">
            <v>0</v>
          </cell>
          <cell r="D258" t="str">
            <v>박정님</v>
          </cell>
        </row>
        <row r="259">
          <cell r="B259">
            <v>465</v>
          </cell>
          <cell r="C259">
            <v>0</v>
          </cell>
          <cell r="D259" t="str">
            <v>양운호-대성건재</v>
          </cell>
        </row>
        <row r="260">
          <cell r="B260">
            <v>466</v>
          </cell>
          <cell r="C260">
            <v>0</v>
          </cell>
          <cell r="D260" t="str">
            <v>허승무</v>
          </cell>
        </row>
        <row r="261">
          <cell r="B261">
            <v>467</v>
          </cell>
          <cell r="C261">
            <v>0</v>
          </cell>
          <cell r="D261" t="str">
            <v>강승구-피크닉식품</v>
          </cell>
        </row>
        <row r="262">
          <cell r="B262">
            <v>468</v>
          </cell>
          <cell r="C262">
            <v>0</v>
          </cell>
          <cell r="D262" t="str">
            <v>배호순</v>
          </cell>
        </row>
        <row r="263">
          <cell r="B263">
            <v>469</v>
          </cell>
          <cell r="C263">
            <v>0</v>
          </cell>
          <cell r="D263" t="str">
            <v>(주)덕신뉴텍-송정환</v>
          </cell>
        </row>
        <row r="264">
          <cell r="B264">
            <v>470</v>
          </cell>
          <cell r="C264">
            <v>0</v>
          </cell>
          <cell r="D264" t="str">
            <v>이상열</v>
          </cell>
        </row>
        <row r="265">
          <cell r="B265">
            <v>471</v>
          </cell>
          <cell r="C265">
            <v>0</v>
          </cell>
          <cell r="D265" t="str">
            <v>이상순</v>
          </cell>
        </row>
        <row r="266">
          <cell r="B266">
            <v>472</v>
          </cell>
          <cell r="C266">
            <v>0</v>
          </cell>
          <cell r="D266" t="str">
            <v>배윤환</v>
          </cell>
        </row>
        <row r="267">
          <cell r="B267">
            <v>473</v>
          </cell>
          <cell r="C267">
            <v>0</v>
          </cell>
          <cell r="D267" t="str">
            <v>이종례</v>
          </cell>
        </row>
        <row r="268">
          <cell r="B268">
            <v>474</v>
          </cell>
          <cell r="C268">
            <v>0</v>
          </cell>
          <cell r="D268" t="str">
            <v>원순옥</v>
          </cell>
        </row>
        <row r="269">
          <cell r="B269">
            <v>475</v>
          </cell>
          <cell r="C269">
            <v>0</v>
          </cell>
          <cell r="D269" t="str">
            <v>(주)예원리빙패션</v>
          </cell>
        </row>
        <row r="270">
          <cell r="B270">
            <v>476</v>
          </cell>
          <cell r="C270">
            <v>0</v>
          </cell>
          <cell r="D270" t="str">
            <v>(주)대일금형</v>
          </cell>
        </row>
        <row r="271">
          <cell r="B271">
            <v>477</v>
          </cell>
          <cell r="C271">
            <v>0</v>
          </cell>
          <cell r="D271" t="str">
            <v>이원삼</v>
          </cell>
        </row>
        <row r="272">
          <cell r="B272">
            <v>479</v>
          </cell>
          <cell r="C272">
            <v>0</v>
          </cell>
          <cell r="D272" t="str">
            <v>(주)중앙식품공업</v>
          </cell>
        </row>
        <row r="273">
          <cell r="B273">
            <v>481</v>
          </cell>
          <cell r="C273">
            <v>0</v>
          </cell>
          <cell r="D273" t="str">
            <v>이성분</v>
          </cell>
          <cell r="E273" t="str">
            <v>Lee, sung bun</v>
          </cell>
        </row>
        <row r="274">
          <cell r="B274">
            <v>482</v>
          </cell>
          <cell r="C274">
            <v>0</v>
          </cell>
          <cell r="D274" t="str">
            <v>권준기</v>
          </cell>
        </row>
        <row r="275">
          <cell r="B275">
            <v>483</v>
          </cell>
          <cell r="C275">
            <v>0</v>
          </cell>
          <cell r="D275" t="str">
            <v>방제혁-청운실업</v>
          </cell>
        </row>
        <row r="276">
          <cell r="B276">
            <v>484</v>
          </cell>
          <cell r="C276">
            <v>0</v>
          </cell>
          <cell r="D276" t="str">
            <v>임종민</v>
          </cell>
        </row>
        <row r="277">
          <cell r="B277">
            <v>485</v>
          </cell>
          <cell r="C277">
            <v>0</v>
          </cell>
          <cell r="D277" t="str">
            <v>김기홍</v>
          </cell>
        </row>
        <row r="278">
          <cell r="B278">
            <v>486</v>
          </cell>
          <cell r="C278">
            <v>0</v>
          </cell>
          <cell r="D278" t="str">
            <v>정명자-평양초계탕</v>
          </cell>
        </row>
        <row r="279">
          <cell r="B279">
            <v>487</v>
          </cell>
          <cell r="C279">
            <v>0</v>
          </cell>
          <cell r="D279" t="str">
            <v>김국태-모나코제화</v>
          </cell>
        </row>
        <row r="280">
          <cell r="B280">
            <v>488</v>
          </cell>
          <cell r="C280">
            <v>0</v>
          </cell>
          <cell r="D280" t="str">
            <v>김인태</v>
          </cell>
        </row>
        <row r="281">
          <cell r="B281">
            <v>489</v>
          </cell>
          <cell r="C281">
            <v>0</v>
          </cell>
          <cell r="D281" t="str">
            <v>금진상공</v>
          </cell>
          <cell r="E281" t="str">
            <v>Kumjin Industrial Co.</v>
          </cell>
        </row>
        <row r="282">
          <cell r="B282">
            <v>490</v>
          </cell>
          <cell r="C282">
            <v>0</v>
          </cell>
          <cell r="D282" t="str">
            <v>(주)피엠씨코리아</v>
          </cell>
          <cell r="E282" t="str">
            <v xml:space="preserve">P.M.C Korea Co.,Ltd. </v>
          </cell>
        </row>
        <row r="283">
          <cell r="B283">
            <v>491</v>
          </cell>
          <cell r="C283">
            <v>0</v>
          </cell>
          <cell r="D283" t="str">
            <v>(주)금촌건설</v>
          </cell>
          <cell r="E283" t="str">
            <v>Kumchon Construction Co.,Ltd.</v>
          </cell>
        </row>
        <row r="284">
          <cell r="B284">
            <v>492</v>
          </cell>
          <cell r="C284">
            <v>0</v>
          </cell>
          <cell r="D284" t="str">
            <v>남궁순-선릉맥섬석 체험실</v>
          </cell>
        </row>
        <row r="285">
          <cell r="B285">
            <v>493</v>
          </cell>
          <cell r="C285">
            <v>0</v>
          </cell>
          <cell r="D285" t="str">
            <v>(주)홍해</v>
          </cell>
        </row>
        <row r="286">
          <cell r="B286">
            <v>494</v>
          </cell>
          <cell r="C286">
            <v>0</v>
          </cell>
          <cell r="D286" t="str">
            <v>김자영</v>
          </cell>
        </row>
        <row r="287">
          <cell r="B287">
            <v>495</v>
          </cell>
          <cell r="C287">
            <v>0</v>
          </cell>
          <cell r="D287" t="str">
            <v>최용태</v>
          </cell>
        </row>
        <row r="288">
          <cell r="B288">
            <v>496</v>
          </cell>
          <cell r="C288">
            <v>0</v>
          </cell>
          <cell r="D288" t="str">
            <v>서광프랜트</v>
          </cell>
        </row>
        <row r="289">
          <cell r="B289">
            <v>497</v>
          </cell>
          <cell r="C289">
            <v>0</v>
          </cell>
          <cell r="D289" t="str">
            <v>지지크리에이션</v>
          </cell>
        </row>
        <row r="290">
          <cell r="B290">
            <v>498</v>
          </cell>
          <cell r="C290">
            <v>0</v>
          </cell>
          <cell r="D290" t="str">
            <v>나우엔지니어링</v>
          </cell>
        </row>
        <row r="291">
          <cell r="B291">
            <v>499</v>
          </cell>
          <cell r="C291">
            <v>0</v>
          </cell>
          <cell r="D291" t="str">
            <v>김낙규</v>
          </cell>
        </row>
        <row r="292">
          <cell r="B292">
            <v>500</v>
          </cell>
          <cell r="C292">
            <v>0</v>
          </cell>
          <cell r="D292" t="str">
            <v>백덕기</v>
          </cell>
        </row>
        <row r="293">
          <cell r="B293">
            <v>501</v>
          </cell>
          <cell r="C293">
            <v>0</v>
          </cell>
          <cell r="D293" t="str">
            <v>정정섭</v>
          </cell>
        </row>
        <row r="294">
          <cell r="B294">
            <v>502</v>
          </cell>
          <cell r="C294">
            <v>0</v>
          </cell>
          <cell r="D294" t="str">
            <v>배춘례</v>
          </cell>
        </row>
        <row r="295">
          <cell r="B295">
            <v>503</v>
          </cell>
          <cell r="C295">
            <v>0</v>
          </cell>
          <cell r="D295" t="str">
            <v>(주)준진</v>
          </cell>
          <cell r="E295" t="str">
            <v>jun jin corporation</v>
          </cell>
        </row>
        <row r="296">
          <cell r="B296">
            <v>504</v>
          </cell>
          <cell r="C296">
            <v>0</v>
          </cell>
          <cell r="D296" t="str">
            <v>김정진</v>
          </cell>
        </row>
        <row r="297">
          <cell r="B297">
            <v>505</v>
          </cell>
          <cell r="C297">
            <v>0</v>
          </cell>
          <cell r="D297" t="str">
            <v>박정양</v>
          </cell>
          <cell r="E297" t="str">
            <v>Park , jungyang</v>
          </cell>
        </row>
        <row r="298">
          <cell r="B298">
            <v>506</v>
          </cell>
          <cell r="C298">
            <v>0</v>
          </cell>
          <cell r="D298" t="str">
            <v>(주)장미전자</v>
          </cell>
          <cell r="E298" t="str">
            <v>changmi Co, Ltd</v>
          </cell>
        </row>
        <row r="299">
          <cell r="B299">
            <v>507</v>
          </cell>
          <cell r="C299">
            <v>0</v>
          </cell>
          <cell r="D299" t="str">
            <v>(주)엠케이월드트레이딩</v>
          </cell>
          <cell r="E299" t="str">
            <v>M,K. WORLD TRADING Co.,Ltd.</v>
          </cell>
        </row>
        <row r="300">
          <cell r="B300">
            <v>508</v>
          </cell>
          <cell r="C300">
            <v>0</v>
          </cell>
          <cell r="D300" t="str">
            <v>옥광섬유(주)</v>
          </cell>
        </row>
        <row r="301">
          <cell r="B301">
            <v>510</v>
          </cell>
          <cell r="C301">
            <v>0</v>
          </cell>
          <cell r="D301" t="str">
            <v>나어때녹화방-조성문</v>
          </cell>
          <cell r="E301" t="str">
            <v>Cho-SungMun</v>
          </cell>
        </row>
        <row r="302">
          <cell r="B302">
            <v>511</v>
          </cell>
          <cell r="C302">
            <v>0</v>
          </cell>
          <cell r="D302" t="str">
            <v>용신 B/L -이병남</v>
          </cell>
          <cell r="E302" t="str">
            <v>Lee-ByungNam</v>
          </cell>
        </row>
        <row r="303">
          <cell r="B303">
            <v>512</v>
          </cell>
          <cell r="C303">
            <v>0</v>
          </cell>
          <cell r="D303" t="str">
            <v>유승준</v>
          </cell>
          <cell r="E303" t="str">
            <v>Yu-SeongJun</v>
          </cell>
        </row>
        <row r="304">
          <cell r="B304">
            <v>513</v>
          </cell>
          <cell r="C304">
            <v>0</v>
          </cell>
          <cell r="D304" t="str">
            <v>대아산업-박헌복</v>
          </cell>
          <cell r="E304" t="str">
            <v>Park-HunBok</v>
          </cell>
        </row>
        <row r="305">
          <cell r="B305">
            <v>514</v>
          </cell>
          <cell r="C305">
            <v>0</v>
          </cell>
          <cell r="D305" t="str">
            <v>경성화학-전춘택</v>
          </cell>
          <cell r="E305" t="str">
            <v>Chun-CunTak</v>
          </cell>
        </row>
        <row r="306">
          <cell r="B306">
            <v>515</v>
          </cell>
          <cell r="C306">
            <v>0</v>
          </cell>
          <cell r="D306" t="str">
            <v>(주)청학텍스타일</v>
          </cell>
        </row>
        <row r="307">
          <cell r="B307">
            <v>516</v>
          </cell>
          <cell r="C307">
            <v>0</v>
          </cell>
          <cell r="D307" t="str">
            <v>(주)환진텍스타일</v>
          </cell>
        </row>
        <row r="308">
          <cell r="B308">
            <v>518</v>
          </cell>
          <cell r="C308">
            <v>0</v>
          </cell>
          <cell r="D308" t="str">
            <v>이갑순</v>
          </cell>
        </row>
        <row r="309">
          <cell r="B309">
            <v>519</v>
          </cell>
          <cell r="C309">
            <v>0</v>
          </cell>
          <cell r="D309" t="str">
            <v>이만용</v>
          </cell>
        </row>
        <row r="310">
          <cell r="B310">
            <v>520</v>
          </cell>
          <cell r="C310">
            <v>0</v>
          </cell>
          <cell r="D310" t="str">
            <v>이형인</v>
          </cell>
        </row>
        <row r="311">
          <cell r="B311">
            <v>521</v>
          </cell>
          <cell r="C311">
            <v>0</v>
          </cell>
          <cell r="D311" t="str">
            <v>(주)신성식품냉동냉장</v>
          </cell>
        </row>
        <row r="312">
          <cell r="B312">
            <v>522</v>
          </cell>
          <cell r="C312">
            <v>0</v>
          </cell>
          <cell r="D312" t="str">
            <v>(주)전일</v>
          </cell>
        </row>
        <row r="313">
          <cell r="B313">
            <v>524</v>
          </cell>
          <cell r="C313">
            <v>0</v>
          </cell>
          <cell r="D313" t="str">
            <v>(주)태아무역</v>
          </cell>
        </row>
        <row r="314">
          <cell r="B314">
            <v>525</v>
          </cell>
          <cell r="C314">
            <v>0</v>
          </cell>
          <cell r="D314" t="str">
            <v>관영실업</v>
          </cell>
        </row>
        <row r="315">
          <cell r="B315">
            <v>526</v>
          </cell>
          <cell r="C315">
            <v>0</v>
          </cell>
          <cell r="D315" t="str">
            <v>유석열</v>
          </cell>
        </row>
        <row r="316">
          <cell r="B316">
            <v>527</v>
          </cell>
          <cell r="C316">
            <v>0</v>
          </cell>
          <cell r="D316" t="str">
            <v>최준웅</v>
          </cell>
        </row>
        <row r="317">
          <cell r="B317">
            <v>528</v>
          </cell>
          <cell r="C317">
            <v>0</v>
          </cell>
          <cell r="D317" t="str">
            <v>김미경</v>
          </cell>
        </row>
        <row r="318">
          <cell r="B318">
            <v>529</v>
          </cell>
          <cell r="C318">
            <v>0</v>
          </cell>
          <cell r="D318" t="str">
            <v>김여겸</v>
          </cell>
        </row>
        <row r="319">
          <cell r="B319">
            <v>530</v>
          </cell>
          <cell r="C319">
            <v>0</v>
          </cell>
          <cell r="D319" t="str">
            <v>김용기</v>
          </cell>
        </row>
        <row r="320">
          <cell r="B320">
            <v>531</v>
          </cell>
          <cell r="C320">
            <v>0</v>
          </cell>
          <cell r="D320" t="str">
            <v>이재권-거성물산</v>
          </cell>
        </row>
        <row r="321">
          <cell r="B321">
            <v>532</v>
          </cell>
          <cell r="C321">
            <v>0</v>
          </cell>
          <cell r="D321" t="str">
            <v>백호상사</v>
          </cell>
        </row>
        <row r="322">
          <cell r="B322">
            <v>533</v>
          </cell>
          <cell r="C322">
            <v>0</v>
          </cell>
          <cell r="D322" t="str">
            <v>김왕</v>
          </cell>
        </row>
        <row r="323">
          <cell r="B323">
            <v>534</v>
          </cell>
          <cell r="C323">
            <v>0</v>
          </cell>
          <cell r="D323" t="str">
            <v>남명자</v>
          </cell>
        </row>
        <row r="324">
          <cell r="B324">
            <v>535</v>
          </cell>
          <cell r="C324">
            <v>0</v>
          </cell>
          <cell r="D324" t="str">
            <v>한진중장비</v>
          </cell>
        </row>
        <row r="325">
          <cell r="B325">
            <v>105</v>
          </cell>
          <cell r="C325" t="str">
            <v>Top</v>
          </cell>
          <cell r="D325" t="str">
            <v>(주) 우성건설</v>
          </cell>
          <cell r="E325" t="str">
            <v>Woosung Construction Co.,Ltd</v>
          </cell>
          <cell r="F325" t="str">
            <v>Other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XXXXX"/>
      <sheetName val="VXXX"/>
      <sheetName val="물건Ref"/>
      <sheetName val="채권Ref"/>
      <sheetName val="경매채권별"/>
      <sheetName val="경매물건별"/>
      <sheetName val="신용"/>
      <sheetName val="할인어음"/>
      <sheetName val="할어CF"/>
      <sheetName val="CF총괄"/>
      <sheetName val="Variables"/>
      <sheetName val="Borrower"/>
      <sheetName val="3-2.담보정보(물건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>
        <row r="18">
          <cell r="B18">
            <v>5.6399999999999999E-2</v>
          </cell>
        </row>
        <row r="19">
          <cell r="B19">
            <v>6.3299999999999995E-2</v>
          </cell>
        </row>
        <row r="20">
          <cell r="B20">
            <v>6.7400000000000002E-2</v>
          </cell>
        </row>
        <row r="21">
          <cell r="B21">
            <v>7.2050000000000003E-2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임차보증금현황04.6.30"/>
      <sheetName val="정산표"/>
      <sheetName val="합동별(기표용)"/>
      <sheetName val="시설이용권명세서"/>
      <sheetName val="Sheet1"/>
      <sheetName val="정의"/>
      <sheetName val="월중평잔"/>
      <sheetName val="기중평잔"/>
      <sheetName val="Sheet3"/>
      <sheetName val="sap`04.7.14"/>
      <sheetName val="손익계산서"/>
      <sheetName val="대차대조표"/>
      <sheetName val="일일0113"/>
      <sheetName val="성적표96"/>
      <sheetName val="코드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1.MDF1공장"/>
      <sheetName val="control"/>
      <sheetName val="Lead"/>
      <sheetName val="회사제시BS"/>
      <sheetName val="회사제시PL"/>
      <sheetName val="질문사항"/>
      <sheetName val="수선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인건비"/>
      <sheetName val="f_BS"/>
      <sheetName val="미지급보험금"/>
      <sheetName val="손해조사비"/>
      <sheetName val="건수"/>
      <sheetName val="지급보험금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연결조정분개"/>
      <sheetName val="민감도"/>
      <sheetName val="경제성분석"/>
      <sheetName val="협조전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R&amp;D"/>
      <sheetName val="만기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실적"/>
      <sheetName val="임차보증금"/>
      <sheetName val="2. 11년 이전 신용위험평가"/>
      <sheetName val="콤보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Revenue Net of Losses"/>
      <sheetName val="INCOME"/>
      <sheetName val="SNC REV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19">
          <cell r="F119">
            <v>767.404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/>
      <sheetData sheetId="121"/>
      <sheetData sheetId="122"/>
      <sheetData sheetId="123"/>
      <sheetData sheetId="124"/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/>
      <sheetData sheetId="139"/>
      <sheetData sheetId="140"/>
      <sheetData sheetId="141"/>
      <sheetData sheetId="142"/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/>
      <sheetData sheetId="193"/>
      <sheetData sheetId="194" refreshError="1"/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>
        <row r="119">
          <cell r="F119">
            <v>767.404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>
        <row r="119">
          <cell r="F119">
            <v>767.404</v>
          </cell>
        </row>
      </sheetData>
      <sheetData sheetId="236">
        <row r="119">
          <cell r="F119">
            <v>767.404</v>
          </cell>
        </row>
      </sheetData>
      <sheetData sheetId="237">
        <row r="119">
          <cell r="F119">
            <v>767.404</v>
          </cell>
        </row>
      </sheetData>
      <sheetData sheetId="238">
        <row r="119">
          <cell r="F119">
            <v>767.404</v>
          </cell>
        </row>
      </sheetData>
      <sheetData sheetId="239">
        <row r="119">
          <cell r="F119">
            <v>767.404</v>
          </cell>
        </row>
      </sheetData>
      <sheetData sheetId="240">
        <row r="119">
          <cell r="F119">
            <v>767.404</v>
          </cell>
        </row>
      </sheetData>
      <sheetData sheetId="241">
        <row r="119">
          <cell r="F119">
            <v>767.404</v>
          </cell>
        </row>
      </sheetData>
      <sheetData sheetId="242">
        <row r="119">
          <cell r="F119">
            <v>767.404</v>
          </cell>
        </row>
      </sheetData>
      <sheetData sheetId="243">
        <row r="119">
          <cell r="F119">
            <v>767.404</v>
          </cell>
        </row>
      </sheetData>
      <sheetData sheetId="244">
        <row r="119">
          <cell r="F119">
            <v>767.404</v>
          </cell>
        </row>
      </sheetData>
      <sheetData sheetId="245">
        <row r="119">
          <cell r="F119">
            <v>767.404</v>
          </cell>
        </row>
      </sheetData>
      <sheetData sheetId="246">
        <row r="119">
          <cell r="F119">
            <v>767.404</v>
          </cell>
        </row>
      </sheetData>
      <sheetData sheetId="247">
        <row r="119">
          <cell r="F119">
            <v>767.404</v>
          </cell>
        </row>
      </sheetData>
      <sheetData sheetId="248">
        <row r="119">
          <cell r="F119">
            <v>767.404</v>
          </cell>
        </row>
      </sheetData>
      <sheetData sheetId="249">
        <row r="119">
          <cell r="F119">
            <v>767.404</v>
          </cell>
        </row>
      </sheetData>
      <sheetData sheetId="250" refreshError="1"/>
      <sheetData sheetId="251" refreshError="1"/>
      <sheetData sheetId="2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총수신_속보"/>
      <sheetName val="환율"/>
      <sheetName val="variable"/>
      <sheetName val="신전산소항목시산표(5월)"/>
      <sheetName val="임차보증금현황04.6.30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금자료 퇴종분"/>
      <sheetName val="97년추정손익계산서"/>
      <sheetName val="200102명예퇴직자"/>
      <sheetName val="종합일지"/>
      <sheetName val="Price Table"/>
      <sheetName val="아파트"/>
      <sheetName val="임차보증금현황04.6.30"/>
      <sheetName val="sap`04.7.14"/>
      <sheetName val="FS"/>
      <sheetName val="Ⅱ1-0타"/>
      <sheetName val="10K4"/>
      <sheetName val="WACC"/>
      <sheetName val="적용환율"/>
      <sheetName val="차주일반정보"/>
      <sheetName val="합병분개 Adj"/>
      <sheetName val="0404자료"/>
      <sheetName val="US Codes"/>
      <sheetName val="손익합산"/>
      <sheetName val="YHCODE"/>
      <sheetName val="보험금"/>
      <sheetName val="f_BS"/>
      <sheetName val="f_IS"/>
      <sheetName val="forecasted_BS"/>
      <sheetName val="forecasted_IS"/>
      <sheetName val="합병BS"/>
      <sheetName val="COMBINED"/>
      <sheetName val="VALSTAT"/>
      <sheetName val="Ⅰ-1"/>
      <sheetName val="주요비율-낙관"/>
      <sheetName val="갑지"/>
      <sheetName val="실행"/>
      <sheetName val="SRS"/>
      <sheetName val="손익계산서"/>
      <sheetName val="대차대조표"/>
      <sheetName val="국외감가상각내역0103"/>
      <sheetName val="IPR-ATI-ROA (IV)"/>
      <sheetName val="IPR - DCFS"/>
      <sheetName val="대지급금(외화)"/>
      <sheetName val="이익처분"/>
      <sheetName val="반기_유가증권"/>
      <sheetName val="Sheet1"/>
      <sheetName val="인건비"/>
      <sheetName val="basic_info"/>
      <sheetName val="Links"/>
      <sheetName val="Lead"/>
      <sheetName val="폐토수익화 "/>
      <sheetName val="보고"/>
      <sheetName val="00.08계정"/>
      <sheetName val="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요약"/>
      <sheetName val="리스크관리부송부금액"/>
      <sheetName val="구조조정"/>
      <sheetName val="pf"/>
      <sheetName val="기존추가적립"/>
      <sheetName val="BS일이후"/>
      <sheetName val="파생가지급금"/>
      <sheetName val="파생일반여신"/>
      <sheetName val="재무지원부"/>
      <sheetName val="소매_신용"/>
    </sheetNames>
    <definedNames>
      <definedName name="PRT6AL5AR40" refersTo="#REF!" sheetId="0"/>
      <definedName name="PRT6AU5BA41" refersTo="#REF!" sheetId="0"/>
      <definedName name="PRT6B5H25" refersTo="#REF!" sheetId="0"/>
      <definedName name="PRT6BD5BK32" refersTo="#REF!" sheetId="0"/>
      <definedName name="prt6bn252bt288" refersTo="#REF!" sheetId="0"/>
      <definedName name="prt6bn46bt82" refersTo="#REF!" sheetId="0"/>
      <definedName name="PRT6BN5BT41" refersTo="#REF!" sheetId="0"/>
      <definedName name="prt6bv7cc30" refersTo="#REF!" sheetId="0"/>
      <definedName name="prt6cf5cl37" refersTo="#REF!" sheetId="0"/>
      <definedName name="prt6co5cs41" refersTo="#REF!" sheetId="0"/>
      <definedName name="prt6cv5dg33" refersTo="#REF!" sheetId="0"/>
      <definedName name="PRT6K31U52" refersTo="#REF!" sheetId="0"/>
      <definedName name="PRT6K4U25" refersTo="#REF!" sheetId="0"/>
      <definedName name="PRT6K57W79" refersTo="#REF!" sheetId="0"/>
      <definedName name="PRT6K85U107" refersTo="#REF!" sheetId="0"/>
      <definedName name="PRT6X4AI25" refersTo="#REF!" sheetId="0"/>
      <definedName name="RRRRR" refersTo="#REF!" sheetId="0"/>
      <definedName name="감가상각OT" refersTo="#REF!" sheetId="0"/>
      <definedName name="손익개정" refersTo="#REF!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L 평가 개요"/>
      <sheetName val="메뉴얼"/>
      <sheetName val="실사체크리스트"/>
      <sheetName val="조서"/>
      <sheetName val="담보1"/>
      <sheetName val="경매일정"/>
      <sheetName val="담보요약"/>
      <sheetName val="담보2"/>
      <sheetName val="담보3"/>
      <sheetName val="SITE사진(담보1)"/>
      <sheetName val="SITE사진(담보2)"/>
      <sheetName val="권리분석(담보1)"/>
      <sheetName val="권리분석(담보2)"/>
      <sheetName val="권리분석(임대차)"/>
      <sheetName val="권리분석(담보3)"/>
      <sheetName val="담보1,2 낙찰사례경매자료"/>
      <sheetName val="신용보증서"/>
      <sheetName val="경매일정 (2)"/>
      <sheetName val="공매일정"/>
      <sheetName val="Q&amp;A"/>
      <sheetName val="추정현금흐름"/>
      <sheetName val="Lien"/>
      <sheetName val="기본데이터"/>
      <sheetName val="법원별 저감률"/>
      <sheetName val="선순위가정"/>
      <sheetName val="법정지상권"/>
      <sheetName val="용도별지역별건축기준조견표"/>
      <sheetName val="철거비"/>
      <sheetName val="과밀억제권역"/>
      <sheetName val="개발허가"/>
      <sheetName val="농업진흥지역"/>
      <sheetName val="평가의 제가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C7">
            <v>0.12</v>
          </cell>
        </row>
        <row r="10">
          <cell r="A10">
            <v>44012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PL"/>
      <sheetName val="Sheet"/>
      <sheetName val="적용환율"/>
      <sheetName val="신탁계정-상각보정명세"/>
      <sheetName val="합병분개 Adj"/>
      <sheetName val="1995년 섹터별 매출"/>
      <sheetName val="Data"/>
      <sheetName val="1998 P &amp; L"/>
      <sheetName val="f_BS"/>
      <sheetName val="f_IS"/>
      <sheetName val="Balance sheet"/>
      <sheetName val="97년추정손익계산서"/>
      <sheetName val="손익1월"/>
      <sheetName val="X-3 ENG"/>
      <sheetName val="Sheet3"/>
      <sheetName val="보고"/>
      <sheetName val="재고자산"/>
      <sheetName val="결손금"/>
      <sheetName val="정산표"/>
      <sheetName val="Basic_Inform"/>
      <sheetName val="공문(본지점간)"/>
      <sheetName val="외화자금현황"/>
      <sheetName val="권리분석"/>
      <sheetName val="Publishing Plan(Edit)"/>
      <sheetName val="3620SE"/>
      <sheetName val="RATE"/>
      <sheetName val="ST_INVEST"/>
      <sheetName val="Bank charge"/>
      <sheetName val="별제권_정리담보권"/>
      <sheetName val="총수신_속보"/>
      <sheetName val="2담당0113"/>
      <sheetName val="1담당0113"/>
      <sheetName val="FX"/>
      <sheetName val="CORREL"/>
      <sheetName val="Parameters"/>
      <sheetName val="MARK"/>
      <sheetName val="VOL"/>
      <sheetName val="Assumption"/>
      <sheetName val="전행순위"/>
      <sheetName val="Asset9809CAK"/>
      <sheetName val="LU"/>
      <sheetName val="99선급비용"/>
      <sheetName val="종합일지"/>
      <sheetName val="보험금"/>
      <sheetName val="조건"/>
      <sheetName val="9-1차이내역"/>
      <sheetName val="OTCprice"/>
      <sheetName val="3월"/>
      <sheetName val="취소"/>
      <sheetName val="1"/>
      <sheetName val="4월 자료"/>
      <sheetName val="Thrunet_July18b_BASE_CASE"/>
      <sheetName val="Lead"/>
      <sheetName val="이자수익 analytical"/>
      <sheetName val="이문율분석"/>
      <sheetName val="부서별"/>
      <sheetName val="XREF"/>
      <sheetName val="서울(안)"/>
      <sheetName val="10K4"/>
      <sheetName val="Ⅱ1-0타"/>
      <sheetName val="?????????(5?)"/>
      <sheetName val="7.5 재질별 수율"/>
      <sheetName val="8.2 DY 불량율"/>
      <sheetName val="7.3 DY팀"/>
      <sheetName val="Assumptions"/>
      <sheetName val="BSHO Report"/>
      <sheetName val="Front"/>
      <sheetName val="Check Sheet"/>
      <sheetName val="PLHO Report"/>
      <sheetName val="PLHOENG"/>
      <sheetName val="Reinsurance_월보"/>
      <sheetName val="수율생산"/>
      <sheetName val="공통"/>
      <sheetName val="2.대외공문"/>
      <sheetName val="수보제한 (2)"/>
      <sheetName val="Asset adj"/>
      <sheetName val="4. Data 요약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계정code"/>
      <sheetName val="점별(추정)"/>
      <sheetName val="GOE Budget"/>
      <sheetName val="Sheet1"/>
      <sheetName val="제조경비"/>
      <sheetName val="세부PL"/>
      <sheetName val="시산표"/>
      <sheetName val="CapMult"/>
      <sheetName val="Industry Indices"/>
      <sheetName val="폐토수익화 "/>
      <sheetName val="손익계산서"/>
      <sheetName val="대차대조표"/>
      <sheetName val="보고서"/>
      <sheetName val="Links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재공품"/>
      <sheetName val="세계수요종합OK"/>
      <sheetName val="9-1차이내역.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Sheet2"/>
      <sheetName val="LIST"/>
      <sheetName val="IMPORT"/>
      <sheetName val="importhead"/>
      <sheetName val="TEMPLATE"/>
      <sheetName val="Settings"/>
      <sheetName val="Index"/>
      <sheetName val="CODE"/>
      <sheetName val=""/>
      <sheetName val="Summary"/>
      <sheetName val="Customer List"/>
      <sheetName val="Supply List"/>
      <sheetName val="부서현황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B767"/>
      <sheetName val="은행계정"/>
      <sheetName val="코드상세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CF(총괄)"/>
      <sheetName val="CF(담보)"/>
      <sheetName val="Valuation-담보"/>
      <sheetName val="채권잔액"/>
      <sheetName val="실사자료"/>
      <sheetName val="경매비용"/>
      <sheetName val="계좌명세"/>
      <sheetName val="Assumption"/>
      <sheetName val="BasicInfo"/>
      <sheetName val="수정낙찰율"/>
      <sheetName val="기일"/>
      <sheetName val="회차가격율"/>
      <sheetName val="신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C4">
            <v>39203</v>
          </cell>
        </row>
        <row r="16">
          <cell r="C16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자금손익총괄"/>
      <sheetName val="forecasted_BS"/>
      <sheetName val="forecasted_IS"/>
      <sheetName val="권리분석"/>
      <sheetName val="자본확정추정BSPL(시뮬2006년~구매제외)-수정FLC기"/>
      <sheetName val="대지급금(외화)"/>
      <sheetName val="보고서"/>
      <sheetName val="Data"/>
      <sheetName val="ROO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평가의 제가정"/>
      <sheetName val="선순위가정"/>
      <sheetName val="기준"/>
      <sheetName val="Working Paper"/>
      <sheetName val="담보평가"/>
      <sheetName val="담보평가 (2)"/>
      <sheetName val="담보평가 (3)"/>
      <sheetName val="담보평가 (4)"/>
      <sheetName val="담보평가 (5)"/>
      <sheetName val="기본Data"/>
      <sheetName val="Lien"/>
      <sheetName val="CashFlows"/>
      <sheetName val="Sheet1"/>
      <sheetName val="재무제표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rrower"/>
      <sheetName val="Guarantor"/>
      <sheetName val="MgtProjection"/>
      <sheetName val="CompanyDebt1"/>
      <sheetName val="CompanyDebt2"/>
      <sheetName val="SellingDebt1"/>
      <sheetName val="SellingDebt2"/>
      <sheetName val="SellingDebt3"/>
      <sheetName val="Property"/>
      <sheetName val="Property_Detailed"/>
      <sheetName val="LienStructure"/>
    </sheetNames>
    <sheetDataSet>
      <sheetData sheetId="0" refreshError="1">
        <row r="10">
          <cell r="B10">
            <v>301</v>
          </cell>
          <cell r="C10" t="str">
            <v>Top Tier</v>
          </cell>
          <cell r="D10" t="str">
            <v>한진해운</v>
          </cell>
          <cell r="E10" t="str">
            <v>hanjin shipping</v>
          </cell>
          <cell r="F10" t="str">
            <v>산업합리화</v>
          </cell>
        </row>
        <row r="11">
          <cell r="B11">
            <v>302</v>
          </cell>
          <cell r="C11" t="str">
            <v>Top Tier</v>
          </cell>
          <cell r="D11" t="str">
            <v>대한한공</v>
          </cell>
          <cell r="E11" t="str">
            <v>Korean Air Lines</v>
          </cell>
          <cell r="F11" t="str">
            <v>산업합리화</v>
          </cell>
        </row>
        <row r="12">
          <cell r="B12">
            <v>303</v>
          </cell>
          <cell r="C12" t="str">
            <v>Top Tier</v>
          </cell>
          <cell r="D12" t="str">
            <v>한국공항</v>
          </cell>
          <cell r="E12" t="str">
            <v>Korea AIrport Service</v>
          </cell>
          <cell r="F12" t="str">
            <v>산업합리화</v>
          </cell>
        </row>
        <row r="13">
          <cell r="B13">
            <v>304</v>
          </cell>
          <cell r="C13" t="str">
            <v>Top Tier</v>
          </cell>
          <cell r="D13" t="str">
            <v>한진</v>
          </cell>
          <cell r="E13" t="str">
            <v>HANJIN TRANSPORTATION CO.,LTD</v>
          </cell>
          <cell r="F13" t="str">
            <v>산업합리화</v>
          </cell>
        </row>
        <row r="14">
          <cell r="B14">
            <v>305</v>
          </cell>
          <cell r="C14" t="str">
            <v>Top Tier</v>
          </cell>
          <cell r="D14" t="str">
            <v>한진중공업</v>
          </cell>
          <cell r="E14" t="str">
            <v>HANJIN HEAVY INDUSTRIES &amp; CONSTRUCTION CO., LTD.</v>
          </cell>
          <cell r="F14" t="str">
            <v>산업합리화</v>
          </cell>
        </row>
        <row r="15">
          <cell r="B15">
            <v>306</v>
          </cell>
          <cell r="C15" t="str">
            <v>Top Tier</v>
          </cell>
          <cell r="D15" t="str">
            <v>정석기업</v>
          </cell>
          <cell r="E15" t="str">
            <v>JUNGSUCK ENTERPRISE CO.,LTD.</v>
          </cell>
          <cell r="F15" t="str">
            <v>산업합리화</v>
          </cell>
        </row>
        <row r="16">
          <cell r="B16">
            <v>307</v>
          </cell>
          <cell r="C16" t="str">
            <v>Top Tier</v>
          </cell>
          <cell r="D16" t="str">
            <v>삼성자동차(주)</v>
          </cell>
          <cell r="E16" t="str">
            <v>Samsung Motors Inc.</v>
          </cell>
          <cell r="F16" t="str">
            <v>법정관리미인가</v>
          </cell>
        </row>
        <row r="17">
          <cell r="B17">
            <v>308</v>
          </cell>
          <cell r="C17" t="str">
            <v>Top Tier</v>
          </cell>
          <cell r="D17" t="str">
            <v>영흥철강</v>
          </cell>
          <cell r="E17" t="str">
            <v>Youngheung Iron &amp; Steel Co., Ltd.</v>
          </cell>
          <cell r="F17" t="str">
            <v>Court Receivership</v>
          </cell>
        </row>
        <row r="18">
          <cell r="B18">
            <v>309</v>
          </cell>
          <cell r="C18" t="str">
            <v>Top Tier</v>
          </cell>
          <cell r="D18" t="str">
            <v>청전</v>
          </cell>
          <cell r="E18" t="str">
            <v>Chungjun Co., Ltd.</v>
          </cell>
          <cell r="F18" t="str">
            <v>Composition</v>
          </cell>
        </row>
        <row r="19">
          <cell r="B19">
            <v>310</v>
          </cell>
          <cell r="C19" t="str">
            <v>Top Tier</v>
          </cell>
          <cell r="D19" t="str">
            <v>해태상사(주)</v>
          </cell>
          <cell r="E19" t="str">
            <v>Haitai international inc.</v>
          </cell>
          <cell r="F19" t="str">
            <v>법정관리미인가</v>
          </cell>
        </row>
        <row r="20">
          <cell r="B20">
            <v>311</v>
          </cell>
          <cell r="C20" t="str">
            <v>Top Tier</v>
          </cell>
          <cell r="D20" t="str">
            <v>해태전자(주)</v>
          </cell>
          <cell r="E20" t="str">
            <v>Haitai Electoronics Co.Ltd.</v>
          </cell>
          <cell r="F20" t="str">
            <v>법정관리미인가</v>
          </cell>
        </row>
        <row r="21">
          <cell r="B21">
            <v>312</v>
          </cell>
          <cell r="C21" t="str">
            <v>Top Tier</v>
          </cell>
          <cell r="D21" t="str">
            <v>진로종합유통</v>
          </cell>
          <cell r="E21" t="str">
            <v>Jinro Mass-Merchandising Inc.</v>
          </cell>
          <cell r="F21" t="str">
            <v>Composition</v>
          </cell>
        </row>
        <row r="22">
          <cell r="B22">
            <v>313</v>
          </cell>
          <cell r="C22" t="str">
            <v>Top Tier</v>
          </cell>
          <cell r="D22" t="str">
            <v>아남건설</v>
          </cell>
          <cell r="E22" t="str">
            <v>Anam Construction Co., Ltd.</v>
          </cell>
          <cell r="F22" t="str">
            <v>Court Receivership</v>
          </cell>
        </row>
        <row r="23">
          <cell r="B23">
            <v>314</v>
          </cell>
          <cell r="C23" t="str">
            <v>Top Tier</v>
          </cell>
          <cell r="D23" t="str">
            <v>나산종합건설</v>
          </cell>
          <cell r="E23" t="str">
            <v>Nasan Construction Co., Ltd.</v>
          </cell>
          <cell r="F23" t="str">
            <v>Other</v>
          </cell>
        </row>
        <row r="24">
          <cell r="B24">
            <v>315</v>
          </cell>
          <cell r="C24" t="str">
            <v>Top Tier</v>
          </cell>
          <cell r="D24" t="str">
            <v>한국티타늄</v>
          </cell>
          <cell r="E24" t="str">
            <v>Hankuk Titanium</v>
          </cell>
          <cell r="F24" t="str">
            <v>Court Receivership</v>
          </cell>
        </row>
        <row r="25">
          <cell r="B25">
            <v>316</v>
          </cell>
          <cell r="C25" t="str">
            <v>Top Tier</v>
          </cell>
          <cell r="D25" t="str">
            <v>부산종합화물터미날</v>
          </cell>
          <cell r="E25" t="str">
            <v>Pusan Freight Bus Terminal Co.</v>
          </cell>
          <cell r="F25" t="str">
            <v>Composition</v>
          </cell>
        </row>
        <row r="26">
          <cell r="B26">
            <v>317</v>
          </cell>
          <cell r="C26" t="str">
            <v>Top Tier</v>
          </cell>
          <cell r="D26" t="str">
            <v>금강화섬(주)</v>
          </cell>
          <cell r="E26" t="str">
            <v>Kumgang Trading co.</v>
          </cell>
          <cell r="F26" t="str">
            <v>화의미인가</v>
          </cell>
        </row>
        <row r="27">
          <cell r="B27">
            <v>319</v>
          </cell>
          <cell r="C27" t="str">
            <v>Top Tier</v>
          </cell>
          <cell r="D27" t="str">
            <v>제일정밀공업</v>
          </cell>
          <cell r="E27" t="str">
            <v>Jeil precision Co.</v>
          </cell>
          <cell r="F27" t="str">
            <v>Court Receivership</v>
          </cell>
        </row>
        <row r="28">
          <cell r="B28">
            <v>320</v>
          </cell>
          <cell r="C28" t="str">
            <v>Top Tier</v>
          </cell>
          <cell r="D28" t="str">
            <v>에디슨전자(주)</v>
          </cell>
          <cell r="E28" t="str">
            <v>Edison Electronic Co. Ltd.</v>
          </cell>
          <cell r="F28" t="str">
            <v>Composition</v>
          </cell>
        </row>
        <row r="29">
          <cell r="B29">
            <v>322</v>
          </cell>
          <cell r="C29" t="str">
            <v>Top Tier</v>
          </cell>
          <cell r="D29" t="str">
            <v>(주) 시대유통</v>
          </cell>
          <cell r="E29" t="str">
            <v>Si-Dae distribution. Co. Ltd.</v>
          </cell>
          <cell r="F29" t="str">
            <v>Other</v>
          </cell>
        </row>
        <row r="30">
          <cell r="B30">
            <v>323</v>
          </cell>
          <cell r="C30" t="str">
            <v>Top Tier</v>
          </cell>
          <cell r="D30" t="str">
            <v>에이스파이낸스</v>
          </cell>
          <cell r="E30" t="str">
            <v>ACE Finance Co.</v>
          </cell>
          <cell r="F30" t="str">
            <v>Other</v>
          </cell>
        </row>
        <row r="31">
          <cell r="B31">
            <v>324</v>
          </cell>
          <cell r="C31" t="str">
            <v>Top Tier</v>
          </cell>
          <cell r="D31" t="str">
            <v>신한모방</v>
          </cell>
          <cell r="E31" t="str">
            <v>Shinhan textile co. Ltd</v>
          </cell>
          <cell r="F31" t="str">
            <v>Court Receivership</v>
          </cell>
        </row>
        <row r="32">
          <cell r="B32">
            <v>325</v>
          </cell>
          <cell r="C32" t="str">
            <v>Top Tier</v>
          </cell>
          <cell r="D32" t="str">
            <v>뉴맥스</v>
          </cell>
          <cell r="E32" t="str">
            <v>NEWMAX Co.</v>
          </cell>
          <cell r="F32" t="str">
            <v>Composition</v>
          </cell>
        </row>
        <row r="33">
          <cell r="B33">
            <v>326</v>
          </cell>
          <cell r="C33" t="str">
            <v>Top Tier</v>
          </cell>
          <cell r="D33" t="str">
            <v>(주)시대수산</v>
          </cell>
          <cell r="E33" t="str">
            <v>Si-Dae fishery. Co. Ltd.</v>
          </cell>
          <cell r="F33" t="str">
            <v>Other</v>
          </cell>
        </row>
        <row r="34">
          <cell r="B34">
            <v>327</v>
          </cell>
          <cell r="C34" t="str">
            <v>Top Tier</v>
          </cell>
          <cell r="D34" t="str">
            <v>셰프라인</v>
          </cell>
          <cell r="E34" t="str">
            <v>Chefline</v>
          </cell>
          <cell r="F34" t="str">
            <v>Composition</v>
          </cell>
        </row>
        <row r="35">
          <cell r="B35">
            <v>328</v>
          </cell>
          <cell r="C35" t="str">
            <v>Top Tier</v>
          </cell>
          <cell r="D35" t="str">
            <v>대동주택</v>
          </cell>
          <cell r="E35" t="str">
            <v>Daedong Jutaek</v>
          </cell>
          <cell r="F35" t="str">
            <v>Composition</v>
          </cell>
        </row>
        <row r="36">
          <cell r="B36">
            <v>329</v>
          </cell>
          <cell r="C36" t="str">
            <v>Top Tier</v>
          </cell>
          <cell r="D36" t="str">
            <v>(주)해태유통</v>
          </cell>
          <cell r="E36" t="str">
            <v>HAITAI STORES CO., LTD.</v>
          </cell>
          <cell r="F36" t="str">
            <v>법정관리미인가</v>
          </cell>
        </row>
        <row r="37">
          <cell r="B37">
            <v>330</v>
          </cell>
          <cell r="C37" t="str">
            <v>Top Tier</v>
          </cell>
          <cell r="D37" t="str">
            <v>통일중공업</v>
          </cell>
          <cell r="E37" t="str">
            <v>Tongil heavy industry Co., Ltd</v>
          </cell>
          <cell r="F37" t="str">
            <v>Court Receivership</v>
          </cell>
        </row>
        <row r="38">
          <cell r="B38">
            <v>331</v>
          </cell>
          <cell r="C38" t="str">
            <v>Top Tier</v>
          </cell>
          <cell r="D38" t="str">
            <v>장천</v>
          </cell>
          <cell r="E38" t="str">
            <v>Jangcheon</v>
          </cell>
          <cell r="F38" t="str">
            <v>Composition</v>
          </cell>
        </row>
        <row r="39">
          <cell r="B39">
            <v>332</v>
          </cell>
          <cell r="C39" t="str">
            <v>Top Tier</v>
          </cell>
          <cell r="D39" t="str">
            <v>대흥산업</v>
          </cell>
          <cell r="E39" t="str">
            <v>Daeheung Industrial Co., Ltd.</v>
          </cell>
          <cell r="F39" t="str">
            <v>Court Receivership</v>
          </cell>
        </row>
        <row r="40">
          <cell r="B40">
            <v>333</v>
          </cell>
          <cell r="C40" t="str">
            <v>Top Tier</v>
          </cell>
          <cell r="D40" t="str">
            <v>우성식품</v>
          </cell>
          <cell r="E40" t="str">
            <v>Woosung Food Co., Ltd.</v>
          </cell>
          <cell r="F40" t="str">
            <v>Composition</v>
          </cell>
        </row>
        <row r="41">
          <cell r="B41">
            <v>334</v>
          </cell>
          <cell r="C41" t="str">
            <v>Top Tier</v>
          </cell>
          <cell r="D41" t="str">
            <v>(주)동서가구</v>
          </cell>
          <cell r="E41" t="str">
            <v>Dongsuh furniture co., Ltd</v>
          </cell>
          <cell r="F41" t="str">
            <v>Composition</v>
          </cell>
        </row>
        <row r="42">
          <cell r="B42">
            <v>335</v>
          </cell>
          <cell r="C42" t="str">
            <v>Top Tier</v>
          </cell>
          <cell r="D42" t="str">
            <v>(주) 바로크 가구</v>
          </cell>
          <cell r="E42" t="str">
            <v>Barok Furinture</v>
          </cell>
          <cell r="F42" t="str">
            <v>Composition</v>
          </cell>
        </row>
        <row r="43">
          <cell r="B43">
            <v>201</v>
          </cell>
          <cell r="C43" t="str">
            <v>Low Tier</v>
          </cell>
          <cell r="D43" t="str">
            <v>서호건설</v>
          </cell>
          <cell r="E43" t="str">
            <v>Seoho Construction Co.,Ltd</v>
          </cell>
          <cell r="F43" t="str">
            <v>Composition</v>
          </cell>
        </row>
        <row r="44">
          <cell r="B44">
            <v>202</v>
          </cell>
          <cell r="C44" t="str">
            <v>Low Tier</v>
          </cell>
          <cell r="D44" t="str">
            <v>(주)미화당</v>
          </cell>
          <cell r="E44" t="str">
            <v>MI HWA DANG</v>
          </cell>
          <cell r="F44" t="str">
            <v>Composition</v>
          </cell>
        </row>
        <row r="45">
          <cell r="B45">
            <v>203</v>
          </cell>
          <cell r="C45" t="str">
            <v>Low Tier</v>
          </cell>
          <cell r="D45" t="str">
            <v>세계물산</v>
          </cell>
          <cell r="E45" t="str">
            <v>SEGYE CORPORATION</v>
          </cell>
          <cell r="F45" t="str">
            <v>법정관리미인가</v>
          </cell>
        </row>
        <row r="46">
          <cell r="B46">
            <v>204</v>
          </cell>
          <cell r="C46" t="str">
            <v>Low Tier</v>
          </cell>
          <cell r="D46" t="str">
            <v>(주)덕산종합건설</v>
          </cell>
          <cell r="E46" t="str">
            <v>Duksan</v>
          </cell>
          <cell r="F46" t="str">
            <v>Composition</v>
          </cell>
        </row>
        <row r="47">
          <cell r="B47">
            <v>205</v>
          </cell>
          <cell r="C47" t="str">
            <v>Low Tier</v>
          </cell>
          <cell r="D47" t="str">
            <v>삼협개발</v>
          </cell>
          <cell r="E47" t="str">
            <v>Samhyop Development Corp.</v>
          </cell>
          <cell r="F47" t="str">
            <v>Composition</v>
          </cell>
        </row>
        <row r="48">
          <cell r="B48">
            <v>206</v>
          </cell>
          <cell r="C48" t="str">
            <v>Low Tier</v>
          </cell>
          <cell r="D48" t="str">
            <v>한라자원</v>
          </cell>
          <cell r="E48" t="str">
            <v>HALLA RESOURCES</v>
          </cell>
          <cell r="F48" t="str">
            <v>Other</v>
          </cell>
        </row>
        <row r="49">
          <cell r="B49">
            <v>207</v>
          </cell>
          <cell r="C49" t="str">
            <v>Low Tier</v>
          </cell>
          <cell r="D49" t="str">
            <v>진양농산(주)</v>
          </cell>
          <cell r="E49" t="str">
            <v>JIN YANG AGRICULTURAL CO., LTD.</v>
          </cell>
          <cell r="F49" t="str">
            <v>Composition</v>
          </cell>
        </row>
        <row r="50">
          <cell r="B50">
            <v>208</v>
          </cell>
          <cell r="C50" t="str">
            <v>Low Tier</v>
          </cell>
          <cell r="D50" t="str">
            <v>신원종합개발(주)</v>
          </cell>
          <cell r="E50" t="str">
            <v>Shinwon Construction Co.,Ltd</v>
          </cell>
          <cell r="F50" t="str">
            <v>Court Receivership</v>
          </cell>
        </row>
        <row r="51">
          <cell r="B51">
            <v>209</v>
          </cell>
          <cell r="C51" t="str">
            <v>Low Tier</v>
          </cell>
          <cell r="D51" t="str">
            <v>대림금속공업(주)</v>
          </cell>
          <cell r="E51" t="str">
            <v>DAE RIM POWDER METALLURGY CO., LTD.</v>
          </cell>
          <cell r="F51" t="str">
            <v>Composition</v>
          </cell>
        </row>
        <row r="52">
          <cell r="B52">
            <v>210</v>
          </cell>
          <cell r="C52" t="str">
            <v>Low Tier</v>
          </cell>
          <cell r="D52" t="str">
            <v>(주)서광</v>
          </cell>
          <cell r="E52" t="str">
            <v>Sukwang</v>
          </cell>
          <cell r="F52" t="str">
            <v>Composition</v>
          </cell>
        </row>
        <row r="53">
          <cell r="B53">
            <v>211</v>
          </cell>
          <cell r="C53" t="str">
            <v>Low Tier</v>
          </cell>
          <cell r="D53" t="str">
            <v>(주)광림</v>
          </cell>
          <cell r="E53" t="str">
            <v>KwangLim Corp.</v>
          </cell>
          <cell r="F53" t="str">
            <v>Composition</v>
          </cell>
        </row>
        <row r="54">
          <cell r="B54">
            <v>212</v>
          </cell>
          <cell r="C54" t="str">
            <v>Low Tier</v>
          </cell>
          <cell r="D54" t="str">
            <v>태왕개발</v>
          </cell>
          <cell r="E54" t="str">
            <v>TAI WANG DEVELOPMENT CO.LTD. OLYMPIA HOTEL SEOUL</v>
          </cell>
          <cell r="F54" t="str">
            <v>Composition</v>
          </cell>
        </row>
        <row r="55">
          <cell r="B55">
            <v>213</v>
          </cell>
          <cell r="C55" t="str">
            <v>Low Tier</v>
          </cell>
          <cell r="D55" t="str">
            <v>서륭산업</v>
          </cell>
          <cell r="E55" t="str">
            <v>Seoruyng Industry</v>
          </cell>
          <cell r="F55" t="str">
            <v>Court Receivership</v>
          </cell>
        </row>
        <row r="56">
          <cell r="B56">
            <v>214</v>
          </cell>
          <cell r="C56" t="str">
            <v>Low Tier</v>
          </cell>
          <cell r="D56" t="str">
            <v>길훈종합건설</v>
          </cell>
          <cell r="E56" t="str">
            <v>KIL HOON CONSTRUCTION CO., LTD.</v>
          </cell>
          <cell r="F56" t="str">
            <v>Composition</v>
          </cell>
        </row>
        <row r="57">
          <cell r="B57">
            <v>215</v>
          </cell>
          <cell r="C57" t="str">
            <v>Low Tier</v>
          </cell>
          <cell r="D57" t="str">
            <v>대륭산업</v>
          </cell>
          <cell r="E57" t="str">
            <v>Dae Ryung</v>
          </cell>
          <cell r="F57" t="str">
            <v>Composition</v>
          </cell>
        </row>
        <row r="58">
          <cell r="B58">
            <v>216</v>
          </cell>
          <cell r="C58" t="str">
            <v>Low Tier</v>
          </cell>
          <cell r="D58" t="str">
            <v>제일기연</v>
          </cell>
          <cell r="E58" t="str">
            <v>jaeilkiyeon</v>
          </cell>
          <cell r="F58" t="str">
            <v>Composition</v>
          </cell>
        </row>
        <row r="59">
          <cell r="B59">
            <v>217</v>
          </cell>
          <cell r="C59" t="str">
            <v>Low Tier</v>
          </cell>
          <cell r="D59" t="str">
            <v>(주)대동</v>
          </cell>
          <cell r="E59" t="str">
            <v>DaeDong Construction Co.Ltd</v>
          </cell>
          <cell r="F59" t="str">
            <v>Composition</v>
          </cell>
        </row>
        <row r="60">
          <cell r="B60">
            <v>218</v>
          </cell>
          <cell r="C60" t="str">
            <v>Low Tier</v>
          </cell>
          <cell r="D60" t="str">
            <v>(주)동양차체</v>
          </cell>
          <cell r="E60" t="str">
            <v>DongYang Auto Body Co.,Ltd</v>
          </cell>
          <cell r="F60" t="str">
            <v>Composition</v>
          </cell>
        </row>
        <row r="61">
          <cell r="B61">
            <v>219</v>
          </cell>
          <cell r="C61" t="str">
            <v>Low Tier</v>
          </cell>
          <cell r="D61" t="str">
            <v>기린</v>
          </cell>
          <cell r="E61" t="str">
            <v>Kirin</v>
          </cell>
          <cell r="F61" t="str">
            <v>Composition</v>
          </cell>
        </row>
        <row r="62">
          <cell r="B62">
            <v>220</v>
          </cell>
          <cell r="C62" t="str">
            <v>Low Tier</v>
          </cell>
          <cell r="D62" t="str">
            <v>(주)성문국제</v>
          </cell>
          <cell r="E62" t="str">
            <v>SungMoon International</v>
          </cell>
          <cell r="F62" t="str">
            <v>Other</v>
          </cell>
        </row>
        <row r="63">
          <cell r="B63">
            <v>221</v>
          </cell>
          <cell r="C63" t="str">
            <v>Low Tier</v>
          </cell>
          <cell r="D63" t="str">
            <v>(주)아이시스</v>
          </cell>
          <cell r="E63" t="str">
            <v>AISIS</v>
          </cell>
          <cell r="F63" t="str">
            <v>Other</v>
          </cell>
        </row>
        <row r="64">
          <cell r="B64">
            <v>222</v>
          </cell>
          <cell r="C64" t="str">
            <v>Low Tier</v>
          </cell>
          <cell r="D64" t="str">
            <v>자유건설</v>
          </cell>
          <cell r="E64" t="str">
            <v>Ja Yu Construction  Company</v>
          </cell>
          <cell r="F64" t="str">
            <v>Composition</v>
          </cell>
        </row>
        <row r="65">
          <cell r="B65">
            <v>224</v>
          </cell>
          <cell r="C65" t="str">
            <v>Low Tier</v>
          </cell>
          <cell r="D65" t="str">
            <v>(주)삼산</v>
          </cell>
          <cell r="E65" t="str">
            <v>Samsan</v>
          </cell>
          <cell r="F65" t="str">
            <v>Composition</v>
          </cell>
        </row>
        <row r="66">
          <cell r="B66">
            <v>225</v>
          </cell>
          <cell r="C66" t="str">
            <v>Low Tier</v>
          </cell>
          <cell r="D66" t="str">
            <v>(주)제우기계</v>
          </cell>
          <cell r="E66" t="str">
            <v>Jaewoo Machinary Corp.</v>
          </cell>
          <cell r="F66" t="str">
            <v>Composition</v>
          </cell>
        </row>
        <row r="67">
          <cell r="B67">
            <v>226</v>
          </cell>
          <cell r="C67" t="str">
            <v>Low Tier</v>
          </cell>
          <cell r="D67" t="str">
            <v>(주)부림</v>
          </cell>
          <cell r="E67" t="str">
            <v>Burim</v>
          </cell>
          <cell r="F67" t="str">
            <v>Composition</v>
          </cell>
        </row>
        <row r="68">
          <cell r="B68">
            <v>227</v>
          </cell>
          <cell r="C68" t="str">
            <v>Low Tier</v>
          </cell>
          <cell r="D68" t="str">
            <v>삼보건설기계산업</v>
          </cell>
          <cell r="E68" t="str">
            <v xml:space="preserve">Sam Bo Indurstry  </v>
          </cell>
          <cell r="F68" t="str">
            <v>Other</v>
          </cell>
        </row>
        <row r="69">
          <cell r="B69">
            <v>228</v>
          </cell>
          <cell r="C69" t="str">
            <v>Low Tier</v>
          </cell>
          <cell r="D69" t="str">
            <v>(주)시대물산</v>
          </cell>
          <cell r="E69" t="str">
            <v>Si-Dae production. Co. Ltd.</v>
          </cell>
          <cell r="F69" t="str">
            <v>Other</v>
          </cell>
        </row>
        <row r="70">
          <cell r="B70">
            <v>229</v>
          </cell>
          <cell r="C70" t="str">
            <v>Low Tier</v>
          </cell>
          <cell r="D70" t="str">
            <v>제일기전</v>
          </cell>
          <cell r="E70" t="str">
            <v>Jaeil Machine and Machinary Incorp.</v>
          </cell>
          <cell r="F70" t="str">
            <v>Other</v>
          </cell>
        </row>
        <row r="71">
          <cell r="B71">
            <v>230</v>
          </cell>
          <cell r="C71" t="str">
            <v>Low Tier</v>
          </cell>
          <cell r="D71" t="str">
            <v>(주)신한</v>
          </cell>
          <cell r="E71" t="str">
            <v>SHINHAN ENG.&amp;CONST. CO., LTD.</v>
          </cell>
          <cell r="F71" t="str">
            <v>법정관리미인가</v>
          </cell>
        </row>
        <row r="72">
          <cell r="B72">
            <v>231</v>
          </cell>
          <cell r="C72" t="str">
            <v>Low Tier</v>
          </cell>
          <cell r="D72" t="str">
            <v>명신종합건설</v>
          </cell>
          <cell r="E72" t="str">
            <v>MyungShin Construction Corporatoin</v>
          </cell>
          <cell r="F72" t="str">
            <v>Composition</v>
          </cell>
        </row>
        <row r="73">
          <cell r="B73">
            <v>232</v>
          </cell>
          <cell r="C73" t="str">
            <v>Low Tier</v>
          </cell>
          <cell r="D73" t="str">
            <v>(주)부산동부시외버스정류장</v>
          </cell>
          <cell r="E73" t="str">
            <v>Pusan Express Bus Terminal</v>
          </cell>
          <cell r="F73" t="str">
            <v>Composition</v>
          </cell>
        </row>
        <row r="74">
          <cell r="B74">
            <v>233</v>
          </cell>
          <cell r="C74" t="str">
            <v>Low Tier</v>
          </cell>
          <cell r="D74" t="str">
            <v>(주)시대축산</v>
          </cell>
          <cell r="E74" t="str">
            <v>Si-Dae livestock. Co. Ltd.</v>
          </cell>
          <cell r="F74" t="str">
            <v>Other</v>
          </cell>
        </row>
        <row r="75">
          <cell r="B75">
            <v>234</v>
          </cell>
          <cell r="C75" t="str">
            <v>Low Tier</v>
          </cell>
          <cell r="D75" t="str">
            <v>대보전자부품</v>
          </cell>
          <cell r="E75" t="str">
            <v xml:space="preserve">Dae Bo Electronic Components </v>
          </cell>
          <cell r="F75" t="str">
            <v>Composition</v>
          </cell>
        </row>
        <row r="76">
          <cell r="B76">
            <v>235</v>
          </cell>
          <cell r="C76" t="str">
            <v>Low Tier</v>
          </cell>
          <cell r="D76" t="str">
            <v>화승</v>
          </cell>
          <cell r="E76" t="str">
            <v>Hwaseung</v>
          </cell>
          <cell r="F76" t="str">
            <v>Composition</v>
          </cell>
        </row>
        <row r="77">
          <cell r="B77">
            <v>236</v>
          </cell>
          <cell r="C77" t="str">
            <v>Low Tier</v>
          </cell>
          <cell r="D77" t="str">
            <v>(주)화승관광개발</v>
          </cell>
          <cell r="E77" t="str">
            <v>Hwaseung Tours Inc.</v>
          </cell>
          <cell r="F77" t="str">
            <v>Other</v>
          </cell>
        </row>
        <row r="78">
          <cell r="B78">
            <v>237</v>
          </cell>
          <cell r="C78" t="str">
            <v>Low Tier</v>
          </cell>
          <cell r="D78" t="str">
            <v>영수물산(주)</v>
          </cell>
          <cell r="E78" t="str">
            <v>YOUNGSOO MULSAN CO., LTD.</v>
          </cell>
          <cell r="F78" t="str">
            <v>Composition</v>
          </cell>
        </row>
        <row r="79">
          <cell r="B79">
            <v>238</v>
          </cell>
          <cell r="C79" t="str">
            <v>Low Tier</v>
          </cell>
          <cell r="D79" t="str">
            <v>서호주정공업</v>
          </cell>
          <cell r="E79" t="str">
            <v xml:space="preserve">Seoho Jujeong </v>
          </cell>
          <cell r="F79" t="str">
            <v>Composition</v>
          </cell>
        </row>
        <row r="80">
          <cell r="B80">
            <v>239</v>
          </cell>
          <cell r="C80" t="str">
            <v>Low Tier</v>
          </cell>
          <cell r="D80" t="str">
            <v>일진산업</v>
          </cell>
          <cell r="E80" t="str">
            <v>Iljin industry</v>
          </cell>
          <cell r="F80" t="str">
            <v>Other</v>
          </cell>
        </row>
        <row r="81">
          <cell r="B81">
            <v>240</v>
          </cell>
          <cell r="C81" t="str">
            <v>Low Tier</v>
          </cell>
          <cell r="D81" t="str">
            <v>동흥</v>
          </cell>
          <cell r="E81" t="str">
            <v>DongHeung</v>
          </cell>
          <cell r="F81" t="str">
            <v>Other</v>
          </cell>
        </row>
        <row r="82">
          <cell r="B82">
            <v>241</v>
          </cell>
          <cell r="C82" t="str">
            <v>Low Tier</v>
          </cell>
          <cell r="D82" t="str">
            <v>기린화학</v>
          </cell>
          <cell r="E82" t="str">
            <v>kirincemical</v>
          </cell>
          <cell r="F82" t="str">
            <v>Court Receivership</v>
          </cell>
        </row>
        <row r="83">
          <cell r="B83">
            <v>101</v>
          </cell>
          <cell r="C83" t="str">
            <v>Low Tier</v>
          </cell>
          <cell r="D83" t="str">
            <v>금강공업(주)</v>
          </cell>
          <cell r="E83" t="str">
            <v xml:space="preserve">KUMKANG INDUSTRY CO., LTD. </v>
          </cell>
          <cell r="F83" t="str">
            <v>Composition</v>
          </cell>
        </row>
        <row r="84">
          <cell r="B84">
            <v>102</v>
          </cell>
          <cell r="C84" t="str">
            <v>Low Tier</v>
          </cell>
          <cell r="D84" t="str">
            <v>달재화학(주)</v>
          </cell>
          <cell r="E84" t="str">
            <v xml:space="preserve">KOREA MINERAL FEED CO., LTD. </v>
          </cell>
          <cell r="F84" t="str">
            <v>Court Receivership</v>
          </cell>
        </row>
        <row r="85">
          <cell r="B85">
            <v>103</v>
          </cell>
          <cell r="C85" t="str">
            <v>Low Tier</v>
          </cell>
          <cell r="D85" t="str">
            <v>영진약품공업(주)</v>
          </cell>
          <cell r="E85" t="str">
            <v>YOUNG JIN PHARM. CO.,LTD.</v>
          </cell>
          <cell r="F85" t="str">
            <v>Composition</v>
          </cell>
        </row>
        <row r="86">
          <cell r="B86">
            <v>104</v>
          </cell>
          <cell r="C86" t="str">
            <v>Low Tier</v>
          </cell>
          <cell r="D86" t="str">
            <v>건영통상</v>
          </cell>
          <cell r="E86" t="str">
            <v>Kun Young Trading Co., Ltd.</v>
          </cell>
          <cell r="F86" t="str">
            <v>Composition</v>
          </cell>
        </row>
        <row r="87">
          <cell r="B87">
            <v>105</v>
          </cell>
          <cell r="C87" t="str">
            <v>Low Tier</v>
          </cell>
          <cell r="D87" t="str">
            <v>(주)대양인슈</v>
          </cell>
          <cell r="E87" t="str">
            <v>Daeyang Insue</v>
          </cell>
          <cell r="F87" t="str">
            <v>Composition</v>
          </cell>
        </row>
        <row r="88">
          <cell r="B88">
            <v>106</v>
          </cell>
          <cell r="C88" t="str">
            <v>Low Tier</v>
          </cell>
          <cell r="D88" t="str">
            <v>(주)일신석재</v>
          </cell>
          <cell r="E88" t="str">
            <v>ILSHIN STONE Co,.Ltd.</v>
          </cell>
          <cell r="F88" t="str">
            <v>Court Receivership</v>
          </cell>
        </row>
        <row r="89">
          <cell r="B89">
            <v>107</v>
          </cell>
          <cell r="C89" t="str">
            <v>Low Tier</v>
          </cell>
          <cell r="D89" t="str">
            <v>기아특수강(주)</v>
          </cell>
          <cell r="E89" t="str">
            <v>Kia steel Co., Ltd.</v>
          </cell>
          <cell r="F89" t="str">
            <v>Court Receivership</v>
          </cell>
        </row>
        <row r="90">
          <cell r="B90">
            <v>108</v>
          </cell>
          <cell r="C90" t="str">
            <v>Low Tier</v>
          </cell>
          <cell r="D90" t="str">
            <v>(주)유니크</v>
          </cell>
          <cell r="E90" t="str">
            <v>UNICK CORPORATION</v>
          </cell>
          <cell r="F90" t="str">
            <v>Composition</v>
          </cell>
        </row>
        <row r="91">
          <cell r="B91">
            <v>109</v>
          </cell>
          <cell r="C91" t="str">
            <v>Low Tier</v>
          </cell>
          <cell r="D91" t="str">
            <v>삼지기업</v>
          </cell>
          <cell r="E91" t="str">
            <v>Samji Company</v>
          </cell>
          <cell r="F91" t="str">
            <v>화의미인가</v>
          </cell>
        </row>
        <row r="92">
          <cell r="B92">
            <v>110</v>
          </cell>
          <cell r="C92" t="str">
            <v>Low Tier</v>
          </cell>
          <cell r="D92" t="str">
            <v>정진전자(주)</v>
          </cell>
          <cell r="E92" t="str">
            <v>Jungjin Co.</v>
          </cell>
          <cell r="F92" t="str">
            <v>Other</v>
          </cell>
        </row>
        <row r="93">
          <cell r="B93">
            <v>111</v>
          </cell>
          <cell r="C93" t="str">
            <v>Low Tier</v>
          </cell>
          <cell r="D93" t="str">
            <v>동우섬유(주)</v>
          </cell>
          <cell r="E93" t="str">
            <v>DONG WOO TEXTILE CO. LTD</v>
          </cell>
          <cell r="F93" t="str">
            <v>화의미인가</v>
          </cell>
        </row>
        <row r="94">
          <cell r="B94">
            <v>112</v>
          </cell>
          <cell r="C94" t="str">
            <v>Low Tier</v>
          </cell>
          <cell r="D94" t="str">
            <v>(주)우진상역</v>
          </cell>
          <cell r="E94" t="str">
            <v>Woojin Co.</v>
          </cell>
          <cell r="F94" t="str">
            <v>Other</v>
          </cell>
        </row>
        <row r="95">
          <cell r="B95">
            <v>113</v>
          </cell>
          <cell r="C95" t="str">
            <v>Low Tier</v>
          </cell>
          <cell r="D95" t="str">
            <v>모텍코리아</v>
          </cell>
          <cell r="E95" t="str">
            <v>KIA MOTECH CO., LTD.</v>
          </cell>
          <cell r="F95" t="str">
            <v>Composition</v>
          </cell>
        </row>
        <row r="96">
          <cell r="B96">
            <v>115</v>
          </cell>
          <cell r="C96" t="str">
            <v>Low Tier</v>
          </cell>
          <cell r="D96" t="str">
            <v>태강산업</v>
          </cell>
          <cell r="E96" t="str">
            <v>Taekang Industry</v>
          </cell>
          <cell r="F96" t="str">
            <v>Composition</v>
          </cell>
        </row>
        <row r="97">
          <cell r="B97">
            <v>116</v>
          </cell>
          <cell r="C97" t="str">
            <v>Low Tier</v>
          </cell>
          <cell r="D97" t="str">
            <v>(주)쥬리아</v>
          </cell>
          <cell r="E97" t="str">
            <v>JULIA COSMETICS Co., LTD.</v>
          </cell>
          <cell r="F97" t="str">
            <v>Composition</v>
          </cell>
        </row>
        <row r="98">
          <cell r="B98">
            <v>117</v>
          </cell>
          <cell r="C98" t="str">
            <v>Low Tier</v>
          </cell>
          <cell r="D98" t="str">
            <v>(주)루벤스</v>
          </cell>
          <cell r="E98" t="str">
            <v>Rubens</v>
          </cell>
          <cell r="F98" t="str">
            <v>Other</v>
          </cell>
        </row>
        <row r="99">
          <cell r="B99">
            <v>118</v>
          </cell>
          <cell r="C99" t="str">
            <v>Low Tier</v>
          </cell>
          <cell r="D99" t="str">
            <v>고려무역</v>
          </cell>
          <cell r="E99" t="str">
            <v>KOREA TRADING INTERNATIONAL INC.</v>
          </cell>
          <cell r="F99" t="str">
            <v>Other</v>
          </cell>
        </row>
        <row r="100">
          <cell r="B100">
            <v>119</v>
          </cell>
          <cell r="C100" t="str">
            <v>Low Tier</v>
          </cell>
          <cell r="D100" t="str">
            <v>세연산업(주)</v>
          </cell>
          <cell r="E100" t="str">
            <v>SEYON CO.,LTD.</v>
          </cell>
          <cell r="F100" t="str">
            <v>Composition</v>
          </cell>
        </row>
        <row r="101">
          <cell r="B101">
            <v>120</v>
          </cell>
          <cell r="C101" t="str">
            <v>Low Tier</v>
          </cell>
          <cell r="D101" t="str">
            <v>부민상호신용금고</v>
          </cell>
          <cell r="E101" t="str">
            <v>BUMIN MUTUAL SAVING'S &amp; FINANCE CO.,LTD.</v>
          </cell>
          <cell r="F101" t="str">
            <v>Other</v>
          </cell>
        </row>
        <row r="102">
          <cell r="B102">
            <v>121</v>
          </cell>
          <cell r="C102" t="str">
            <v>Low Tier</v>
          </cell>
          <cell r="D102" t="str">
            <v>(주)수산특장</v>
          </cell>
          <cell r="E102" t="str">
            <v>Soosan Purpose Vehicle Co., Ltd.</v>
          </cell>
          <cell r="F102" t="str">
            <v>Court Receivership</v>
          </cell>
        </row>
        <row r="103">
          <cell r="B103">
            <v>122</v>
          </cell>
          <cell r="C103" t="str">
            <v>Low Tier</v>
          </cell>
          <cell r="D103" t="str">
            <v>국제정공(주)</v>
          </cell>
          <cell r="E103" t="str">
            <v>KUKJE PRECISION  &amp; IND CO,. LTD.</v>
          </cell>
          <cell r="F103" t="str">
            <v>Court Receivership</v>
          </cell>
        </row>
        <row r="104">
          <cell r="B104">
            <v>123</v>
          </cell>
          <cell r="C104" t="str">
            <v>Low Tier</v>
          </cell>
          <cell r="D104" t="str">
            <v>(주)지티비</v>
          </cell>
          <cell r="E104" t="str">
            <v>G TV LTD</v>
          </cell>
          <cell r="F104" t="str">
            <v>Other</v>
          </cell>
        </row>
        <row r="105">
          <cell r="B105">
            <v>124</v>
          </cell>
          <cell r="C105" t="str">
            <v>Low Tier</v>
          </cell>
          <cell r="D105" t="str">
            <v>대동기공</v>
          </cell>
          <cell r="E105" t="str">
            <v xml:space="preserve">DAI DONG ENTERPRISE CO., LTD. </v>
          </cell>
          <cell r="F105" t="str">
            <v>Composition</v>
          </cell>
        </row>
        <row r="106">
          <cell r="B106">
            <v>125</v>
          </cell>
          <cell r="C106" t="str">
            <v>Low Tier</v>
          </cell>
          <cell r="D106" t="str">
            <v>동아정밀공업(주)</v>
          </cell>
          <cell r="E106" t="str">
            <v>Dong Ah Precision Industry</v>
          </cell>
          <cell r="F106" t="str">
            <v>화의미인가</v>
          </cell>
        </row>
        <row r="107">
          <cell r="B107">
            <v>126</v>
          </cell>
          <cell r="C107" t="str">
            <v>Low Tier</v>
          </cell>
          <cell r="D107" t="str">
            <v>해강산기(주)</v>
          </cell>
          <cell r="E107" t="str">
            <v xml:space="preserve">HAEKANG INDUSTRIAL MACHINERY CO.,LTD. </v>
          </cell>
          <cell r="F107" t="str">
            <v>Composition</v>
          </cell>
        </row>
        <row r="108">
          <cell r="B108">
            <v>127</v>
          </cell>
          <cell r="C108" t="str">
            <v>Low Tier</v>
          </cell>
          <cell r="D108" t="str">
            <v>세원금속</v>
          </cell>
          <cell r="E108" t="str">
            <v>Seiwon Hard Facing Co., Ltd.</v>
          </cell>
          <cell r="F108" t="str">
            <v>Composition</v>
          </cell>
        </row>
        <row r="109">
          <cell r="B109">
            <v>128</v>
          </cell>
          <cell r="C109" t="str">
            <v>Low Tier</v>
          </cell>
          <cell r="D109" t="str">
            <v>청구조선공업(주)</v>
          </cell>
          <cell r="E109" t="str">
            <v>Cheungku Marine Industrial CO., LTD.</v>
          </cell>
          <cell r="F109" t="str">
            <v>Other</v>
          </cell>
        </row>
        <row r="110">
          <cell r="B110">
            <v>129</v>
          </cell>
          <cell r="C110" t="str">
            <v>Low Tier</v>
          </cell>
          <cell r="D110" t="str">
            <v>세프라인금속</v>
          </cell>
          <cell r="E110" t="str">
            <v>Chefline Kumsok</v>
          </cell>
          <cell r="F110" t="str">
            <v>Composition</v>
          </cell>
        </row>
        <row r="111">
          <cell r="B111">
            <v>130</v>
          </cell>
          <cell r="C111" t="str">
            <v>Low Tier</v>
          </cell>
          <cell r="D111" t="str">
            <v>성원산업개발(주)</v>
          </cell>
          <cell r="E111" t="str">
            <v>Sungwon Industry Development Co.,Ltd</v>
          </cell>
          <cell r="F111" t="str">
            <v>Composition</v>
          </cell>
        </row>
        <row r="112">
          <cell r="B112">
            <v>131</v>
          </cell>
          <cell r="C112" t="str">
            <v>Low Tier</v>
          </cell>
          <cell r="D112" t="str">
            <v>삼원전자(주)</v>
          </cell>
          <cell r="E112" t="str">
            <v xml:space="preserve">SAMWON ELECTRONICS, INC. </v>
          </cell>
          <cell r="F112" t="str">
            <v>Composition</v>
          </cell>
        </row>
        <row r="113">
          <cell r="B113">
            <v>132</v>
          </cell>
          <cell r="C113" t="str">
            <v>Low Tier</v>
          </cell>
          <cell r="D113" t="str">
            <v>코리아아사히전자</v>
          </cell>
          <cell r="E113" t="str">
            <v>Korea Asahi Electronics co.</v>
          </cell>
          <cell r="F113" t="str">
            <v>Other</v>
          </cell>
        </row>
        <row r="114">
          <cell r="B114">
            <v>133</v>
          </cell>
          <cell r="C114" t="str">
            <v>Low Tier</v>
          </cell>
          <cell r="D114" t="str">
            <v>(주)고려원</v>
          </cell>
          <cell r="E114" t="str">
            <v>Koreaone Press, Inc.</v>
          </cell>
          <cell r="F114" t="str">
            <v>Composition</v>
          </cell>
        </row>
        <row r="115">
          <cell r="B115">
            <v>134</v>
          </cell>
          <cell r="C115" t="str">
            <v>Low Tier</v>
          </cell>
          <cell r="D115" t="str">
            <v>구삼제강(주)</v>
          </cell>
          <cell r="E115" t="str">
            <v>Gusam steel MFG.CO</v>
          </cell>
          <cell r="F115" t="str">
            <v>Composition</v>
          </cell>
        </row>
        <row r="116">
          <cell r="B116">
            <v>135</v>
          </cell>
          <cell r="C116" t="str">
            <v>Low Tier</v>
          </cell>
          <cell r="D116" t="str">
            <v>금남건철(주)</v>
          </cell>
          <cell r="E116" t="str">
            <v>KEUMNAM METAL WOF</v>
          </cell>
          <cell r="F116" t="str">
            <v>화의미인가</v>
          </cell>
        </row>
        <row r="117">
          <cell r="B117">
            <v>136</v>
          </cell>
          <cell r="C117" t="str">
            <v>Low Tier</v>
          </cell>
          <cell r="D117" t="str">
            <v>(주)세우</v>
          </cell>
          <cell r="E117" t="str">
            <v>SE WOO CO., LTD.</v>
          </cell>
          <cell r="F117" t="str">
            <v>Composition</v>
          </cell>
        </row>
        <row r="118">
          <cell r="B118">
            <v>137</v>
          </cell>
          <cell r="C118" t="str">
            <v>Low Tier</v>
          </cell>
          <cell r="D118" t="str">
            <v>훼미리</v>
          </cell>
          <cell r="E118" t="str">
            <v>Family Co.,Ltd.</v>
          </cell>
          <cell r="F118" t="str">
            <v>Composition</v>
          </cell>
        </row>
        <row r="119">
          <cell r="B119">
            <v>138</v>
          </cell>
          <cell r="C119" t="str">
            <v>Low Tier</v>
          </cell>
          <cell r="D119" t="str">
            <v>가파치</v>
          </cell>
          <cell r="E119" t="str">
            <v>Capacci</v>
          </cell>
          <cell r="F119" t="str">
            <v>Composition</v>
          </cell>
        </row>
        <row r="120">
          <cell r="B120">
            <v>139</v>
          </cell>
          <cell r="C120" t="str">
            <v>Low Tier</v>
          </cell>
          <cell r="D120" t="str">
            <v>주식회사 고리</v>
          </cell>
          <cell r="E120" t="str">
            <v>GOLEE CO.,LTD.</v>
          </cell>
          <cell r="F120" t="str">
            <v>Court Receivership</v>
          </cell>
        </row>
        <row r="121">
          <cell r="B121">
            <v>140</v>
          </cell>
          <cell r="C121" t="str">
            <v>Low Tier</v>
          </cell>
          <cell r="D121" t="str">
            <v>통일실업(주)</v>
          </cell>
          <cell r="E121" t="str">
            <v xml:space="preserve">Tongil </v>
          </cell>
          <cell r="F121" t="str">
            <v>Other</v>
          </cell>
        </row>
        <row r="122">
          <cell r="B122">
            <v>141</v>
          </cell>
          <cell r="C122" t="str">
            <v>Low Tier</v>
          </cell>
          <cell r="D122" t="str">
            <v>삼신</v>
          </cell>
          <cell r="E122" t="str">
            <v>Samshin Co., Ltd.</v>
          </cell>
          <cell r="F122" t="str">
            <v>Composition</v>
          </cell>
        </row>
        <row r="123">
          <cell r="B123">
            <v>142</v>
          </cell>
          <cell r="C123" t="str">
            <v>Low Tier</v>
          </cell>
          <cell r="D123" t="str">
            <v>훈진산업</v>
          </cell>
          <cell r="E123" t="str">
            <v>Hoonjin Co.</v>
          </cell>
          <cell r="F123" t="str">
            <v>Composition</v>
          </cell>
        </row>
        <row r="124">
          <cell r="B124">
            <v>143</v>
          </cell>
          <cell r="C124" t="str">
            <v>Low Tier</v>
          </cell>
          <cell r="D124" t="str">
            <v>태양스포츠</v>
          </cell>
          <cell r="E124" t="str">
            <v>Sun Sports</v>
          </cell>
          <cell r="F124" t="str">
            <v>Composition</v>
          </cell>
        </row>
        <row r="125">
          <cell r="B125">
            <v>144</v>
          </cell>
          <cell r="C125" t="str">
            <v>Low Tier</v>
          </cell>
          <cell r="D125" t="str">
            <v>(주) 모닝글로리</v>
          </cell>
          <cell r="E125" t="str">
            <v>MORNING GLORY CO.,LTD</v>
          </cell>
          <cell r="F125" t="str">
            <v>Composition</v>
          </cell>
        </row>
        <row r="126">
          <cell r="B126">
            <v>145</v>
          </cell>
          <cell r="C126" t="str">
            <v>Low Tier</v>
          </cell>
          <cell r="D126" t="str">
            <v>세화(주)</v>
          </cell>
          <cell r="E126" t="str">
            <v>Sewha</v>
          </cell>
          <cell r="F126" t="str">
            <v>Composition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alendar"/>
      <sheetName val="Planning"/>
      <sheetName val="Schedule(안)"/>
      <sheetName val="Settings"/>
      <sheetName val="Schedule(은행송부용)"/>
      <sheetName val="Working Group"/>
      <sheetName val="Pool관련"/>
    </sheetNames>
    <sheetDataSet>
      <sheetData sheetId="0"/>
      <sheetData sheetId="1" refreshError="1">
        <row r="3">
          <cell r="C3">
            <v>11</v>
          </cell>
          <cell r="F3">
            <v>2012</v>
          </cell>
        </row>
        <row r="8">
          <cell r="A8" t="str">
            <v/>
          </cell>
          <cell r="C8" t="str">
            <v/>
          </cell>
          <cell r="E8" t="str">
            <v/>
          </cell>
          <cell r="G8" t="str">
            <v/>
          </cell>
          <cell r="I8">
            <v>41214</v>
          </cell>
          <cell r="K8">
            <v>41215</v>
          </cell>
          <cell r="M8">
            <v>41216</v>
          </cell>
        </row>
        <row r="14">
          <cell r="A14">
            <v>41217</v>
          </cell>
          <cell r="C14">
            <v>41218</v>
          </cell>
          <cell r="E14">
            <v>41219</v>
          </cell>
          <cell r="G14">
            <v>41220</v>
          </cell>
          <cell r="I14">
            <v>41221</v>
          </cell>
          <cell r="K14">
            <v>41222</v>
          </cell>
          <cell r="M14">
            <v>41223</v>
          </cell>
        </row>
        <row r="20">
          <cell r="A20">
            <v>41224</v>
          </cell>
          <cell r="C20">
            <v>41225</v>
          </cell>
          <cell r="E20">
            <v>41226</v>
          </cell>
          <cell r="G20">
            <v>41227</v>
          </cell>
          <cell r="I20">
            <v>41228</v>
          </cell>
          <cell r="K20">
            <v>41229</v>
          </cell>
          <cell r="M20">
            <v>41230</v>
          </cell>
        </row>
        <row r="26">
          <cell r="A26">
            <v>41231</v>
          </cell>
          <cell r="C26">
            <v>41232</v>
          </cell>
          <cell r="E26">
            <v>41233</v>
          </cell>
          <cell r="G26">
            <v>41234</v>
          </cell>
          <cell r="I26">
            <v>41235</v>
          </cell>
          <cell r="K26">
            <v>41236</v>
          </cell>
          <cell r="M26">
            <v>41237</v>
          </cell>
        </row>
        <row r="32">
          <cell r="A32">
            <v>41238</v>
          </cell>
          <cell r="C32">
            <v>41239</v>
          </cell>
          <cell r="E32">
            <v>41240</v>
          </cell>
          <cell r="G32">
            <v>41241</v>
          </cell>
          <cell r="I32">
            <v>41242</v>
          </cell>
          <cell r="K32">
            <v>41243</v>
          </cell>
          <cell r="M32" t="str">
            <v/>
          </cell>
        </row>
        <row r="38">
          <cell r="A38" t="str">
            <v/>
          </cell>
          <cell r="C38" t="str">
            <v/>
          </cell>
        </row>
      </sheetData>
      <sheetData sheetId="2"/>
      <sheetData sheetId="3"/>
      <sheetData sheetId="4" refreshError="1">
        <row r="5">
          <cell r="C5" t="str">
            <v>January</v>
          </cell>
        </row>
        <row r="6">
          <cell r="C6" t="str">
            <v>February</v>
          </cell>
          <cell r="G6" t="str">
            <v>November</v>
          </cell>
        </row>
        <row r="7">
          <cell r="C7" t="str">
            <v>March</v>
          </cell>
          <cell r="G7">
            <v>41214</v>
          </cell>
        </row>
        <row r="8">
          <cell r="C8" t="str">
            <v>April</v>
          </cell>
          <cell r="G8">
            <v>5</v>
          </cell>
        </row>
        <row r="9">
          <cell r="C9" t="str">
            <v>May</v>
          </cell>
          <cell r="G9">
            <v>41183</v>
          </cell>
        </row>
        <row r="10">
          <cell r="C10" t="str">
            <v>June</v>
          </cell>
          <cell r="G10" t="str">
            <v>October</v>
          </cell>
        </row>
        <row r="11">
          <cell r="C11" t="str">
            <v>July</v>
          </cell>
          <cell r="G11">
            <v>41244</v>
          </cell>
        </row>
        <row r="12">
          <cell r="C12" t="str">
            <v>August</v>
          </cell>
          <cell r="G12" t="str">
            <v>December</v>
          </cell>
        </row>
        <row r="13">
          <cell r="C13" t="str">
            <v>September</v>
          </cell>
          <cell r="G13" t="b">
            <v>0</v>
          </cell>
        </row>
        <row r="14">
          <cell r="C14" t="str">
            <v>October</v>
          </cell>
        </row>
        <row r="15">
          <cell r="C15" t="str">
            <v>November</v>
          </cell>
        </row>
        <row r="16">
          <cell r="C16" t="str">
            <v>December</v>
          </cell>
        </row>
      </sheetData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리스크"/>
      <sheetName val="B1.1"/>
      <sheetName val="B1.2"/>
      <sheetName val="B1.3"/>
      <sheetName val="B2.1"/>
      <sheetName val="B2.2"/>
      <sheetName val="B2.3"/>
      <sheetName val="B2.3-p"/>
      <sheetName val="B2.4"/>
      <sheetName val="B4.1"/>
      <sheetName val="B4.2"/>
      <sheetName val="소매LGD세그별"/>
      <sheetName val="신용카드"/>
      <sheetName val="소매론풀별"/>
      <sheetName val="소매론풀별참조"/>
      <sheetName val="상품종합별"/>
      <sheetName val="채권"/>
      <sheetName val="주식"/>
      <sheetName val="대출"/>
      <sheetName val="수익증권"/>
      <sheetName val="수익증권세부"/>
      <sheetName val="부외"/>
      <sheetName val="파생"/>
      <sheetName val="콜론예치금"/>
      <sheetName val="원본신탁"/>
      <sheetName val="유가증권(조합)"/>
      <sheetName val="조직별"/>
      <sheetName val="회계별"/>
      <sheetName val="A1.1"/>
      <sheetName val="차주특성별"/>
      <sheetName val="개별차주"/>
      <sheetName val="산업별"/>
      <sheetName val="산업별p"/>
      <sheetName val="등급별"/>
      <sheetName val="등급별P"/>
      <sheetName val="소매PD세그별"/>
      <sheetName val="소매자금별"/>
      <sheetName val="A1"/>
      <sheetName val="A2"/>
      <sheetName val="A3"/>
      <sheetName val="A4"/>
      <sheetName val="00.08계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대금리"/>
      <sheetName val="check"/>
      <sheetName val="확인서"/>
      <sheetName val="별제권_정리담보권"/>
      <sheetName val="화의채권_정리채권"/>
      <sheetName val="전체 통합"/>
      <sheetName val="계약서상Schedule"/>
    </sheetNames>
    <sheetDataSet>
      <sheetData sheetId="0" refreshError="1"/>
      <sheetData sheetId="1" refreshError="1"/>
      <sheetData sheetId="2" refreshError="1">
        <row r="10">
          <cell r="G10" t="str">
            <v>9７-조흥-４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2311 재무제표검토 Worksheet의 워크시트"/>
      <sheetName val="Data"/>
      <sheetName val="단기차입금"/>
      <sheetName val="백암비스타내역"/>
      <sheetName val="만기"/>
      <sheetName val="WACC"/>
      <sheetName val="8220"/>
      <sheetName val="XREF"/>
      <sheetName val="Assumption"/>
      <sheetName val="Sheet3"/>
      <sheetName val="Sheet1 (3)"/>
      <sheetName val="1995년 섹터별 매출"/>
      <sheetName val="대출금"/>
      <sheetName val="97년추정손익계산서"/>
      <sheetName val="확인서"/>
      <sheetName val="A"/>
      <sheetName val="Balance Sheet"/>
      <sheetName val="Income Statement"/>
      <sheetName val="수정시산표"/>
      <sheetName val="Inputs"/>
      <sheetName val="39기"/>
      <sheetName val="공통비"/>
      <sheetName val="Variables"/>
      <sheetName val="COMPS"/>
      <sheetName val="손익1월"/>
      <sheetName val="월 Capa"/>
      <sheetName val="경수97.02"/>
      <sheetName val="건물"/>
      <sheetName val="StandAlne"/>
      <sheetName val="00.08계정"/>
      <sheetName val="10월 급여"/>
      <sheetName val="소매_신용"/>
      <sheetName val="특정상품(비소매)"/>
      <sheetName val="비소매신용"/>
      <sheetName val="직공비"/>
      <sheetName val="T진도"/>
      <sheetName val="pre-anal손익계산서"/>
      <sheetName val="pre-anal대차대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신전산소항목시산표(5월)"/>
      <sheetName val="관세구분시트"/>
      <sheetName val="1_當期시산표"/>
      <sheetName val="Borrower"/>
      <sheetName val="세부"/>
      <sheetName val="COM"/>
      <sheetName val="HK-I"/>
      <sheetName val="INT-I"/>
      <sheetName val="RSCH"/>
      <sheetName val="TR"/>
      <sheetName val="대차대조표-공시형"/>
      <sheetName val="C-Lead"/>
      <sheetName val="1.외주공사"/>
      <sheetName val="2.직영공사"/>
      <sheetName val="SALE&amp;COST"/>
      <sheetName val="FTE"/>
      <sheetName val="Asset9809CAK"/>
      <sheetName val="대환취급"/>
      <sheetName val="종합일지"/>
      <sheetName val="Condition"/>
      <sheetName val="노무비"/>
      <sheetName val="krsec08"/>
      <sheetName val="Sheet2"/>
      <sheetName val="Code"/>
      <sheetName val="General Assumptions"/>
      <sheetName val="Reference2"/>
      <sheetName val="KeyMultInputs"/>
      <sheetName val="forecasted_BS"/>
      <sheetName val="forecasted_IS"/>
      <sheetName val="Vega"/>
      <sheetName val="Heading"/>
      <sheetName val="sap`04.7.14"/>
      <sheetName val="AKL"/>
      <sheetName val="July."/>
      <sheetName val="System"/>
      <sheetName val="Tables"/>
      <sheetName val="KMT물량"/>
      <sheetName val="VB_100-Lead"/>
      <sheetName val="C100 LEAD"/>
      <sheetName val="108.수선비"/>
      <sheetName val="시산표"/>
      <sheetName val="Customer"/>
      <sheetName val="Sales"/>
      <sheetName val="index"/>
      <sheetName val="Sheet1 (2)"/>
      <sheetName val="Start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PACKING"/>
      <sheetName val="기본 상수"/>
      <sheetName val="수입2"/>
      <sheetName val="A1"/>
      <sheetName val="source"/>
      <sheetName val="유화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f_BS"/>
      <sheetName val="f_IS"/>
      <sheetName val="기타현황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K-Lead"/>
      <sheetName val="Accts"/>
      <sheetName val="Menu data"/>
      <sheetName val="FY0201"/>
      <sheetName val="국외감가상각내역0103"/>
      <sheetName val="1-1"/>
      <sheetName val="월미수수익집계표"/>
      <sheetName val="감가상각비"/>
      <sheetName val="부서자료"/>
      <sheetName val="고정자산원본"/>
      <sheetName val="96실용"/>
      <sheetName val="입찰"/>
      <sheetName val="총상담"/>
      <sheetName val="현경"/>
      <sheetName val="TEMP1"/>
      <sheetName val="TEMP2"/>
      <sheetName val="ss"/>
      <sheetName val="Com-Button"/>
      <sheetName val="Ratios"/>
      <sheetName val="Sheet5"/>
      <sheetName val="Sheet6 (3)"/>
      <sheetName val="3. BSC NC ratio"/>
      <sheetName val="PO4 - Staff Exp"/>
      <sheetName val="합병분개 Adj"/>
      <sheetName val="반기_유가증권"/>
      <sheetName val="종목코드"/>
      <sheetName val="내역"/>
      <sheetName val="무형"/>
      <sheetName val="제품마스타"/>
      <sheetName val="FS"/>
      <sheetName val="PPC기"/>
      <sheetName val="소기"/>
      <sheetName val="대기"/>
      <sheetName val="합기"/>
      <sheetName val="메뉴얼1(기본정보)"/>
      <sheetName val="3110-2"/>
      <sheetName val="Controls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NO.2-1"/>
      <sheetName val="급여지급"/>
      <sheetName val="0.1 KEY ASSUMPTIONS"/>
      <sheetName val="0.2 SCENARIO"/>
      <sheetName val="0. CONTROL"/>
      <sheetName val="Lists"/>
      <sheetName val="Payout-HurdleNotReached"/>
      <sheetName val="Incentive_Paid_Out"/>
      <sheetName val="Pay Out Tables"/>
      <sheetName val="Sales_Rep_Details"/>
      <sheetName val="Actual_Sales_Results"/>
      <sheetName val="조직도_99"/>
      <sheetName val="Sensitivity"/>
      <sheetName val="서식시트"/>
      <sheetName val="1. PS_bond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SALTAB97"/>
      <sheetName val="Chart"/>
      <sheetName val="채권조회서 Roll-forward test"/>
      <sheetName val="GM&amp;NA"/>
      <sheetName val="General Memo"/>
      <sheetName val="감가상각"/>
      <sheetName val="영업CF적용방안선택"/>
      <sheetName val="수입"/>
      <sheetName val="Sheet01S"/>
      <sheetName val="InformationPartag?"/>
      <sheetName val="Stock d'id?s"/>
      <sheetName val="Donn?s Flux"/>
      <sheetName val="Hypotheses"/>
      <sheetName val="부외부채"/>
      <sheetName val="UNIT"/>
      <sheetName val="Supply DB"/>
      <sheetName val="Demand DB"/>
      <sheetName val="도금1 (2)"/>
      <sheetName val="F라인"/>
      <sheetName val="Cover Page"/>
      <sheetName val="1.PJT등록의뢰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"/>
      <sheetName val="가공비명세"/>
      <sheetName val="자재비명세"/>
      <sheetName val="제품입출고"/>
      <sheetName val="재공품재고"/>
      <sheetName val="콤보박스와 리스트박스의 연결"/>
      <sheetName val="증감내역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J00"/>
      <sheetName val="분석1"/>
      <sheetName val="완성차 미수금"/>
      <sheetName val="경제성분석"/>
      <sheetName val="당기TB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AN94RIG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InformationPartag_"/>
      <sheetName val="Stock d'id_s"/>
      <sheetName val="Donn_s Flux"/>
      <sheetName val="성화"/>
      <sheetName val="2000년_#1_HB"/>
      <sheetName val="Cost-Bud"/>
      <sheetName val="Turnover-Bud"/>
      <sheetName val="Vol-Bud"/>
      <sheetName val="수불7월"/>
      <sheetName val="p-memo"/>
      <sheetName val="FSPS(US$)"/>
      <sheetName val="avgSens"/>
      <sheetName val="OPA Mid_Bid Spread Adjustment"/>
      <sheetName val="폐토수익화_1"/>
      <sheetName val="Notes "/>
      <sheetName val="9609Aß"/>
      <sheetName val="cus"/>
      <sheetName val="기본정보"/>
      <sheetName val="addl cost"/>
      <sheetName val="accumdeprn"/>
      <sheetName val="업무분장 "/>
    </sheetNames>
    <sheetDataSet>
      <sheetData sheetId="0">
        <row r="2">
          <cell r="E2">
            <v>0.2</v>
          </cell>
        </row>
      </sheetData>
      <sheetData sheetId="1">
        <row r="2">
          <cell r="E2">
            <v>0.2</v>
          </cell>
        </row>
      </sheetData>
      <sheetData sheetId="2" refreshError="1"/>
      <sheetData sheetId="3" refreshError="1"/>
      <sheetData sheetId="4" refreshError="1"/>
      <sheetData sheetId="5">
        <row r="2">
          <cell r="E2">
            <v>0.2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E2">
            <v>0.2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>
        <row r="2">
          <cell r="E2">
            <v>0.2</v>
          </cell>
        </row>
      </sheetData>
      <sheetData sheetId="25">
        <row r="2">
          <cell r="E2">
            <v>0.2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check list"/>
      <sheetName val="BI"/>
      <sheetName val="BI_2"/>
      <sheetName val="CD_ Sum"/>
      <sheetName val="CD_Sch"/>
      <sheetName val="차입금"/>
      <sheetName val="SD_List"/>
      <sheetName val="SD_Sch"/>
      <sheetName val="SD_His"/>
      <sheetName val="G"/>
      <sheetName val="Collateral"/>
      <sheetName val="Lien"/>
      <sheetName val="other collateral"/>
      <sheetName val="추정FS제시"/>
      <sheetName val="감가상각비추정"/>
      <sheetName val="Cash in"/>
      <sheetName val="Valuation(new)"/>
      <sheetName val="Valuation"/>
      <sheetName val="Valuation (2)"/>
      <sheetName val="Sale추정"/>
      <sheetName val="청산가치 추정"/>
      <sheetName val="담보제공자료"/>
      <sheetName val="Confirmation_1"/>
      <sheetName val="Confirmation_2"/>
      <sheetName val="시나리오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2">
          <cell r="B92">
            <v>37186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 t="str">
            <v>Loan Account</v>
          </cell>
          <cell r="D1" t="str">
            <v>Currency</v>
          </cell>
        </row>
        <row r="2">
          <cell r="B2" t="str">
            <v>당좌예금</v>
          </cell>
          <cell r="D2" t="str">
            <v>KRW</v>
          </cell>
        </row>
        <row r="3">
          <cell r="B3" t="str">
            <v>일반대출</v>
          </cell>
          <cell r="D3" t="str">
            <v>USD</v>
          </cell>
        </row>
        <row r="4">
          <cell r="B4" t="str">
            <v>장기대출1</v>
          </cell>
          <cell r="D4" t="str">
            <v>JPY</v>
          </cell>
        </row>
        <row r="5">
          <cell r="B5" t="str">
            <v>장기대출2</v>
          </cell>
          <cell r="D5" t="str">
            <v>HKD</v>
          </cell>
        </row>
        <row r="6">
          <cell r="B6" t="str">
            <v>장기대출3</v>
          </cell>
        </row>
        <row r="7">
          <cell r="B7" t="str">
            <v>장기대출4</v>
          </cell>
        </row>
        <row r="8">
          <cell r="B8" t="str">
            <v>단기대여금</v>
          </cell>
        </row>
        <row r="9">
          <cell r="B9" t="str">
            <v>장기대출6</v>
          </cell>
        </row>
        <row r="10">
          <cell r="B10" t="str">
            <v>장기대출7</v>
          </cell>
        </row>
        <row r="11">
          <cell r="B11" t="str">
            <v>장기대출8</v>
          </cell>
        </row>
        <row r="12">
          <cell r="B12" t="str">
            <v>기일경과어음</v>
          </cell>
        </row>
        <row r="13">
          <cell r="B13" t="str">
            <v>대지급금</v>
          </cell>
        </row>
        <row r="14">
          <cell r="B14" t="str">
            <v>기타</v>
          </cell>
        </row>
        <row r="15">
          <cell r="B15" t="str">
            <v>출자전환주식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Working Paper"/>
      <sheetName val="Variable"/>
      <sheetName val="보고"/>
      <sheetName val="Variables"/>
      <sheetName val="00.08계정"/>
      <sheetName val="소매_신용"/>
      <sheetName val="특정상품(비소매)"/>
      <sheetName val="비소매신용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소매_신용"/>
      <sheetName val="특정상품(비소매)"/>
      <sheetName val="비소매신용"/>
      <sheetName val="forecasted_BS"/>
      <sheetName val="forecasted_IS"/>
      <sheetName val="일수"/>
      <sheetName val="001"/>
      <sheetName val=" 견적서"/>
      <sheetName val="Assumption"/>
      <sheetName val="권리분석"/>
      <sheetName val="기초자료(20010831)"/>
      <sheetName val="Assumptions"/>
      <sheetName val="CF_Inves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#REF!"/>
      <sheetName val="반기_유가증권"/>
      <sheetName val="#REF"/>
      <sheetName val="Macro1"/>
      <sheetName val="HERO01"/>
      <sheetName val="배부표"/>
      <sheetName val="STC3"/>
      <sheetName val="XREF"/>
      <sheetName val="000 김양섭 O"/>
      <sheetName val="개인별장비관리"/>
      <sheetName val="301  금성근"/>
      <sheetName val="현금예금"/>
      <sheetName val="임차보증금현황04.6.30"/>
      <sheetName val="대출품의"/>
      <sheetName val="예수금"/>
      <sheetName val="해외기평"/>
      <sheetName val="BS"/>
      <sheetName val="11.17-11.23"/>
      <sheetName val="11.24-11.30"/>
      <sheetName val="CMA_Calculations"/>
      <sheetName val="부실채권"/>
      <sheetName val="본부예산"/>
      <sheetName val="손익합산"/>
      <sheetName val="Links"/>
      <sheetName val="basic_info"/>
      <sheetName val="Lead"/>
      <sheetName val="Security"/>
      <sheetName val="Sheet1"/>
      <sheetName val="합판1-4"/>
      <sheetName val="Sensitivity 3 Yrs"/>
      <sheetName val="이익처분"/>
      <sheetName val="기계"/>
      <sheetName val="매도가능 기타"/>
      <sheetName val="기준"/>
      <sheetName val="data"/>
      <sheetName val="보증어음분류"/>
      <sheetName val="사모사채분류"/>
      <sheetName val="개인법인구분"/>
      <sheetName val="현금"/>
      <sheetName val="인건비"/>
      <sheetName val="Reprice GAP"/>
      <sheetName val="충주"/>
      <sheetName val="Sales"/>
      <sheetName val="forecasted_BS"/>
      <sheetName val="forecasted_IS"/>
      <sheetName val="10K4"/>
      <sheetName val="수정시산표"/>
      <sheetName val="종합일지"/>
      <sheetName val="주요기준"/>
      <sheetName val="뒤차축소"/>
      <sheetName val="제품분류코드"/>
      <sheetName val="Sheet2"/>
      <sheetName val="공통비"/>
      <sheetName val="Cashflow(spc)ABCP"/>
      <sheetName val="2006_Reval"/>
      <sheetName val="매출채권"/>
      <sheetName val="A (3)"/>
      <sheetName val="대환취급"/>
      <sheetName val="월별합산"/>
      <sheetName val="대차대조표"/>
      <sheetName val="환율"/>
      <sheetName val="Assumptions"/>
      <sheetName val="NORMAL"/>
      <sheetName val="평잔"/>
      <sheetName val="Ⅱ1-0타"/>
      <sheetName val="계획"/>
      <sheetName val="적심사표"/>
      <sheetName val="계수Raw"/>
      <sheetName val="신전산소항목시산표(5월)"/>
      <sheetName val="입력자료"/>
      <sheetName val="WPL"/>
      <sheetName val="감평-수정완료"/>
      <sheetName val="COMPS"/>
      <sheetName val="RE9604"/>
      <sheetName val="옥분수불"/>
      <sheetName val="PickLists"/>
      <sheetName val="Parameters"/>
      <sheetName val="상용_mp"/>
      <sheetName val="概算報告書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SUMMARY"/>
      <sheetName val="손익계산서"/>
      <sheetName val="AA200"/>
      <sheetName val="대신증권"/>
      <sheetName val="월별생산"/>
      <sheetName val="요약"/>
      <sheetName val="YHCODE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인근점포"/>
      <sheetName val="15160 ARTT"/>
      <sheetName val="조건"/>
      <sheetName val="수정분개"/>
      <sheetName val="000_김양섭_O2"/>
      <sheetName val="301__금성근2"/>
      <sheetName val="임차보증금현황04_6_302"/>
      <sheetName val="11_17-11_232"/>
      <sheetName val="11_24-11_302"/>
      <sheetName val="Sensitivity_3_Yrs2"/>
      <sheetName val="매도가능_기타2"/>
      <sheetName val="Reprice_GAP2"/>
      <sheetName val="A_(3)2"/>
      <sheetName val="업체개요"/>
      <sheetName val="000_김양섭_O4"/>
      <sheetName val="301__금성근4"/>
      <sheetName val="임차보증금현황04_6_304"/>
      <sheetName val="11_17-11_234"/>
      <sheetName val="11_24-11_304"/>
      <sheetName val="Sensitivity_3_Yrs4"/>
      <sheetName val="매도가능_기타4"/>
      <sheetName val="Reprice_GAP4"/>
      <sheetName val="A_(3)4"/>
      <sheetName val="000_김양섭_O3"/>
      <sheetName val="301__금성근3"/>
      <sheetName val="임차보증금현황04_6_303"/>
      <sheetName val="11_17-11_233"/>
      <sheetName val="11_24-11_303"/>
      <sheetName val="Sensitivity_3_Yrs3"/>
      <sheetName val="매도가능_기타3"/>
      <sheetName val="Reprice_GAP3"/>
      <sheetName val="A_(3)3"/>
      <sheetName val="이름정의"/>
      <sheetName val="Code"/>
      <sheetName val="Basic_Inform"/>
      <sheetName val="GetYld"/>
      <sheetName val="경영실적"/>
      <sheetName val="별제권_정리담보권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의사항"/>
      <sheetName val="설명"/>
      <sheetName val="history_old"/>
      <sheetName val="vertical_list_0"/>
      <sheetName val="유효등급리스트"/>
      <sheetName val="연초연말리스트"/>
      <sheetName val="전산_부실리스트"/>
      <sheetName val="부실리스트1"/>
      <sheetName val="configure"/>
      <sheetName val="소매_신용"/>
      <sheetName val="국외감가상각내역0103"/>
      <sheetName val="Sheet1"/>
      <sheetName val="Borrower"/>
      <sheetName val="반기_유가증권"/>
      <sheetName val="본부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1">
          <cell r="A41" t="str">
            <v>rating1</v>
          </cell>
          <cell r="B41" t="str">
            <v>rating2</v>
          </cell>
        </row>
        <row r="42">
          <cell r="A42" t="str">
            <v>등급</v>
          </cell>
          <cell r="B42" t="str">
            <v>수치</v>
          </cell>
        </row>
        <row r="43">
          <cell r="A43" t="str">
            <v>AAA</v>
          </cell>
          <cell r="B43">
            <v>20</v>
          </cell>
        </row>
        <row r="44">
          <cell r="A44" t="str">
            <v>AA+</v>
          </cell>
          <cell r="B44">
            <v>19</v>
          </cell>
        </row>
        <row r="45">
          <cell r="A45" t="str">
            <v>AA</v>
          </cell>
          <cell r="B45">
            <v>18</v>
          </cell>
        </row>
        <row r="46">
          <cell r="A46" t="str">
            <v>AA-</v>
          </cell>
          <cell r="B46">
            <v>17</v>
          </cell>
        </row>
        <row r="47">
          <cell r="A47" t="str">
            <v>A+</v>
          </cell>
          <cell r="B47">
            <v>16</v>
          </cell>
        </row>
        <row r="48">
          <cell r="A48" t="str">
            <v>A</v>
          </cell>
          <cell r="B48">
            <v>15</v>
          </cell>
        </row>
        <row r="49">
          <cell r="A49" t="str">
            <v>A-</v>
          </cell>
          <cell r="B49">
            <v>14</v>
          </cell>
        </row>
        <row r="50">
          <cell r="A50" t="str">
            <v>BBB+</v>
          </cell>
          <cell r="B50">
            <v>13</v>
          </cell>
        </row>
        <row r="51">
          <cell r="A51" t="str">
            <v>BBB</v>
          </cell>
          <cell r="B51">
            <v>12</v>
          </cell>
        </row>
        <row r="52">
          <cell r="A52" t="str">
            <v>BBB-</v>
          </cell>
          <cell r="B52">
            <v>11</v>
          </cell>
        </row>
        <row r="53">
          <cell r="A53" t="str">
            <v>BB+</v>
          </cell>
          <cell r="B53">
            <v>10</v>
          </cell>
        </row>
        <row r="54">
          <cell r="A54" t="str">
            <v>BB</v>
          </cell>
          <cell r="B54">
            <v>9</v>
          </cell>
        </row>
        <row r="55">
          <cell r="A55" t="str">
            <v>BB-</v>
          </cell>
          <cell r="B55">
            <v>8</v>
          </cell>
        </row>
        <row r="56">
          <cell r="A56" t="str">
            <v>B+</v>
          </cell>
          <cell r="B56">
            <v>7</v>
          </cell>
        </row>
        <row r="57">
          <cell r="A57" t="str">
            <v>B</v>
          </cell>
          <cell r="B57">
            <v>6</v>
          </cell>
        </row>
        <row r="58">
          <cell r="A58" t="str">
            <v>B-</v>
          </cell>
          <cell r="B58">
            <v>5</v>
          </cell>
        </row>
        <row r="59">
          <cell r="A59" t="str">
            <v>CCC</v>
          </cell>
          <cell r="B59">
            <v>4</v>
          </cell>
        </row>
        <row r="60">
          <cell r="A60" t="str">
            <v>CC</v>
          </cell>
          <cell r="B60">
            <v>3</v>
          </cell>
        </row>
        <row r="61">
          <cell r="A61" t="str">
            <v>C</v>
          </cell>
          <cell r="B61">
            <v>2</v>
          </cell>
        </row>
        <row r="62">
          <cell r="A62" t="str">
            <v>D</v>
          </cell>
          <cell r="B62">
            <v>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기준"/>
      <sheetName val="경매(A)"/>
      <sheetName val="경매(B)"/>
      <sheetName val="경매(C)"/>
      <sheetName val="낙찰(A)"/>
      <sheetName val="낙찰(B)"/>
      <sheetName val="낙찰(C)"/>
      <sheetName val="코드"/>
      <sheetName val="채권"/>
      <sheetName val="기초"/>
      <sheetName val="설정"/>
      <sheetName val="낙찰율"/>
      <sheetName val="configure"/>
    </sheetNames>
    <sheetDataSet>
      <sheetData sheetId="0"/>
      <sheetData sheetId="1"/>
      <sheetData sheetId="2"/>
      <sheetData sheetId="3" refreshError="1">
        <row r="13">
          <cell r="B13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석"/>
      <sheetName val="파생상품"/>
      <sheetName val="파생리드"/>
      <sheetName val="자본조정"/>
      <sheetName val="사채잔액"/>
      <sheetName val="YHCODE"/>
      <sheetName val="반기_유가증권"/>
      <sheetName val="form_14-3"/>
      <sheetName val="부장급 명단"/>
      <sheetName val="Main"/>
      <sheetName val="기준"/>
      <sheetName val="configure"/>
      <sheetName val="Control Sheet"/>
      <sheetName val="소매_신용"/>
      <sheetName val="Property"/>
      <sheetName val="국외감가상각내역010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대금리"/>
      <sheetName val="check"/>
      <sheetName val="확인서"/>
      <sheetName val="별제권_정리담보권1"/>
      <sheetName val="별제권_정리담보권2"/>
      <sheetName val="별제권_정리담보권"/>
      <sheetName val="화의채권_정리채권"/>
      <sheetName val="전체 통합"/>
      <sheetName val="계약서상Schedule"/>
    </sheetNames>
    <sheetDataSet>
      <sheetData sheetId="0" refreshError="1"/>
      <sheetData sheetId="1" refreshError="1"/>
      <sheetData sheetId="2" refreshError="1"/>
      <sheetData sheetId="3" refreshError="1">
        <row r="24">
          <cell r="T24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O44">
            <v>0</v>
          </cell>
          <cell r="T44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627829000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627829000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3">
          <cell r="T93">
            <v>627829000</v>
          </cell>
        </row>
        <row r="94">
          <cell r="T94">
            <v>0</v>
          </cell>
        </row>
        <row r="95">
          <cell r="T95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627829000</v>
          </cell>
        </row>
        <row r="106">
          <cell r="T106">
            <v>0</v>
          </cell>
        </row>
        <row r="107">
          <cell r="T107">
            <v>0</v>
          </cell>
        </row>
        <row r="108">
          <cell r="T108">
            <v>0</v>
          </cell>
        </row>
        <row r="109">
          <cell r="T109">
            <v>0</v>
          </cell>
        </row>
        <row r="110">
          <cell r="T110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0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17">
          <cell r="T117">
            <v>627829000</v>
          </cell>
        </row>
        <row r="118">
          <cell r="T118">
            <v>0</v>
          </cell>
        </row>
        <row r="119">
          <cell r="T119">
            <v>0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0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29">
          <cell r="T129">
            <v>642956930</v>
          </cell>
        </row>
        <row r="130">
          <cell r="T130">
            <v>0</v>
          </cell>
        </row>
        <row r="131">
          <cell r="T131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0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1">
          <cell r="T141">
            <v>0</v>
          </cell>
        </row>
        <row r="142">
          <cell r="T142">
            <v>0</v>
          </cell>
        </row>
        <row r="143">
          <cell r="T143">
            <v>0</v>
          </cell>
        </row>
        <row r="144">
          <cell r="T144">
            <v>0</v>
          </cell>
        </row>
        <row r="145">
          <cell r="T145">
            <v>0</v>
          </cell>
        </row>
        <row r="146">
          <cell r="T146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0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53">
          <cell r="T153">
            <v>0</v>
          </cell>
        </row>
        <row r="154">
          <cell r="T154">
            <v>0</v>
          </cell>
        </row>
        <row r="155">
          <cell r="T155">
            <v>0</v>
          </cell>
        </row>
        <row r="156">
          <cell r="T156">
            <v>0</v>
          </cell>
        </row>
        <row r="157">
          <cell r="T157">
            <v>0</v>
          </cell>
        </row>
        <row r="158">
          <cell r="T158">
            <v>0</v>
          </cell>
        </row>
        <row r="159">
          <cell r="T159">
            <v>0</v>
          </cell>
        </row>
        <row r="160">
          <cell r="T160">
            <v>0</v>
          </cell>
        </row>
        <row r="161">
          <cell r="T161">
            <v>0</v>
          </cell>
        </row>
        <row r="162">
          <cell r="T162">
            <v>0</v>
          </cell>
        </row>
        <row r="163">
          <cell r="T163">
            <v>0</v>
          </cell>
        </row>
        <row r="164">
          <cell r="T164">
            <v>0</v>
          </cell>
        </row>
        <row r="165">
          <cell r="T165">
            <v>0</v>
          </cell>
        </row>
        <row r="166">
          <cell r="T166">
            <v>0</v>
          </cell>
        </row>
        <row r="167">
          <cell r="T167">
            <v>0</v>
          </cell>
        </row>
        <row r="168">
          <cell r="T168">
            <v>0</v>
          </cell>
        </row>
        <row r="169">
          <cell r="T169">
            <v>0</v>
          </cell>
        </row>
        <row r="170">
          <cell r="T170">
            <v>0</v>
          </cell>
        </row>
        <row r="171">
          <cell r="T171">
            <v>0</v>
          </cell>
        </row>
        <row r="172">
          <cell r="T172">
            <v>0</v>
          </cell>
        </row>
        <row r="173">
          <cell r="T173">
            <v>0</v>
          </cell>
        </row>
        <row r="174">
          <cell r="T174">
            <v>0</v>
          </cell>
        </row>
        <row r="175">
          <cell r="T175">
            <v>0</v>
          </cell>
        </row>
        <row r="176">
          <cell r="T176">
            <v>0</v>
          </cell>
        </row>
        <row r="177">
          <cell r="T177">
            <v>0</v>
          </cell>
        </row>
        <row r="178">
          <cell r="T178">
            <v>0</v>
          </cell>
        </row>
        <row r="179">
          <cell r="T179">
            <v>0</v>
          </cell>
        </row>
        <row r="180">
          <cell r="T180">
            <v>0</v>
          </cell>
        </row>
        <row r="181">
          <cell r="T181">
            <v>0</v>
          </cell>
        </row>
        <row r="182">
          <cell r="T182">
            <v>0</v>
          </cell>
        </row>
        <row r="183">
          <cell r="T183">
            <v>0</v>
          </cell>
        </row>
        <row r="184">
          <cell r="T184">
            <v>0</v>
          </cell>
        </row>
        <row r="185">
          <cell r="T185">
            <v>0</v>
          </cell>
        </row>
        <row r="186">
          <cell r="T186">
            <v>0</v>
          </cell>
        </row>
        <row r="187">
          <cell r="T187">
            <v>0</v>
          </cell>
        </row>
        <row r="188">
          <cell r="T188">
            <v>0</v>
          </cell>
        </row>
        <row r="189">
          <cell r="T189">
            <v>0</v>
          </cell>
        </row>
        <row r="190">
          <cell r="T190">
            <v>0</v>
          </cell>
        </row>
        <row r="191">
          <cell r="T191">
            <v>0</v>
          </cell>
        </row>
        <row r="192">
          <cell r="T192">
            <v>0</v>
          </cell>
        </row>
        <row r="193">
          <cell r="T193">
            <v>0</v>
          </cell>
        </row>
        <row r="194">
          <cell r="T194">
            <v>0</v>
          </cell>
        </row>
        <row r="195">
          <cell r="T195">
            <v>0</v>
          </cell>
        </row>
        <row r="196">
          <cell r="T196">
            <v>0</v>
          </cell>
        </row>
        <row r="197">
          <cell r="T197">
            <v>0</v>
          </cell>
        </row>
        <row r="198">
          <cell r="T198">
            <v>0</v>
          </cell>
        </row>
        <row r="199">
          <cell r="T199">
            <v>0</v>
          </cell>
        </row>
        <row r="200">
          <cell r="T200">
            <v>0</v>
          </cell>
        </row>
        <row r="201">
          <cell r="T201">
            <v>0</v>
          </cell>
        </row>
        <row r="202">
          <cell r="T202">
            <v>0</v>
          </cell>
        </row>
        <row r="203">
          <cell r="T203">
            <v>0</v>
          </cell>
        </row>
        <row r="204">
          <cell r="T204">
            <v>0</v>
          </cell>
        </row>
        <row r="205">
          <cell r="T205">
            <v>0</v>
          </cell>
        </row>
        <row r="206">
          <cell r="T206">
            <v>0</v>
          </cell>
        </row>
        <row r="207">
          <cell r="T207">
            <v>0</v>
          </cell>
        </row>
        <row r="208">
          <cell r="T208">
            <v>0</v>
          </cell>
        </row>
        <row r="209">
          <cell r="O209">
            <v>1</v>
          </cell>
          <cell r="T209">
            <v>0</v>
          </cell>
        </row>
        <row r="210">
          <cell r="T210">
            <v>0</v>
          </cell>
        </row>
        <row r="211">
          <cell r="T211">
            <v>0</v>
          </cell>
        </row>
        <row r="212">
          <cell r="T212">
            <v>0</v>
          </cell>
        </row>
        <row r="213">
          <cell r="T21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OPB명세"/>
      <sheetName val="OPB(CF판용)"/>
      <sheetName val="할인율"/>
      <sheetName val="평가결과총괄"/>
      <sheetName val="평가결과_세부"/>
      <sheetName val="기대회수율산정"/>
      <sheetName val="기대회수Schedule"/>
      <sheetName val="계획Schedule"/>
      <sheetName val="외화계획Schedule"/>
      <sheetName val="외화통합"/>
      <sheetName val="통합Schedule"/>
      <sheetName val="LIST"/>
      <sheetName val="R&amp;D"/>
      <sheetName val="현금흐름(SPC)"/>
      <sheetName val="Sheet1"/>
      <sheetName val="WPL"/>
      <sheetName val="보고정리계획인가"/>
      <sheetName val="YHCODE"/>
      <sheetName val="가정"/>
      <sheetName val="첨부1"/>
      <sheetName val="민감도분석"/>
      <sheetName val="연간데이터"/>
      <sheetName val="불변현금흐름표"/>
      <sheetName val="Borrower"/>
      <sheetName val="노무비"/>
      <sheetName val="Sheet4"/>
      <sheetName val="TOWER 12TON"/>
      <sheetName val="TOWER 10TON"/>
      <sheetName val="건축개요"/>
      <sheetName val="Assumption"/>
      <sheetName val="별제권_정리담보권"/>
      <sheetName val="시행_cash"/>
      <sheetName val="2000.05"/>
      <sheetName val="계획"/>
      <sheetName val="실적"/>
      <sheetName val="Sch7a (토요일)"/>
      <sheetName val="Sheet5"/>
      <sheetName val="기준"/>
      <sheetName val="별제권_정리담보권1"/>
      <sheetName val="S&amp;R"/>
      <sheetName val="총사업비"/>
      <sheetName val="TOP HEAVY PAYMENT graph"/>
      <sheetName val="안산기계장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HBS-01</v>
          </cell>
          <cell r="C8" t="str">
            <v>동아건설산업㈜</v>
          </cell>
          <cell r="D8">
            <v>0.55753840876368432</v>
          </cell>
          <cell r="E8" t="str">
            <v>담     보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</row>
        <row r="9">
          <cell r="D9">
            <v>0.55753840876368432</v>
          </cell>
          <cell r="E9" t="str">
            <v>무 담 보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</row>
        <row r="10">
          <cell r="E10" t="str">
            <v>Total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</row>
        <row r="11">
          <cell r="A11" t="str">
            <v>HBS-01</v>
          </cell>
          <cell r="B11">
            <v>0</v>
          </cell>
          <cell r="C11">
            <v>0</v>
          </cell>
          <cell r="D11">
            <v>0</v>
          </cell>
          <cell r="E11" t="str">
            <v>현     가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</row>
        <row r="12">
          <cell r="B12" t="str">
            <v>HBS-02</v>
          </cell>
          <cell r="C12" t="str">
            <v>동서산업㈜</v>
          </cell>
          <cell r="D12">
            <v>1</v>
          </cell>
          <cell r="E12" t="str">
            <v>담     보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</row>
        <row r="13">
          <cell r="D13">
            <v>1</v>
          </cell>
          <cell r="E13" t="str">
            <v>무 담 보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</row>
        <row r="14">
          <cell r="E14" t="str">
            <v>Total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</row>
        <row r="15">
          <cell r="A15" t="str">
            <v>HBS-02</v>
          </cell>
          <cell r="B15">
            <v>0</v>
          </cell>
          <cell r="C15">
            <v>0</v>
          </cell>
          <cell r="D15">
            <v>0</v>
          </cell>
          <cell r="E15" t="str">
            <v>현     가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</row>
        <row r="16">
          <cell r="B16" t="str">
            <v>HBS-03</v>
          </cell>
          <cell r="C16" t="str">
            <v>한보종합건설</v>
          </cell>
          <cell r="D16">
            <v>0.75197199958021121</v>
          </cell>
          <cell r="E16" t="str">
            <v>담     보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63696883.096909299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59765816.52045422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55850934.438475147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51895591.872278057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231209225.92811671</v>
          </cell>
        </row>
        <row r="17">
          <cell r="D17">
            <v>0.75197199958021121</v>
          </cell>
          <cell r="E17" t="str">
            <v>무 담 보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18456356.973076329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17252615.882284239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16054646.152886355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11357085.04748546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2.808988827613499E-10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2.3872399862374022E-10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63120704.055732384</v>
          </cell>
        </row>
        <row r="18">
          <cell r="E18" t="str">
            <v>Total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82153240.069985628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77018432.402738452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71905580.591361508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63252676.91976352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2.808988827613499E-10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2.3872399862374022E-10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294329929.98384911</v>
          </cell>
        </row>
        <row r="19">
          <cell r="A19" t="str">
            <v>HBS-03</v>
          </cell>
          <cell r="B19">
            <v>0</v>
          </cell>
          <cell r="C19">
            <v>0</v>
          </cell>
          <cell r="D19">
            <v>0</v>
          </cell>
          <cell r="E19" t="str">
            <v>현     가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80337822.372460499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70739580.724922165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61671269.069385998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50214566.604348153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1.7742258841834113E-10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1.4036855567846292E-10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262963238.77111682</v>
          </cell>
        </row>
        <row r="20">
          <cell r="B20" t="str">
            <v>HBS-04</v>
          </cell>
          <cell r="C20" t="str">
            <v>대경전선공업㈜</v>
          </cell>
          <cell r="D20">
            <v>0.3</v>
          </cell>
          <cell r="E20" t="str">
            <v>담     보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</row>
        <row r="21">
          <cell r="D21">
            <v>0.3</v>
          </cell>
          <cell r="E21" t="str">
            <v>무 담 보</v>
          </cell>
          <cell r="F21">
            <v>0</v>
          </cell>
          <cell r="G21">
            <v>0</v>
          </cell>
          <cell r="H21">
            <v>532382.08378238755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532382.08378238755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1705808.8037823876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1623892.744392385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1541363.0493211253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1459389.1925823872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1377249.3221823873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8772467.2798254471</v>
          </cell>
        </row>
        <row r="22">
          <cell r="E22" t="str">
            <v>Total</v>
          </cell>
          <cell r="F22">
            <v>0</v>
          </cell>
          <cell r="G22">
            <v>0</v>
          </cell>
          <cell r="H22">
            <v>532382.08378238755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532382.08378238755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1705808.8037823876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1623892.744392385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1541363.0493211253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1459389.1925823872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1377249.3221823873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8772467.2798254471</v>
          </cell>
        </row>
        <row r="23">
          <cell r="A23" t="str">
            <v>HBS-04</v>
          </cell>
          <cell r="B23">
            <v>0</v>
          </cell>
          <cell r="C23">
            <v>0</v>
          </cell>
          <cell r="D23">
            <v>0</v>
          </cell>
          <cell r="E23" t="str">
            <v>현     가</v>
          </cell>
          <cell r="F23">
            <v>0</v>
          </cell>
          <cell r="G23">
            <v>0</v>
          </cell>
          <cell r="H23">
            <v>527597.84620029794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496287.0007803567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1486381.5038920958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1310821.1997302198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1162914.7291646008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1008010.761523976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885567.07673656207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6877580.118028109</v>
          </cell>
        </row>
        <row r="24">
          <cell r="B24" t="str">
            <v>HBS-05</v>
          </cell>
          <cell r="C24" t="str">
            <v>경남모직</v>
          </cell>
          <cell r="D24">
            <v>0.96833913888357082</v>
          </cell>
          <cell r="E24" t="str">
            <v>담     보</v>
          </cell>
          <cell r="F24">
            <v>0</v>
          </cell>
          <cell r="G24">
            <v>0</v>
          </cell>
          <cell r="H24">
            <v>682354084.25852895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682458010.91773808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447856851.73365116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447856851.73365134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1443823403.4537501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1354252033.1070201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1264680662.7602897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1175109292.4135594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1085537925.940186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8583929116.3183746</v>
          </cell>
        </row>
        <row r="25">
          <cell r="D25">
            <v>0.96833913888357082</v>
          </cell>
          <cell r="E25" t="str">
            <v>무 담 보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</row>
        <row r="26">
          <cell r="E26" t="str">
            <v>Total</v>
          </cell>
          <cell r="F26">
            <v>0</v>
          </cell>
          <cell r="G26">
            <v>0</v>
          </cell>
          <cell r="H26">
            <v>682354084.25852895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682458010.91773808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447856851.73365116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447856851.73365134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1443823403.4537501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1354252033.1070201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1264680662.7602897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1175109292.4135594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1085537925.940186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8583929116.3183746</v>
          </cell>
        </row>
        <row r="27">
          <cell r="A27" t="str">
            <v>HBS-05</v>
          </cell>
          <cell r="B27">
            <v>0</v>
          </cell>
          <cell r="C27">
            <v>0</v>
          </cell>
          <cell r="D27">
            <v>0</v>
          </cell>
          <cell r="E27" t="str">
            <v>현     가</v>
          </cell>
          <cell r="F27">
            <v>0</v>
          </cell>
          <cell r="G27">
            <v>0</v>
          </cell>
          <cell r="H27">
            <v>676222127.24185288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636187899.09416735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390246632.17365259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361514181.10841149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1089323831.2209733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935391758.50141549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813185775.07172132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703261499.86290002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604781412.75754046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6210115117.0326347</v>
          </cell>
        </row>
        <row r="28">
          <cell r="B28" t="str">
            <v>HBS-06</v>
          </cell>
          <cell r="C28" t="str">
            <v>뉴타운개발㈜</v>
          </cell>
          <cell r="D28">
            <v>0.69199125898259817</v>
          </cell>
          <cell r="E28" t="str">
            <v>담     보</v>
          </cell>
          <cell r="F28">
            <v>0</v>
          </cell>
          <cell r="G28">
            <v>0</v>
          </cell>
          <cell r="H28">
            <v>355818688.301489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355818688.301489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586063670.65734434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562832317.94660294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539600965.23586142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572864038.43533242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543824847.54690516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514785656.65847826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2148900125.7435961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2.4679734439359856E-8</v>
          </cell>
          <cell r="DR28">
            <v>2.4679734439359856E-8</v>
          </cell>
          <cell r="DS28">
            <v>2.4679734439359856E-8</v>
          </cell>
          <cell r="DT28">
            <v>2.4770136397013196E-8</v>
          </cell>
          <cell r="DU28">
            <v>2.4679734439359862E-8</v>
          </cell>
          <cell r="DV28">
            <v>2.4679734439359856E-8</v>
          </cell>
          <cell r="DW28">
            <v>2.4860538354666524E-8</v>
          </cell>
          <cell r="DX28">
            <v>2.4860538354666524E-8</v>
          </cell>
          <cell r="DY28">
            <v>2.49432833159066E-8</v>
          </cell>
          <cell r="DZ28">
            <v>2.4755316403955267E-8</v>
          </cell>
          <cell r="EA28">
            <v>2.4838061365195344E-8</v>
          </cell>
          <cell r="EB28">
            <v>2.4740249411013048E-8</v>
          </cell>
          <cell r="EC28">
            <v>2.4732592414599787E-8</v>
          </cell>
          <cell r="ED28">
            <v>2.4725182418070826E-8</v>
          </cell>
          <cell r="EE28">
            <v>2.4717525421657568E-8</v>
          </cell>
          <cell r="EF28">
            <v>2.4800270382897641E-8</v>
          </cell>
          <cell r="EG28">
            <v>2.1997809695644325E-8</v>
          </cell>
          <cell r="EH28">
            <v>1.9203006004804267E-8</v>
          </cell>
          <cell r="EI28">
            <v>1.6588512229502277E-8</v>
          </cell>
          <cell r="EJ28">
            <v>1.3793708538662219E-8</v>
          </cell>
          <cell r="EK28">
            <v>1.1089059805591197E-8</v>
          </cell>
          <cell r="EL28">
            <v>8.2942561147511386E-9</v>
          </cell>
          <cell r="EM28">
            <v>5.5896073816801147E-9</v>
          </cell>
          <cell r="EN28">
            <v>2.7948036908400573E-9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6180508998.8270988</v>
          </cell>
        </row>
        <row r="29">
          <cell r="D29">
            <v>0.69199125898259817</v>
          </cell>
          <cell r="E29" t="str">
            <v>무 담 보</v>
          </cell>
          <cell r="F29">
            <v>0</v>
          </cell>
          <cell r="G29">
            <v>0</v>
          </cell>
          <cell r="H29">
            <v>24180116.75746911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24180116.75746911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24180116.75746911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24180116.757469114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249861206.49384749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247604395.59648371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245347584.69911993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243090773.80175611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1530440190.0040114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-2.587818234373517E-4</v>
          </cell>
          <cell r="DR29">
            <v>-2.587818234373517E-4</v>
          </cell>
          <cell r="DS29">
            <v>-2.587818234373517E-4</v>
          </cell>
          <cell r="DT29">
            <v>-2.5972974220452152E-4</v>
          </cell>
          <cell r="DU29">
            <v>-2.587818234373517E-4</v>
          </cell>
          <cell r="DV29">
            <v>-2.587818234373517E-4</v>
          </cell>
          <cell r="DW29">
            <v>-2.6067766097169129E-4</v>
          </cell>
          <cell r="DX29">
            <v>-2.6067766097169129E-4</v>
          </cell>
          <cell r="DY29">
            <v>-2.6154529153727015E-4</v>
          </cell>
          <cell r="DZ29">
            <v>-2.5957434568531332E-4</v>
          </cell>
          <cell r="EA29">
            <v>-2.6044197625089223E-4</v>
          </cell>
          <cell r="EB29">
            <v>-2.5941635922411839E-4</v>
          </cell>
          <cell r="EC29">
            <v>-2.5933607102252747E-4</v>
          </cell>
          <cell r="ED29">
            <v>-2.592583727629234E-4</v>
          </cell>
          <cell r="EE29">
            <v>-2.5917808456133254E-4</v>
          </cell>
          <cell r="EF29">
            <v>-2.6004571512691145E-4</v>
          </cell>
          <cell r="EG29">
            <v>-2.590200981001376E-4</v>
          </cell>
          <cell r="EH29">
            <v>-2.5902009810013755E-4</v>
          </cell>
          <cell r="EI29">
            <v>-2.5996542692532058E-4</v>
          </cell>
          <cell r="EJ29">
            <v>-2.5996542692532058E-4</v>
          </cell>
          <cell r="EK29">
            <v>-2.6099104395209443E-4</v>
          </cell>
          <cell r="EL29">
            <v>-2.5822757585217598E-4</v>
          </cell>
          <cell r="EM29">
            <v>-2.5925319287894982E-4</v>
          </cell>
          <cell r="EN29">
            <v>-2.5838556231337092E-4</v>
          </cell>
          <cell r="EO29">
            <v>-2.5846585051496183E-4</v>
          </cell>
          <cell r="EP29">
            <v>-2.585435487745659E-4</v>
          </cell>
          <cell r="EQ29">
            <v>-2.5862383697615676E-4</v>
          </cell>
          <cell r="ER29">
            <v>-2.5964945400293061E-4</v>
          </cell>
          <cell r="ES29">
            <v>-2.587818234373517E-4</v>
          </cell>
          <cell r="ET29">
            <v>-2.587818234373517E-4</v>
          </cell>
          <cell r="EU29">
            <v>-2.6067766097169129E-4</v>
          </cell>
          <cell r="EV29">
            <v>-2.6067766097169129E-4</v>
          </cell>
          <cell r="EW29">
            <v>-2.6162557973886106E-4</v>
          </cell>
          <cell r="EX29">
            <v>-2.587818234373517E-4</v>
          </cell>
          <cell r="EY29">
            <v>-2.5972974220452152E-4</v>
          </cell>
          <cell r="EZ29">
            <v>-2.587818234373517E-4</v>
          </cell>
          <cell r="FA29">
            <v>-2.2939634165508835E-4</v>
          </cell>
          <cell r="FB29">
            <v>-2.0095877863999473E-4</v>
          </cell>
          <cell r="FC29">
            <v>-1.7157329685773133E-4</v>
          </cell>
          <cell r="FD29">
            <v>-1.4313573384263777E-4</v>
          </cell>
          <cell r="FE29">
            <v>-1.1375025206037439E-4</v>
          </cell>
          <cell r="FF29">
            <v>-8.436477027811101E-5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2613064617.6148086</v>
          </cell>
        </row>
        <row r="30">
          <cell r="E30" t="str">
            <v>Total</v>
          </cell>
          <cell r="F30">
            <v>0</v>
          </cell>
          <cell r="G30">
            <v>0</v>
          </cell>
          <cell r="H30">
            <v>379998805.05895811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379998805.05895811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610243787.4148134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587012434.704072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789462171.72970891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820468434.03181612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789172432.24602509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757876430.4602344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3679340315.7476072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-2.5875714370291234E-4</v>
          </cell>
          <cell r="DR30">
            <v>-2.5875714370291234E-4</v>
          </cell>
          <cell r="DS30">
            <v>-2.5875714370291234E-4</v>
          </cell>
          <cell r="DT30">
            <v>-2.5970497206812449E-4</v>
          </cell>
          <cell r="DU30">
            <v>-2.5875714370291234E-4</v>
          </cell>
          <cell r="DV30">
            <v>-2.5875714370291234E-4</v>
          </cell>
          <cell r="DW30">
            <v>-2.6065280043333663E-4</v>
          </cell>
          <cell r="DX30">
            <v>-2.6065280043333663E-4</v>
          </cell>
          <cell r="DY30">
            <v>-2.6152034825395421E-4</v>
          </cell>
          <cell r="DZ30">
            <v>-2.5954959036890939E-4</v>
          </cell>
          <cell r="EA30">
            <v>-2.6041713818952702E-4</v>
          </cell>
          <cell r="EB30">
            <v>-2.5939161897470736E-4</v>
          </cell>
          <cell r="EC30">
            <v>-2.593113384301129E-4</v>
          </cell>
          <cell r="ED30">
            <v>-2.5923364758050532E-4</v>
          </cell>
          <cell r="EE30">
            <v>-2.5915336703591086E-4</v>
          </cell>
          <cell r="EF30">
            <v>-2.6002091485652855E-4</v>
          </cell>
          <cell r="EG30">
            <v>-2.5899810029044194E-4</v>
          </cell>
          <cell r="EH30">
            <v>-2.5900089509413272E-4</v>
          </cell>
          <cell r="EI30">
            <v>-2.5994883841309109E-4</v>
          </cell>
          <cell r="EJ30">
            <v>-2.5995163321678192E-4</v>
          </cell>
          <cell r="EK30">
            <v>-2.6097995489228883E-4</v>
          </cell>
          <cell r="EL30">
            <v>-2.5821928159606121E-4</v>
          </cell>
          <cell r="EM30">
            <v>-2.5924760327156816E-4</v>
          </cell>
          <cell r="EN30">
            <v>-2.5838276750968009E-4</v>
          </cell>
          <cell r="EO30">
            <v>-2.5846585051496183E-4</v>
          </cell>
          <cell r="EP30">
            <v>-2.585435487745659E-4</v>
          </cell>
          <cell r="EQ30">
            <v>-2.5862383697615676E-4</v>
          </cell>
          <cell r="ER30">
            <v>-2.5964945400293061E-4</v>
          </cell>
          <cell r="ES30">
            <v>-2.587818234373517E-4</v>
          </cell>
          <cell r="ET30">
            <v>-2.587818234373517E-4</v>
          </cell>
          <cell r="EU30">
            <v>-2.6067766097169129E-4</v>
          </cell>
          <cell r="EV30">
            <v>-2.6067766097169129E-4</v>
          </cell>
          <cell r="EW30">
            <v>-2.6162557973886106E-4</v>
          </cell>
          <cell r="EX30">
            <v>-2.587818234373517E-4</v>
          </cell>
          <cell r="EY30">
            <v>-2.5972974220452152E-4</v>
          </cell>
          <cell r="EZ30">
            <v>-2.587818234373517E-4</v>
          </cell>
          <cell r="FA30">
            <v>-2.2939634165508835E-4</v>
          </cell>
          <cell r="FB30">
            <v>-2.0095877863999473E-4</v>
          </cell>
          <cell r="FC30">
            <v>-1.7157329685773133E-4</v>
          </cell>
          <cell r="FD30">
            <v>-1.4313573384263777E-4</v>
          </cell>
          <cell r="FE30">
            <v>-1.1375025206037439E-4</v>
          </cell>
          <cell r="FF30">
            <v>-8.436477027811101E-5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8793573616.4419022</v>
          </cell>
        </row>
        <row r="31">
          <cell r="A31" t="str">
            <v>HBS-06</v>
          </cell>
          <cell r="B31">
            <v>0</v>
          </cell>
          <cell r="C31">
            <v>0</v>
          </cell>
          <cell r="D31">
            <v>0</v>
          </cell>
          <cell r="E31" t="str">
            <v>현     가</v>
          </cell>
          <cell r="F31">
            <v>0</v>
          </cell>
          <cell r="G31">
            <v>0</v>
          </cell>
          <cell r="H31">
            <v>376583955.79995239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354235187.48597807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531744868.74916667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473841851.05356967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595626830.43888211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566703532.68229091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507435445.86231798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453562335.5522154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2049856187.4255722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-1.3028690016032165E-4</v>
          </cell>
          <cell r="DR31">
            <v>-1.2952267571625422E-4</v>
          </cell>
          <cell r="DS31">
            <v>-1.2873768615750492E-4</v>
          </cell>
          <cell r="DT31">
            <v>-1.2842616275652482E-4</v>
          </cell>
          <cell r="DU31">
            <v>-1.2720689353107805E-4</v>
          </cell>
          <cell r="DV31">
            <v>-1.2643593908105119E-4</v>
          </cell>
          <cell r="DW31">
            <v>-1.2661514062269337E-4</v>
          </cell>
          <cell r="DX31">
            <v>-1.258477725705839E-4</v>
          </cell>
          <cell r="DY31">
            <v>-1.2550138405345828E-4</v>
          </cell>
          <cell r="DZ31">
            <v>-1.2384931199208152E-4</v>
          </cell>
          <cell r="EA31">
            <v>-1.2351016561457987E-4</v>
          </cell>
          <cell r="EB31">
            <v>-1.223021630777107E-4</v>
          </cell>
          <cell r="EC31">
            <v>-1.2152331183995037E-4</v>
          </cell>
          <cell r="ED31">
            <v>-1.2077429664477316E-4</v>
          </cell>
          <cell r="EE31">
            <v>-1.2000515260854687E-4</v>
          </cell>
          <cell r="EF31">
            <v>-1.1967714255649459E-4</v>
          </cell>
          <cell r="EG31">
            <v>-1.1850715285222686E-4</v>
          </cell>
          <cell r="EH31">
            <v>-1.1779019538803546E-4</v>
          </cell>
          <cell r="EI31">
            <v>-1.1752785627847766E-4</v>
          </cell>
          <cell r="EJ31">
            <v>-1.1681681885893089E-4</v>
          </cell>
          <cell r="EK31">
            <v>-1.1656814041519007E-4</v>
          </cell>
          <cell r="EL31">
            <v>-1.1470352669977939E-4</v>
          </cell>
          <cell r="EM31">
            <v>-1.1446237267315937E-4</v>
          </cell>
          <cell r="EN31">
            <v>-1.1341136980446396E-4</v>
          </cell>
          <cell r="EO31">
            <v>-1.1276027139915258E-4</v>
          </cell>
          <cell r="EP31">
            <v>-1.1213255137922947E-4</v>
          </cell>
          <cell r="EQ31">
            <v>-1.1148756764204677E-4</v>
          </cell>
          <cell r="ER31">
            <v>-1.1125132573413866E-4</v>
          </cell>
          <cell r="ES31">
            <v>-1.1022918751655951E-4</v>
          </cell>
          <cell r="ET31">
            <v>-1.0956112873232411E-4</v>
          </cell>
          <cell r="EU31">
            <v>-1.0971641308672195E-4</v>
          </cell>
          <cell r="EV31">
            <v>-1.0905146204073539E-4</v>
          </cell>
          <cell r="EW31">
            <v>-1.0878468844169286E-4</v>
          </cell>
          <cell r="EX31">
            <v>-1.0701304531703867E-4</v>
          </cell>
          <cell r="EY31">
            <v>-1.0675409186819689E-4</v>
          </cell>
          <cell r="EZ31">
            <v>-1.0574057580486811E-4</v>
          </cell>
          <cell r="FA31">
            <v>-9.3165320317735464E-5</v>
          </cell>
          <cell r="FB31">
            <v>-8.1137165696958872E-5</v>
          </cell>
          <cell r="FC31">
            <v>-6.8852931913964723E-5</v>
          </cell>
          <cell r="FD31">
            <v>-5.7092715809033935E-5</v>
          </cell>
          <cell r="FE31">
            <v>-4.5105557733354139E-5</v>
          </cell>
          <cell r="FF31">
            <v>-3.3250540506767268E-5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5909590195.0453215</v>
          </cell>
        </row>
        <row r="32">
          <cell r="B32" t="str">
            <v>HBS-07</v>
          </cell>
          <cell r="C32" t="str">
            <v>시대종합건설㈜</v>
          </cell>
          <cell r="D32">
            <v>0.3</v>
          </cell>
          <cell r="E32" t="str">
            <v>담     보</v>
          </cell>
          <cell r="F32">
            <v>0</v>
          </cell>
          <cell r="G32">
            <v>0</v>
          </cell>
          <cell r="H32">
            <v>236536322.29999998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236536322.29999998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389595459.25028569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374152035.64114285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358708612.03200001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380820786.75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361516507.23857147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342212227.72714281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1428516684.1157143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-2.1398883976348456E-8</v>
          </cell>
          <cell r="DR32">
            <v>-2.1398883976348456E-8</v>
          </cell>
          <cell r="DS32">
            <v>-2.1398883976348456E-8</v>
          </cell>
          <cell r="DT32">
            <v>-2.1477268166738016E-8</v>
          </cell>
          <cell r="DU32">
            <v>-2.1398883976348459E-8</v>
          </cell>
          <cell r="DV32">
            <v>-2.1398883976348456E-8</v>
          </cell>
          <cell r="DW32">
            <v>-2.1555652357127566E-8</v>
          </cell>
          <cell r="DX32">
            <v>-2.1555652357127566E-8</v>
          </cell>
          <cell r="DY32">
            <v>-2.1627397449424018E-8</v>
          </cell>
          <cell r="DZ32">
            <v>-2.1464418299461034E-8</v>
          </cell>
          <cell r="EA32">
            <v>-2.1536163391757487E-8</v>
          </cell>
          <cell r="EB32">
            <v>-2.1451354267729444E-8</v>
          </cell>
          <cell r="EC32">
            <v>-2.144471516963634E-8</v>
          </cell>
          <cell r="ED32">
            <v>-2.1438290235997851E-8</v>
          </cell>
          <cell r="EE32">
            <v>-2.143165113790475E-8</v>
          </cell>
          <cell r="EF32">
            <v>-2.1503396230201203E-8</v>
          </cell>
          <cell r="EG32">
            <v>-1.9073486328125004E-8</v>
          </cell>
          <cell r="EH32">
            <v>-1.6650215524141909E-8</v>
          </cell>
          <cell r="EI32">
            <v>-1.4383284772028691E-8</v>
          </cell>
          <cell r="EJ32">
            <v>-1.1960013968045596E-8</v>
          </cell>
          <cell r="EK32">
            <v>-9.6149131899974401E-9</v>
          </cell>
          <cell r="EL32">
            <v>-7.1916423860143455E-9</v>
          </cell>
          <cell r="EM32">
            <v>-4.8465416079661891E-9</v>
          </cell>
          <cell r="EN32">
            <v>-2.4232708039830946E-9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4108594957.3548574</v>
          </cell>
        </row>
        <row r="33">
          <cell r="D33">
            <v>0.3</v>
          </cell>
          <cell r="E33" t="str">
            <v>무 담 보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0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</row>
        <row r="34">
          <cell r="E34" t="str">
            <v>Total</v>
          </cell>
          <cell r="F34">
            <v>0</v>
          </cell>
          <cell r="G34">
            <v>0</v>
          </cell>
          <cell r="H34">
            <v>236536322.29999998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236536322.29999998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389595459.25028569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374152035.64114285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358708612.03200001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380820786.75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361516507.23857147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342212227.72714281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1428516684.1157143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-2.1398883976348456E-8</v>
          </cell>
          <cell r="DR34">
            <v>-2.1398883976348456E-8</v>
          </cell>
          <cell r="DS34">
            <v>-2.1398883976348456E-8</v>
          </cell>
          <cell r="DT34">
            <v>-2.1477268166738016E-8</v>
          </cell>
          <cell r="DU34">
            <v>-2.1398883976348459E-8</v>
          </cell>
          <cell r="DV34">
            <v>-2.1398883976348456E-8</v>
          </cell>
          <cell r="DW34">
            <v>-2.1555652357127566E-8</v>
          </cell>
          <cell r="DX34">
            <v>-2.1555652357127566E-8</v>
          </cell>
          <cell r="DY34">
            <v>-2.1627397449424018E-8</v>
          </cell>
          <cell r="DZ34">
            <v>-2.1464418299461034E-8</v>
          </cell>
          <cell r="EA34">
            <v>-2.1536163391757487E-8</v>
          </cell>
          <cell r="EB34">
            <v>-2.1451354267729444E-8</v>
          </cell>
          <cell r="EC34">
            <v>-2.144471516963634E-8</v>
          </cell>
          <cell r="ED34">
            <v>-2.1438290235997851E-8</v>
          </cell>
          <cell r="EE34">
            <v>-2.143165113790475E-8</v>
          </cell>
          <cell r="EF34">
            <v>-2.1503396230201203E-8</v>
          </cell>
          <cell r="EG34">
            <v>-1.9073486328125004E-8</v>
          </cell>
          <cell r="EH34">
            <v>-1.6650215524141909E-8</v>
          </cell>
          <cell r="EI34">
            <v>-1.4383284772028691E-8</v>
          </cell>
          <cell r="EJ34">
            <v>-1.1960013968045596E-8</v>
          </cell>
          <cell r="EK34">
            <v>-9.6149131899974401E-9</v>
          </cell>
          <cell r="EL34">
            <v>-7.1916423860143455E-9</v>
          </cell>
          <cell r="EM34">
            <v>-4.8465416079661891E-9</v>
          </cell>
          <cell r="EN34">
            <v>-2.4232708039830946E-9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4108594957.3548574</v>
          </cell>
        </row>
        <row r="35">
          <cell r="A35" t="str">
            <v>HBS-07</v>
          </cell>
          <cell r="B35">
            <v>0</v>
          </cell>
          <cell r="C35">
            <v>0</v>
          </cell>
          <cell r="D35">
            <v>0</v>
          </cell>
          <cell r="E35" t="str">
            <v>현     가</v>
          </cell>
          <cell r="F35">
            <v>0</v>
          </cell>
          <cell r="G35">
            <v>0</v>
          </cell>
          <cell r="H35">
            <v>234410694.86596429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220499347.26553681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339479713.87293082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302018973.81106788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270635479.80725938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263035695.48625144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232454001.86508659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204801958.50422817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795863799.61709666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-1.0774559574555387E-8</v>
          </cell>
          <cell r="DR35">
            <v>-1.0711359193006639E-8</v>
          </cell>
          <cell r="DS35">
            <v>-1.0646441563101094E-8</v>
          </cell>
          <cell r="DT35">
            <v>-1.0620678977310829E-8</v>
          </cell>
          <cell r="DU35">
            <v>-1.0519846975852259E-8</v>
          </cell>
          <cell r="DV35">
            <v>-1.0456090031440644E-8</v>
          </cell>
          <cell r="DW35">
            <v>-1.0470909769141823E-8</v>
          </cell>
          <cell r="DX35">
            <v>-1.040744941523909E-8</v>
          </cell>
          <cell r="DY35">
            <v>-1.0378803529051615E-8</v>
          </cell>
          <cell r="DZ35">
            <v>-1.0242179288050725E-8</v>
          </cell>
          <cell r="EA35">
            <v>-1.0214132317523455E-8</v>
          </cell>
          <cell r="EB35">
            <v>-1.0114232056762819E-8</v>
          </cell>
          <cell r="EC35">
            <v>-1.0049822058131808E-8</v>
          </cell>
          <cell r="ED35">
            <v>-9.9878794619632504E-9</v>
          </cell>
          <cell r="EE35">
            <v>-9.9242722364514268E-9</v>
          </cell>
          <cell r="EF35">
            <v>-9.8971462257585527E-9</v>
          </cell>
          <cell r="EG35">
            <v>-8.727263084853541E-9</v>
          </cell>
          <cell r="EH35">
            <v>-7.5722986946773897E-9</v>
          </cell>
          <cell r="EI35">
            <v>-6.5029589507651112E-9</v>
          </cell>
          <cell r="EJ35">
            <v>-5.3745797553437714E-9</v>
          </cell>
          <cell r="EK35">
            <v>-4.2945541594336474E-9</v>
          </cell>
          <cell r="EL35">
            <v>-3.1945977827088975E-9</v>
          </cell>
          <cell r="EM35">
            <v>-2.1398332895131472E-9</v>
          </cell>
          <cell r="EN35">
            <v>-1.0636408299814007E-9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2863199665.0954218</v>
          </cell>
        </row>
        <row r="36">
          <cell r="B36" t="str">
            <v>HBS-08</v>
          </cell>
          <cell r="C36" t="str">
            <v>㈜진로</v>
          </cell>
          <cell r="D36">
            <v>0.3</v>
          </cell>
          <cell r="E36" t="str">
            <v>담     보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</row>
        <row r="37">
          <cell r="D37">
            <v>0.3</v>
          </cell>
          <cell r="E37" t="str">
            <v>무 담 보</v>
          </cell>
          <cell r="F37">
            <v>21008890.223306432</v>
          </cell>
          <cell r="G37">
            <v>20331184.087070744</v>
          </cell>
          <cell r="H37">
            <v>21008890.223306432</v>
          </cell>
          <cell r="I37">
            <v>21008890.223306432</v>
          </cell>
          <cell r="J37">
            <v>18975771.814599361</v>
          </cell>
          <cell r="K37">
            <v>21008890.223306432</v>
          </cell>
          <cell r="L37">
            <v>20331184.087070744</v>
          </cell>
          <cell r="M37">
            <v>21008890.223306432</v>
          </cell>
          <cell r="N37">
            <v>20331184.087070744</v>
          </cell>
          <cell r="O37">
            <v>21008890.223306432</v>
          </cell>
          <cell r="P37">
            <v>21008890.223306432</v>
          </cell>
          <cell r="Q37">
            <v>20331184.087070744</v>
          </cell>
          <cell r="R37">
            <v>21008890.223306432</v>
          </cell>
          <cell r="S37">
            <v>20331184.087070744</v>
          </cell>
          <cell r="T37">
            <v>21008890.223306432</v>
          </cell>
          <cell r="U37">
            <v>33013970.350910112</v>
          </cell>
          <cell r="V37">
            <v>29819069.994370423</v>
          </cell>
          <cell r="W37">
            <v>209701641.58378679</v>
          </cell>
          <cell r="X37">
            <v>30351553.387127034</v>
          </cell>
          <cell r="Y37">
            <v>31363271.833364602</v>
          </cell>
          <cell r="Z37">
            <v>207039224.62000373</v>
          </cell>
          <cell r="AA37">
            <v>29712573.3158191</v>
          </cell>
          <cell r="AB37">
            <v>29712573.3158191</v>
          </cell>
          <cell r="AC37">
            <v>205441774.4417339</v>
          </cell>
          <cell r="AD37">
            <v>28061874.798273597</v>
          </cell>
          <cell r="AE37">
            <v>27156653.030587353</v>
          </cell>
          <cell r="AF37">
            <v>204749546.03115031</v>
          </cell>
          <cell r="AG37">
            <v>26411176.280728094</v>
          </cell>
          <cell r="AH37">
            <v>24707229.423906926</v>
          </cell>
          <cell r="AI37">
            <v>203098847.51360479</v>
          </cell>
          <cell r="AJ37">
            <v>23896283.404446442</v>
          </cell>
          <cell r="AK37">
            <v>24692826.184594657</v>
          </cell>
          <cell r="AL37">
            <v>200583954.63732311</v>
          </cell>
          <cell r="AM37">
            <v>23046637.772288349</v>
          </cell>
          <cell r="AN37">
            <v>23046637.772288349</v>
          </cell>
          <cell r="AO37">
            <v>198990869.0770267</v>
          </cell>
          <cell r="AP37">
            <v>21400449.35998204</v>
          </cell>
          <cell r="AQ37">
            <v>20710112.283853587</v>
          </cell>
          <cell r="AR37">
            <v>198088120.5928587</v>
          </cell>
          <cell r="AS37">
            <v>19754260.947675727</v>
          </cell>
          <cell r="AT37">
            <v>17842558.275320016</v>
          </cell>
          <cell r="AU37">
            <v>196441932.18055242</v>
          </cell>
          <cell r="AV37">
            <v>17571951.960968297</v>
          </cell>
          <cell r="AW37">
            <v>18157683.693000574</v>
          </cell>
          <cell r="AX37">
            <v>194259623.19384497</v>
          </cell>
          <cell r="AY37">
            <v>16506985.175455067</v>
          </cell>
          <cell r="AZ37">
            <v>16506985.175455067</v>
          </cell>
          <cell r="BA37">
            <v>192662173.01557514</v>
          </cell>
          <cell r="BB37">
            <v>14856286.657909563</v>
          </cell>
          <cell r="BC37">
            <v>14377051.604428612</v>
          </cell>
          <cell r="BD37">
            <v>191543957.89078623</v>
          </cell>
          <cell r="BE37">
            <v>13205588.140364058</v>
          </cell>
          <cell r="BF37">
            <v>11927627.997748179</v>
          </cell>
          <cell r="BG37">
            <v>189893259.37324074</v>
          </cell>
          <cell r="BH37">
            <v>11182151.247888921</v>
          </cell>
          <cell r="BI37">
            <v>11554889.62281855</v>
          </cell>
          <cell r="BJ37">
            <v>187869822.48076561</v>
          </cell>
          <cell r="BK37">
            <v>9904191.1052730437</v>
          </cell>
          <cell r="BL37">
            <v>9904191.1052730437</v>
          </cell>
          <cell r="BM37">
            <v>186272372.30249575</v>
          </cell>
          <cell r="BN37">
            <v>8253492.5877275392</v>
          </cell>
          <cell r="BO37">
            <v>7987250.8913492309</v>
          </cell>
          <cell r="BP37">
            <v>184941163.82060423</v>
          </cell>
          <cell r="BQ37">
            <v>6602794.0701820338</v>
          </cell>
          <cell r="BR37">
            <v>5963813.9988740943</v>
          </cell>
          <cell r="BS37">
            <v>183290465.30305874</v>
          </cell>
          <cell r="BT37">
            <v>4792350.5348095428</v>
          </cell>
          <cell r="BU37">
            <v>4952095.5526365275</v>
          </cell>
          <cell r="BV37">
            <v>181480021.76768625</v>
          </cell>
          <cell r="BW37">
            <v>3301397.035091023</v>
          </cell>
          <cell r="BX37">
            <v>3301397.035091023</v>
          </cell>
          <cell r="BY37">
            <v>179882571.58941638</v>
          </cell>
          <cell r="BZ37">
            <v>1650698.5175455168</v>
          </cell>
          <cell r="CA37">
            <v>1597450.178269855</v>
          </cell>
          <cell r="CB37">
            <v>178338369.75042221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4863039451.0451641</v>
          </cell>
        </row>
        <row r="38">
          <cell r="E38" t="str">
            <v>Total</v>
          </cell>
          <cell r="F38">
            <v>21008890.223306432</v>
          </cell>
          <cell r="G38">
            <v>20331184.087070744</v>
          </cell>
          <cell r="H38">
            <v>21008890.223306432</v>
          </cell>
          <cell r="I38">
            <v>21008890.223306432</v>
          </cell>
          <cell r="J38">
            <v>18975771.814599361</v>
          </cell>
          <cell r="K38">
            <v>21008890.223306432</v>
          </cell>
          <cell r="L38">
            <v>20331184.087070744</v>
          </cell>
          <cell r="M38">
            <v>21008890.223306432</v>
          </cell>
          <cell r="N38">
            <v>20331184.087070744</v>
          </cell>
          <cell r="O38">
            <v>21008890.223306432</v>
          </cell>
          <cell r="P38">
            <v>21008890.223306432</v>
          </cell>
          <cell r="Q38">
            <v>20331184.087070744</v>
          </cell>
          <cell r="R38">
            <v>21008890.223306432</v>
          </cell>
          <cell r="S38">
            <v>20331184.087070744</v>
          </cell>
          <cell r="T38">
            <v>21008890.223306432</v>
          </cell>
          <cell r="U38">
            <v>33013970.350910112</v>
          </cell>
          <cell r="V38">
            <v>29819069.994370423</v>
          </cell>
          <cell r="W38">
            <v>209701641.58378679</v>
          </cell>
          <cell r="X38">
            <v>30351553.387127034</v>
          </cell>
          <cell r="Y38">
            <v>31363271.833364602</v>
          </cell>
          <cell r="Z38">
            <v>207039224.62000373</v>
          </cell>
          <cell r="AA38">
            <v>29712573.3158191</v>
          </cell>
          <cell r="AB38">
            <v>29712573.3158191</v>
          </cell>
          <cell r="AC38">
            <v>205441774.4417339</v>
          </cell>
          <cell r="AD38">
            <v>28061874.798273597</v>
          </cell>
          <cell r="AE38">
            <v>27156653.030587353</v>
          </cell>
          <cell r="AF38">
            <v>204749546.03115031</v>
          </cell>
          <cell r="AG38">
            <v>26411176.280728094</v>
          </cell>
          <cell r="AH38">
            <v>24707229.423906926</v>
          </cell>
          <cell r="AI38">
            <v>203098847.51360479</v>
          </cell>
          <cell r="AJ38">
            <v>23896283.404446442</v>
          </cell>
          <cell r="AK38">
            <v>24692826.184594657</v>
          </cell>
          <cell r="AL38">
            <v>200583954.63732311</v>
          </cell>
          <cell r="AM38">
            <v>23046637.772288349</v>
          </cell>
          <cell r="AN38">
            <v>23046637.772288349</v>
          </cell>
          <cell r="AO38">
            <v>198990869.0770267</v>
          </cell>
          <cell r="AP38">
            <v>21400449.35998204</v>
          </cell>
          <cell r="AQ38">
            <v>20710112.283853587</v>
          </cell>
          <cell r="AR38">
            <v>198088120.5928587</v>
          </cell>
          <cell r="AS38">
            <v>19754260.947675727</v>
          </cell>
          <cell r="AT38">
            <v>17842558.275320016</v>
          </cell>
          <cell r="AU38">
            <v>196441932.18055242</v>
          </cell>
          <cell r="AV38">
            <v>17571951.960968297</v>
          </cell>
          <cell r="AW38">
            <v>18157683.693000574</v>
          </cell>
          <cell r="AX38">
            <v>194259623.19384497</v>
          </cell>
          <cell r="AY38">
            <v>16506985.175455067</v>
          </cell>
          <cell r="AZ38">
            <v>16506985.175455067</v>
          </cell>
          <cell r="BA38">
            <v>192662173.01557514</v>
          </cell>
          <cell r="BB38">
            <v>14856286.657909563</v>
          </cell>
          <cell r="BC38">
            <v>14377051.604428612</v>
          </cell>
          <cell r="BD38">
            <v>191543957.89078623</v>
          </cell>
          <cell r="BE38">
            <v>13205588.140364058</v>
          </cell>
          <cell r="BF38">
            <v>11927627.997748179</v>
          </cell>
          <cell r="BG38">
            <v>189893259.37324074</v>
          </cell>
          <cell r="BH38">
            <v>11182151.247888921</v>
          </cell>
          <cell r="BI38">
            <v>11554889.62281855</v>
          </cell>
          <cell r="BJ38">
            <v>187869822.48076561</v>
          </cell>
          <cell r="BK38">
            <v>9904191.1052730437</v>
          </cell>
          <cell r="BL38">
            <v>9904191.1052730437</v>
          </cell>
          <cell r="BM38">
            <v>186272372.30249575</v>
          </cell>
          <cell r="BN38">
            <v>8253492.5877275392</v>
          </cell>
          <cell r="BO38">
            <v>7987250.8913492309</v>
          </cell>
          <cell r="BP38">
            <v>184941163.82060423</v>
          </cell>
          <cell r="BQ38">
            <v>6602794.0701820338</v>
          </cell>
          <cell r="BR38">
            <v>5963813.9988740943</v>
          </cell>
          <cell r="BS38">
            <v>183290465.30305874</v>
          </cell>
          <cell r="BT38">
            <v>4792350.5348095428</v>
          </cell>
          <cell r="BU38">
            <v>4952095.5526365275</v>
          </cell>
          <cell r="BV38">
            <v>181480021.76768625</v>
          </cell>
          <cell r="BW38">
            <v>3301397.035091023</v>
          </cell>
          <cell r="BX38">
            <v>3301397.035091023</v>
          </cell>
          <cell r="BY38">
            <v>179882571.58941638</v>
          </cell>
          <cell r="BZ38">
            <v>1650698.5175455168</v>
          </cell>
          <cell r="CA38">
            <v>1597450.178269855</v>
          </cell>
          <cell r="CB38">
            <v>178338369.75042221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4863039451.0451641</v>
          </cell>
        </row>
        <row r="39">
          <cell r="A39" t="str">
            <v>HBS-08</v>
          </cell>
          <cell r="B39">
            <v>0</v>
          </cell>
          <cell r="C39">
            <v>0</v>
          </cell>
          <cell r="D39">
            <v>0</v>
          </cell>
          <cell r="E39" t="str">
            <v>현     가</v>
          </cell>
          <cell r="F39">
            <v>21008890.223306432</v>
          </cell>
          <cell r="G39">
            <v>20241122.737059329</v>
          </cell>
          <cell r="H39">
            <v>20820094.384328835</v>
          </cell>
          <cell r="I39">
            <v>20724800.110983916</v>
          </cell>
          <cell r="J39">
            <v>18641770.282456696</v>
          </cell>
          <cell r="K39">
            <v>20544636.94389515</v>
          </cell>
          <cell r="L39">
            <v>19793835.540555183</v>
          </cell>
          <cell r="M39">
            <v>20360013.104792506</v>
          </cell>
          <cell r="N39">
            <v>19615958.758500412</v>
          </cell>
          <cell r="O39">
            <v>20177048.382960126</v>
          </cell>
          <cell r="P39">
            <v>20084697.352825187</v>
          </cell>
          <cell r="Q39">
            <v>19350704.389146134</v>
          </cell>
          <cell r="R39">
            <v>19904206.748750761</v>
          </cell>
          <cell r="S39">
            <v>19049822.585322347</v>
          </cell>
          <cell r="T39">
            <v>19584504.130139623</v>
          </cell>
          <cell r="U39">
            <v>30618818.646342225</v>
          </cell>
          <cell r="V39">
            <v>27528382.58856146</v>
          </cell>
          <cell r="W39">
            <v>192605922.24722478</v>
          </cell>
          <cell r="X39">
            <v>27739683.971737232</v>
          </cell>
          <cell r="Y39">
            <v>28518268.497252934</v>
          </cell>
          <cell r="Z39">
            <v>187329944.00399506</v>
          </cell>
          <cell r="AA39">
            <v>26747059.423534032</v>
          </cell>
          <cell r="AB39">
            <v>26610758.153907795</v>
          </cell>
          <cell r="AC39">
            <v>183087425.80621308</v>
          </cell>
          <cell r="AD39">
            <v>24880989.567948755</v>
          </cell>
          <cell r="AE39">
            <v>23791389.246318478</v>
          </cell>
          <cell r="AF39">
            <v>178411518.02956083</v>
          </cell>
          <cell r="AG39">
            <v>22889909.039533105</v>
          </cell>
          <cell r="AH39">
            <v>21305314.728040341</v>
          </cell>
          <cell r="AI39">
            <v>174191816.1244702</v>
          </cell>
          <cell r="AJ39">
            <v>20388375.849147875</v>
          </cell>
          <cell r="AK39">
            <v>20954603.718012515</v>
          </cell>
          <cell r="AL39">
            <v>169331137.0961605</v>
          </cell>
          <cell r="AM39">
            <v>19351052.595330216</v>
          </cell>
          <cell r="AN39">
            <v>19246908.219083983</v>
          </cell>
          <cell r="AO39">
            <v>165317386.4207412</v>
          </cell>
          <cell r="AP39">
            <v>17683354.630519379</v>
          </cell>
          <cell r="AQ39">
            <v>16813600.72003727</v>
          </cell>
          <cell r="AR39">
            <v>159898557.82315984</v>
          </cell>
          <cell r="AS39">
            <v>15854579.952267202</v>
          </cell>
          <cell r="AT39">
            <v>14246234.660938401</v>
          </cell>
          <cell r="AU39">
            <v>155949865.96187955</v>
          </cell>
          <cell r="AV39">
            <v>13872637.789751155</v>
          </cell>
          <cell r="AW39">
            <v>14253034.130700685</v>
          </cell>
          <cell r="AX39">
            <v>151641353.40236089</v>
          </cell>
          <cell r="AY39">
            <v>12811816.506670842</v>
          </cell>
          <cell r="AZ39">
            <v>12738507.551064163</v>
          </cell>
          <cell r="BA39">
            <v>147854815.30271685</v>
          </cell>
          <cell r="BB39">
            <v>11335929.291849762</v>
          </cell>
          <cell r="BC39">
            <v>10909501.852502255</v>
          </cell>
          <cell r="BD39">
            <v>144514486.71472085</v>
          </cell>
          <cell r="BE39">
            <v>9906232.4563765395</v>
          </cell>
          <cell r="BF39">
            <v>8901308.808194777</v>
          </cell>
          <cell r="BG39">
            <v>140902004.02221856</v>
          </cell>
          <cell r="BH39">
            <v>8251277.9043290466</v>
          </cell>
          <cell r="BI39">
            <v>8477533.0672284421</v>
          </cell>
          <cell r="BJ39">
            <v>137072062.42636999</v>
          </cell>
          <cell r="BK39">
            <v>7184867.6549233645</v>
          </cell>
          <cell r="BL39">
            <v>7143755.9871375831</v>
          </cell>
          <cell r="BM39">
            <v>133611634.50791068</v>
          </cell>
          <cell r="BN39">
            <v>5886287.0319395205</v>
          </cell>
          <cell r="BO39">
            <v>5550491.9588681944</v>
          </cell>
          <cell r="BP39">
            <v>127740210.99201302</v>
          </cell>
          <cell r="BQ39">
            <v>4532957.9150665868</v>
          </cell>
          <cell r="BR39">
            <v>4071865.3711685315</v>
          </cell>
          <cell r="BS39">
            <v>124385307.90985864</v>
          </cell>
          <cell r="BT39">
            <v>3233127.6002755063</v>
          </cell>
          <cell r="BU39">
            <v>3320650.556437728</v>
          </cell>
          <cell r="BV39">
            <v>120978456.34715943</v>
          </cell>
          <cell r="BW39">
            <v>2187443.6015050015</v>
          </cell>
          <cell r="BX39">
            <v>2174186.3059925456</v>
          </cell>
          <cell r="BY39">
            <v>117769584.55156502</v>
          </cell>
          <cell r="BZ39">
            <v>1074166.7579948169</v>
          </cell>
          <cell r="CA39">
            <v>1033418.7225597142</v>
          </cell>
          <cell r="CB39">
            <v>114671023.05019757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3891186901.446569</v>
          </cell>
        </row>
        <row r="40">
          <cell r="B40" t="str">
            <v>HBS-09</v>
          </cell>
          <cell r="C40" t="str">
            <v>㈜한일합섬</v>
          </cell>
          <cell r="D40">
            <v>3.5221985178531361E-2</v>
          </cell>
          <cell r="E40" t="str">
            <v>담     보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</row>
        <row r="41">
          <cell r="D41">
            <v>3.5221985178531361E-2</v>
          </cell>
          <cell r="E41" t="str">
            <v>무 담 보</v>
          </cell>
          <cell r="F41" t="str">
            <v>`</v>
          </cell>
          <cell r="G41">
            <v>0</v>
          </cell>
          <cell r="H41">
            <v>70152706.040871397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583069486.86278963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583069486.86278963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1236291679.7664506</v>
          </cell>
        </row>
        <row r="42">
          <cell r="E42" t="str">
            <v>Total</v>
          </cell>
          <cell r="F42">
            <v>0</v>
          </cell>
          <cell r="G42">
            <v>0</v>
          </cell>
          <cell r="H42">
            <v>70152706.040871397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583069486.86278963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583069486.86278963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1236291679.7664506</v>
          </cell>
        </row>
        <row r="43">
          <cell r="A43" t="str">
            <v>HBS-09</v>
          </cell>
          <cell r="B43">
            <v>0</v>
          </cell>
          <cell r="C43">
            <v>0</v>
          </cell>
          <cell r="D43">
            <v>0</v>
          </cell>
          <cell r="E43" t="str">
            <v>현     가</v>
          </cell>
          <cell r="F43">
            <v>0</v>
          </cell>
          <cell r="G43">
            <v>0</v>
          </cell>
          <cell r="H43">
            <v>69522280.594655186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543537838.13648403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508066143.65865779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1121126262.389797</v>
          </cell>
        </row>
        <row r="44">
          <cell r="B44" t="str">
            <v>HBS-10</v>
          </cell>
          <cell r="C44" t="str">
            <v>대우캐피탈㈜</v>
          </cell>
          <cell r="D44">
            <v>0.43748190786379521</v>
          </cell>
          <cell r="E44" t="str">
            <v>담     보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</row>
        <row r="45">
          <cell r="D45">
            <v>1</v>
          </cell>
          <cell r="E45" t="str">
            <v>무 담 보</v>
          </cell>
          <cell r="F45">
            <v>0</v>
          </cell>
          <cell r="G45">
            <v>0</v>
          </cell>
          <cell r="H45">
            <v>915341917.80821919</v>
          </cell>
          <cell r="I45">
            <v>0</v>
          </cell>
          <cell r="J45">
            <v>0</v>
          </cell>
          <cell r="K45">
            <v>935682849.31506848</v>
          </cell>
          <cell r="L45">
            <v>0</v>
          </cell>
          <cell r="M45">
            <v>0</v>
          </cell>
          <cell r="N45">
            <v>935682849.31506848</v>
          </cell>
          <cell r="O45">
            <v>0</v>
          </cell>
          <cell r="P45">
            <v>0</v>
          </cell>
          <cell r="Q45">
            <v>925512383.56164384</v>
          </cell>
          <cell r="R45">
            <v>0</v>
          </cell>
          <cell r="S45">
            <v>0</v>
          </cell>
          <cell r="T45">
            <v>915341917.80821919</v>
          </cell>
          <cell r="U45">
            <v>0</v>
          </cell>
          <cell r="V45">
            <v>0</v>
          </cell>
          <cell r="W45">
            <v>935682849.31506848</v>
          </cell>
          <cell r="X45">
            <v>0</v>
          </cell>
          <cell r="Y45">
            <v>0</v>
          </cell>
          <cell r="Z45">
            <v>935682849.31506848</v>
          </cell>
          <cell r="AA45">
            <v>0</v>
          </cell>
          <cell r="AB45">
            <v>0</v>
          </cell>
          <cell r="AC45">
            <v>925512383.56164384</v>
          </cell>
          <cell r="AD45">
            <v>0</v>
          </cell>
          <cell r="AE45">
            <v>0</v>
          </cell>
          <cell r="AF45">
            <v>925512383.56164384</v>
          </cell>
          <cell r="AG45">
            <v>0</v>
          </cell>
          <cell r="AH45">
            <v>0</v>
          </cell>
          <cell r="AI45">
            <v>935682849.31506848</v>
          </cell>
          <cell r="AJ45">
            <v>0</v>
          </cell>
          <cell r="AK45">
            <v>0</v>
          </cell>
          <cell r="AL45">
            <v>935682849.31506848</v>
          </cell>
          <cell r="AM45">
            <v>0</v>
          </cell>
          <cell r="AN45">
            <v>0</v>
          </cell>
          <cell r="AO45">
            <v>925512383.56164384</v>
          </cell>
          <cell r="AP45">
            <v>0</v>
          </cell>
          <cell r="AQ45">
            <v>0</v>
          </cell>
          <cell r="AR45">
            <v>915341917.80821919</v>
          </cell>
          <cell r="AS45">
            <v>0</v>
          </cell>
          <cell r="AT45">
            <v>0</v>
          </cell>
          <cell r="AU45">
            <v>935682849.31506848</v>
          </cell>
          <cell r="AV45">
            <v>0</v>
          </cell>
          <cell r="AW45">
            <v>0</v>
          </cell>
          <cell r="AX45">
            <v>935682849.31506848</v>
          </cell>
          <cell r="AY45">
            <v>0</v>
          </cell>
          <cell r="AZ45">
            <v>0</v>
          </cell>
          <cell r="BA45">
            <v>925512383.56164384</v>
          </cell>
          <cell r="BB45">
            <v>0</v>
          </cell>
          <cell r="BC45">
            <v>0</v>
          </cell>
          <cell r="BD45">
            <v>915341917.80821919</v>
          </cell>
          <cell r="BE45">
            <v>0</v>
          </cell>
          <cell r="BF45">
            <v>0</v>
          </cell>
          <cell r="BG45">
            <v>935682849.31506848</v>
          </cell>
          <cell r="BH45">
            <v>0</v>
          </cell>
          <cell r="BI45">
            <v>0</v>
          </cell>
          <cell r="BJ45">
            <v>935682849.31506848</v>
          </cell>
          <cell r="BK45">
            <v>0</v>
          </cell>
          <cell r="BL45">
            <v>0</v>
          </cell>
          <cell r="BM45">
            <v>925512383.56164384</v>
          </cell>
          <cell r="BN45">
            <v>0</v>
          </cell>
          <cell r="BO45">
            <v>0</v>
          </cell>
          <cell r="BP45">
            <v>915341917.80821919</v>
          </cell>
          <cell r="BQ45">
            <v>0</v>
          </cell>
          <cell r="BR45">
            <v>0</v>
          </cell>
          <cell r="BS45">
            <v>935682849.31506848</v>
          </cell>
          <cell r="BT45">
            <v>0</v>
          </cell>
          <cell r="BU45">
            <v>0</v>
          </cell>
          <cell r="BV45">
            <v>935682849.31506848</v>
          </cell>
          <cell r="BW45">
            <v>0</v>
          </cell>
          <cell r="BX45">
            <v>0</v>
          </cell>
          <cell r="BY45">
            <v>925512383.56164384</v>
          </cell>
          <cell r="BZ45">
            <v>0</v>
          </cell>
          <cell r="CA45">
            <v>0</v>
          </cell>
          <cell r="CB45">
            <v>925512383.56164384</v>
          </cell>
          <cell r="CC45">
            <v>0</v>
          </cell>
          <cell r="CD45">
            <v>0</v>
          </cell>
          <cell r="CE45">
            <v>935682849.31506848</v>
          </cell>
          <cell r="CF45">
            <v>0</v>
          </cell>
          <cell r="CG45">
            <v>0</v>
          </cell>
          <cell r="CH45">
            <v>935682849.31506848</v>
          </cell>
          <cell r="CI45">
            <v>0</v>
          </cell>
          <cell r="CJ45">
            <v>0</v>
          </cell>
          <cell r="CK45">
            <v>925512383.56164384</v>
          </cell>
          <cell r="CL45">
            <v>0</v>
          </cell>
          <cell r="CM45">
            <v>0</v>
          </cell>
          <cell r="CN45">
            <v>233920712.32876712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4165190952.6981454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30404992596.533768</v>
          </cell>
        </row>
        <row r="46">
          <cell r="E46" t="str">
            <v>Total</v>
          </cell>
          <cell r="F46">
            <v>0</v>
          </cell>
          <cell r="G46">
            <v>0</v>
          </cell>
          <cell r="H46">
            <v>915341917.80821919</v>
          </cell>
          <cell r="I46">
            <v>0</v>
          </cell>
          <cell r="J46">
            <v>0</v>
          </cell>
          <cell r="K46">
            <v>935682849.31506848</v>
          </cell>
          <cell r="L46">
            <v>0</v>
          </cell>
          <cell r="M46">
            <v>0</v>
          </cell>
          <cell r="N46">
            <v>935682849.31506848</v>
          </cell>
          <cell r="O46">
            <v>0</v>
          </cell>
          <cell r="P46">
            <v>0</v>
          </cell>
          <cell r="Q46">
            <v>925512383.56164384</v>
          </cell>
          <cell r="R46">
            <v>0</v>
          </cell>
          <cell r="S46">
            <v>0</v>
          </cell>
          <cell r="T46">
            <v>915341917.80821919</v>
          </cell>
          <cell r="U46">
            <v>0</v>
          </cell>
          <cell r="V46">
            <v>0</v>
          </cell>
          <cell r="W46">
            <v>935682849.31506848</v>
          </cell>
          <cell r="X46">
            <v>0</v>
          </cell>
          <cell r="Y46">
            <v>0</v>
          </cell>
          <cell r="Z46">
            <v>935682849.31506848</v>
          </cell>
          <cell r="AA46">
            <v>0</v>
          </cell>
          <cell r="AB46">
            <v>0</v>
          </cell>
          <cell r="AC46">
            <v>925512383.56164384</v>
          </cell>
          <cell r="AD46">
            <v>0</v>
          </cell>
          <cell r="AE46">
            <v>0</v>
          </cell>
          <cell r="AF46">
            <v>925512383.56164384</v>
          </cell>
          <cell r="AG46">
            <v>0</v>
          </cell>
          <cell r="AH46">
            <v>0</v>
          </cell>
          <cell r="AI46">
            <v>935682849.31506848</v>
          </cell>
          <cell r="AJ46">
            <v>0</v>
          </cell>
          <cell r="AK46">
            <v>0</v>
          </cell>
          <cell r="AL46">
            <v>935682849.31506848</v>
          </cell>
          <cell r="AM46">
            <v>0</v>
          </cell>
          <cell r="AN46">
            <v>0</v>
          </cell>
          <cell r="AO46">
            <v>925512383.56164384</v>
          </cell>
          <cell r="AP46">
            <v>0</v>
          </cell>
          <cell r="AQ46">
            <v>0</v>
          </cell>
          <cell r="AR46">
            <v>915341917.80821919</v>
          </cell>
          <cell r="AS46">
            <v>0</v>
          </cell>
          <cell r="AT46">
            <v>0</v>
          </cell>
          <cell r="AU46">
            <v>935682849.31506848</v>
          </cell>
          <cell r="AV46">
            <v>0</v>
          </cell>
          <cell r="AW46">
            <v>0</v>
          </cell>
          <cell r="AX46">
            <v>935682849.31506848</v>
          </cell>
          <cell r="AY46">
            <v>0</v>
          </cell>
          <cell r="AZ46">
            <v>0</v>
          </cell>
          <cell r="BA46">
            <v>925512383.56164384</v>
          </cell>
          <cell r="BB46">
            <v>0</v>
          </cell>
          <cell r="BC46">
            <v>0</v>
          </cell>
          <cell r="BD46">
            <v>915341917.80821919</v>
          </cell>
          <cell r="BE46">
            <v>0</v>
          </cell>
          <cell r="BF46">
            <v>0</v>
          </cell>
          <cell r="BG46">
            <v>935682849.31506848</v>
          </cell>
          <cell r="BH46">
            <v>0</v>
          </cell>
          <cell r="BI46">
            <v>0</v>
          </cell>
          <cell r="BJ46">
            <v>935682849.31506848</v>
          </cell>
          <cell r="BK46">
            <v>0</v>
          </cell>
          <cell r="BL46">
            <v>0</v>
          </cell>
          <cell r="BM46">
            <v>925512383.56164384</v>
          </cell>
          <cell r="BN46">
            <v>0</v>
          </cell>
          <cell r="BO46">
            <v>0</v>
          </cell>
          <cell r="BP46">
            <v>915341917.80821919</v>
          </cell>
          <cell r="BQ46">
            <v>0</v>
          </cell>
          <cell r="BR46">
            <v>0</v>
          </cell>
          <cell r="BS46">
            <v>935682849.31506848</v>
          </cell>
          <cell r="BT46">
            <v>0</v>
          </cell>
          <cell r="BU46">
            <v>0</v>
          </cell>
          <cell r="BV46">
            <v>935682849.31506848</v>
          </cell>
          <cell r="BW46">
            <v>0</v>
          </cell>
          <cell r="BX46">
            <v>0</v>
          </cell>
          <cell r="BY46">
            <v>925512383.56164384</v>
          </cell>
          <cell r="BZ46">
            <v>0</v>
          </cell>
          <cell r="CA46">
            <v>0</v>
          </cell>
          <cell r="CB46">
            <v>925512383.56164384</v>
          </cell>
          <cell r="CC46">
            <v>0</v>
          </cell>
          <cell r="CD46">
            <v>0</v>
          </cell>
          <cell r="CE46">
            <v>935682849.31506848</v>
          </cell>
          <cell r="CF46">
            <v>0</v>
          </cell>
          <cell r="CG46">
            <v>0</v>
          </cell>
          <cell r="CH46">
            <v>935682849.31506848</v>
          </cell>
          <cell r="CI46">
            <v>0</v>
          </cell>
          <cell r="CJ46">
            <v>0</v>
          </cell>
          <cell r="CK46">
            <v>925512383.56164384</v>
          </cell>
          <cell r="CL46">
            <v>0</v>
          </cell>
          <cell r="CM46">
            <v>0</v>
          </cell>
          <cell r="CN46">
            <v>233920712.32876712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4165190952.6981454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30404992596.533768</v>
          </cell>
        </row>
        <row r="47">
          <cell r="A47" t="str">
            <v>HBS-10</v>
          </cell>
          <cell r="B47">
            <v>0</v>
          </cell>
          <cell r="C47">
            <v>0</v>
          </cell>
          <cell r="D47">
            <v>0</v>
          </cell>
          <cell r="E47" t="str">
            <v>현     가</v>
          </cell>
          <cell r="F47">
            <v>0</v>
          </cell>
          <cell r="G47">
            <v>0</v>
          </cell>
          <cell r="H47">
            <v>907116221.75825572</v>
          </cell>
          <cell r="I47">
            <v>0</v>
          </cell>
          <cell r="J47">
            <v>0</v>
          </cell>
          <cell r="K47">
            <v>915006182.12007713</v>
          </cell>
          <cell r="L47">
            <v>0</v>
          </cell>
          <cell r="M47">
            <v>0</v>
          </cell>
          <cell r="N47">
            <v>902766710.71374726</v>
          </cell>
          <cell r="O47">
            <v>0</v>
          </cell>
          <cell r="P47">
            <v>0</v>
          </cell>
          <cell r="Q47">
            <v>880879168.97002161</v>
          </cell>
          <cell r="R47">
            <v>0</v>
          </cell>
          <cell r="S47">
            <v>0</v>
          </cell>
          <cell r="T47">
            <v>853282461.81790316</v>
          </cell>
          <cell r="U47">
            <v>0</v>
          </cell>
          <cell r="V47">
            <v>0</v>
          </cell>
          <cell r="W47">
            <v>859402228.62410569</v>
          </cell>
          <cell r="X47">
            <v>0</v>
          </cell>
          <cell r="Y47">
            <v>0</v>
          </cell>
          <cell r="Z47">
            <v>846609699.63251579</v>
          </cell>
          <cell r="AA47">
            <v>0</v>
          </cell>
          <cell r="AB47">
            <v>0</v>
          </cell>
          <cell r="AC47">
            <v>824806348.7503227</v>
          </cell>
          <cell r="AD47">
            <v>0</v>
          </cell>
          <cell r="AE47">
            <v>0</v>
          </cell>
          <cell r="AF47">
            <v>806458781.01858461</v>
          </cell>
          <cell r="AG47">
            <v>0</v>
          </cell>
          <cell r="AH47">
            <v>0</v>
          </cell>
          <cell r="AI47">
            <v>802507236.42236733</v>
          </cell>
          <cell r="AJ47">
            <v>0</v>
          </cell>
          <cell r="AK47">
            <v>0</v>
          </cell>
          <cell r="AL47">
            <v>789894890.25865793</v>
          </cell>
          <cell r="AM47">
            <v>0</v>
          </cell>
          <cell r="AN47">
            <v>0</v>
          </cell>
          <cell r="AO47">
            <v>768896025.53178465</v>
          </cell>
          <cell r="AP47">
            <v>0</v>
          </cell>
          <cell r="AQ47">
            <v>0</v>
          </cell>
          <cell r="AR47">
            <v>738872437.85529697</v>
          </cell>
          <cell r="AS47">
            <v>0</v>
          </cell>
          <cell r="AT47">
            <v>0</v>
          </cell>
          <cell r="AU47">
            <v>742812969.2768333</v>
          </cell>
          <cell r="AV47">
            <v>0</v>
          </cell>
          <cell r="AW47">
            <v>0</v>
          </cell>
          <cell r="AX47">
            <v>730405069.73458374</v>
          </cell>
          <cell r="AY47">
            <v>0</v>
          </cell>
          <cell r="AZ47">
            <v>0</v>
          </cell>
          <cell r="BA47">
            <v>710266371.38999557</v>
          </cell>
          <cell r="BB47">
            <v>0</v>
          </cell>
          <cell r="BC47">
            <v>0</v>
          </cell>
          <cell r="BD47">
            <v>690599530.66202164</v>
          </cell>
          <cell r="BE47">
            <v>0</v>
          </cell>
          <cell r="BF47">
            <v>0</v>
          </cell>
          <cell r="BG47">
            <v>694282614.52176213</v>
          </cell>
          <cell r="BH47">
            <v>0</v>
          </cell>
          <cell r="BI47">
            <v>0</v>
          </cell>
          <cell r="BJ47">
            <v>682685362.86997259</v>
          </cell>
          <cell r="BK47">
            <v>0</v>
          </cell>
          <cell r="BL47">
            <v>0</v>
          </cell>
          <cell r="BM47">
            <v>663862390.3075012</v>
          </cell>
          <cell r="BN47">
            <v>0</v>
          </cell>
          <cell r="BO47">
            <v>0</v>
          </cell>
          <cell r="BP47">
            <v>632233340.02632177</v>
          </cell>
          <cell r="BQ47">
            <v>0</v>
          </cell>
          <cell r="BR47">
            <v>0</v>
          </cell>
          <cell r="BS47">
            <v>634976833.76815796</v>
          </cell>
          <cell r="BT47">
            <v>0</v>
          </cell>
          <cell r="BU47">
            <v>0</v>
          </cell>
          <cell r="BV47">
            <v>623746160.25533426</v>
          </cell>
          <cell r="BW47">
            <v>0</v>
          </cell>
          <cell r="BX47">
            <v>0</v>
          </cell>
          <cell r="BY47">
            <v>605935349.63559794</v>
          </cell>
          <cell r="BZ47">
            <v>0</v>
          </cell>
          <cell r="CA47">
            <v>0</v>
          </cell>
          <cell r="CB47">
            <v>595101615.07680428</v>
          </cell>
          <cell r="CC47">
            <v>0</v>
          </cell>
          <cell r="CD47">
            <v>0</v>
          </cell>
          <cell r="CE47">
            <v>591000118.73372364</v>
          </cell>
          <cell r="CF47">
            <v>0</v>
          </cell>
          <cell r="CG47">
            <v>0</v>
          </cell>
          <cell r="CH47">
            <v>580547250.1776371</v>
          </cell>
          <cell r="CI47">
            <v>0</v>
          </cell>
          <cell r="CJ47">
            <v>0</v>
          </cell>
          <cell r="CK47">
            <v>563969966.35998631</v>
          </cell>
          <cell r="CL47">
            <v>0</v>
          </cell>
          <cell r="CM47">
            <v>0</v>
          </cell>
          <cell r="CN47">
            <v>139993302.80457962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2320536213.9659696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23099452853.040417</v>
          </cell>
        </row>
        <row r="48">
          <cell r="B48" t="str">
            <v>HBS-11</v>
          </cell>
          <cell r="C48" t="str">
            <v>대우자동차판매㈜</v>
          </cell>
          <cell r="D48">
            <v>0.3</v>
          </cell>
          <cell r="E48" t="str">
            <v>담     보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</row>
        <row r="49">
          <cell r="D49">
            <v>0.3</v>
          </cell>
          <cell r="E49" t="str">
            <v>무 담 보</v>
          </cell>
          <cell r="F49">
            <v>0</v>
          </cell>
          <cell r="G49">
            <v>0</v>
          </cell>
          <cell r="H49">
            <v>181310426.37778255</v>
          </cell>
          <cell r="I49">
            <v>0</v>
          </cell>
          <cell r="J49">
            <v>0</v>
          </cell>
          <cell r="K49">
            <v>178661080.97529966</v>
          </cell>
          <cell r="L49">
            <v>0</v>
          </cell>
          <cell r="M49">
            <v>0</v>
          </cell>
          <cell r="N49">
            <v>175943822.46549657</v>
          </cell>
          <cell r="O49">
            <v>0</v>
          </cell>
          <cell r="P49">
            <v>0</v>
          </cell>
          <cell r="Q49">
            <v>172819819.52876711</v>
          </cell>
          <cell r="R49">
            <v>0</v>
          </cell>
          <cell r="S49">
            <v>0</v>
          </cell>
          <cell r="T49">
            <v>169086067.06014553</v>
          </cell>
          <cell r="U49">
            <v>0</v>
          </cell>
          <cell r="V49">
            <v>0</v>
          </cell>
          <cell r="W49">
            <v>166300895.44302228</v>
          </cell>
          <cell r="X49">
            <v>0</v>
          </cell>
          <cell r="Y49">
            <v>0</v>
          </cell>
          <cell r="Z49">
            <v>163447810.71857876</v>
          </cell>
          <cell r="AA49">
            <v>0</v>
          </cell>
          <cell r="AB49">
            <v>0</v>
          </cell>
          <cell r="AC49">
            <v>160323807.78184932</v>
          </cell>
          <cell r="AD49">
            <v>0</v>
          </cell>
          <cell r="AE49">
            <v>0</v>
          </cell>
          <cell r="AF49">
            <v>156988725.09663165</v>
          </cell>
          <cell r="AG49">
            <v>0</v>
          </cell>
          <cell r="AH49">
            <v>0</v>
          </cell>
          <cell r="AI49">
            <v>153907121.46324283</v>
          </cell>
          <cell r="AJ49">
            <v>0</v>
          </cell>
          <cell r="AK49">
            <v>0</v>
          </cell>
          <cell r="AL49">
            <v>150926376.94748977</v>
          </cell>
          <cell r="AM49">
            <v>0</v>
          </cell>
          <cell r="AN49">
            <v>0</v>
          </cell>
          <cell r="AO49">
            <v>147810909.53790984</v>
          </cell>
          <cell r="AP49">
            <v>0</v>
          </cell>
          <cell r="AQ49">
            <v>0</v>
          </cell>
          <cell r="AR49">
            <v>144637348.42487156</v>
          </cell>
          <cell r="AS49">
            <v>0</v>
          </cell>
          <cell r="AT49">
            <v>0</v>
          </cell>
          <cell r="AU49">
            <v>138584604.375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2260748816.1960869</v>
          </cell>
        </row>
        <row r="50">
          <cell r="E50" t="str">
            <v>Total</v>
          </cell>
          <cell r="F50">
            <v>0</v>
          </cell>
          <cell r="G50">
            <v>0</v>
          </cell>
          <cell r="H50">
            <v>181310426.37778255</v>
          </cell>
          <cell r="I50">
            <v>0</v>
          </cell>
          <cell r="J50">
            <v>0</v>
          </cell>
          <cell r="K50">
            <v>178661080.97529966</v>
          </cell>
          <cell r="L50">
            <v>0</v>
          </cell>
          <cell r="M50">
            <v>0</v>
          </cell>
          <cell r="N50">
            <v>175943822.46549657</v>
          </cell>
          <cell r="O50">
            <v>0</v>
          </cell>
          <cell r="P50">
            <v>0</v>
          </cell>
          <cell r="Q50">
            <v>172819819.52876711</v>
          </cell>
          <cell r="R50">
            <v>0</v>
          </cell>
          <cell r="S50">
            <v>0</v>
          </cell>
          <cell r="T50">
            <v>169086067.06014553</v>
          </cell>
          <cell r="U50">
            <v>0</v>
          </cell>
          <cell r="V50">
            <v>0</v>
          </cell>
          <cell r="W50">
            <v>166300895.44302228</v>
          </cell>
          <cell r="X50">
            <v>0</v>
          </cell>
          <cell r="Y50">
            <v>0</v>
          </cell>
          <cell r="Z50">
            <v>163447810.71857876</v>
          </cell>
          <cell r="AA50">
            <v>0</v>
          </cell>
          <cell r="AB50">
            <v>0</v>
          </cell>
          <cell r="AC50">
            <v>160323807.78184932</v>
          </cell>
          <cell r="AD50">
            <v>0</v>
          </cell>
          <cell r="AE50">
            <v>0</v>
          </cell>
          <cell r="AF50">
            <v>156988725.09663165</v>
          </cell>
          <cell r="AG50">
            <v>0</v>
          </cell>
          <cell r="AH50">
            <v>0</v>
          </cell>
          <cell r="AI50">
            <v>153907121.46324283</v>
          </cell>
          <cell r="AJ50">
            <v>0</v>
          </cell>
          <cell r="AK50">
            <v>0</v>
          </cell>
          <cell r="AL50">
            <v>150926376.94748977</v>
          </cell>
          <cell r="AM50">
            <v>0</v>
          </cell>
          <cell r="AN50">
            <v>0</v>
          </cell>
          <cell r="AO50">
            <v>147810909.53790984</v>
          </cell>
          <cell r="AP50">
            <v>0</v>
          </cell>
          <cell r="AQ50">
            <v>0</v>
          </cell>
          <cell r="AR50">
            <v>144637348.42487156</v>
          </cell>
          <cell r="AS50">
            <v>0</v>
          </cell>
          <cell r="AT50">
            <v>0</v>
          </cell>
          <cell r="AU50">
            <v>138584604.375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2260748816.1960869</v>
          </cell>
        </row>
        <row r="51">
          <cell r="A51" t="str">
            <v>HBS-11</v>
          </cell>
          <cell r="B51">
            <v>0</v>
          </cell>
          <cell r="C51">
            <v>0</v>
          </cell>
          <cell r="D51">
            <v>0</v>
          </cell>
          <cell r="E51" t="str">
            <v>현     가</v>
          </cell>
          <cell r="F51">
            <v>0</v>
          </cell>
          <cell r="G51">
            <v>0</v>
          </cell>
          <cell r="H51">
            <v>179681085.00374818</v>
          </cell>
          <cell r="I51">
            <v>0</v>
          </cell>
          <cell r="J51">
            <v>0</v>
          </cell>
          <cell r="K51">
            <v>174713038.41501567</v>
          </cell>
          <cell r="L51">
            <v>0</v>
          </cell>
          <cell r="M51">
            <v>0</v>
          </cell>
          <cell r="N51">
            <v>169754341.4350813</v>
          </cell>
          <cell r="O51">
            <v>0</v>
          </cell>
          <cell r="P51">
            <v>0</v>
          </cell>
          <cell r="Q51">
            <v>164485512.79477283</v>
          </cell>
          <cell r="R51">
            <v>0</v>
          </cell>
          <cell r="S51">
            <v>0</v>
          </cell>
          <cell r="T51">
            <v>157622165.83029574</v>
          </cell>
          <cell r="U51">
            <v>0</v>
          </cell>
          <cell r="V51">
            <v>0</v>
          </cell>
          <cell r="W51">
            <v>152743379.09531686</v>
          </cell>
          <cell r="X51">
            <v>0</v>
          </cell>
          <cell r="Y51">
            <v>0</v>
          </cell>
          <cell r="Z51">
            <v>147888252.99014682</v>
          </cell>
          <cell r="AA51">
            <v>0</v>
          </cell>
          <cell r="AB51">
            <v>0</v>
          </cell>
          <cell r="AC51">
            <v>142878795.42509452</v>
          </cell>
          <cell r="AD51">
            <v>0</v>
          </cell>
          <cell r="AE51">
            <v>0</v>
          </cell>
          <cell r="AF51">
            <v>136794426.6589694</v>
          </cell>
          <cell r="AG51">
            <v>0</v>
          </cell>
          <cell r="AH51">
            <v>0</v>
          </cell>
          <cell r="AI51">
            <v>132001541.76343046</v>
          </cell>
          <cell r="AJ51">
            <v>0</v>
          </cell>
          <cell r="AK51">
            <v>0</v>
          </cell>
          <cell r="AL51">
            <v>127410664.88858041</v>
          </cell>
          <cell r="AM51">
            <v>0</v>
          </cell>
          <cell r="AN51">
            <v>0</v>
          </cell>
          <cell r="AO51">
            <v>122798163.36608453</v>
          </cell>
          <cell r="AP51">
            <v>0</v>
          </cell>
          <cell r="AQ51">
            <v>0</v>
          </cell>
          <cell r="AR51">
            <v>116752601.57593019</v>
          </cell>
          <cell r="AS51">
            <v>0</v>
          </cell>
          <cell r="AT51">
            <v>0</v>
          </cell>
          <cell r="AU51">
            <v>110018519.14588809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2035542488.388355</v>
          </cell>
        </row>
        <row r="52">
          <cell r="B52" t="str">
            <v>HBS-12</v>
          </cell>
          <cell r="C52" t="str">
            <v>삼미금속</v>
          </cell>
          <cell r="D52">
            <v>0.19365564457987661</v>
          </cell>
          <cell r="E52" t="str">
            <v>담     보</v>
          </cell>
          <cell r="F52">
            <v>255188241.46827233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714301913.89387453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691971015.96919942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846468897.98434198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800310892.67511129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754430217.93502605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708464208.8351568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1244308894.4104977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6015444283.1714802</v>
          </cell>
        </row>
        <row r="53">
          <cell r="D53">
            <v>0.19365564457987661</v>
          </cell>
          <cell r="E53" t="str">
            <v>무 담 보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</row>
        <row r="54">
          <cell r="E54" t="str">
            <v>Total</v>
          </cell>
          <cell r="F54">
            <v>255188241.46827233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714301913.89387453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691971015.96919942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846468897.98434198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800310892.67511129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754430217.93502605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708464208.8351568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1244308894.4104977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6015444283.1714802</v>
          </cell>
        </row>
        <row r="55">
          <cell r="A55" t="str">
            <v>HBS-12</v>
          </cell>
          <cell r="B55">
            <v>0</v>
          </cell>
          <cell r="C55">
            <v>0</v>
          </cell>
          <cell r="D55">
            <v>0</v>
          </cell>
          <cell r="E55" t="str">
            <v>현     가</v>
          </cell>
          <cell r="F55">
            <v>255188241.46827233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676742694.35705769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613534332.73502314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699443710.50228322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610668594.36453485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538050135.88277149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461022224.39224976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753636353.67063105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4608286287.3728237</v>
          </cell>
        </row>
        <row r="56">
          <cell r="B56" t="str">
            <v>HBS-13</v>
          </cell>
          <cell r="C56" t="str">
            <v>㈜고제</v>
          </cell>
          <cell r="D56">
            <v>0.51994562528776112</v>
          </cell>
          <cell r="E56" t="str">
            <v>담     보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</row>
        <row r="57">
          <cell r="D57">
            <v>0.51994562528776112</v>
          </cell>
          <cell r="E57" t="str">
            <v>무 담 보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</row>
        <row r="58">
          <cell r="E58" t="str">
            <v>Total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</row>
        <row r="59">
          <cell r="A59" t="str">
            <v>HBS-13</v>
          </cell>
          <cell r="B59">
            <v>0</v>
          </cell>
          <cell r="C59">
            <v>0</v>
          </cell>
          <cell r="D59">
            <v>0</v>
          </cell>
          <cell r="E59" t="str">
            <v>현     가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</row>
        <row r="60">
          <cell r="B60" t="str">
            <v>HBS-14</v>
          </cell>
          <cell r="C60" t="str">
            <v>㈜범구</v>
          </cell>
          <cell r="D60">
            <v>0.83954168317065103</v>
          </cell>
          <cell r="E60" t="str">
            <v>담     보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753908431.48724461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873123350.49747705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724524472.57627189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1055877869.40575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807400967.92266679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807400967.92266679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807400967.92266679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5829637027.7347431</v>
          </cell>
        </row>
        <row r="61">
          <cell r="D61">
            <v>0.83954168317065103</v>
          </cell>
          <cell r="E61" t="str">
            <v>무 담 보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</row>
        <row r="62">
          <cell r="E62" t="str">
            <v>Total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753908431.48724461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873123350.49747705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724524472.57627189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1055877869.40575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807400967.92266679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807400967.92266679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807400967.92266679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5829637027.7347431</v>
          </cell>
        </row>
        <row r="63">
          <cell r="A63" t="str">
            <v>HBS-14</v>
          </cell>
          <cell r="B63">
            <v>0</v>
          </cell>
          <cell r="C63">
            <v>0</v>
          </cell>
          <cell r="D63">
            <v>0</v>
          </cell>
          <cell r="E63" t="str">
            <v>현     가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737248605.19592106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801942831.1960125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621403002.77297568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838232501.47324336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599096644.11086583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547921670.86120033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509974152.30739439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4655819407.917613</v>
          </cell>
        </row>
        <row r="64">
          <cell r="B64" t="str">
            <v>HBS-15</v>
          </cell>
          <cell r="C64" t="str">
            <v xml:space="preserve">두양금속㈜ </v>
          </cell>
          <cell r="D64">
            <v>0.50838337126079869</v>
          </cell>
          <cell r="E64" t="str">
            <v>담     보</v>
          </cell>
          <cell r="F64">
            <v>0</v>
          </cell>
          <cell r="G64">
            <v>0</v>
          </cell>
          <cell r="H64">
            <v>124451438.28146999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82246089.643627167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82246089.643627167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82246089.643627197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224509596.0948962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211350221.74815378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198190847.40141141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185031473.05466902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349701481.51782125</v>
          </cell>
          <cell r="DA64">
            <v>19874260.555838689</v>
          </cell>
          <cell r="DB64">
            <v>17359558.199793793</v>
          </cell>
          <cell r="DC64">
            <v>14925975.274589054</v>
          </cell>
          <cell r="DD64">
            <v>12411272.91854416</v>
          </cell>
          <cell r="DE64">
            <v>9896570.5624992643</v>
          </cell>
          <cell r="DF64">
            <v>7462987.6372945271</v>
          </cell>
          <cell r="DG64">
            <v>4948285.2812496321</v>
          </cell>
          <cell r="DH64">
            <v>2514702.356044895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1629366939.8151572</v>
          </cell>
        </row>
        <row r="65">
          <cell r="D65">
            <v>0.50838337126079869</v>
          </cell>
          <cell r="E65" t="str">
            <v>무 담 보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</row>
        <row r="66">
          <cell r="E66" t="str">
            <v>Total</v>
          </cell>
          <cell r="F66">
            <v>0</v>
          </cell>
          <cell r="G66">
            <v>0</v>
          </cell>
          <cell r="H66">
            <v>124451438.28146999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82246089.643627167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82246089.643627167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82246089.643627197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224509596.0948962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211350221.74815378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198190847.40141141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185031473.05466902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349701481.51782125</v>
          </cell>
          <cell r="DA66">
            <v>19874260.555838689</v>
          </cell>
          <cell r="DB66">
            <v>17359558.199793793</v>
          </cell>
          <cell r="DC66">
            <v>14925975.274589054</v>
          </cell>
          <cell r="DD66">
            <v>12411272.91854416</v>
          </cell>
          <cell r="DE66">
            <v>9896570.5624992643</v>
          </cell>
          <cell r="DF66">
            <v>7462987.6372945271</v>
          </cell>
          <cell r="DG66">
            <v>4948285.2812496321</v>
          </cell>
          <cell r="DH66">
            <v>2514702.356044895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1629366939.8151572</v>
          </cell>
        </row>
        <row r="67">
          <cell r="A67" t="str">
            <v>HBS-15</v>
          </cell>
          <cell r="B67">
            <v>0</v>
          </cell>
          <cell r="C67">
            <v>0</v>
          </cell>
          <cell r="D67">
            <v>0</v>
          </cell>
          <cell r="E67" t="str">
            <v>현     가</v>
          </cell>
          <cell r="F67">
            <v>0</v>
          </cell>
          <cell r="G67">
            <v>0</v>
          </cell>
          <cell r="H67">
            <v>123333058.70727174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76669870.002297819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71666335.724536538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66389802.080258727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169386126.29421869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145981139.95598245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127436105.09903538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110734815.98890537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194827790.88770989</v>
          </cell>
          <cell r="DA67">
            <v>11005361.29862532</v>
          </cell>
          <cell r="DB67">
            <v>9560208.8442056142</v>
          </cell>
          <cell r="DC67">
            <v>8170174.2824678682</v>
          </cell>
          <cell r="DD67">
            <v>6753827.8241582932</v>
          </cell>
          <cell r="DE67">
            <v>5352766.2221992994</v>
          </cell>
          <cell r="DF67">
            <v>4012835.2455507861</v>
          </cell>
          <cell r="DG67">
            <v>2644558.8049912406</v>
          </cell>
          <cell r="DH67">
            <v>1335810.8876175473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1135260588.1500323</v>
          </cell>
        </row>
        <row r="68">
          <cell r="B68" t="str">
            <v>HBS-16</v>
          </cell>
          <cell r="C68" t="str">
            <v>삼화제관</v>
          </cell>
          <cell r="D68">
            <v>1</v>
          </cell>
          <cell r="E68" t="str">
            <v>담     보</v>
          </cell>
          <cell r="F68">
            <v>0</v>
          </cell>
          <cell r="G68">
            <v>1093212329.3546302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1048678482.1472877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1007875167.7107946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963807643.79112327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922538006.0669589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879482107.72828567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836851115.34000003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794026472.01815319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751782271.7792877</v>
          </cell>
          <cell r="BD68">
            <v>0</v>
          </cell>
          <cell r="BE68">
            <v>57118874.974027403</v>
          </cell>
          <cell r="BF68">
            <v>42663682.779287674</v>
          </cell>
          <cell r="BG68">
            <v>35669636.422027402</v>
          </cell>
          <cell r="BH68">
            <v>28442455.186191782</v>
          </cell>
          <cell r="BI68">
            <v>21215273.950356163</v>
          </cell>
          <cell r="BJ68">
            <v>14221227.593095891</v>
          </cell>
          <cell r="BK68">
            <v>6994046.3572602738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8504578793.1987686</v>
          </cell>
        </row>
        <row r="69">
          <cell r="D69">
            <v>1</v>
          </cell>
          <cell r="E69" t="str">
            <v>무 담 보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</row>
        <row r="70">
          <cell r="E70" t="str">
            <v>Total</v>
          </cell>
          <cell r="F70">
            <v>0</v>
          </cell>
          <cell r="G70">
            <v>1093212329.3546302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1048678482.1472877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1007875167.7107946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963807643.79112327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922538006.0669589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879482107.72828567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836851115.34000003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794026472.01815319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751782271.7792877</v>
          </cell>
          <cell r="BD70">
            <v>0</v>
          </cell>
          <cell r="BE70">
            <v>57118874.974027403</v>
          </cell>
          <cell r="BF70">
            <v>42663682.779287674</v>
          </cell>
          <cell r="BG70">
            <v>35669636.422027402</v>
          </cell>
          <cell r="BH70">
            <v>28442455.186191782</v>
          </cell>
          <cell r="BI70">
            <v>21215273.950356163</v>
          </cell>
          <cell r="BJ70">
            <v>14221227.593095891</v>
          </cell>
          <cell r="BK70">
            <v>6994046.3572602738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8504578793.1987686</v>
          </cell>
        </row>
        <row r="71">
          <cell r="A71" t="str">
            <v>HBS-16</v>
          </cell>
          <cell r="B71">
            <v>0</v>
          </cell>
          <cell r="C71">
            <v>0</v>
          </cell>
          <cell r="D71">
            <v>0</v>
          </cell>
          <cell r="E71" t="str">
            <v>현     가</v>
          </cell>
          <cell r="F71">
            <v>0</v>
          </cell>
          <cell r="G71">
            <v>1088369710.3606184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1016289171.5025773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944354399.17404723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876379394.06882668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808216711.09986675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746338183.6796881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679401459.66347635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623278089.7442981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570462589.43162835</v>
          </cell>
          <cell r="BD71">
            <v>0</v>
          </cell>
          <cell r="BE71">
            <v>42847985.80154907</v>
          </cell>
          <cell r="BF71">
            <v>31838905.0517837</v>
          </cell>
          <cell r="BG71">
            <v>26467096.679450739</v>
          </cell>
          <cell r="BH71">
            <v>20987607.556014758</v>
          </cell>
          <cell r="BI71">
            <v>15565115.056510899</v>
          </cell>
          <cell r="BJ71">
            <v>10375977.209538434</v>
          </cell>
          <cell r="BK71">
            <v>5073740.6937311487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7506246136.7736063</v>
          </cell>
        </row>
        <row r="72">
          <cell r="B72" t="str">
            <v>HBS-17</v>
          </cell>
          <cell r="C72" t="str">
            <v>한양공영</v>
          </cell>
          <cell r="D72">
            <v>0.73079382228752976</v>
          </cell>
          <cell r="E72" t="str">
            <v>담     보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</row>
        <row r="73">
          <cell r="D73">
            <v>0.73079382228752976</v>
          </cell>
          <cell r="E73" t="str">
            <v>무 담 보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</row>
        <row r="74">
          <cell r="E74" t="str">
            <v>Total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</v>
          </cell>
          <cell r="GL74">
            <v>0</v>
          </cell>
          <cell r="GM74">
            <v>0</v>
          </cell>
          <cell r="GN74">
            <v>0</v>
          </cell>
          <cell r="GO74">
            <v>0</v>
          </cell>
          <cell r="GP74">
            <v>0</v>
          </cell>
          <cell r="GQ74">
            <v>0</v>
          </cell>
          <cell r="GR74">
            <v>0</v>
          </cell>
          <cell r="GS74">
            <v>0</v>
          </cell>
          <cell r="GT74">
            <v>0</v>
          </cell>
          <cell r="GU74">
            <v>0</v>
          </cell>
          <cell r="GV74">
            <v>0</v>
          </cell>
          <cell r="GW74">
            <v>0</v>
          </cell>
          <cell r="GX74">
            <v>0</v>
          </cell>
          <cell r="GY74">
            <v>0</v>
          </cell>
          <cell r="GZ74">
            <v>0</v>
          </cell>
          <cell r="HA74">
            <v>0</v>
          </cell>
          <cell r="HB74">
            <v>0</v>
          </cell>
          <cell r="HC74">
            <v>0</v>
          </cell>
          <cell r="HD74">
            <v>0</v>
          </cell>
          <cell r="HE74">
            <v>0</v>
          </cell>
        </row>
        <row r="75">
          <cell r="A75" t="str">
            <v>HBS-17</v>
          </cell>
          <cell r="B75">
            <v>0</v>
          </cell>
          <cell r="C75">
            <v>0</v>
          </cell>
          <cell r="D75">
            <v>0</v>
          </cell>
          <cell r="E75" t="str">
            <v>현     가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>
            <v>0</v>
          </cell>
          <cell r="GK75">
            <v>0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W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</row>
        <row r="76">
          <cell r="B76" t="str">
            <v>HBS-18</v>
          </cell>
          <cell r="C76" t="str">
            <v>주식회사 한양목재</v>
          </cell>
          <cell r="D76">
            <v>1</v>
          </cell>
          <cell r="E76" t="str">
            <v>담     보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</row>
        <row r="77">
          <cell r="D77">
            <v>1</v>
          </cell>
          <cell r="E77" t="str">
            <v>무 담 보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</row>
        <row r="78">
          <cell r="E78" t="str">
            <v>Total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</row>
        <row r="79">
          <cell r="A79" t="str">
            <v>HBS-18</v>
          </cell>
          <cell r="B79">
            <v>0</v>
          </cell>
          <cell r="C79">
            <v>0</v>
          </cell>
          <cell r="D79">
            <v>0</v>
          </cell>
          <cell r="E79" t="str">
            <v>현     가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</row>
        <row r="80">
          <cell r="B80" t="str">
            <v>HBS-19</v>
          </cell>
          <cell r="C80" t="str">
            <v>한양산업</v>
          </cell>
          <cell r="D80">
            <v>1</v>
          </cell>
          <cell r="E80" t="str">
            <v>담     보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</row>
        <row r="81">
          <cell r="D81">
            <v>1</v>
          </cell>
          <cell r="E81" t="str">
            <v>무 담 보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</row>
        <row r="82">
          <cell r="E82" t="str">
            <v>Total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</row>
        <row r="83">
          <cell r="A83" t="str">
            <v>HBS-19</v>
          </cell>
          <cell r="B83">
            <v>0</v>
          </cell>
          <cell r="C83">
            <v>0</v>
          </cell>
          <cell r="D83">
            <v>0</v>
          </cell>
          <cell r="E83" t="str">
            <v>현     가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</row>
        <row r="84">
          <cell r="B84" t="str">
            <v>HBS-20</v>
          </cell>
          <cell r="C84" t="str">
            <v>에이아이테크</v>
          </cell>
          <cell r="D84">
            <v>0.3</v>
          </cell>
          <cell r="E84" t="str">
            <v>담     보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</row>
        <row r="85">
          <cell r="D85">
            <v>0.3</v>
          </cell>
          <cell r="E85" t="str">
            <v>무 담 보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4514851.5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13010781.225304106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4503424.4221315067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4578066.8158684922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4522119.0107268346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55018287.536590151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3747755.1609472265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54267784.779890403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3002282.9480876713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53504773.643912323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2251712.2110657538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52741762.507934242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1507373.0035756126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51974581.912196718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749551.03218944592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51215740.235978074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361110847.94639856</v>
          </cell>
        </row>
        <row r="86">
          <cell r="E86" t="str">
            <v>Total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4514851.5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13010781.225304106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4503424.4221315067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4578066.8158684922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4522119.0107268346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55018287.536590151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3747755.1609472265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54267784.779890403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3002282.9480876713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53504773.643912323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2251712.2110657538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52741762.507934242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1507373.0035756126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51974581.912196718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749551.03218944592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51215740.235978074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361110847.94639856</v>
          </cell>
        </row>
        <row r="87">
          <cell r="A87" t="str">
            <v>HBS-20</v>
          </cell>
          <cell r="B87">
            <v>0</v>
          </cell>
          <cell r="C87">
            <v>0</v>
          </cell>
          <cell r="D87">
            <v>0</v>
          </cell>
          <cell r="E87" t="str">
            <v>현     가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4356024.7374413311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12128660.578207768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4074716.9835691582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3989165.6225483986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3817531.4449008135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44411269.109278679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2925541.8881339985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40943505.339293435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2190501.434705046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36956137.471823372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1501039.4245020328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33912791.020346619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935254.13323372602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31104955.655013975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432937.25750602898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28533620.977370381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252213653.07787481</v>
          </cell>
        </row>
        <row r="88">
          <cell r="B88" t="str">
            <v>HBS-21</v>
          </cell>
          <cell r="C88" t="str">
            <v>㈜에바스</v>
          </cell>
          <cell r="D88">
            <v>0.1</v>
          </cell>
          <cell r="E88" t="str">
            <v>담     보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</row>
        <row r="89">
          <cell r="D89">
            <v>0.1</v>
          </cell>
          <cell r="E89" t="str">
            <v>무 담 보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3157442.5250000004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3157442.5250000004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6217067.3089455999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3059624.7839455991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15591577.1428912</v>
          </cell>
        </row>
        <row r="90">
          <cell r="E90" t="str">
            <v>Total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3157442.5250000004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3157442.5250000004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6217067.3089455999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3059624.7839455991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15591577.1428912</v>
          </cell>
        </row>
        <row r="91">
          <cell r="A91" t="str">
            <v>HBS-21</v>
          </cell>
          <cell r="B91">
            <v>0</v>
          </cell>
          <cell r="C91">
            <v>0</v>
          </cell>
          <cell r="D91">
            <v>0</v>
          </cell>
          <cell r="E91" t="str">
            <v>현     가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3087669.5369362268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2900035.1398167121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5332192.9630386671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2428952.2590900175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13748849.898881624</v>
          </cell>
        </row>
        <row r="92">
          <cell r="B92" t="str">
            <v>HBS-22</v>
          </cell>
          <cell r="C92" t="str">
            <v>삼성제약공업 주식회사</v>
          </cell>
          <cell r="D92">
            <v>0.71753604837457663</v>
          </cell>
          <cell r="E92" t="str">
            <v>담     보</v>
          </cell>
          <cell r="F92">
            <v>0</v>
          </cell>
          <cell r="G92">
            <v>0</v>
          </cell>
          <cell r="H92">
            <v>126942477.35557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20599095.568849951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122214901.1793403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15730601.004822494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117158540.47947554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11148859.071505928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112582888.84945026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526377363.50901449</v>
          </cell>
        </row>
        <row r="93">
          <cell r="D93">
            <v>0.71753604837457663</v>
          </cell>
          <cell r="E93" t="str">
            <v>무 담 보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</row>
        <row r="94">
          <cell r="E94" t="str">
            <v>Total</v>
          </cell>
          <cell r="F94">
            <v>0</v>
          </cell>
          <cell r="G94">
            <v>0</v>
          </cell>
          <cell r="H94">
            <v>126942477.35557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20599095.568849951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122214901.1793403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15730601.004822494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117158540.47947554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11148859.071505928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112582888.84945026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526377363.50901449</v>
          </cell>
        </row>
        <row r="95">
          <cell r="A95" t="str">
            <v>HBS-22</v>
          </cell>
          <cell r="B95">
            <v>0</v>
          </cell>
          <cell r="C95">
            <v>0</v>
          </cell>
          <cell r="D95">
            <v>0</v>
          </cell>
          <cell r="E95" t="str">
            <v>현     가</v>
          </cell>
          <cell r="F95">
            <v>0</v>
          </cell>
          <cell r="G95">
            <v>0</v>
          </cell>
          <cell r="H95">
            <v>125801712.12430364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19874445.453372829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113928827.81862135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14233112.642259534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102087811.48599429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9411764.7013011221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90877946.182307243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476215620.40815997</v>
          </cell>
        </row>
        <row r="96">
          <cell r="B96" t="str">
            <v>HBS-23</v>
          </cell>
          <cell r="C96" t="str">
            <v>㈜휴니드테크놀러지스</v>
          </cell>
          <cell r="D96">
            <v>0.58858806441520051</v>
          </cell>
          <cell r="E96" t="str">
            <v>담     보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</row>
        <row r="97">
          <cell r="D97">
            <v>0.58858806441520051</v>
          </cell>
          <cell r="E97" t="str">
            <v>무 담 보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</row>
        <row r="98">
          <cell r="E98" t="str">
            <v>Total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</row>
        <row r="99">
          <cell r="A99" t="str">
            <v>HBS-23</v>
          </cell>
          <cell r="B99">
            <v>0</v>
          </cell>
          <cell r="C99">
            <v>0</v>
          </cell>
          <cell r="D99">
            <v>0</v>
          </cell>
          <cell r="E99" t="str">
            <v>현     가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</row>
        <row r="100">
          <cell r="B100" t="str">
            <v>HBS-24</v>
          </cell>
          <cell r="C100" t="str">
            <v>㈜ 공영토건</v>
          </cell>
          <cell r="D100">
            <v>9.7550814798832347E-2</v>
          </cell>
          <cell r="E100" t="str">
            <v>담     보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</row>
        <row r="101">
          <cell r="D101">
            <v>9.7550814798832347E-2</v>
          </cell>
          <cell r="E101" t="str">
            <v>무 담 보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</row>
        <row r="102">
          <cell r="E102" t="str">
            <v>Total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</row>
        <row r="103">
          <cell r="A103" t="str">
            <v>HBS-24</v>
          </cell>
          <cell r="B103">
            <v>0</v>
          </cell>
          <cell r="C103">
            <v>0</v>
          </cell>
          <cell r="D103">
            <v>0</v>
          </cell>
          <cell r="E103" t="str">
            <v>현     가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</row>
        <row r="104">
          <cell r="B104" t="str">
            <v>HBS-25</v>
          </cell>
          <cell r="C104" t="str">
            <v>스카이버</v>
          </cell>
          <cell r="D104">
            <v>0.51239196404510101</v>
          </cell>
          <cell r="E104" t="str">
            <v>담     보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</row>
        <row r="105">
          <cell r="D105">
            <v>0.51239196404510101</v>
          </cell>
          <cell r="E105" t="str">
            <v>무 담 보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</row>
        <row r="106">
          <cell r="E106" t="str">
            <v>Total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</row>
        <row r="107">
          <cell r="A107" t="str">
            <v>HBS-25</v>
          </cell>
          <cell r="B107">
            <v>0</v>
          </cell>
          <cell r="C107">
            <v>0</v>
          </cell>
          <cell r="D107">
            <v>0</v>
          </cell>
          <cell r="E107" t="str">
            <v>현     가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</row>
        <row r="108">
          <cell r="B108" t="str">
            <v>HBS-26</v>
          </cell>
          <cell r="C108" t="str">
            <v>삼웅기업㈜</v>
          </cell>
          <cell r="D108">
            <v>0.3</v>
          </cell>
          <cell r="E108" t="str">
            <v>담     보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</row>
        <row r="109">
          <cell r="D109">
            <v>0.3</v>
          </cell>
          <cell r="E109" t="str">
            <v>무 담 보</v>
          </cell>
          <cell r="F109">
            <v>0</v>
          </cell>
          <cell r="G109">
            <v>0</v>
          </cell>
          <cell r="H109">
            <v>1218623.8304882098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1002919.86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1002919.86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1003603.0376874013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1002244.1897597123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6574696.8599999994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6407543.5499999998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6240845.6917916005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6072899.0948798563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5906083.6199999992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5738930.3099999996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42171309.904606782</v>
          </cell>
        </row>
        <row r="110">
          <cell r="E110" t="str">
            <v>Total</v>
          </cell>
          <cell r="F110">
            <v>0</v>
          </cell>
          <cell r="G110">
            <v>0</v>
          </cell>
          <cell r="H110">
            <v>1218623.8304882098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1002919.86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1002919.86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1003603.0376874013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1002244.1897597123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6574696.8599999994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6407543.5499999998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6240845.6917916005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6072899.0948798563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5906083.6199999992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5738930.3099999996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42171309.904606782</v>
          </cell>
        </row>
        <row r="111">
          <cell r="A111" t="str">
            <v>HBS-26</v>
          </cell>
          <cell r="B111">
            <v>0</v>
          </cell>
          <cell r="C111">
            <v>0</v>
          </cell>
          <cell r="D111">
            <v>0</v>
          </cell>
          <cell r="E111" t="str">
            <v>현     가</v>
          </cell>
          <cell r="F111">
            <v>0</v>
          </cell>
          <cell r="G111">
            <v>0</v>
          </cell>
          <cell r="H111">
            <v>1207672.699513196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934922.68899474468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873908.92020523502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810117.62781570409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756164.83151360869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4541191.083449631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4120030.7883573393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3734926.214912157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3383370.0383654777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3063147.2710253969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2770856.8457756704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26196309.009928159</v>
          </cell>
        </row>
        <row r="112">
          <cell r="B112" t="str">
            <v>HBS-27</v>
          </cell>
          <cell r="C112" t="str">
            <v>쌍용자동차㈜</v>
          </cell>
          <cell r="D112">
            <v>0.22437384273903976</v>
          </cell>
          <cell r="E112" t="str">
            <v>담     보</v>
          </cell>
          <cell r="F112">
            <v>45735380.547354952</v>
          </cell>
          <cell r="G112">
            <v>44260045.69098866</v>
          </cell>
          <cell r="H112">
            <v>45735380.547354952</v>
          </cell>
          <cell r="I112">
            <v>45735380.547354952</v>
          </cell>
          <cell r="J112">
            <v>41309375.978256084</v>
          </cell>
          <cell r="K112">
            <v>45735380.547354952</v>
          </cell>
          <cell r="L112">
            <v>44260045.69098866</v>
          </cell>
          <cell r="M112">
            <v>45735380.547354952</v>
          </cell>
          <cell r="N112">
            <v>44260045.69098866</v>
          </cell>
          <cell r="O112">
            <v>45735380.547354952</v>
          </cell>
          <cell r="P112">
            <v>45735380.547354952</v>
          </cell>
          <cell r="Q112">
            <v>44260045.69098866</v>
          </cell>
          <cell r="R112">
            <v>45735380.547354952</v>
          </cell>
          <cell r="S112">
            <v>44260045.69098866</v>
          </cell>
          <cell r="T112">
            <v>45735380.547354952</v>
          </cell>
          <cell r="U112">
            <v>45735380.547354952</v>
          </cell>
          <cell r="V112">
            <v>41309375.978256084</v>
          </cell>
          <cell r="W112">
            <v>45735380.547354952</v>
          </cell>
          <cell r="X112">
            <v>44260045.69098866</v>
          </cell>
          <cell r="Y112">
            <v>45735380.547354952</v>
          </cell>
          <cell r="Z112">
            <v>44260045.69098866</v>
          </cell>
          <cell r="AA112">
            <v>45735380.547354952</v>
          </cell>
          <cell r="AB112">
            <v>45735380.547354952</v>
          </cell>
          <cell r="AC112">
            <v>44260045.69098866</v>
          </cell>
          <cell r="AD112">
            <v>45735380.547354952</v>
          </cell>
          <cell r="AE112">
            <v>44260045.69098866</v>
          </cell>
          <cell r="AF112">
            <v>45735380.547354952</v>
          </cell>
          <cell r="AG112">
            <v>45610420.49121464</v>
          </cell>
          <cell r="AH112">
            <v>1837658554.6299059</v>
          </cell>
          <cell r="AI112">
            <v>36488336.392971717</v>
          </cell>
          <cell r="AJ112">
            <v>35311293.283521011</v>
          </cell>
          <cell r="AK112">
            <v>36488336.392971717</v>
          </cell>
          <cell r="AL112">
            <v>35311293.283521011</v>
          </cell>
          <cell r="AM112">
            <v>36488336.392971717</v>
          </cell>
          <cell r="AN112">
            <v>36488336.392971717</v>
          </cell>
          <cell r="AO112">
            <v>35311293.283521011</v>
          </cell>
          <cell r="AP112">
            <v>36488336.392971717</v>
          </cell>
          <cell r="AQ112">
            <v>35311293.283521011</v>
          </cell>
          <cell r="AR112">
            <v>36488336.392971717</v>
          </cell>
          <cell r="AS112">
            <v>36588304.437883958</v>
          </cell>
          <cell r="AT112">
            <v>1828038242.6949229</v>
          </cell>
          <cell r="AU112">
            <v>27441228.328412972</v>
          </cell>
          <cell r="AV112">
            <v>26556027.414593197</v>
          </cell>
          <cell r="AW112">
            <v>27441228.328412972</v>
          </cell>
          <cell r="AX112">
            <v>26556027.414593197</v>
          </cell>
          <cell r="AY112">
            <v>27441228.328412972</v>
          </cell>
          <cell r="AZ112">
            <v>27441228.328412972</v>
          </cell>
          <cell r="BA112">
            <v>26556027.414593197</v>
          </cell>
          <cell r="BB112">
            <v>27441228.328412972</v>
          </cell>
          <cell r="BC112">
            <v>26556027.414593197</v>
          </cell>
          <cell r="BD112">
            <v>27441228.328412972</v>
          </cell>
          <cell r="BE112">
            <v>27441228.328412972</v>
          </cell>
          <cell r="BF112">
            <v>1819776367.4992719</v>
          </cell>
          <cell r="BG112">
            <v>18294152.218941979</v>
          </cell>
          <cell r="BH112">
            <v>17704018.276395466</v>
          </cell>
          <cell r="BI112">
            <v>18294152.218941979</v>
          </cell>
          <cell r="BJ112">
            <v>17704018.276395466</v>
          </cell>
          <cell r="BK112">
            <v>18294152.218941979</v>
          </cell>
          <cell r="BL112">
            <v>18294152.218941979</v>
          </cell>
          <cell r="BM112">
            <v>17704018.276395466</v>
          </cell>
          <cell r="BN112">
            <v>18294152.218941979</v>
          </cell>
          <cell r="BO112">
            <v>17704018.276395466</v>
          </cell>
          <cell r="BP112">
            <v>18294152.218941979</v>
          </cell>
          <cell r="BQ112">
            <v>18294152.218941979</v>
          </cell>
          <cell r="BR112">
            <v>1811514492.3036203</v>
          </cell>
          <cell r="BS112">
            <v>9147076.1094709896</v>
          </cell>
          <cell r="BT112">
            <v>8852009.1381977331</v>
          </cell>
          <cell r="BU112">
            <v>9147076.1094709896</v>
          </cell>
          <cell r="BV112">
            <v>8852009.1381977331</v>
          </cell>
          <cell r="BW112">
            <v>9147076.1094709896</v>
          </cell>
          <cell r="BX112">
            <v>9147076.1094709896</v>
          </cell>
          <cell r="BY112">
            <v>8852009.1381977331</v>
          </cell>
          <cell r="BZ112">
            <v>9147076.1094709896</v>
          </cell>
          <cell r="CA112">
            <v>8852009.1381977331</v>
          </cell>
          <cell r="CB112">
            <v>9147076.1094709896</v>
          </cell>
          <cell r="CC112">
            <v>9122084.0982429292</v>
          </cell>
          <cell r="CD112">
            <v>1803524304.4558358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11352211553.840948</v>
          </cell>
        </row>
        <row r="113">
          <cell r="D113">
            <v>0.22437384273903976</v>
          </cell>
          <cell r="E113" t="str">
            <v>무 담 보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</row>
        <row r="114">
          <cell r="E114" t="str">
            <v>Total</v>
          </cell>
          <cell r="F114">
            <v>45735380.547354952</v>
          </cell>
          <cell r="G114">
            <v>44260045.69098866</v>
          </cell>
          <cell r="H114">
            <v>45735380.547354952</v>
          </cell>
          <cell r="I114">
            <v>45735380.547354952</v>
          </cell>
          <cell r="J114">
            <v>41309375.978256084</v>
          </cell>
          <cell r="K114">
            <v>45735380.547354952</v>
          </cell>
          <cell r="L114">
            <v>44260045.69098866</v>
          </cell>
          <cell r="M114">
            <v>45735380.547354952</v>
          </cell>
          <cell r="N114">
            <v>44260045.69098866</v>
          </cell>
          <cell r="O114">
            <v>45735380.547354952</v>
          </cell>
          <cell r="P114">
            <v>45735380.547354952</v>
          </cell>
          <cell r="Q114">
            <v>44260045.69098866</v>
          </cell>
          <cell r="R114">
            <v>45735380.547354952</v>
          </cell>
          <cell r="S114">
            <v>44260045.69098866</v>
          </cell>
          <cell r="T114">
            <v>45735380.547354952</v>
          </cell>
          <cell r="U114">
            <v>45735380.547354952</v>
          </cell>
          <cell r="V114">
            <v>41309375.978256084</v>
          </cell>
          <cell r="W114">
            <v>45735380.547354952</v>
          </cell>
          <cell r="X114">
            <v>44260045.69098866</v>
          </cell>
          <cell r="Y114">
            <v>45735380.547354952</v>
          </cell>
          <cell r="Z114">
            <v>44260045.69098866</v>
          </cell>
          <cell r="AA114">
            <v>45735380.547354952</v>
          </cell>
          <cell r="AB114">
            <v>45735380.547354952</v>
          </cell>
          <cell r="AC114">
            <v>44260045.69098866</v>
          </cell>
          <cell r="AD114">
            <v>45735380.547354952</v>
          </cell>
          <cell r="AE114">
            <v>44260045.69098866</v>
          </cell>
          <cell r="AF114">
            <v>45735380.547354952</v>
          </cell>
          <cell r="AG114">
            <v>45610420.49121464</v>
          </cell>
          <cell r="AH114">
            <v>1837658554.6299059</v>
          </cell>
          <cell r="AI114">
            <v>36488336.392971717</v>
          </cell>
          <cell r="AJ114">
            <v>35311293.283521011</v>
          </cell>
          <cell r="AK114">
            <v>36488336.392971717</v>
          </cell>
          <cell r="AL114">
            <v>35311293.283521011</v>
          </cell>
          <cell r="AM114">
            <v>36488336.392971717</v>
          </cell>
          <cell r="AN114">
            <v>36488336.392971717</v>
          </cell>
          <cell r="AO114">
            <v>35311293.283521011</v>
          </cell>
          <cell r="AP114">
            <v>36488336.392971717</v>
          </cell>
          <cell r="AQ114">
            <v>35311293.283521011</v>
          </cell>
          <cell r="AR114">
            <v>36488336.392971717</v>
          </cell>
          <cell r="AS114">
            <v>36588304.437883958</v>
          </cell>
          <cell r="AT114">
            <v>1828038242.6949229</v>
          </cell>
          <cell r="AU114">
            <v>27441228.328412972</v>
          </cell>
          <cell r="AV114">
            <v>26556027.414593197</v>
          </cell>
          <cell r="AW114">
            <v>27441228.328412972</v>
          </cell>
          <cell r="AX114">
            <v>26556027.414593197</v>
          </cell>
          <cell r="AY114">
            <v>27441228.328412972</v>
          </cell>
          <cell r="AZ114">
            <v>27441228.328412972</v>
          </cell>
          <cell r="BA114">
            <v>26556027.414593197</v>
          </cell>
          <cell r="BB114">
            <v>27441228.328412972</v>
          </cell>
          <cell r="BC114">
            <v>26556027.414593197</v>
          </cell>
          <cell r="BD114">
            <v>27441228.328412972</v>
          </cell>
          <cell r="BE114">
            <v>27441228.328412972</v>
          </cell>
          <cell r="BF114">
            <v>1819776367.4992719</v>
          </cell>
          <cell r="BG114">
            <v>18294152.218941979</v>
          </cell>
          <cell r="BH114">
            <v>17704018.276395466</v>
          </cell>
          <cell r="BI114">
            <v>18294152.218941979</v>
          </cell>
          <cell r="BJ114">
            <v>17704018.276395466</v>
          </cell>
          <cell r="BK114">
            <v>18294152.218941979</v>
          </cell>
          <cell r="BL114">
            <v>18294152.218941979</v>
          </cell>
          <cell r="BM114">
            <v>17704018.276395466</v>
          </cell>
          <cell r="BN114">
            <v>18294152.218941979</v>
          </cell>
          <cell r="BO114">
            <v>17704018.276395466</v>
          </cell>
          <cell r="BP114">
            <v>18294152.218941979</v>
          </cell>
          <cell r="BQ114">
            <v>18294152.218941979</v>
          </cell>
          <cell r="BR114">
            <v>1811514492.3036203</v>
          </cell>
          <cell r="BS114">
            <v>9147076.1094709896</v>
          </cell>
          <cell r="BT114">
            <v>8852009.1381977331</v>
          </cell>
          <cell r="BU114">
            <v>9147076.1094709896</v>
          </cell>
          <cell r="BV114">
            <v>8852009.1381977331</v>
          </cell>
          <cell r="BW114">
            <v>9147076.1094709896</v>
          </cell>
          <cell r="BX114">
            <v>9147076.1094709896</v>
          </cell>
          <cell r="BY114">
            <v>8852009.1381977331</v>
          </cell>
          <cell r="BZ114">
            <v>9147076.1094709896</v>
          </cell>
          <cell r="CA114">
            <v>8852009.1381977331</v>
          </cell>
          <cell r="CB114">
            <v>9147076.1094709896</v>
          </cell>
          <cell r="CC114">
            <v>9122084.0982429292</v>
          </cell>
          <cell r="CD114">
            <v>1803524304.4558358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11352211553.840948</v>
          </cell>
        </row>
        <row r="115">
          <cell r="A115" t="str">
            <v>HBS-27</v>
          </cell>
          <cell r="B115">
            <v>0</v>
          </cell>
          <cell r="C115">
            <v>0</v>
          </cell>
          <cell r="D115">
            <v>0</v>
          </cell>
          <cell r="E115" t="str">
            <v>현     가</v>
          </cell>
          <cell r="F115">
            <v>45735380.547354952</v>
          </cell>
          <cell r="G115">
            <v>44063986.30510015</v>
          </cell>
          <cell r="H115">
            <v>45324380.753952309</v>
          </cell>
          <cell r="I115">
            <v>45116929.536439717</v>
          </cell>
          <cell r="J115">
            <v>40582270.119089939</v>
          </cell>
          <cell r="K115">
            <v>44724722.669735231</v>
          </cell>
          <cell r="L115">
            <v>43090262.803828165</v>
          </cell>
          <cell r="M115">
            <v>44322805.126746416</v>
          </cell>
          <cell r="N115">
            <v>42703033.291400664</v>
          </cell>
          <cell r="O115">
            <v>43924499.40517804</v>
          </cell>
          <cell r="P115">
            <v>43723455.491755329</v>
          </cell>
          <cell r="Q115">
            <v>42125586.820153542</v>
          </cell>
          <cell r="R115">
            <v>43330535.809905209</v>
          </cell>
          <cell r="S115">
            <v>41470581.07490053</v>
          </cell>
          <cell r="T115">
            <v>42634558.022942163</v>
          </cell>
          <cell r="U115">
            <v>42417295.097083189</v>
          </cell>
          <cell r="V115">
            <v>38136008.488489196</v>
          </cell>
          <cell r="W115">
            <v>42006848.792986035</v>
          </cell>
          <cell r="X115">
            <v>40451296.326843157</v>
          </cell>
          <cell r="Y115">
            <v>41586664.465471514</v>
          </cell>
          <cell r="Z115">
            <v>40046671.813637026</v>
          </cell>
          <cell r="AA115">
            <v>41170683.139947429</v>
          </cell>
          <cell r="AB115">
            <v>40960880.024977088</v>
          </cell>
          <cell r="AC115">
            <v>39444060.749809869</v>
          </cell>
          <cell r="AD115">
            <v>40551158.269543439</v>
          </cell>
          <cell r="AE115">
            <v>38775322.345802985</v>
          </cell>
          <cell r="AF115">
            <v>39852194.201553129</v>
          </cell>
          <cell r="AG115">
            <v>39529416.077562861</v>
          </cell>
          <cell r="AH115">
            <v>1584633112.7350991</v>
          </cell>
          <cell r="AI115">
            <v>31294956.428674873</v>
          </cell>
          <cell r="AJ115">
            <v>30127694.210805867</v>
          </cell>
          <cell r="AK115">
            <v>30964403.334328484</v>
          </cell>
          <cell r="AL115">
            <v>29809470.328002226</v>
          </cell>
          <cell r="AM115">
            <v>30637341.708277665</v>
          </cell>
          <cell r="AN115">
            <v>30472456.267223094</v>
          </cell>
          <cell r="AO115">
            <v>29335872.263105307</v>
          </cell>
          <cell r="AP115">
            <v>30150590.83390886</v>
          </cell>
          <cell r="AQ115">
            <v>28667637.241162408</v>
          </cell>
          <cell r="AR115">
            <v>29453721.652467601</v>
          </cell>
          <cell r="AS115">
            <v>29365421.443244491</v>
          </cell>
          <cell r="AT115">
            <v>1459581152.6995978</v>
          </cell>
          <cell r="AU115">
            <v>21784839.072505299</v>
          </cell>
          <cell r="AV115">
            <v>20965351.503103733</v>
          </cell>
          <cell r="AW115">
            <v>21540234.457547572</v>
          </cell>
          <cell r="AX115">
            <v>20729948.261665858</v>
          </cell>
          <cell r="AY115">
            <v>21298376.313080601</v>
          </cell>
          <cell r="AZ115">
            <v>21176507.433455531</v>
          </cell>
          <cell r="BA115">
            <v>20379903.67855522</v>
          </cell>
          <cell r="BB115">
            <v>20938733.290177722</v>
          </cell>
          <cell r="BC115">
            <v>20151073.96466212</v>
          </cell>
          <cell r="BD115">
            <v>20703628.923461944</v>
          </cell>
          <cell r="BE115">
            <v>20585163.176402815</v>
          </cell>
          <cell r="BF115">
            <v>1358056389.0845745</v>
          </cell>
          <cell r="BG115">
            <v>13574377.089762468</v>
          </cell>
          <cell r="BH115">
            <v>13063745.211766664</v>
          </cell>
          <cell r="BI115">
            <v>13421961.216031134</v>
          </cell>
          <cell r="BJ115">
            <v>12917062.816877501</v>
          </cell>
          <cell r="BK115">
            <v>13271256.698807115</v>
          </cell>
          <cell r="BL115">
            <v>13195318.835689021</v>
          </cell>
          <cell r="BM115">
            <v>12698946.118674779</v>
          </cell>
          <cell r="BN115">
            <v>13047159.105323063</v>
          </cell>
          <cell r="BO115">
            <v>12302857.694030592</v>
          </cell>
          <cell r="BP115">
            <v>12635904.393001871</v>
          </cell>
          <cell r="BQ115">
            <v>12559322.798628459</v>
          </cell>
          <cell r="BR115">
            <v>1236833196.3360381</v>
          </cell>
          <cell r="BS115">
            <v>6207425.3369930964</v>
          </cell>
          <cell r="BT115">
            <v>5971949.4337313725</v>
          </cell>
          <cell r="BU115">
            <v>6133614.1538144685</v>
          </cell>
          <cell r="BV115">
            <v>5900938.2447671285</v>
          </cell>
          <cell r="BW115">
            <v>6060680.6438202057</v>
          </cell>
          <cell r="BX115">
            <v>6023949.0754056117</v>
          </cell>
          <cell r="BY115">
            <v>5795433.2620489448</v>
          </cell>
          <cell r="BZ115">
            <v>5952319.5696886936</v>
          </cell>
          <cell r="CA115">
            <v>5726520.9895878751</v>
          </cell>
          <cell r="CB115">
            <v>5881541.7952903882</v>
          </cell>
          <cell r="CC115">
            <v>5829923.5286793541</v>
          </cell>
          <cell r="CD115">
            <v>1146096026.3238688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8731706898.5496044</v>
          </cell>
        </row>
        <row r="116">
          <cell r="B116" t="str">
            <v>HBS-28</v>
          </cell>
          <cell r="C116" t="str">
            <v>㈜한국일보</v>
          </cell>
          <cell r="D116">
            <v>1</v>
          </cell>
          <cell r="E116" t="str">
            <v>담     보</v>
          </cell>
          <cell r="F116">
            <v>508748219.17808217</v>
          </cell>
          <cell r="G116">
            <v>492336986.30136985</v>
          </cell>
          <cell r="H116">
            <v>508748219.17808217</v>
          </cell>
          <cell r="I116">
            <v>508748219.17808217</v>
          </cell>
          <cell r="J116">
            <v>459514520.5479452</v>
          </cell>
          <cell r="K116">
            <v>508748219.17808217</v>
          </cell>
          <cell r="L116">
            <v>492336986.30136985</v>
          </cell>
          <cell r="M116">
            <v>508748219.17808217</v>
          </cell>
          <cell r="N116">
            <v>492336986.30136985</v>
          </cell>
          <cell r="O116">
            <v>508748219.17808217</v>
          </cell>
          <cell r="P116">
            <v>508748219.17808217</v>
          </cell>
          <cell r="Q116">
            <v>492336986.30136985</v>
          </cell>
          <cell r="R116">
            <v>508748219.17808217</v>
          </cell>
          <cell r="S116">
            <v>492336986.30136985</v>
          </cell>
          <cell r="T116">
            <v>508748219.17808217</v>
          </cell>
          <cell r="U116">
            <v>508748219.17808217</v>
          </cell>
          <cell r="V116">
            <v>459514520.5479452</v>
          </cell>
          <cell r="W116">
            <v>508748219.17808217</v>
          </cell>
          <cell r="X116">
            <v>492336986.30136985</v>
          </cell>
          <cell r="Y116">
            <v>508748219.17808217</v>
          </cell>
          <cell r="Z116">
            <v>492336986.30136985</v>
          </cell>
          <cell r="AA116">
            <v>508748219.17808217</v>
          </cell>
          <cell r="AB116">
            <v>508748219.17808217</v>
          </cell>
          <cell r="AC116">
            <v>492336986.30136985</v>
          </cell>
          <cell r="AD116">
            <v>508748219.17808217</v>
          </cell>
          <cell r="AE116">
            <v>492336986.30136985</v>
          </cell>
          <cell r="AF116">
            <v>508748219.17808217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13490033424.657534</v>
          </cell>
        </row>
        <row r="117">
          <cell r="D117">
            <v>1</v>
          </cell>
          <cell r="E117" t="str">
            <v>무 담 보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</row>
        <row r="118">
          <cell r="E118" t="str">
            <v>Total</v>
          </cell>
          <cell r="F118">
            <v>508748219.17808217</v>
          </cell>
          <cell r="G118">
            <v>492336986.30136985</v>
          </cell>
          <cell r="H118">
            <v>508748219.17808217</v>
          </cell>
          <cell r="I118">
            <v>508748219.17808217</v>
          </cell>
          <cell r="J118">
            <v>459514520.5479452</v>
          </cell>
          <cell r="K118">
            <v>508748219.17808217</v>
          </cell>
          <cell r="L118">
            <v>492336986.30136985</v>
          </cell>
          <cell r="M118">
            <v>508748219.17808217</v>
          </cell>
          <cell r="N118">
            <v>492336986.30136985</v>
          </cell>
          <cell r="O118">
            <v>508748219.17808217</v>
          </cell>
          <cell r="P118">
            <v>508748219.17808217</v>
          </cell>
          <cell r="Q118">
            <v>492336986.30136985</v>
          </cell>
          <cell r="R118">
            <v>508748219.17808217</v>
          </cell>
          <cell r="S118">
            <v>492336986.30136985</v>
          </cell>
          <cell r="T118">
            <v>508748219.17808217</v>
          </cell>
          <cell r="U118">
            <v>508748219.17808217</v>
          </cell>
          <cell r="V118">
            <v>459514520.5479452</v>
          </cell>
          <cell r="W118">
            <v>508748219.17808217</v>
          </cell>
          <cell r="X118">
            <v>492336986.30136985</v>
          </cell>
          <cell r="Y118">
            <v>508748219.17808217</v>
          </cell>
          <cell r="Z118">
            <v>492336986.30136985</v>
          </cell>
          <cell r="AA118">
            <v>508748219.17808217</v>
          </cell>
          <cell r="AB118">
            <v>508748219.17808217</v>
          </cell>
          <cell r="AC118">
            <v>492336986.30136985</v>
          </cell>
          <cell r="AD118">
            <v>508748219.17808217</v>
          </cell>
          <cell r="AE118">
            <v>492336986.30136985</v>
          </cell>
          <cell r="AF118">
            <v>508748219.17808217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13490033424.657534</v>
          </cell>
        </row>
        <row r="119">
          <cell r="A119" t="str">
            <v>HBS-28</v>
          </cell>
          <cell r="B119">
            <v>0</v>
          </cell>
          <cell r="C119">
            <v>0</v>
          </cell>
          <cell r="D119">
            <v>0</v>
          </cell>
          <cell r="E119" t="str">
            <v>현     가</v>
          </cell>
          <cell r="F119">
            <v>508748219.17808217</v>
          </cell>
          <cell r="G119">
            <v>490156073.79489899</v>
          </cell>
          <cell r="H119">
            <v>504176366.69814813</v>
          </cell>
          <cell r="I119">
            <v>501868734.48403364</v>
          </cell>
          <cell r="J119">
            <v>451426388.19663107</v>
          </cell>
          <cell r="K119">
            <v>497505929.52652991</v>
          </cell>
          <cell r="L119">
            <v>479324632.33064693</v>
          </cell>
          <cell r="M119">
            <v>493035105.58662033</v>
          </cell>
          <cell r="N119">
            <v>475017194.13940436</v>
          </cell>
          <cell r="O119">
            <v>488604458.5883618</v>
          </cell>
          <cell r="P119">
            <v>486368099.5222227</v>
          </cell>
          <cell r="Q119">
            <v>468593833.04779911</v>
          </cell>
          <cell r="R119">
            <v>481997365.39846718</v>
          </cell>
          <cell r="S119">
            <v>461307723.20328063</v>
          </cell>
          <cell r="T119">
            <v>474255493.45015496</v>
          </cell>
          <cell r="U119">
            <v>471838718.39982545</v>
          </cell>
          <cell r="V119">
            <v>424214823.90401083</v>
          </cell>
          <cell r="W119">
            <v>467273022.78783762</v>
          </cell>
          <cell r="X119">
            <v>449969470.53754306</v>
          </cell>
          <cell r="Y119">
            <v>462599003.99120349</v>
          </cell>
          <cell r="Z119">
            <v>445468534.98030472</v>
          </cell>
          <cell r="AA119">
            <v>457971738.27177668</v>
          </cell>
          <cell r="AB119">
            <v>455637944.17535144</v>
          </cell>
          <cell r="AC119">
            <v>438765249.64824885</v>
          </cell>
          <cell r="AD119">
            <v>451080308.25014997</v>
          </cell>
          <cell r="AE119">
            <v>431326381.35716236</v>
          </cell>
          <cell r="AF119">
            <v>443305217.70528507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12661836031.15398</v>
          </cell>
        </row>
        <row r="120">
          <cell r="B120" t="str">
            <v>HBS-29</v>
          </cell>
          <cell r="C120" t="str">
            <v>갑 을</v>
          </cell>
          <cell r="D120">
            <v>1</v>
          </cell>
          <cell r="E120" t="str">
            <v>담     보</v>
          </cell>
          <cell r="F120">
            <v>727032298.38999999</v>
          </cell>
          <cell r="G120">
            <v>727032298.38999999</v>
          </cell>
          <cell r="H120">
            <v>2149550334.0566669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49997394185</v>
          </cell>
          <cell r="AB120">
            <v>216753082</v>
          </cell>
          <cell r="AC120">
            <v>626451926</v>
          </cell>
          <cell r="AD120">
            <v>1356730190</v>
          </cell>
          <cell r="AE120">
            <v>823499989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56624444302.83667</v>
          </cell>
        </row>
        <row r="121">
          <cell r="D121">
            <v>1</v>
          </cell>
          <cell r="E121" t="str">
            <v>무 담 보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</row>
        <row r="122">
          <cell r="E122" t="str">
            <v>Total</v>
          </cell>
          <cell r="F122">
            <v>727032298.38999999</v>
          </cell>
          <cell r="G122">
            <v>727032298.38999999</v>
          </cell>
          <cell r="H122">
            <v>2149550334.0566669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49997394185</v>
          </cell>
          <cell r="AB122">
            <v>216753082</v>
          </cell>
          <cell r="AC122">
            <v>626451926</v>
          </cell>
          <cell r="AD122">
            <v>1356730190</v>
          </cell>
          <cell r="AE122">
            <v>823499989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56624444302.83667</v>
          </cell>
        </row>
        <row r="123">
          <cell r="A123" t="str">
            <v>HBS-29</v>
          </cell>
          <cell r="B123">
            <v>0</v>
          </cell>
          <cell r="C123">
            <v>0</v>
          </cell>
          <cell r="D123">
            <v>0</v>
          </cell>
          <cell r="E123" t="str">
            <v>현     가</v>
          </cell>
          <cell r="F123">
            <v>727032298.38999999</v>
          </cell>
          <cell r="G123">
            <v>723811752.55191743</v>
          </cell>
          <cell r="H123">
            <v>2130233456.561986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45007319260.902748</v>
          </cell>
          <cell r="AB123">
            <v>194125355.04439989</v>
          </cell>
          <cell r="AC123">
            <v>558286993.16074836</v>
          </cell>
          <cell r="AD123">
            <v>1202941355.364749</v>
          </cell>
          <cell r="AE123">
            <v>721451526.46648657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51265201998.443039</v>
          </cell>
        </row>
        <row r="124">
          <cell r="B124" t="str">
            <v>HBS-30</v>
          </cell>
          <cell r="C124" t="str">
            <v>새한</v>
          </cell>
          <cell r="D124">
            <v>0</v>
          </cell>
          <cell r="E124" t="str">
            <v>담     보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</row>
        <row r="125">
          <cell r="C125" t="str">
            <v>DROP</v>
          </cell>
          <cell r="D125">
            <v>0</v>
          </cell>
          <cell r="E125" t="str">
            <v>무 담 보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</row>
        <row r="126">
          <cell r="E126" t="str">
            <v>Total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</row>
        <row r="127">
          <cell r="A127" t="str">
            <v>HBS-30</v>
          </cell>
          <cell r="B127">
            <v>0</v>
          </cell>
          <cell r="C127">
            <v>0</v>
          </cell>
          <cell r="D127">
            <v>0</v>
          </cell>
          <cell r="E127" t="str">
            <v>현     가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</row>
        <row r="128">
          <cell r="B128" t="str">
            <v>HBS-31</v>
          </cell>
          <cell r="C128" t="str">
            <v>기아모텍주식회사</v>
          </cell>
          <cell r="D128">
            <v>0.1</v>
          </cell>
          <cell r="E128" t="str">
            <v>담     보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</row>
        <row r="129">
          <cell r="D129">
            <v>0.1</v>
          </cell>
          <cell r="E129" t="str">
            <v>무 담 보</v>
          </cell>
          <cell r="F129">
            <v>2881476.2753031962</v>
          </cell>
          <cell r="G129">
            <v>2788525.4277127702</v>
          </cell>
          <cell r="H129">
            <v>2881476.2753031962</v>
          </cell>
          <cell r="I129">
            <v>2881476.2753031962</v>
          </cell>
          <cell r="J129">
            <v>2602623.7325319191</v>
          </cell>
          <cell r="K129">
            <v>2881476.2753031962</v>
          </cell>
          <cell r="L129">
            <v>2788525.4277127702</v>
          </cell>
          <cell r="M129">
            <v>2881476.2753031962</v>
          </cell>
          <cell r="N129">
            <v>2788525.4277127702</v>
          </cell>
          <cell r="O129">
            <v>2881476.2753031962</v>
          </cell>
          <cell r="P129">
            <v>2881476.2753031962</v>
          </cell>
          <cell r="Q129">
            <v>2788525.4277127702</v>
          </cell>
          <cell r="R129">
            <v>2881476.2753031962</v>
          </cell>
          <cell r="S129">
            <v>2788525.4277127702</v>
          </cell>
          <cell r="T129">
            <v>2881476.2753031962</v>
          </cell>
          <cell r="U129">
            <v>2881476.2753031962</v>
          </cell>
          <cell r="V129">
            <v>2602623.7325319191</v>
          </cell>
          <cell r="W129">
            <v>2881476.2753031962</v>
          </cell>
          <cell r="X129">
            <v>2788525.4277127702</v>
          </cell>
          <cell r="Y129">
            <v>2881476.2753031962</v>
          </cell>
          <cell r="Z129">
            <v>2788525.4277127702</v>
          </cell>
          <cell r="AA129">
            <v>2881476.2753031962</v>
          </cell>
          <cell r="AB129">
            <v>2881476.2753031962</v>
          </cell>
          <cell r="AC129">
            <v>2788525.4277127702</v>
          </cell>
          <cell r="AD129">
            <v>2881476.2753031962</v>
          </cell>
          <cell r="AE129">
            <v>2788525.4277127702</v>
          </cell>
          <cell r="AF129">
            <v>2881476.2753031962</v>
          </cell>
          <cell r="AG129">
            <v>2881476.2753031962</v>
          </cell>
          <cell r="AH129">
            <v>2695574.5801223451</v>
          </cell>
          <cell r="AI129">
            <v>22838570.022659298</v>
          </cell>
          <cell r="AJ129">
            <v>2674036.7007630612</v>
          </cell>
          <cell r="AK129">
            <v>2763171.2574551627</v>
          </cell>
          <cell r="AL129">
            <v>22631130.448119164</v>
          </cell>
          <cell r="AM129">
            <v>2647404.4557231027</v>
          </cell>
          <cell r="AN129">
            <v>2647404.4557231027</v>
          </cell>
          <cell r="AO129">
            <v>22519098.059346199</v>
          </cell>
          <cell r="AP129">
            <v>2531637.6539910417</v>
          </cell>
          <cell r="AQ129">
            <v>2449971.9232171364</v>
          </cell>
          <cell r="AR129">
            <v>22488731.401347142</v>
          </cell>
          <cell r="AS129">
            <v>2415870.8522589803</v>
          </cell>
          <cell r="AT129">
            <v>2182076.8988145632</v>
          </cell>
          <cell r="AU129">
            <v>22372964.599615082</v>
          </cell>
          <cell r="AV129">
            <v>2227869.5421785242</v>
          </cell>
          <cell r="AW129">
            <v>2302131.8602511412</v>
          </cell>
          <cell r="AX129">
            <v>22184963.289534625</v>
          </cell>
          <cell r="AY129">
            <v>2186262.9772407305</v>
          </cell>
          <cell r="AZ129">
            <v>2186262.9772407305</v>
          </cell>
          <cell r="BA129">
            <v>22072832.112427775</v>
          </cell>
          <cell r="BB129">
            <v>2070394.0942303196</v>
          </cell>
          <cell r="BC129">
            <v>2003607.1879648254</v>
          </cell>
          <cell r="BD129">
            <v>22027487.841586418</v>
          </cell>
          <cell r="BE129">
            <v>1954525.2112199087</v>
          </cell>
          <cell r="BF129">
            <v>1765377.610134111</v>
          </cell>
          <cell r="BG129">
            <v>21911618.958576009</v>
          </cell>
          <cell r="BH129">
            <v>1779344.8337511269</v>
          </cell>
          <cell r="BI129">
            <v>1838656.328209498</v>
          </cell>
          <cell r="BJ129">
            <v>21736438.581107229</v>
          </cell>
          <cell r="BK129">
            <v>1722787.4451990866</v>
          </cell>
          <cell r="BL129">
            <v>1722787.4451990866</v>
          </cell>
          <cell r="BM129">
            <v>21624307.404000379</v>
          </cell>
          <cell r="BN129">
            <v>1606918.5621886759</v>
          </cell>
          <cell r="BO129">
            <v>1555082.4795374284</v>
          </cell>
          <cell r="BP129">
            <v>21564012.309544776</v>
          </cell>
          <cell r="BQ129">
            <v>1491049.6791782649</v>
          </cell>
          <cell r="BR129">
            <v>1346754.5489352071</v>
          </cell>
          <cell r="BS129">
            <v>21448143.426534366</v>
          </cell>
          <cell r="BT129">
            <v>1330820.1253237296</v>
          </cell>
          <cell r="BU129">
            <v>1375180.796167854</v>
          </cell>
          <cell r="BV129">
            <v>21287913.87267983</v>
          </cell>
          <cell r="BW129">
            <v>1259311.9131574428</v>
          </cell>
          <cell r="BX129">
            <v>1259311.9131574428</v>
          </cell>
          <cell r="BY129">
            <v>21175782.69557298</v>
          </cell>
          <cell r="BZ129">
            <v>1143443.0301470321</v>
          </cell>
          <cell r="CA129">
            <v>1106557.7711100308</v>
          </cell>
          <cell r="CB129">
            <v>21100536.777503133</v>
          </cell>
          <cell r="CC129">
            <v>1027574.1471366211</v>
          </cell>
          <cell r="CD129">
            <v>961279.04086974228</v>
          </cell>
          <cell r="CE129">
            <v>20984667.894492719</v>
          </cell>
          <cell r="CF129">
            <v>881518.48039566842</v>
          </cell>
          <cell r="CG129">
            <v>910902.42974219052</v>
          </cell>
          <cell r="CH129">
            <v>20838612.227751769</v>
          </cell>
          <cell r="CI129">
            <v>795135.62801012979</v>
          </cell>
          <cell r="CJ129">
            <v>795135.62801012979</v>
          </cell>
          <cell r="CK129">
            <v>20726579.838978808</v>
          </cell>
          <cell r="CL129">
            <v>679368.82627806894</v>
          </cell>
          <cell r="CM129">
            <v>657453.70284974412</v>
          </cell>
          <cell r="CN129">
            <v>20636462.57363417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580407882.32272816</v>
          </cell>
        </row>
        <row r="130">
          <cell r="E130" t="str">
            <v>Total</v>
          </cell>
          <cell r="F130">
            <v>2881476.2753031962</v>
          </cell>
          <cell r="G130">
            <v>2788525.4277127702</v>
          </cell>
          <cell r="H130">
            <v>2881476.2753031962</v>
          </cell>
          <cell r="I130">
            <v>2881476.2753031962</v>
          </cell>
          <cell r="J130">
            <v>2602623.7325319191</v>
          </cell>
          <cell r="K130">
            <v>2881476.2753031962</v>
          </cell>
          <cell r="L130">
            <v>2788525.4277127702</v>
          </cell>
          <cell r="M130">
            <v>2881476.2753031962</v>
          </cell>
          <cell r="N130">
            <v>2788525.4277127702</v>
          </cell>
          <cell r="O130">
            <v>2881476.2753031962</v>
          </cell>
          <cell r="P130">
            <v>2881476.2753031962</v>
          </cell>
          <cell r="Q130">
            <v>2788525.4277127702</v>
          </cell>
          <cell r="R130">
            <v>2881476.2753031962</v>
          </cell>
          <cell r="S130">
            <v>2788525.4277127702</v>
          </cell>
          <cell r="T130">
            <v>2881476.2753031962</v>
          </cell>
          <cell r="U130">
            <v>2881476.2753031962</v>
          </cell>
          <cell r="V130">
            <v>2602623.7325319191</v>
          </cell>
          <cell r="W130">
            <v>2881476.2753031962</v>
          </cell>
          <cell r="X130">
            <v>2788525.4277127702</v>
          </cell>
          <cell r="Y130">
            <v>2881476.2753031962</v>
          </cell>
          <cell r="Z130">
            <v>2788525.4277127702</v>
          </cell>
          <cell r="AA130">
            <v>2881476.2753031962</v>
          </cell>
          <cell r="AB130">
            <v>2881476.2753031962</v>
          </cell>
          <cell r="AC130">
            <v>2788525.4277127702</v>
          </cell>
          <cell r="AD130">
            <v>2881476.2753031962</v>
          </cell>
          <cell r="AE130">
            <v>2788525.4277127702</v>
          </cell>
          <cell r="AF130">
            <v>2881476.2753031962</v>
          </cell>
          <cell r="AG130">
            <v>2881476.2753031962</v>
          </cell>
          <cell r="AH130">
            <v>2695574.5801223451</v>
          </cell>
          <cell r="AI130">
            <v>22838570.022659298</v>
          </cell>
          <cell r="AJ130">
            <v>2674036.7007630612</v>
          </cell>
          <cell r="AK130">
            <v>2763171.2574551627</v>
          </cell>
          <cell r="AL130">
            <v>22631130.448119164</v>
          </cell>
          <cell r="AM130">
            <v>2647404.4557231027</v>
          </cell>
          <cell r="AN130">
            <v>2647404.4557231027</v>
          </cell>
          <cell r="AO130">
            <v>22519098.059346199</v>
          </cell>
          <cell r="AP130">
            <v>2531637.6539910417</v>
          </cell>
          <cell r="AQ130">
            <v>2449971.9232171364</v>
          </cell>
          <cell r="AR130">
            <v>22488731.401347142</v>
          </cell>
          <cell r="AS130">
            <v>2415870.8522589803</v>
          </cell>
          <cell r="AT130">
            <v>2182076.8988145632</v>
          </cell>
          <cell r="AU130">
            <v>22372964.599615082</v>
          </cell>
          <cell r="AV130">
            <v>2227869.5421785242</v>
          </cell>
          <cell r="AW130">
            <v>2302131.8602511412</v>
          </cell>
          <cell r="AX130">
            <v>22184963.289534625</v>
          </cell>
          <cell r="AY130">
            <v>2186262.9772407305</v>
          </cell>
          <cell r="AZ130">
            <v>2186262.9772407305</v>
          </cell>
          <cell r="BA130">
            <v>22072832.112427775</v>
          </cell>
          <cell r="BB130">
            <v>2070394.0942303196</v>
          </cell>
          <cell r="BC130">
            <v>2003607.1879648254</v>
          </cell>
          <cell r="BD130">
            <v>22027487.841586418</v>
          </cell>
          <cell r="BE130">
            <v>1954525.2112199087</v>
          </cell>
          <cell r="BF130">
            <v>1765377.610134111</v>
          </cell>
          <cell r="BG130">
            <v>21911618.958576009</v>
          </cell>
          <cell r="BH130">
            <v>1779344.8337511269</v>
          </cell>
          <cell r="BI130">
            <v>1838656.328209498</v>
          </cell>
          <cell r="BJ130">
            <v>21736438.581107229</v>
          </cell>
          <cell r="BK130">
            <v>1722787.4451990866</v>
          </cell>
          <cell r="BL130">
            <v>1722787.4451990866</v>
          </cell>
          <cell r="BM130">
            <v>21624307.404000379</v>
          </cell>
          <cell r="BN130">
            <v>1606918.5621886759</v>
          </cell>
          <cell r="BO130">
            <v>1555082.4795374284</v>
          </cell>
          <cell r="BP130">
            <v>21564012.309544776</v>
          </cell>
          <cell r="BQ130">
            <v>1491049.6791782649</v>
          </cell>
          <cell r="BR130">
            <v>1346754.5489352071</v>
          </cell>
          <cell r="BS130">
            <v>21448143.426534366</v>
          </cell>
          <cell r="BT130">
            <v>1330820.1253237296</v>
          </cell>
          <cell r="BU130">
            <v>1375180.796167854</v>
          </cell>
          <cell r="BV130">
            <v>21287913.87267983</v>
          </cell>
          <cell r="BW130">
            <v>1259311.9131574428</v>
          </cell>
          <cell r="BX130">
            <v>1259311.9131574428</v>
          </cell>
          <cell r="BY130">
            <v>21175782.69557298</v>
          </cell>
          <cell r="BZ130">
            <v>1143443.0301470321</v>
          </cell>
          <cell r="CA130">
            <v>1106557.7711100308</v>
          </cell>
          <cell r="CB130">
            <v>21100536.777503133</v>
          </cell>
          <cell r="CC130">
            <v>1027574.1471366211</v>
          </cell>
          <cell r="CD130">
            <v>961279.04086974228</v>
          </cell>
          <cell r="CE130">
            <v>20984667.894492719</v>
          </cell>
          <cell r="CF130">
            <v>881518.48039566842</v>
          </cell>
          <cell r="CG130">
            <v>910902.42974219052</v>
          </cell>
          <cell r="CH130">
            <v>20838612.227751769</v>
          </cell>
          <cell r="CI130">
            <v>795135.62801012979</v>
          </cell>
          <cell r="CJ130">
            <v>795135.62801012979</v>
          </cell>
          <cell r="CK130">
            <v>20726579.838978808</v>
          </cell>
          <cell r="CL130">
            <v>679368.82627806894</v>
          </cell>
          <cell r="CM130">
            <v>657453.70284974412</v>
          </cell>
          <cell r="CN130">
            <v>20636462.57363417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580407882.32272816</v>
          </cell>
        </row>
        <row r="131">
          <cell r="A131" t="str">
            <v>HBS-31</v>
          </cell>
          <cell r="B131">
            <v>0</v>
          </cell>
          <cell r="C131">
            <v>0</v>
          </cell>
          <cell r="D131">
            <v>0</v>
          </cell>
          <cell r="E131" t="str">
            <v>현     가</v>
          </cell>
          <cell r="F131">
            <v>2881476.2753031962</v>
          </cell>
          <cell r="G131">
            <v>2776173.0549495588</v>
          </cell>
          <cell r="H131">
            <v>2855581.9646038897</v>
          </cell>
          <cell r="I131">
            <v>2842511.8697584695</v>
          </cell>
          <cell r="J131">
            <v>2556813.7216006257</v>
          </cell>
          <cell r="K131">
            <v>2817801.5739678876</v>
          </cell>
          <cell r="L131">
            <v>2714825.338279414</v>
          </cell>
          <cell r="M131">
            <v>2792479.4742960306</v>
          </cell>
          <cell r="N131">
            <v>2690428.6318389424</v>
          </cell>
          <cell r="O131">
            <v>2767384.9310063245</v>
          </cell>
          <cell r="P131">
            <v>2754718.5169546949</v>
          </cell>
          <cell r="Q131">
            <v>2654047.6443574168</v>
          </cell>
          <cell r="R131">
            <v>2729963.3115141601</v>
          </cell>
          <cell r="S131">
            <v>2612780.1728168745</v>
          </cell>
          <cell r="T131">
            <v>2686114.4693864426</v>
          </cell>
          <cell r="U131">
            <v>2672426.205314443</v>
          </cell>
          <cell r="V131">
            <v>2402691.3601508923</v>
          </cell>
          <cell r="W131">
            <v>2646566.766224016</v>
          </cell>
          <cell r="X131">
            <v>2548561.9508592663</v>
          </cell>
          <cell r="Y131">
            <v>2620093.8002948556</v>
          </cell>
          <cell r="Z131">
            <v>2523069.3033453277</v>
          </cell>
          <cell r="AA131">
            <v>2593885.6370277819</v>
          </cell>
          <cell r="AB131">
            <v>2580667.3650677223</v>
          </cell>
          <cell r="AC131">
            <v>2485102.8654831722</v>
          </cell>
          <cell r="AD131">
            <v>2554853.5748766637</v>
          </cell>
          <cell r="AE131">
            <v>2442970.1922120978</v>
          </cell>
          <cell r="AF131">
            <v>2510816.5874262564</v>
          </cell>
          <cell r="AG131">
            <v>2497303.7603550665</v>
          </cell>
          <cell r="AH131">
            <v>2324423.5044355858</v>
          </cell>
          <cell r="AI131">
            <v>19587959.452435672</v>
          </cell>
          <cell r="AJ131">
            <v>2281495.5935544404</v>
          </cell>
          <cell r="AK131">
            <v>2344857.5012081284</v>
          </cell>
          <cell r="AL131">
            <v>19104993.016417976</v>
          </cell>
          <cell r="AM131">
            <v>2222886.625371844</v>
          </cell>
          <cell r="AN131">
            <v>2210923.392884878</v>
          </cell>
          <cell r="AO131">
            <v>18708388.244098041</v>
          </cell>
          <cell r="AP131">
            <v>2091911.5144943516</v>
          </cell>
          <cell r="AQ131">
            <v>1989021.0698852802</v>
          </cell>
          <cell r="AR131">
            <v>18153111.390958663</v>
          </cell>
          <cell r="AS131">
            <v>1938954.7238920403</v>
          </cell>
          <cell r="AT131">
            <v>1742260.2223877257</v>
          </cell>
          <cell r="AU131">
            <v>17761283.407012131</v>
          </cell>
          <cell r="AV131">
            <v>1758849.9712560282</v>
          </cell>
          <cell r="AW131">
            <v>1807078.729440666</v>
          </cell>
          <cell r="AX131">
            <v>17317844.043431226</v>
          </cell>
          <cell r="AY131">
            <v>1696857.4092733411</v>
          </cell>
          <cell r="AZ131">
            <v>1687148.0254070866</v>
          </cell>
          <cell r="BA131">
            <v>16939363.156290431</v>
          </cell>
          <cell r="BB131">
            <v>1579791.8819749465</v>
          </cell>
          <cell r="BC131">
            <v>1520364.3229642434</v>
          </cell>
          <cell r="BD131">
            <v>16619115.184289195</v>
          </cell>
          <cell r="BE131">
            <v>1466196.0435530508</v>
          </cell>
          <cell r="BF131">
            <v>1317459.8733162447</v>
          </cell>
          <cell r="BG131">
            <v>16258560.376628429</v>
          </cell>
          <cell r="BH131">
            <v>1312973.5401928592</v>
          </cell>
          <cell r="BI131">
            <v>1348976.0898176969</v>
          </cell>
          <cell r="BJ131">
            <v>15859164.749152454</v>
          </cell>
          <cell r="BK131">
            <v>1249773.92497292</v>
          </cell>
          <cell r="BL131">
            <v>1242622.7437851063</v>
          </cell>
          <cell r="BM131">
            <v>15510937.138106627</v>
          </cell>
          <cell r="BN131">
            <v>1146034.093258745</v>
          </cell>
          <cell r="BO131">
            <v>1080656.2752896391</v>
          </cell>
          <cell r="BP131">
            <v>14894420.611128043</v>
          </cell>
          <cell r="BQ131">
            <v>1023637.1713471104</v>
          </cell>
          <cell r="BR131">
            <v>919512.78364956554</v>
          </cell>
          <cell r="BS131">
            <v>14555224.789206572</v>
          </cell>
          <cell r="BT131">
            <v>897828.99788595212</v>
          </cell>
          <cell r="BU131">
            <v>922133.83757630258</v>
          </cell>
          <cell r="BV131">
            <v>14190977.795147313</v>
          </cell>
          <cell r="BW131">
            <v>834396.39566385001</v>
          </cell>
          <cell r="BX131">
            <v>829339.42432788818</v>
          </cell>
          <cell r="BY131">
            <v>13863839.662600081</v>
          </cell>
          <cell r="BZ131">
            <v>744078.02490253281</v>
          </cell>
          <cell r="CA131">
            <v>715851.75789180479</v>
          </cell>
          <cell r="CB131">
            <v>13567580.227243133</v>
          </cell>
          <cell r="CC131">
            <v>656722.59029143513</v>
          </cell>
          <cell r="CD131">
            <v>610869.55479740247</v>
          </cell>
          <cell r="CE131">
            <v>13254428.278033879</v>
          </cell>
          <cell r="CF131">
            <v>553522.62445211911</v>
          </cell>
          <cell r="CG131">
            <v>568506.85717791435</v>
          </cell>
          <cell r="CH131">
            <v>12929379.90174247</v>
          </cell>
          <cell r="CI131">
            <v>490354.32283000438</v>
          </cell>
          <cell r="CJ131">
            <v>487382.46464856598</v>
          </cell>
          <cell r="CK131">
            <v>12629942.875062451</v>
          </cell>
          <cell r="CL131">
            <v>411471.01602634077</v>
          </cell>
          <cell r="CM131">
            <v>395862.04710529745</v>
          </cell>
          <cell r="CN131">
            <v>12350195.607415065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438691807.16886228</v>
          </cell>
        </row>
        <row r="132">
          <cell r="B132" t="str">
            <v>HBS-32</v>
          </cell>
          <cell r="C132" t="str">
            <v>㈜대일</v>
          </cell>
          <cell r="D132">
            <v>0.58048135926581723</v>
          </cell>
          <cell r="E132" t="str">
            <v>담     보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</row>
        <row r="133">
          <cell r="D133">
            <v>0.58048135926581723</v>
          </cell>
          <cell r="E133" t="str">
            <v>무 담 보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31845112.087453902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31845112.087453902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31845112.087453902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31845112.087453902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31845112.087453902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31845112.087453902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191070672.52472341</v>
          </cell>
        </row>
        <row r="134">
          <cell r="E134" t="str">
            <v>Total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31845112.087453902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31845112.087453902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31845112.087453902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31845112.087453902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31845112.087453902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31845112.087453902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191070672.52472341</v>
          </cell>
        </row>
        <row r="135">
          <cell r="A135" t="str">
            <v>HBS-32</v>
          </cell>
          <cell r="B135">
            <v>0</v>
          </cell>
          <cell r="C135">
            <v>0</v>
          </cell>
          <cell r="D135">
            <v>0</v>
          </cell>
          <cell r="E135" t="str">
            <v>현     가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31141400.584243733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29248970.758388776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27312601.608088061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25280961.689049806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23629275.342601929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21610857.203469671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158224067.18584198</v>
          </cell>
        </row>
        <row r="136">
          <cell r="B136" t="str">
            <v>HBS-33</v>
          </cell>
          <cell r="C136" t="str">
            <v>태일정밀</v>
          </cell>
          <cell r="D136">
            <v>0.13555279574083451</v>
          </cell>
          <cell r="E136" t="str">
            <v>담     보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322790219.67981863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322790219.67981863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476237535.52438897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443626275.70023543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411480148.87472224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1.0562477977472058E-8</v>
          </cell>
          <cell r="EP136">
            <v>1.0565653198315821E-8</v>
          </cell>
          <cell r="EQ136">
            <v>1.0568934259854378E-8</v>
          </cell>
          <cell r="ER136">
            <v>1.0610847174992048E-8</v>
          </cell>
          <cell r="ES136">
            <v>9.4132597134194765E-9</v>
          </cell>
          <cell r="ET136">
            <v>8.2123911903083483E-9</v>
          </cell>
          <cell r="EU136">
            <v>7.127735750078944E-9</v>
          </cell>
          <cell r="EV136">
            <v>5.9268672269678174E-9</v>
          </cell>
          <cell r="EW136">
            <v>4.7647363981505982E-9</v>
          </cell>
          <cell r="EX136">
            <v>3.563867875039472E-9</v>
          </cell>
          <cell r="EY136">
            <v>2.4017370462222532E-9</v>
          </cell>
          <cell r="EZ136">
            <v>1.2008685231111266E-9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1976924399.4589839</v>
          </cell>
        </row>
        <row r="137">
          <cell r="D137">
            <v>0.13555279574083451</v>
          </cell>
          <cell r="E137" t="str">
            <v>무 담 보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87965886.887112319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81886069.532529488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77635379.103158146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73290814.928984523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69028318.095618919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389806468.5474034</v>
          </cell>
        </row>
        <row r="138">
          <cell r="E138" t="str">
            <v>Total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410756106.56693095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404676289.2123481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553872914.62754714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516917090.62921995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480508466.97034115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1.0562477977472058E-8</v>
          </cell>
          <cell r="EP138">
            <v>1.0565653198315821E-8</v>
          </cell>
          <cell r="EQ138">
            <v>1.0568934259854378E-8</v>
          </cell>
          <cell r="ER138">
            <v>1.0610847174992048E-8</v>
          </cell>
          <cell r="ES138">
            <v>9.4132597134194765E-9</v>
          </cell>
          <cell r="ET138">
            <v>8.2123911903083483E-9</v>
          </cell>
          <cell r="EU138">
            <v>7.127735750078944E-9</v>
          </cell>
          <cell r="EV138">
            <v>5.9268672269678174E-9</v>
          </cell>
          <cell r="EW138">
            <v>4.7647363981505982E-9</v>
          </cell>
          <cell r="EX138">
            <v>3.563867875039472E-9</v>
          </cell>
          <cell r="EY138">
            <v>2.4017370462222532E-9</v>
          </cell>
          <cell r="EZ138">
            <v>1.2008685231111266E-9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2366730868.0063872</v>
          </cell>
        </row>
        <row r="139">
          <cell r="A139" t="str">
            <v>HBS-33</v>
          </cell>
          <cell r="B139">
            <v>0</v>
          </cell>
          <cell r="C139">
            <v>0</v>
          </cell>
          <cell r="D139">
            <v>0</v>
          </cell>
          <cell r="E139" t="str">
            <v>현     가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401679241.13115656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371685454.18461418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475040257.89542335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410366310.80852413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356540333.07569754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4.6080667175734939E-9</v>
          </cell>
          <cell r="EP139">
            <v>4.5824142808076849E-9</v>
          </cell>
          <cell r="EQ139">
            <v>4.5560563441354079E-9</v>
          </cell>
          <cell r="ER139">
            <v>4.5464020708739158E-9</v>
          </cell>
          <cell r="ES139">
            <v>4.0096168900509598E-9</v>
          </cell>
          <cell r="ET139">
            <v>3.4769012616506249E-9</v>
          </cell>
          <cell r="EU139">
            <v>2.999987022338608E-9</v>
          </cell>
          <cell r="EV139">
            <v>2.479435844302551E-9</v>
          </cell>
          <cell r="EW139">
            <v>1.9811914610833272E-9</v>
          </cell>
          <cell r="EX139">
            <v>1.4737524813363308E-9</v>
          </cell>
          <cell r="EY139">
            <v>9.8716171316940073E-10</v>
          </cell>
          <cell r="EZ139">
            <v>4.9068565718045003E-10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2015311597.0954156</v>
          </cell>
        </row>
        <row r="140">
          <cell r="B140" t="str">
            <v>HBS-34</v>
          </cell>
          <cell r="C140" t="str">
            <v>우신정밀㈜</v>
          </cell>
          <cell r="D140">
            <v>0.5733047498912941</v>
          </cell>
          <cell r="E140" t="str">
            <v>담     보</v>
          </cell>
          <cell r="F140">
            <v>0</v>
          </cell>
          <cell r="G140">
            <v>0</v>
          </cell>
          <cell r="H140">
            <v>5869671.7749822801</v>
          </cell>
          <cell r="I140">
            <v>0</v>
          </cell>
          <cell r="J140">
            <v>0</v>
          </cell>
          <cell r="K140">
            <v>1052212.8085488679</v>
          </cell>
          <cell r="L140">
            <v>0</v>
          </cell>
          <cell r="M140">
            <v>0</v>
          </cell>
          <cell r="N140">
            <v>5723374.8372219186</v>
          </cell>
          <cell r="O140">
            <v>0</v>
          </cell>
          <cell r="P140">
            <v>0</v>
          </cell>
          <cell r="Q140">
            <v>940989.63107346802</v>
          </cell>
          <cell r="R140">
            <v>0</v>
          </cell>
          <cell r="S140">
            <v>0</v>
          </cell>
          <cell r="T140">
            <v>5600460.406318197</v>
          </cell>
          <cell r="U140">
            <v>0</v>
          </cell>
          <cell r="V140">
            <v>0</v>
          </cell>
          <cell r="W140">
            <v>788853.86094269995</v>
          </cell>
          <cell r="X140">
            <v>0</v>
          </cell>
          <cell r="Y140">
            <v>0</v>
          </cell>
          <cell r="Z140">
            <v>5457089.6790867932</v>
          </cell>
          <cell r="AA140">
            <v>0</v>
          </cell>
          <cell r="AB140">
            <v>0</v>
          </cell>
          <cell r="AC140">
            <v>671778.26240938483</v>
          </cell>
          <cell r="AD140">
            <v>0</v>
          </cell>
          <cell r="AE140">
            <v>0</v>
          </cell>
          <cell r="AF140">
            <v>5331249.037654114</v>
          </cell>
          <cell r="AG140">
            <v>0</v>
          </cell>
          <cell r="AH140">
            <v>0</v>
          </cell>
          <cell r="AI140">
            <v>529882.01416129014</v>
          </cell>
          <cell r="AJ140">
            <v>0</v>
          </cell>
          <cell r="AK140">
            <v>0</v>
          </cell>
          <cell r="AL140">
            <v>5189352.7894060202</v>
          </cell>
          <cell r="AM140">
            <v>0</v>
          </cell>
          <cell r="AN140">
            <v>0</v>
          </cell>
          <cell r="AO140">
            <v>401466.98419954977</v>
          </cell>
          <cell r="AP140">
            <v>0</v>
          </cell>
          <cell r="AQ140">
            <v>0</v>
          </cell>
          <cell r="AR140">
            <v>5060937.7594442796</v>
          </cell>
          <cell r="AS140">
            <v>0</v>
          </cell>
          <cell r="AT140">
            <v>0</v>
          </cell>
          <cell r="AU140">
            <v>262135.96573036356</v>
          </cell>
          <cell r="AV140">
            <v>0</v>
          </cell>
          <cell r="AW140">
            <v>0</v>
          </cell>
          <cell r="AX140">
            <v>4924519.3628165415</v>
          </cell>
          <cell r="AY140">
            <v>0</v>
          </cell>
          <cell r="AZ140">
            <v>0</v>
          </cell>
          <cell r="BA140">
            <v>133355.52508121904</v>
          </cell>
          <cell r="BB140">
            <v>0</v>
          </cell>
          <cell r="BC140">
            <v>0</v>
          </cell>
          <cell r="BD140">
            <v>4792826.3003259487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-4.915096885421985E-11</v>
          </cell>
          <cell r="BS140">
            <v>-5.441714408860054E-11</v>
          </cell>
          <cell r="BT140">
            <v>-5.2661752343806977E-11</v>
          </cell>
          <cell r="BU140">
            <v>-5.441714408860054E-11</v>
          </cell>
          <cell r="BV140">
            <v>-5.2661752343806977E-11</v>
          </cell>
          <cell r="BW140">
            <v>-4.9882382081217173E-11</v>
          </cell>
          <cell r="BX140">
            <v>-4.9882382081217173E-11</v>
          </cell>
          <cell r="BY140">
            <v>-4.8273272981823069E-11</v>
          </cell>
          <cell r="BZ140">
            <v>-4.9882382081217173E-11</v>
          </cell>
          <cell r="CA140">
            <v>-4.8273272981823069E-11</v>
          </cell>
          <cell r="CB140">
            <v>-4.9882382081217173E-11</v>
          </cell>
          <cell r="CC140">
            <v>-4.9746091419793077E-11</v>
          </cell>
          <cell r="CD140">
            <v>-4.6536666166903208E-11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-3984.819676251585</v>
          </cell>
          <cell r="CM140">
            <v>-3999.3628137561527</v>
          </cell>
          <cell r="CN140">
            <v>-3999.3628137561523</v>
          </cell>
          <cell r="CO140">
            <v>-4015.1411218433004</v>
          </cell>
          <cell r="CP140">
            <v>-3972.6273472751527</v>
          </cell>
          <cell r="CQ140">
            <v>-3988.4056553623004</v>
          </cell>
          <cell r="CR140">
            <v>-3577.3401610395408</v>
          </cell>
          <cell r="CS140">
            <v>-3167.6003923274088</v>
          </cell>
          <cell r="CT140">
            <v>-2771.0780355092174</v>
          </cell>
          <cell r="CU140">
            <v>-2361.3382667970859</v>
          </cell>
          <cell r="CV140">
            <v>-1966.1416355895224</v>
          </cell>
          <cell r="CW140">
            <v>-1555.0761412667621</v>
          </cell>
          <cell r="CX140">
            <v>-1144.1012019720511</v>
          </cell>
          <cell r="CY140">
            <v>-775.54948221743905</v>
          </cell>
          <cell r="CZ140">
            <v>-364.5745429227278</v>
          </cell>
          <cell r="DA140">
            <v>-365.90026853335593</v>
          </cell>
          <cell r="DB140">
            <v>-361.92309170147161</v>
          </cell>
          <cell r="DC140">
            <v>-363.24881731209973</v>
          </cell>
          <cell r="DD140">
            <v>-361.92309170147161</v>
          </cell>
          <cell r="DE140">
            <v>-361.92309170147161</v>
          </cell>
          <cell r="DF140">
            <v>-361.92309170147161</v>
          </cell>
          <cell r="DG140">
            <v>-361.92309170147161</v>
          </cell>
          <cell r="DH140">
            <v>-363.24881731209973</v>
          </cell>
          <cell r="DI140">
            <v>-361.92309170147161</v>
          </cell>
          <cell r="DJ140">
            <v>-361.92309170147155</v>
          </cell>
          <cell r="DK140">
            <v>-364.5745429227278</v>
          </cell>
          <cell r="DL140">
            <v>-364.5745429227278</v>
          </cell>
          <cell r="DM140">
            <v>-365.90026853335593</v>
          </cell>
          <cell r="DN140">
            <v>-361.92309170147161</v>
          </cell>
          <cell r="DO140">
            <v>-363.24881731209973</v>
          </cell>
          <cell r="DP140">
            <v>-361.92309170147161</v>
          </cell>
          <cell r="DQ140">
            <v>-361.92309170147161</v>
          </cell>
          <cell r="DR140">
            <v>-361.92309170147161</v>
          </cell>
          <cell r="DS140">
            <v>-361.92309170147161</v>
          </cell>
          <cell r="DT140">
            <v>-363.24881731209973</v>
          </cell>
          <cell r="DU140">
            <v>-361.92309170147161</v>
          </cell>
          <cell r="DV140">
            <v>-361.92309170147155</v>
          </cell>
          <cell r="DW140">
            <v>-364.5745429227278</v>
          </cell>
          <cell r="DX140">
            <v>-364.5745429227278</v>
          </cell>
          <cell r="DY140">
            <v>-365.78798029857592</v>
          </cell>
          <cell r="DZ140">
            <v>-363.03148524478365</v>
          </cell>
          <cell r="EA140">
            <v>-364.24492262063177</v>
          </cell>
          <cell r="EB140">
            <v>-362.8105309763456</v>
          </cell>
          <cell r="EC140">
            <v>-362.69824274156559</v>
          </cell>
          <cell r="ED140">
            <v>-362.58957670790755</v>
          </cell>
          <cell r="EE140">
            <v>-362.47728847312754</v>
          </cell>
          <cell r="EF140">
            <v>-363.69072584897572</v>
          </cell>
          <cell r="EG140">
            <v>-362.25633420468955</v>
          </cell>
          <cell r="EH140">
            <v>-362.25633420468955</v>
          </cell>
          <cell r="EI140">
            <v>-363.57843761419571</v>
          </cell>
          <cell r="EJ140">
            <v>-363.57843761419571</v>
          </cell>
          <cell r="EK140">
            <v>-365.01282925848187</v>
          </cell>
          <cell r="EL140">
            <v>-361.1479406613775</v>
          </cell>
          <cell r="EM140">
            <v>-362.58233230566373</v>
          </cell>
          <cell r="EN140">
            <v>-361.36889492981561</v>
          </cell>
          <cell r="EO140">
            <v>-361.48118316459556</v>
          </cell>
          <cell r="EP140">
            <v>-361.5898491982536</v>
          </cell>
          <cell r="EQ140">
            <v>-361.70213743303356</v>
          </cell>
          <cell r="ER140">
            <v>-363.13652907731972</v>
          </cell>
          <cell r="ES140">
            <v>-361.92309170147161</v>
          </cell>
          <cell r="ET140">
            <v>-361.92309170147155</v>
          </cell>
          <cell r="EU140">
            <v>-364.5745429227278</v>
          </cell>
          <cell r="EV140">
            <v>-364.5745429227278</v>
          </cell>
          <cell r="EW140">
            <v>-365.90026853335593</v>
          </cell>
          <cell r="EX140">
            <v>-361.92309170147161</v>
          </cell>
          <cell r="EY140">
            <v>-363.24881731209973</v>
          </cell>
          <cell r="EZ140">
            <v>-361.92309170147161</v>
          </cell>
          <cell r="FA140">
            <v>-361.92309170147161</v>
          </cell>
          <cell r="FB140">
            <v>-361.92309170147161</v>
          </cell>
          <cell r="FC140">
            <v>-361.92309170147161</v>
          </cell>
          <cell r="FD140">
            <v>-363.24881731209973</v>
          </cell>
          <cell r="FE140">
            <v>-361.92309170147161</v>
          </cell>
          <cell r="FF140">
            <v>-361.92309170147155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52667468.586046316</v>
          </cell>
        </row>
        <row r="141">
          <cell r="D141">
            <v>0.5733047498912941</v>
          </cell>
          <cell r="E141" t="str">
            <v>무 담 보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</row>
        <row r="142">
          <cell r="E142" t="str">
            <v>Total</v>
          </cell>
          <cell r="F142">
            <v>0</v>
          </cell>
          <cell r="G142">
            <v>0</v>
          </cell>
          <cell r="H142">
            <v>5869671.7749822801</v>
          </cell>
          <cell r="I142">
            <v>0</v>
          </cell>
          <cell r="J142">
            <v>0</v>
          </cell>
          <cell r="K142">
            <v>1052212.8085488679</v>
          </cell>
          <cell r="L142">
            <v>0</v>
          </cell>
          <cell r="M142">
            <v>0</v>
          </cell>
          <cell r="N142">
            <v>5723374.8372219186</v>
          </cell>
          <cell r="O142">
            <v>0</v>
          </cell>
          <cell r="P142">
            <v>0</v>
          </cell>
          <cell r="Q142">
            <v>940989.63107346802</v>
          </cell>
          <cell r="R142">
            <v>0</v>
          </cell>
          <cell r="S142">
            <v>0</v>
          </cell>
          <cell r="T142">
            <v>5600460.406318197</v>
          </cell>
          <cell r="U142">
            <v>0</v>
          </cell>
          <cell r="V142">
            <v>0</v>
          </cell>
          <cell r="W142">
            <v>788853.86094269995</v>
          </cell>
          <cell r="X142">
            <v>0</v>
          </cell>
          <cell r="Y142">
            <v>0</v>
          </cell>
          <cell r="Z142">
            <v>5457089.6790867932</v>
          </cell>
          <cell r="AA142">
            <v>0</v>
          </cell>
          <cell r="AB142">
            <v>0</v>
          </cell>
          <cell r="AC142">
            <v>671778.26240938483</v>
          </cell>
          <cell r="AD142">
            <v>0</v>
          </cell>
          <cell r="AE142">
            <v>0</v>
          </cell>
          <cell r="AF142">
            <v>5331249.037654114</v>
          </cell>
          <cell r="AG142">
            <v>0</v>
          </cell>
          <cell r="AH142">
            <v>0</v>
          </cell>
          <cell r="AI142">
            <v>529882.01416129014</v>
          </cell>
          <cell r="AJ142">
            <v>0</v>
          </cell>
          <cell r="AK142">
            <v>0</v>
          </cell>
          <cell r="AL142">
            <v>5189352.7894060202</v>
          </cell>
          <cell r="AM142">
            <v>0</v>
          </cell>
          <cell r="AN142">
            <v>0</v>
          </cell>
          <cell r="AO142">
            <v>401466.98419954977</v>
          </cell>
          <cell r="AP142">
            <v>0</v>
          </cell>
          <cell r="AQ142">
            <v>0</v>
          </cell>
          <cell r="AR142">
            <v>5060937.7594442796</v>
          </cell>
          <cell r="AS142">
            <v>0</v>
          </cell>
          <cell r="AT142">
            <v>0</v>
          </cell>
          <cell r="AU142">
            <v>262135.96573036356</v>
          </cell>
          <cell r="AV142">
            <v>0</v>
          </cell>
          <cell r="AW142">
            <v>0</v>
          </cell>
          <cell r="AX142">
            <v>4924519.3628165415</v>
          </cell>
          <cell r="AY142">
            <v>0</v>
          </cell>
          <cell r="AZ142">
            <v>0</v>
          </cell>
          <cell r="BA142">
            <v>133355.52508121904</v>
          </cell>
          <cell r="BB142">
            <v>0</v>
          </cell>
          <cell r="BC142">
            <v>0</v>
          </cell>
          <cell r="BD142">
            <v>4792826.3003259487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-4.915096885421985E-11</v>
          </cell>
          <cell r="BS142">
            <v>-5.441714408860054E-11</v>
          </cell>
          <cell r="BT142">
            <v>-5.2661752343806977E-11</v>
          </cell>
          <cell r="BU142">
            <v>-5.441714408860054E-11</v>
          </cell>
          <cell r="BV142">
            <v>-5.2661752343806977E-11</v>
          </cell>
          <cell r="BW142">
            <v>-4.9882382081217173E-11</v>
          </cell>
          <cell r="BX142">
            <v>-4.9882382081217173E-11</v>
          </cell>
          <cell r="BY142">
            <v>-4.8273272981823069E-11</v>
          </cell>
          <cell r="BZ142">
            <v>-4.9882382081217173E-11</v>
          </cell>
          <cell r="CA142">
            <v>-4.8273272981823069E-11</v>
          </cell>
          <cell r="CB142">
            <v>-4.9882382081217173E-11</v>
          </cell>
          <cell r="CC142">
            <v>-4.9746091419793077E-11</v>
          </cell>
          <cell r="CD142">
            <v>-4.6536666166903208E-11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-3984.819676251585</v>
          </cell>
          <cell r="CM142">
            <v>-3999.3628137561527</v>
          </cell>
          <cell r="CN142">
            <v>-3999.3628137561523</v>
          </cell>
          <cell r="CO142">
            <v>-4015.1411218433004</v>
          </cell>
          <cell r="CP142">
            <v>-3972.6273472751527</v>
          </cell>
          <cell r="CQ142">
            <v>-3988.4056553623004</v>
          </cell>
          <cell r="CR142">
            <v>-3577.3401610395408</v>
          </cell>
          <cell r="CS142">
            <v>-3167.6003923274088</v>
          </cell>
          <cell r="CT142">
            <v>-2771.0780355092174</v>
          </cell>
          <cell r="CU142">
            <v>-2361.3382667970859</v>
          </cell>
          <cell r="CV142">
            <v>-1966.1416355895224</v>
          </cell>
          <cell r="CW142">
            <v>-1555.0761412667621</v>
          </cell>
          <cell r="CX142">
            <v>-1144.1012019720511</v>
          </cell>
          <cell r="CY142">
            <v>-775.54948221743905</v>
          </cell>
          <cell r="CZ142">
            <v>-364.5745429227278</v>
          </cell>
          <cell r="DA142">
            <v>-365.90026853335593</v>
          </cell>
          <cell r="DB142">
            <v>-361.92309170147161</v>
          </cell>
          <cell r="DC142">
            <v>-363.24881731209973</v>
          </cell>
          <cell r="DD142">
            <v>-361.92309170147161</v>
          </cell>
          <cell r="DE142">
            <v>-361.92309170147161</v>
          </cell>
          <cell r="DF142">
            <v>-361.92309170147161</v>
          </cell>
          <cell r="DG142">
            <v>-361.92309170147161</v>
          </cell>
          <cell r="DH142">
            <v>-363.24881731209973</v>
          </cell>
          <cell r="DI142">
            <v>-361.92309170147161</v>
          </cell>
          <cell r="DJ142">
            <v>-361.92309170147155</v>
          </cell>
          <cell r="DK142">
            <v>-364.5745429227278</v>
          </cell>
          <cell r="DL142">
            <v>-364.5745429227278</v>
          </cell>
          <cell r="DM142">
            <v>-365.90026853335593</v>
          </cell>
          <cell r="DN142">
            <v>-361.92309170147161</v>
          </cell>
          <cell r="DO142">
            <v>-363.24881731209973</v>
          </cell>
          <cell r="DP142">
            <v>-361.92309170147161</v>
          </cell>
          <cell r="DQ142">
            <v>-361.92309170147161</v>
          </cell>
          <cell r="DR142">
            <v>-361.92309170147161</v>
          </cell>
          <cell r="DS142">
            <v>-361.92309170147161</v>
          </cell>
          <cell r="DT142">
            <v>-363.24881731209973</v>
          </cell>
          <cell r="DU142">
            <v>-361.92309170147161</v>
          </cell>
          <cell r="DV142">
            <v>-361.92309170147155</v>
          </cell>
          <cell r="DW142">
            <v>-364.5745429227278</v>
          </cell>
          <cell r="DX142">
            <v>-364.5745429227278</v>
          </cell>
          <cell r="DY142">
            <v>-365.78798029857592</v>
          </cell>
          <cell r="DZ142">
            <v>-363.03148524478365</v>
          </cell>
          <cell r="EA142">
            <v>-364.24492262063177</v>
          </cell>
          <cell r="EB142">
            <v>-362.8105309763456</v>
          </cell>
          <cell r="EC142">
            <v>-362.69824274156559</v>
          </cell>
          <cell r="ED142">
            <v>-362.58957670790755</v>
          </cell>
          <cell r="EE142">
            <v>-362.47728847312754</v>
          </cell>
          <cell r="EF142">
            <v>-363.69072584897572</v>
          </cell>
          <cell r="EG142">
            <v>-362.25633420468955</v>
          </cell>
          <cell r="EH142">
            <v>-362.25633420468955</v>
          </cell>
          <cell r="EI142">
            <v>-363.57843761419571</v>
          </cell>
          <cell r="EJ142">
            <v>-363.57843761419571</v>
          </cell>
          <cell r="EK142">
            <v>-365.01282925848187</v>
          </cell>
          <cell r="EL142">
            <v>-361.1479406613775</v>
          </cell>
          <cell r="EM142">
            <v>-362.58233230566373</v>
          </cell>
          <cell r="EN142">
            <v>-361.36889492981561</v>
          </cell>
          <cell r="EO142">
            <v>-361.48118316459556</v>
          </cell>
          <cell r="EP142">
            <v>-361.5898491982536</v>
          </cell>
          <cell r="EQ142">
            <v>-361.70213743303356</v>
          </cell>
          <cell r="ER142">
            <v>-363.13652907731972</v>
          </cell>
          <cell r="ES142">
            <v>-361.92309170147161</v>
          </cell>
          <cell r="ET142">
            <v>-361.92309170147155</v>
          </cell>
          <cell r="EU142">
            <v>-364.5745429227278</v>
          </cell>
          <cell r="EV142">
            <v>-364.5745429227278</v>
          </cell>
          <cell r="EW142">
            <v>-365.90026853335593</v>
          </cell>
          <cell r="EX142">
            <v>-361.92309170147161</v>
          </cell>
          <cell r="EY142">
            <v>-363.24881731209973</v>
          </cell>
          <cell r="EZ142">
            <v>-361.92309170147161</v>
          </cell>
          <cell r="FA142">
            <v>-361.92309170147161</v>
          </cell>
          <cell r="FB142">
            <v>-361.92309170147161</v>
          </cell>
          <cell r="FC142">
            <v>-361.92309170147161</v>
          </cell>
          <cell r="FD142">
            <v>-363.24881731209973</v>
          </cell>
          <cell r="FE142">
            <v>-361.92309170147161</v>
          </cell>
          <cell r="FF142">
            <v>-361.92309170147155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52667468.586046316</v>
          </cell>
        </row>
        <row r="143">
          <cell r="A143" t="str">
            <v>HBS-34</v>
          </cell>
          <cell r="B143">
            <v>0</v>
          </cell>
          <cell r="C143">
            <v>0</v>
          </cell>
          <cell r="D143">
            <v>0</v>
          </cell>
          <cell r="E143" t="str">
            <v>현     가</v>
          </cell>
          <cell r="F143">
            <v>0</v>
          </cell>
          <cell r="G143">
            <v>0</v>
          </cell>
          <cell r="H143">
            <v>5816924.1240829695</v>
          </cell>
          <cell r="I143">
            <v>0</v>
          </cell>
          <cell r="J143">
            <v>0</v>
          </cell>
          <cell r="K143">
            <v>1028961.0688417675</v>
          </cell>
          <cell r="L143">
            <v>0</v>
          </cell>
          <cell r="M143">
            <v>0</v>
          </cell>
          <cell r="N143">
            <v>5522033.7529568654</v>
          </cell>
          <cell r="O143">
            <v>0</v>
          </cell>
          <cell r="P143">
            <v>0</v>
          </cell>
          <cell r="Q143">
            <v>895610.01986765407</v>
          </cell>
          <cell r="R143">
            <v>0</v>
          </cell>
          <cell r="S143">
            <v>0</v>
          </cell>
          <cell r="T143">
            <v>5220753.6329808133</v>
          </cell>
          <cell r="U143">
            <v>0</v>
          </cell>
          <cell r="V143">
            <v>0</v>
          </cell>
          <cell r="W143">
            <v>724543.32859595458</v>
          </cell>
          <cell r="X143">
            <v>0</v>
          </cell>
          <cell r="Y143">
            <v>0</v>
          </cell>
          <cell r="Z143">
            <v>4937597.2397712413</v>
          </cell>
          <cell r="AA143">
            <v>0</v>
          </cell>
          <cell r="AB143">
            <v>0</v>
          </cell>
          <cell r="AC143">
            <v>598681.32034649956</v>
          </cell>
          <cell r="AD143">
            <v>0</v>
          </cell>
          <cell r="AE143">
            <v>0</v>
          </cell>
          <cell r="AF143">
            <v>4645461.9911919041</v>
          </cell>
          <cell r="AG143">
            <v>0</v>
          </cell>
          <cell r="AH143">
            <v>0</v>
          </cell>
          <cell r="AI143">
            <v>454463.97903495975</v>
          </cell>
          <cell r="AJ143">
            <v>0</v>
          </cell>
          <cell r="AK143">
            <v>0</v>
          </cell>
          <cell r="AL143">
            <v>4380804.0888019688</v>
          </cell>
          <cell r="AM143">
            <v>0</v>
          </cell>
          <cell r="AN143">
            <v>0</v>
          </cell>
          <cell r="AO143">
            <v>333530.24121119769</v>
          </cell>
          <cell r="AP143">
            <v>0</v>
          </cell>
          <cell r="AQ143">
            <v>0</v>
          </cell>
          <cell r="AR143">
            <v>4085235.6342517999</v>
          </cell>
          <cell r="AS143">
            <v>0</v>
          </cell>
          <cell r="AT143">
            <v>0</v>
          </cell>
          <cell r="AU143">
            <v>208102.5586831666</v>
          </cell>
          <cell r="AV143">
            <v>0</v>
          </cell>
          <cell r="AW143">
            <v>0</v>
          </cell>
          <cell r="AX143">
            <v>3844137.9055310194</v>
          </cell>
          <cell r="AY143">
            <v>0</v>
          </cell>
          <cell r="AZ143">
            <v>0</v>
          </cell>
          <cell r="BA143">
            <v>102341.08866241474</v>
          </cell>
          <cell r="BB143">
            <v>0</v>
          </cell>
          <cell r="BC143">
            <v>0</v>
          </cell>
          <cell r="BD143">
            <v>3616051.5859202496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-3.3558412129329397E-11</v>
          </cell>
          <cell r="BS143">
            <v>-3.6928779747730646E-11</v>
          </cell>
          <cell r="BT143">
            <v>-3.5527903008122135E-11</v>
          </cell>
          <cell r="BU143">
            <v>-3.6489667430055423E-11</v>
          </cell>
          <cell r="BV143">
            <v>-3.510544821978064E-11</v>
          </cell>
          <cell r="BW143">
            <v>-3.3051128462159609E-11</v>
          </cell>
          <cell r="BX143">
            <v>-3.2850817662493032E-11</v>
          </cell>
          <cell r="BY143">
            <v>-3.1604636590308132E-11</v>
          </cell>
          <cell r="BZ143">
            <v>-3.2460195530382373E-11</v>
          </cell>
          <cell r="CA143">
            <v>-3.1228832534033939E-11</v>
          </cell>
          <cell r="CB143">
            <v>-3.2074218203514081E-11</v>
          </cell>
          <cell r="CC143">
            <v>-3.1792724744112786E-11</v>
          </cell>
          <cell r="CD143">
            <v>-2.9572924545832894E-11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-2413.4722369464189</v>
          </cell>
          <cell r="CM143">
            <v>-2408.0721482104727</v>
          </cell>
          <cell r="CN143">
            <v>-2393.4777037812873</v>
          </cell>
          <cell r="CO143">
            <v>-2388.357243170678</v>
          </cell>
          <cell r="CP143">
            <v>-2350.1289229508711</v>
          </cell>
          <cell r="CQ143">
            <v>-2345.16321999704</v>
          </cell>
          <cell r="CR143">
            <v>-2091.1204320891925</v>
          </cell>
          <cell r="CS143">
            <v>-1840.3867036419197</v>
          </cell>
          <cell r="CT143">
            <v>-1600.5620344811093</v>
          </cell>
          <cell r="CU143">
            <v>-1355.6321247265489</v>
          </cell>
          <cell r="CV143">
            <v>-1121.9108246232352</v>
          </cell>
          <cell r="CW143">
            <v>-882.14556051713203</v>
          </cell>
          <cell r="CX143">
            <v>-645.07903555155053</v>
          </cell>
          <cell r="CY143">
            <v>-434.71342720493243</v>
          </cell>
          <cell r="CZ143">
            <v>-203.11396023614466</v>
          </cell>
          <cell r="DA143">
            <v>-202.61708067878729</v>
          </cell>
          <cell r="DB143">
            <v>-199.31730418391342</v>
          </cell>
          <cell r="DC143">
            <v>-198.83499005875825</v>
          </cell>
          <cell r="DD143">
            <v>-196.94726423158184</v>
          </cell>
          <cell r="DE143">
            <v>-195.75363890542874</v>
          </cell>
          <cell r="DF143">
            <v>-194.60540592358183</v>
          </cell>
          <cell r="DG143">
            <v>-193.42597374399313</v>
          </cell>
          <cell r="DH143">
            <v>-192.95791564090672</v>
          </cell>
          <cell r="DI143">
            <v>-191.12598635720354</v>
          </cell>
          <cell r="DJ143">
            <v>-189.96764166685182</v>
          </cell>
          <cell r="DK143">
            <v>-190.23688864280064</v>
          </cell>
          <cell r="DL143">
            <v>-189.08393244846832</v>
          </cell>
          <cell r="DM143">
            <v>-188.62137467770182</v>
          </cell>
          <cell r="DN143">
            <v>-185.54952912298774</v>
          </cell>
          <cell r="DO143">
            <v>-185.10053068214324</v>
          </cell>
          <cell r="DP143">
            <v>-183.34319887505291</v>
          </cell>
          <cell r="DQ143">
            <v>-182.23202281272458</v>
          </cell>
          <cell r="DR143">
            <v>-181.16310363394322</v>
          </cell>
          <cell r="DS143">
            <v>-180.065140331403</v>
          </cell>
          <cell r="DT143">
            <v>-179.6294131827469</v>
          </cell>
          <cell r="DU143">
            <v>-177.92402379184836</v>
          </cell>
          <cell r="DV143">
            <v>-176.84569136739134</v>
          </cell>
          <cell r="DW143">
            <v>-177.09634019996335</v>
          </cell>
          <cell r="DX143">
            <v>-176.02302406299412</v>
          </cell>
          <cell r="DY143">
            <v>-175.53853114715056</v>
          </cell>
          <cell r="DZ143">
            <v>-173.22778130809067</v>
          </cell>
          <cell r="EA143">
            <v>-172.75341795823982</v>
          </cell>
          <cell r="EB143">
            <v>-171.06378726178693</v>
          </cell>
          <cell r="EC143">
            <v>-169.9744096163551</v>
          </cell>
          <cell r="ED143">
            <v>-168.92676358312653</v>
          </cell>
          <cell r="EE143">
            <v>-167.85096338077778</v>
          </cell>
          <cell r="EF143">
            <v>-167.39217638672972</v>
          </cell>
          <cell r="EG143">
            <v>-165.75398321895261</v>
          </cell>
          <cell r="EH143">
            <v>-164.74940895866612</v>
          </cell>
          <cell r="EI143">
            <v>-164.38078593746363</v>
          </cell>
          <cell r="EJ143">
            <v>-163.38453412359132</v>
          </cell>
          <cell r="EK143">
            <v>-163.03499918953239</v>
          </cell>
          <cell r="EL143">
            <v>-160.42544227593629</v>
          </cell>
          <cell r="EM143">
            <v>-160.0864714710585</v>
          </cell>
          <cell r="EN143">
            <v>-158.61484019897105</v>
          </cell>
          <cell r="EO143">
            <v>-157.70252138963735</v>
          </cell>
          <cell r="EP143">
            <v>-156.82461440484298</v>
          </cell>
          <cell r="EQ143">
            <v>-155.92256299660392</v>
          </cell>
          <cell r="ER143">
            <v>-155.5921634323538</v>
          </cell>
          <cell r="ES143">
            <v>-154.16263712738117</v>
          </cell>
          <cell r="ET143">
            <v>-153.22831377569747</v>
          </cell>
          <cell r="EU143">
            <v>-153.44548897328295</v>
          </cell>
          <cell r="EV143">
            <v>-152.51551199423193</v>
          </cell>
          <cell r="EW143">
            <v>-152.14241188825338</v>
          </cell>
          <cell r="EX143">
            <v>-149.66465456917439</v>
          </cell>
          <cell r="EY143">
            <v>-149.30249144826158</v>
          </cell>
          <cell r="EZ143">
            <v>-147.88502378280998</v>
          </cell>
          <cell r="FA143">
            <v>-146.98874674928723</v>
          </cell>
          <cell r="FB143">
            <v>-146.12655421012619</v>
          </cell>
          <cell r="FC143">
            <v>-145.24093461744383</v>
          </cell>
          <cell r="FD143">
            <v>-144.88947614973301</v>
          </cell>
          <cell r="FE143">
            <v>-143.51390535038277</v>
          </cell>
          <cell r="FF143">
            <v>-142.64412006674499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46380876.807310119</v>
          </cell>
        </row>
        <row r="144">
          <cell r="B144" t="str">
            <v>HBS-35</v>
          </cell>
          <cell r="C144" t="str">
            <v>우신산업</v>
          </cell>
          <cell r="D144">
            <v>1</v>
          </cell>
          <cell r="E144" t="str">
            <v>담     보</v>
          </cell>
          <cell r="F144">
            <v>0</v>
          </cell>
          <cell r="G144">
            <v>0</v>
          </cell>
          <cell r="H144">
            <v>27988994.551956162</v>
          </cell>
          <cell r="I144">
            <v>0</v>
          </cell>
          <cell r="J144">
            <v>0</v>
          </cell>
          <cell r="K144">
            <v>4876667.0886575319</v>
          </cell>
          <cell r="L144">
            <v>0</v>
          </cell>
          <cell r="M144">
            <v>0</v>
          </cell>
          <cell r="N144">
            <v>27311679.678531505</v>
          </cell>
          <cell r="O144">
            <v>0</v>
          </cell>
          <cell r="P144">
            <v>0</v>
          </cell>
          <cell r="Q144">
            <v>4361907.7848547921</v>
          </cell>
          <cell r="R144">
            <v>0</v>
          </cell>
          <cell r="S144">
            <v>0</v>
          </cell>
          <cell r="T144">
            <v>26742735.184854791</v>
          </cell>
          <cell r="U144">
            <v>0</v>
          </cell>
          <cell r="V144">
            <v>0</v>
          </cell>
          <cell r="W144">
            <v>3657500.3164931494</v>
          </cell>
          <cell r="X144">
            <v>0</v>
          </cell>
          <cell r="Y144">
            <v>0</v>
          </cell>
          <cell r="Z144">
            <v>26078966.608898625</v>
          </cell>
          <cell r="AA144">
            <v>0</v>
          </cell>
          <cell r="AB144">
            <v>0</v>
          </cell>
          <cell r="AC144">
            <v>3115648.4177534226</v>
          </cell>
          <cell r="AD144">
            <v>0</v>
          </cell>
          <cell r="AE144">
            <v>0</v>
          </cell>
          <cell r="AF144">
            <v>25496475.817753423</v>
          </cell>
          <cell r="AG144">
            <v>0</v>
          </cell>
          <cell r="AH144">
            <v>0</v>
          </cell>
          <cell r="AI144">
            <v>2458690.0022732229</v>
          </cell>
          <cell r="AJ144">
            <v>0</v>
          </cell>
          <cell r="AK144">
            <v>0</v>
          </cell>
          <cell r="AL144">
            <v>24839517.402273223</v>
          </cell>
          <cell r="AM144">
            <v>0</v>
          </cell>
          <cell r="AN144">
            <v>0</v>
          </cell>
          <cell r="AO144">
            <v>1864281.4302950813</v>
          </cell>
          <cell r="AP144">
            <v>0</v>
          </cell>
          <cell r="AQ144">
            <v>0</v>
          </cell>
          <cell r="AR144">
            <v>24245108.830295078</v>
          </cell>
          <cell r="AS144">
            <v>0</v>
          </cell>
          <cell r="AT144">
            <v>0</v>
          </cell>
          <cell r="AU144">
            <v>1219166.772164383</v>
          </cell>
          <cell r="AV144">
            <v>0</v>
          </cell>
          <cell r="AW144">
            <v>0</v>
          </cell>
          <cell r="AX144">
            <v>23613540.469632875</v>
          </cell>
          <cell r="AY144">
            <v>0</v>
          </cell>
          <cell r="AZ144">
            <v>0</v>
          </cell>
          <cell r="BA144">
            <v>623129.68355068448</v>
          </cell>
          <cell r="BB144">
            <v>0</v>
          </cell>
          <cell r="BC144">
            <v>0</v>
          </cell>
          <cell r="BD144">
            <v>23003957.083550684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-9.4305979062433118E-11</v>
          </cell>
          <cell r="BS144">
            <v>-1.0441019110483667E-10</v>
          </cell>
          <cell r="BT144">
            <v>-1.0104212042403548E-10</v>
          </cell>
          <cell r="BU144">
            <v>-1.0441019110483667E-10</v>
          </cell>
          <cell r="BV144">
            <v>-1.0104212042403548E-10</v>
          </cell>
          <cell r="BW144">
            <v>-1.0441019110483667E-10</v>
          </cell>
          <cell r="BX144">
            <v>-1.0441019110483667E-10</v>
          </cell>
          <cell r="BY144">
            <v>-1.0104212042403548E-10</v>
          </cell>
          <cell r="BZ144">
            <v>-1.0441019110483667E-10</v>
          </cell>
          <cell r="CA144">
            <v>-1.0104212042403548E-10</v>
          </cell>
          <cell r="CB144">
            <v>-1.0441019110483667E-10</v>
          </cell>
          <cell r="CC144">
            <v>-1.0412491735864858E-10</v>
          </cell>
          <cell r="CD144">
            <v>-9.7407180754864803E-11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251497967.12378863</v>
          </cell>
        </row>
        <row r="145">
          <cell r="D145">
            <v>1</v>
          </cell>
          <cell r="E145" t="str">
            <v>무 담 보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</row>
        <row r="146">
          <cell r="E146" t="str">
            <v>Total</v>
          </cell>
          <cell r="F146">
            <v>0</v>
          </cell>
          <cell r="G146">
            <v>0</v>
          </cell>
          <cell r="H146">
            <v>27988994.551956162</v>
          </cell>
          <cell r="I146">
            <v>0</v>
          </cell>
          <cell r="J146">
            <v>0</v>
          </cell>
          <cell r="K146">
            <v>4876667.0886575319</v>
          </cell>
          <cell r="L146">
            <v>0</v>
          </cell>
          <cell r="M146">
            <v>0</v>
          </cell>
          <cell r="N146">
            <v>27311679.678531505</v>
          </cell>
          <cell r="O146">
            <v>0</v>
          </cell>
          <cell r="P146">
            <v>0</v>
          </cell>
          <cell r="Q146">
            <v>4361907.7848547921</v>
          </cell>
          <cell r="R146">
            <v>0</v>
          </cell>
          <cell r="S146">
            <v>0</v>
          </cell>
          <cell r="T146">
            <v>26742735.184854791</v>
          </cell>
          <cell r="U146">
            <v>0</v>
          </cell>
          <cell r="V146">
            <v>0</v>
          </cell>
          <cell r="W146">
            <v>3657500.3164931494</v>
          </cell>
          <cell r="X146">
            <v>0</v>
          </cell>
          <cell r="Y146">
            <v>0</v>
          </cell>
          <cell r="Z146">
            <v>26078966.608898625</v>
          </cell>
          <cell r="AA146">
            <v>0</v>
          </cell>
          <cell r="AB146">
            <v>0</v>
          </cell>
          <cell r="AC146">
            <v>3115648.4177534226</v>
          </cell>
          <cell r="AD146">
            <v>0</v>
          </cell>
          <cell r="AE146">
            <v>0</v>
          </cell>
          <cell r="AF146">
            <v>25496475.817753423</v>
          </cell>
          <cell r="AG146">
            <v>0</v>
          </cell>
          <cell r="AH146">
            <v>0</v>
          </cell>
          <cell r="AI146">
            <v>2458690.0022732229</v>
          </cell>
          <cell r="AJ146">
            <v>0</v>
          </cell>
          <cell r="AK146">
            <v>0</v>
          </cell>
          <cell r="AL146">
            <v>24839517.402273223</v>
          </cell>
          <cell r="AM146">
            <v>0</v>
          </cell>
          <cell r="AN146">
            <v>0</v>
          </cell>
          <cell r="AO146">
            <v>1864281.4302950813</v>
          </cell>
          <cell r="AP146">
            <v>0</v>
          </cell>
          <cell r="AQ146">
            <v>0</v>
          </cell>
          <cell r="AR146">
            <v>24245108.830295078</v>
          </cell>
          <cell r="AS146">
            <v>0</v>
          </cell>
          <cell r="AT146">
            <v>0</v>
          </cell>
          <cell r="AU146">
            <v>1219166.772164383</v>
          </cell>
          <cell r="AV146">
            <v>0</v>
          </cell>
          <cell r="AW146">
            <v>0</v>
          </cell>
          <cell r="AX146">
            <v>23613540.469632875</v>
          </cell>
          <cell r="AY146">
            <v>0</v>
          </cell>
          <cell r="AZ146">
            <v>0</v>
          </cell>
          <cell r="BA146">
            <v>623129.68355068448</v>
          </cell>
          <cell r="BB146">
            <v>0</v>
          </cell>
          <cell r="BC146">
            <v>0</v>
          </cell>
          <cell r="BD146">
            <v>23003957.083550684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-9.4305979062433118E-11</v>
          </cell>
          <cell r="BS146">
            <v>-1.0441019110483667E-10</v>
          </cell>
          <cell r="BT146">
            <v>-1.0104212042403548E-10</v>
          </cell>
          <cell r="BU146">
            <v>-1.0441019110483667E-10</v>
          </cell>
          <cell r="BV146">
            <v>-1.0104212042403548E-10</v>
          </cell>
          <cell r="BW146">
            <v>-1.0441019110483667E-10</v>
          </cell>
          <cell r="BX146">
            <v>-1.0441019110483667E-10</v>
          </cell>
          <cell r="BY146">
            <v>-1.0104212042403548E-10</v>
          </cell>
          <cell r="BZ146">
            <v>-1.0441019110483667E-10</v>
          </cell>
          <cell r="CA146">
            <v>-1.0104212042403548E-10</v>
          </cell>
          <cell r="CB146">
            <v>-1.0441019110483667E-10</v>
          </cell>
          <cell r="CC146">
            <v>-1.0412491735864858E-10</v>
          </cell>
          <cell r="CD146">
            <v>-9.7407180754864803E-11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251497967.12378863</v>
          </cell>
        </row>
        <row r="147">
          <cell r="A147" t="str">
            <v>HBS-35</v>
          </cell>
          <cell r="B147">
            <v>0</v>
          </cell>
          <cell r="C147">
            <v>0</v>
          </cell>
          <cell r="D147">
            <v>0</v>
          </cell>
          <cell r="E147" t="str">
            <v>현     가</v>
          </cell>
          <cell r="F147">
            <v>0</v>
          </cell>
          <cell r="G147">
            <v>0</v>
          </cell>
          <cell r="H147">
            <v>27737472.189165484</v>
          </cell>
          <cell r="I147">
            <v>0</v>
          </cell>
          <cell r="J147">
            <v>0</v>
          </cell>
          <cell r="K147">
            <v>4768902.7724827183</v>
          </cell>
          <cell r="L147">
            <v>0</v>
          </cell>
          <cell r="M147">
            <v>0</v>
          </cell>
          <cell r="N147">
            <v>26350889.348355521</v>
          </cell>
          <cell r="O147">
            <v>0</v>
          </cell>
          <cell r="P147">
            <v>0</v>
          </cell>
          <cell r="Q147">
            <v>4151552.9915012089</v>
          </cell>
          <cell r="R147">
            <v>0</v>
          </cell>
          <cell r="S147">
            <v>0</v>
          </cell>
          <cell r="T147">
            <v>24929598.951304853</v>
          </cell>
          <cell r="U147">
            <v>0</v>
          </cell>
          <cell r="V147">
            <v>0</v>
          </cell>
          <cell r="W147">
            <v>3359326.213458431</v>
          </cell>
          <cell r="X147">
            <v>0</v>
          </cell>
          <cell r="Y147">
            <v>0</v>
          </cell>
          <cell r="Z147">
            <v>23596356.504394587</v>
          </cell>
          <cell r="AA147">
            <v>0</v>
          </cell>
          <cell r="AB147">
            <v>0</v>
          </cell>
          <cell r="AC147">
            <v>2776631.2380905687</v>
          </cell>
          <cell r="AD147">
            <v>0</v>
          </cell>
          <cell r="AE147">
            <v>0</v>
          </cell>
          <cell r="AF147">
            <v>22216727.915759671</v>
          </cell>
          <cell r="AG147">
            <v>0</v>
          </cell>
          <cell r="AH147">
            <v>0</v>
          </cell>
          <cell r="AI147">
            <v>2108744.9880992626</v>
          </cell>
          <cell r="AJ147">
            <v>0</v>
          </cell>
          <cell r="AK147">
            <v>0</v>
          </cell>
          <cell r="AL147">
            <v>20969293.053633675</v>
          </cell>
          <cell r="AM147">
            <v>0</v>
          </cell>
          <cell r="AN147">
            <v>0</v>
          </cell>
          <cell r="AO147">
            <v>1548805.405185726</v>
          </cell>
          <cell r="AP147">
            <v>0</v>
          </cell>
          <cell r="AQ147">
            <v>0</v>
          </cell>
          <cell r="AR147">
            <v>19570875.449910764</v>
          </cell>
          <cell r="AS147">
            <v>0</v>
          </cell>
          <cell r="AT147">
            <v>0</v>
          </cell>
          <cell r="AU147">
            <v>967863.0860210784</v>
          </cell>
          <cell r="AV147">
            <v>0</v>
          </cell>
          <cell r="AW147">
            <v>0</v>
          </cell>
          <cell r="AX147">
            <v>18433008.242085405</v>
          </cell>
          <cell r="AY147">
            <v>0</v>
          </cell>
          <cell r="AZ147">
            <v>0</v>
          </cell>
          <cell r="BA147">
            <v>478208.68429413327</v>
          </cell>
          <cell r="BB147">
            <v>0</v>
          </cell>
          <cell r="BC147">
            <v>0</v>
          </cell>
          <cell r="BD147">
            <v>17355833.548309002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-6.438853567716254E-11</v>
          </cell>
          <cell r="BS147">
            <v>-7.0855261063520064E-11</v>
          </cell>
          <cell r="BT147">
            <v>-6.816739843223791E-11</v>
          </cell>
          <cell r="BU147">
            <v>-7.0012736124498826E-11</v>
          </cell>
          <cell r="BV147">
            <v>-6.735683429987419E-11</v>
          </cell>
          <cell r="BW147">
            <v>-6.9180229471518989E-11</v>
          </cell>
          <cell r="BX147">
            <v>-6.87609534064847E-11</v>
          </cell>
          <cell r="BY147">
            <v>-6.6152537399281849E-11</v>
          </cell>
          <cell r="BZ147">
            <v>-6.794333143732839E-11</v>
          </cell>
          <cell r="CA147">
            <v>-6.5365931553761567E-11</v>
          </cell>
          <cell r="CB147">
            <v>-6.7135431638260295E-11</v>
          </cell>
          <cell r="CC147">
            <v>-6.6546229906815377E-11</v>
          </cell>
          <cell r="CD147">
            <v>-6.1899904826758114E-11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221320090.58205208</v>
          </cell>
        </row>
        <row r="148">
          <cell r="B148" t="str">
            <v>HBS-36</v>
          </cell>
          <cell r="C148" t="str">
            <v>(주)국제종합토건</v>
          </cell>
          <cell r="D148">
            <v>0.63278908549104074</v>
          </cell>
          <cell r="E148" t="str">
            <v>담     보</v>
          </cell>
          <cell r="F148">
            <v>0</v>
          </cell>
          <cell r="G148">
            <v>0</v>
          </cell>
          <cell r="H148">
            <v>53444409.383476041</v>
          </cell>
          <cell r="I148">
            <v>0</v>
          </cell>
          <cell r="J148">
            <v>1069759573.6764307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1123203983.0599067</v>
          </cell>
        </row>
        <row r="149">
          <cell r="D149">
            <v>0.63278908549104074</v>
          </cell>
          <cell r="E149" t="str">
            <v>무 담 보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</row>
        <row r="150">
          <cell r="E150" t="str">
            <v>Total</v>
          </cell>
          <cell r="F150">
            <v>0</v>
          </cell>
          <cell r="G150">
            <v>0</v>
          </cell>
          <cell r="H150">
            <v>53444409.383476041</v>
          </cell>
          <cell r="I150">
            <v>0</v>
          </cell>
          <cell r="J150">
            <v>1069759573.6764307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1123203983.0599067</v>
          </cell>
        </row>
        <row r="151">
          <cell r="A151" t="str">
            <v>HBS-36</v>
          </cell>
          <cell r="B151">
            <v>0</v>
          </cell>
          <cell r="C151">
            <v>0</v>
          </cell>
          <cell r="D151">
            <v>0</v>
          </cell>
          <cell r="E151" t="str">
            <v>현     가</v>
          </cell>
          <cell r="F151">
            <v>0</v>
          </cell>
          <cell r="G151">
            <v>0</v>
          </cell>
          <cell r="H151">
            <v>52964132.605361313</v>
          </cell>
          <cell r="I151">
            <v>0</v>
          </cell>
          <cell r="J151">
            <v>1050930229.5989836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1103894362.204345</v>
          </cell>
        </row>
        <row r="152">
          <cell r="B152" t="str">
            <v>HBS-37</v>
          </cell>
          <cell r="C152" t="str">
            <v>대선주조㈜</v>
          </cell>
          <cell r="D152">
            <v>0.17493752582153094</v>
          </cell>
          <cell r="E152" t="str">
            <v>담     보</v>
          </cell>
          <cell r="F152">
            <v>0</v>
          </cell>
          <cell r="G152">
            <v>0</v>
          </cell>
          <cell r="H152">
            <v>185355137.25000268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178214673.77228957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172719131.93056145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165784690.97750816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160083128.18555799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153423890.55112588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147395474.31099322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140924725.56288287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134861526.66942865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1438762379.2103505</v>
          </cell>
        </row>
        <row r="153">
          <cell r="D153">
            <v>0.17493752582153094</v>
          </cell>
          <cell r="E153" t="str">
            <v>무 담 보</v>
          </cell>
          <cell r="F153">
            <v>0</v>
          </cell>
          <cell r="G153">
            <v>0</v>
          </cell>
          <cell r="H153">
            <v>38083864.558779649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36962389.588057622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36099714.743910603</v>
          </cell>
          <cell r="U153">
            <v>0</v>
          </cell>
          <cell r="V153">
            <v>0</v>
          </cell>
          <cell r="W153">
            <v>0</v>
          </cell>
          <cell r="X153">
            <v>377380.53130923893</v>
          </cell>
          <cell r="Y153">
            <v>0</v>
          </cell>
          <cell r="Z153">
            <v>35010589.220463492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34115564.579166509</v>
          </cell>
          <cell r="AG153">
            <v>0</v>
          </cell>
          <cell r="AH153">
            <v>0</v>
          </cell>
          <cell r="AI153">
            <v>0</v>
          </cell>
          <cell r="AJ153">
            <v>377380.53130923893</v>
          </cell>
          <cell r="AK153">
            <v>0</v>
          </cell>
          <cell r="AL153">
            <v>33076761.759334747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32123281.918722022</v>
          </cell>
          <cell r="AS153">
            <v>0</v>
          </cell>
          <cell r="AT153">
            <v>0</v>
          </cell>
          <cell r="AU153">
            <v>0</v>
          </cell>
          <cell r="AV153">
            <v>377380.53130923893</v>
          </cell>
          <cell r="AW153">
            <v>0</v>
          </cell>
          <cell r="AX153">
            <v>31103453.697628491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30147260.925865326</v>
          </cell>
          <cell r="BE153">
            <v>0</v>
          </cell>
          <cell r="BF153">
            <v>0</v>
          </cell>
          <cell r="BG153">
            <v>0</v>
          </cell>
          <cell r="BH153">
            <v>377380.53130923893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10570158.228032051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10467951.196881352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-22853137.152847704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306417375.38923115</v>
          </cell>
        </row>
        <row r="154">
          <cell r="E154" t="str">
            <v>Total</v>
          </cell>
          <cell r="F154">
            <v>0</v>
          </cell>
          <cell r="G154">
            <v>0</v>
          </cell>
          <cell r="H154">
            <v>223439001.80878234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215177063.36034721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208818846.67447206</v>
          </cell>
          <cell r="U154">
            <v>0</v>
          </cell>
          <cell r="V154">
            <v>0</v>
          </cell>
          <cell r="W154">
            <v>0</v>
          </cell>
          <cell r="X154">
            <v>377380.53130923893</v>
          </cell>
          <cell r="Y154">
            <v>0</v>
          </cell>
          <cell r="Z154">
            <v>200795280.19797164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194198692.76472449</v>
          </cell>
          <cell r="AG154">
            <v>0</v>
          </cell>
          <cell r="AH154">
            <v>0</v>
          </cell>
          <cell r="AI154">
            <v>0</v>
          </cell>
          <cell r="AJ154">
            <v>377380.53130923893</v>
          </cell>
          <cell r="AK154">
            <v>0</v>
          </cell>
          <cell r="AL154">
            <v>186500652.31046063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179518756.22971526</v>
          </cell>
          <cell r="AS154">
            <v>0</v>
          </cell>
          <cell r="AT154">
            <v>0</v>
          </cell>
          <cell r="AU154">
            <v>0</v>
          </cell>
          <cell r="AV154">
            <v>377380.53130923893</v>
          </cell>
          <cell r="AW154">
            <v>0</v>
          </cell>
          <cell r="AX154">
            <v>172028179.26051137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165008787.59529397</v>
          </cell>
          <cell r="BE154">
            <v>0</v>
          </cell>
          <cell r="BF154">
            <v>0</v>
          </cell>
          <cell r="BG154">
            <v>0</v>
          </cell>
          <cell r="BH154">
            <v>377380.53130923893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10570158.228032051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10467951.196881352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-22853137.152847704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1745179754.5995815</v>
          </cell>
        </row>
        <row r="155">
          <cell r="A155" t="str">
            <v>HBS-37</v>
          </cell>
          <cell r="B155">
            <v>0</v>
          </cell>
          <cell r="C155">
            <v>0</v>
          </cell>
          <cell r="D155">
            <v>0</v>
          </cell>
          <cell r="E155" t="str">
            <v>현     가</v>
          </cell>
          <cell r="F155">
            <v>0</v>
          </cell>
          <cell r="G155">
            <v>0</v>
          </cell>
          <cell r="H155">
            <v>221431073.100582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207607406.56202164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194661094.50228527</v>
          </cell>
          <cell r="U155">
            <v>0</v>
          </cell>
          <cell r="V155">
            <v>0</v>
          </cell>
          <cell r="W155">
            <v>0</v>
          </cell>
          <cell r="X155">
            <v>344905.46635562094</v>
          </cell>
          <cell r="Y155">
            <v>0</v>
          </cell>
          <cell r="Z155">
            <v>181680397.3488135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169217877.38781899</v>
          </cell>
          <cell r="AG155">
            <v>0</v>
          </cell>
          <cell r="AH155">
            <v>0</v>
          </cell>
          <cell r="AI155">
            <v>0</v>
          </cell>
          <cell r="AJ155">
            <v>321982.12501330668</v>
          </cell>
          <cell r="AK155">
            <v>0</v>
          </cell>
          <cell r="AL155">
            <v>157442142.27906016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144909195.6520572</v>
          </cell>
          <cell r="AS155">
            <v>0</v>
          </cell>
          <cell r="AT155">
            <v>0</v>
          </cell>
          <cell r="AU155">
            <v>0</v>
          </cell>
          <cell r="AV155">
            <v>297932.94628768315</v>
          </cell>
          <cell r="AW155">
            <v>0</v>
          </cell>
          <cell r="AX155">
            <v>134287226.02008235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124494452.89393474</v>
          </cell>
          <cell r="BE155">
            <v>0</v>
          </cell>
          <cell r="BF155">
            <v>0</v>
          </cell>
          <cell r="BG155">
            <v>0</v>
          </cell>
          <cell r="BH155">
            <v>278468.03092595865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7131087.356423486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6573030.4559624502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-13358713.425722854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1537319558.7019012</v>
          </cell>
        </row>
        <row r="156">
          <cell r="B156" t="str">
            <v>HBS-38</v>
          </cell>
          <cell r="C156" t="str">
            <v>㈜ 에덴</v>
          </cell>
          <cell r="D156">
            <v>0.3956950421729295</v>
          </cell>
          <cell r="E156" t="str">
            <v>담     보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90367375.199528188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90367375.199528188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241743567.78869966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241732686.17503992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241732686.17503992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241732686.17503992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241732686.17503992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241732686.17503992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5789887.438778826</v>
          </cell>
          <cell r="DB156">
            <v>5229575.7511550691</v>
          </cell>
          <cell r="DC156">
            <v>247522572.42673358</v>
          </cell>
          <cell r="DD156">
            <v>4667110.295416764</v>
          </cell>
          <cell r="DE156">
            <v>4822680.6385973226</v>
          </cell>
          <cell r="DF156">
            <v>4667110.295416764</v>
          </cell>
          <cell r="DG156">
            <v>4822680.6385973226</v>
          </cell>
          <cell r="DH156">
            <v>4822680.6385973226</v>
          </cell>
          <cell r="DI156">
            <v>4667110.295416764</v>
          </cell>
          <cell r="DJ156">
            <v>4822680.6385973226</v>
          </cell>
          <cell r="DK156">
            <v>4667110.295416764</v>
          </cell>
          <cell r="DL156">
            <v>4822680.6385973226</v>
          </cell>
          <cell r="DM156">
            <v>4822680.6385973226</v>
          </cell>
          <cell r="DN156">
            <v>4355969.6090556467</v>
          </cell>
          <cell r="DO156">
            <v>156247746.08223584</v>
          </cell>
          <cell r="DP156">
            <v>3111373.3216807521</v>
          </cell>
          <cell r="DQ156">
            <v>3215085.7657367769</v>
          </cell>
          <cell r="DR156">
            <v>3111373.3216807521</v>
          </cell>
          <cell r="DS156">
            <v>3215085.7657367769</v>
          </cell>
          <cell r="DT156">
            <v>3215085.7657367769</v>
          </cell>
          <cell r="DU156">
            <v>3111373.3216807521</v>
          </cell>
          <cell r="DV156">
            <v>3215085.7657367769</v>
          </cell>
          <cell r="DW156">
            <v>3111373.3216807521</v>
          </cell>
          <cell r="DX156">
            <v>3215085.7657367769</v>
          </cell>
          <cell r="DY156">
            <v>3206301.3783986988</v>
          </cell>
          <cell r="DZ156">
            <v>2999443.2249536212</v>
          </cell>
          <cell r="EA156">
            <v>154631366.82203725</v>
          </cell>
          <cell r="EB156">
            <v>1551385.9754093715</v>
          </cell>
          <cell r="EC156">
            <v>1603098.8412563505</v>
          </cell>
          <cell r="ED156">
            <v>1551385.9754093715</v>
          </cell>
          <cell r="EE156">
            <v>1603098.8412563505</v>
          </cell>
          <cell r="EF156">
            <v>1603098.8412563505</v>
          </cell>
          <cell r="EG156">
            <v>1551385.9754093715</v>
          </cell>
          <cell r="EH156">
            <v>1603098.8412563505</v>
          </cell>
          <cell r="EI156">
            <v>1551385.9754093715</v>
          </cell>
          <cell r="EJ156">
            <v>1603098.8412563505</v>
          </cell>
          <cell r="EK156">
            <v>1607490.8928762311</v>
          </cell>
          <cell r="EL156">
            <v>1451927.258081757</v>
          </cell>
          <cell r="EM156">
            <v>153032555.54512468</v>
          </cell>
          <cell r="EN156">
            <v>0</v>
          </cell>
          <cell r="EO156">
            <v>0</v>
          </cell>
          <cell r="EP156">
            <v>0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-918.97463304647999</v>
          </cell>
          <cell r="EZ156">
            <v>-915.62071102806215</v>
          </cell>
          <cell r="FA156">
            <v>-915.62071102806215</v>
          </cell>
          <cell r="FB156">
            <v>-815.00305047552786</v>
          </cell>
          <cell r="FC156">
            <v>-711.03146790457561</v>
          </cell>
          <cell r="FD156">
            <v>-610.41380735204132</v>
          </cell>
          <cell r="FE156">
            <v>-506.44222478108929</v>
          </cell>
          <cell r="FF156">
            <v>-402.47064221013721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2457557275.1517162</v>
          </cell>
        </row>
        <row r="157">
          <cell r="D157">
            <v>0.3956950421729295</v>
          </cell>
          <cell r="E157" t="str">
            <v>무 담 보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0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</row>
        <row r="158">
          <cell r="E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90367375.199528188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90367375.199528188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241743567.78869966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241732686.17503992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241732686.17503992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241732686.17503992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241732686.17503992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241732686.17503992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5789887.438778826</v>
          </cell>
          <cell r="DB158">
            <v>5229575.7511550691</v>
          </cell>
          <cell r="DC158">
            <v>247522572.42673358</v>
          </cell>
          <cell r="DD158">
            <v>4667110.295416764</v>
          </cell>
          <cell r="DE158">
            <v>4822680.6385973226</v>
          </cell>
          <cell r="DF158">
            <v>4667110.295416764</v>
          </cell>
          <cell r="DG158">
            <v>4822680.6385973226</v>
          </cell>
          <cell r="DH158">
            <v>4822680.6385973226</v>
          </cell>
          <cell r="DI158">
            <v>4667110.295416764</v>
          </cell>
          <cell r="DJ158">
            <v>4822680.6385973226</v>
          </cell>
          <cell r="DK158">
            <v>4667110.295416764</v>
          </cell>
          <cell r="DL158">
            <v>4822680.6385973226</v>
          </cell>
          <cell r="DM158">
            <v>4822680.6385973226</v>
          </cell>
          <cell r="DN158">
            <v>4355969.6090556467</v>
          </cell>
          <cell r="DO158">
            <v>156247746.08223584</v>
          </cell>
          <cell r="DP158">
            <v>3111373.3216807521</v>
          </cell>
          <cell r="DQ158">
            <v>3215085.7657367769</v>
          </cell>
          <cell r="DR158">
            <v>3111373.3216807521</v>
          </cell>
          <cell r="DS158">
            <v>3215085.7657367769</v>
          </cell>
          <cell r="DT158">
            <v>3215085.7657367769</v>
          </cell>
          <cell r="DU158">
            <v>3111373.3216807521</v>
          </cell>
          <cell r="DV158">
            <v>3215085.7657367769</v>
          </cell>
          <cell r="DW158">
            <v>3111373.3216807521</v>
          </cell>
          <cell r="DX158">
            <v>3215085.7657367769</v>
          </cell>
          <cell r="DY158">
            <v>3206301.3783986988</v>
          </cell>
          <cell r="DZ158">
            <v>2999443.2249536212</v>
          </cell>
          <cell r="EA158">
            <v>154631366.82203725</v>
          </cell>
          <cell r="EB158">
            <v>1551385.9754093715</v>
          </cell>
          <cell r="EC158">
            <v>1603098.8412563505</v>
          </cell>
          <cell r="ED158">
            <v>1551385.9754093715</v>
          </cell>
          <cell r="EE158">
            <v>1603098.8412563505</v>
          </cell>
          <cell r="EF158">
            <v>1603098.8412563505</v>
          </cell>
          <cell r="EG158">
            <v>1551385.9754093715</v>
          </cell>
          <cell r="EH158">
            <v>1603098.8412563505</v>
          </cell>
          <cell r="EI158">
            <v>1551385.9754093715</v>
          </cell>
          <cell r="EJ158">
            <v>1603098.8412563505</v>
          </cell>
          <cell r="EK158">
            <v>1607490.8928762311</v>
          </cell>
          <cell r="EL158">
            <v>1451927.258081757</v>
          </cell>
          <cell r="EM158">
            <v>153032555.54512468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-918.97463304647999</v>
          </cell>
          <cell r="EZ158">
            <v>-915.62071102806215</v>
          </cell>
          <cell r="FA158">
            <v>-915.62071102806215</v>
          </cell>
          <cell r="FB158">
            <v>-815.00305047552786</v>
          </cell>
          <cell r="FC158">
            <v>-711.03146790457561</v>
          </cell>
          <cell r="FD158">
            <v>-610.41380735204132</v>
          </cell>
          <cell r="FE158">
            <v>-506.44222478108929</v>
          </cell>
          <cell r="FF158">
            <v>-402.47064221013721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2457557275.1517162</v>
          </cell>
        </row>
        <row r="159">
          <cell r="A159" t="str">
            <v>HBS-38</v>
          </cell>
          <cell r="B159">
            <v>0</v>
          </cell>
          <cell r="C159">
            <v>0</v>
          </cell>
          <cell r="D159">
            <v>0</v>
          </cell>
          <cell r="E159" t="str">
            <v>현     가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88370442.003997967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83000264.136758268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207336238.61012706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191904954.24853417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179367187.81992164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164045601.34671554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152684262.98061231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142137649.39546853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3206147.1149130967</v>
          </cell>
          <cell r="DB159">
            <v>2880017.7845672239</v>
          </cell>
          <cell r="DC159">
            <v>135488805.14455143</v>
          </cell>
          <cell r="DD159">
            <v>2539695.9343714733</v>
          </cell>
          <cell r="DE159">
            <v>2608447.2251990996</v>
          </cell>
          <cell r="DF159">
            <v>2509496.9466023003</v>
          </cell>
          <cell r="DG159">
            <v>2577430.7303564539</v>
          </cell>
          <cell r="DH159">
            <v>2561809.8655114304</v>
          </cell>
          <cell r="DI159">
            <v>2464628.7542911195</v>
          </cell>
          <cell r="DJ159">
            <v>2531347.9256592989</v>
          </cell>
          <cell r="DK159">
            <v>2435322.3745001033</v>
          </cell>
          <cell r="DL159">
            <v>2501248.2022979567</v>
          </cell>
          <cell r="DM159">
            <v>2486089.0518882964</v>
          </cell>
          <cell r="DN159">
            <v>2233204.0380031765</v>
          </cell>
          <cell r="DO159">
            <v>79619091.210588932</v>
          </cell>
          <cell r="DP159">
            <v>1576161.2087519879</v>
          </cell>
          <cell r="DQ159">
            <v>1618828.9612918007</v>
          </cell>
          <cell r="DR159">
            <v>1557419.4088297361</v>
          </cell>
          <cell r="DS159">
            <v>1599579.8081389319</v>
          </cell>
          <cell r="DT159">
            <v>1589885.3400403417</v>
          </cell>
          <cell r="DU159">
            <v>1529573.7509024972</v>
          </cell>
          <cell r="DV159">
            <v>1570980.3493725718</v>
          </cell>
          <cell r="DW159">
            <v>1511385.9125985454</v>
          </cell>
          <cell r="DX159">
            <v>1552300.15395459</v>
          </cell>
          <cell r="DY159">
            <v>1538676.6780028692</v>
          </cell>
          <cell r="DZ159">
            <v>1431244.7160552887</v>
          </cell>
          <cell r="EA159">
            <v>73338282.795731694</v>
          </cell>
          <cell r="EB159">
            <v>731472.59464651835</v>
          </cell>
          <cell r="EC159">
            <v>751274.05371347826</v>
          </cell>
          <cell r="ED159">
            <v>722774.80856895703</v>
          </cell>
          <cell r="EE159">
            <v>742340.8126697999</v>
          </cell>
          <cell r="EF159">
            <v>737841.75654887909</v>
          </cell>
          <cell r="EG159">
            <v>709852.05958834698</v>
          </cell>
          <cell r="EH159">
            <v>729068.23611281184</v>
          </cell>
          <cell r="EI159">
            <v>701411.35872518003</v>
          </cell>
          <cell r="EJ159">
            <v>720399.03975458234</v>
          </cell>
          <cell r="EK159">
            <v>717994.69884295063</v>
          </cell>
          <cell r="EL159">
            <v>644960.2678162615</v>
          </cell>
          <cell r="EM159">
            <v>67566562.555963516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-377.71685894769502</v>
          </cell>
          <cell r="EZ159">
            <v>-374.13084086413323</v>
          </cell>
          <cell r="FA159">
            <v>-371.86337069290374</v>
          </cell>
          <cell r="FB159">
            <v>-329.05772018261689</v>
          </cell>
          <cell r="FC159">
            <v>-285.33928149037655</v>
          </cell>
          <cell r="FD159">
            <v>-243.47646177141539</v>
          </cell>
          <cell r="FE159">
            <v>-200.82029353523836</v>
          </cell>
          <cell r="FF159">
            <v>-158.62505578427383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1623377313.1421757</v>
          </cell>
        </row>
        <row r="160">
          <cell r="B160" t="str">
            <v>HBS-39</v>
          </cell>
          <cell r="C160" t="str">
            <v>㈜삼경정밀</v>
          </cell>
          <cell r="D160">
            <v>0.1</v>
          </cell>
          <cell r="E160" t="str">
            <v>담     보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</row>
        <row r="161">
          <cell r="D161">
            <v>0.1</v>
          </cell>
          <cell r="E161" t="str">
            <v>무 담 보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13743580.266022382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6358772.2159086764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5933796.4723127857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5594280.3318006592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5251507.9068423165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36881937.192886822</v>
          </cell>
        </row>
        <row r="162">
          <cell r="E162" t="str">
            <v>Total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13743580.266022382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6358772.2159086764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5933796.4723127857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5594280.3318006592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5251507.9068423165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36881937.192886822</v>
          </cell>
        </row>
        <row r="163">
          <cell r="A163" t="str">
            <v>HBS-39</v>
          </cell>
          <cell r="B163">
            <v>0</v>
          </cell>
          <cell r="C163">
            <v>0</v>
          </cell>
          <cell r="D163">
            <v>0</v>
          </cell>
          <cell r="E163" t="str">
            <v>현     가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13439875.399104908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5840379.5876618018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5089240.0261202902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4441145.8297795206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3896652.2069022958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32707293.049568817</v>
          </cell>
        </row>
        <row r="164">
          <cell r="B164" t="str">
            <v>HBS-40</v>
          </cell>
          <cell r="C164" t="str">
            <v>㈜한일합섬 70회</v>
          </cell>
          <cell r="D164">
            <v>0.3</v>
          </cell>
          <cell r="E164" t="str">
            <v>담     보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</row>
        <row r="165">
          <cell r="D165">
            <v>0.3</v>
          </cell>
          <cell r="E165" t="str">
            <v>무 담 보</v>
          </cell>
          <cell r="F165">
            <v>0</v>
          </cell>
          <cell r="G165">
            <v>0</v>
          </cell>
          <cell r="H165">
            <v>446531.4328571753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3860583.634897152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3860583.634897152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3862101.7587334188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3859082.1937404033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46801422.296999998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46355694.465600006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45910877.508501761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45461803.131590165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45017293.135795087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245435973.19361231</v>
          </cell>
        </row>
        <row r="166">
          <cell r="E166" t="str">
            <v>Total</v>
          </cell>
          <cell r="F166">
            <v>0</v>
          </cell>
          <cell r="G166">
            <v>0</v>
          </cell>
          <cell r="H166">
            <v>446531.4328571753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3860583.634897152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3860583.634897152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3862101.7587334188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3859082.1937404033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46801422.296999998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46355694.465600006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45910877.508501761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45461803.131590165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45017293.135795087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245435973.19361231</v>
          </cell>
        </row>
        <row r="167">
          <cell r="A167" t="str">
            <v>HBS-40</v>
          </cell>
          <cell r="B167">
            <v>0</v>
          </cell>
          <cell r="C167">
            <v>0</v>
          </cell>
          <cell r="D167">
            <v>0</v>
          </cell>
          <cell r="E167" t="str">
            <v>현     가</v>
          </cell>
          <cell r="F167">
            <v>0</v>
          </cell>
          <cell r="G167">
            <v>0</v>
          </cell>
          <cell r="H167">
            <v>442518.68988979014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3598839.1266149129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3363976.1363734202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3117524.158134832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2911568.1254550284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32326083.795732167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29806568.917343989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27476042.258448802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25327952.959925644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23347891.342226047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151718965.51014465</v>
          </cell>
        </row>
        <row r="168">
          <cell r="B168" t="str">
            <v>HBS-41</v>
          </cell>
          <cell r="C168" t="str">
            <v>하이닉스</v>
          </cell>
          <cell r="D168">
            <v>1</v>
          </cell>
          <cell r="E168" t="str">
            <v>담     보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</row>
        <row r="169">
          <cell r="D169">
            <v>1</v>
          </cell>
          <cell r="E169" t="str">
            <v>무 담 보</v>
          </cell>
          <cell r="F169">
            <v>1509880904.1095891</v>
          </cell>
          <cell r="G169">
            <v>1461175068.4931507</v>
          </cell>
          <cell r="H169">
            <v>1509880904.1095891</v>
          </cell>
          <cell r="I169">
            <v>1509880904.1095891</v>
          </cell>
          <cell r="J169">
            <v>1363763397.2602739</v>
          </cell>
          <cell r="K169">
            <v>1509880904.1095891</v>
          </cell>
          <cell r="L169">
            <v>1461175068.4931507</v>
          </cell>
          <cell r="M169">
            <v>1509880904.1095891</v>
          </cell>
          <cell r="N169">
            <v>1461175068.4931507</v>
          </cell>
          <cell r="O169">
            <v>1509880904.1095891</v>
          </cell>
          <cell r="P169">
            <v>1509880904.1095891</v>
          </cell>
          <cell r="Q169">
            <v>1461175068.4931507</v>
          </cell>
          <cell r="R169">
            <v>1509880904.1095891</v>
          </cell>
          <cell r="S169">
            <v>1461175068.4931507</v>
          </cell>
          <cell r="T169">
            <v>1509880904.1095891</v>
          </cell>
          <cell r="U169">
            <v>1509880904.1095891</v>
          </cell>
          <cell r="V169">
            <v>1363763397.2602739</v>
          </cell>
          <cell r="W169">
            <v>1509880904.1095891</v>
          </cell>
          <cell r="X169">
            <v>1461175068.4931507</v>
          </cell>
          <cell r="Y169">
            <v>1509880904.1095891</v>
          </cell>
          <cell r="Z169">
            <v>1461175068.4931507</v>
          </cell>
          <cell r="AA169">
            <v>1509880904.1095891</v>
          </cell>
          <cell r="AB169">
            <v>1509880904.1095891</v>
          </cell>
          <cell r="AC169">
            <v>1461175068.4931507</v>
          </cell>
          <cell r="AD169">
            <v>1509880904.1095891</v>
          </cell>
          <cell r="AE169">
            <v>1461175068.4931507</v>
          </cell>
          <cell r="AF169">
            <v>67487480904.109589</v>
          </cell>
          <cell r="AG169">
            <v>1509880904.1095891</v>
          </cell>
          <cell r="AH169">
            <v>1412469232.8767123</v>
          </cell>
          <cell r="AI169">
            <v>1509880904.1095891</v>
          </cell>
          <cell r="AJ169">
            <v>1461175068.4931507</v>
          </cell>
          <cell r="AK169">
            <v>1509880904.1095891</v>
          </cell>
          <cell r="AL169">
            <v>1461175068.4931507</v>
          </cell>
          <cell r="AM169">
            <v>1509880904.1095891</v>
          </cell>
          <cell r="AN169">
            <v>1509880904.1095891</v>
          </cell>
          <cell r="AO169">
            <v>1461175068.4931507</v>
          </cell>
          <cell r="AP169">
            <v>1509880904.1095891</v>
          </cell>
          <cell r="AQ169">
            <v>1461175068.4931507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122330251808.21915</v>
          </cell>
        </row>
        <row r="170">
          <cell r="E170" t="str">
            <v>Total</v>
          </cell>
          <cell r="F170">
            <v>1509880904.1095891</v>
          </cell>
          <cell r="G170">
            <v>1461175068.4931507</v>
          </cell>
          <cell r="H170">
            <v>1509880904.1095891</v>
          </cell>
          <cell r="I170">
            <v>1509880904.1095891</v>
          </cell>
          <cell r="J170">
            <v>1363763397.2602739</v>
          </cell>
          <cell r="K170">
            <v>1509880904.1095891</v>
          </cell>
          <cell r="L170">
            <v>1461175068.4931507</v>
          </cell>
          <cell r="M170">
            <v>1509880904.1095891</v>
          </cell>
          <cell r="N170">
            <v>1461175068.4931507</v>
          </cell>
          <cell r="O170">
            <v>1509880904.1095891</v>
          </cell>
          <cell r="P170">
            <v>1509880904.1095891</v>
          </cell>
          <cell r="Q170">
            <v>1461175068.4931507</v>
          </cell>
          <cell r="R170">
            <v>1509880904.1095891</v>
          </cell>
          <cell r="S170">
            <v>1461175068.4931507</v>
          </cell>
          <cell r="T170">
            <v>1509880904.1095891</v>
          </cell>
          <cell r="U170">
            <v>1509880904.1095891</v>
          </cell>
          <cell r="V170">
            <v>1363763397.2602739</v>
          </cell>
          <cell r="W170">
            <v>1509880904.1095891</v>
          </cell>
          <cell r="X170">
            <v>1461175068.4931507</v>
          </cell>
          <cell r="Y170">
            <v>1509880904.1095891</v>
          </cell>
          <cell r="Z170">
            <v>1461175068.4931507</v>
          </cell>
          <cell r="AA170">
            <v>1509880904.1095891</v>
          </cell>
          <cell r="AB170">
            <v>1509880904.1095891</v>
          </cell>
          <cell r="AC170">
            <v>1461175068.4931507</v>
          </cell>
          <cell r="AD170">
            <v>1509880904.1095891</v>
          </cell>
          <cell r="AE170">
            <v>1461175068.4931507</v>
          </cell>
          <cell r="AF170">
            <v>67487480904.109589</v>
          </cell>
          <cell r="AG170">
            <v>1509880904.1095891</v>
          </cell>
          <cell r="AH170">
            <v>1412469232.8767123</v>
          </cell>
          <cell r="AI170">
            <v>1509880904.1095891</v>
          </cell>
          <cell r="AJ170">
            <v>1461175068.4931507</v>
          </cell>
          <cell r="AK170">
            <v>1509880904.1095891</v>
          </cell>
          <cell r="AL170">
            <v>1461175068.4931507</v>
          </cell>
          <cell r="AM170">
            <v>1509880904.1095891</v>
          </cell>
          <cell r="AN170">
            <v>1509880904.1095891</v>
          </cell>
          <cell r="AO170">
            <v>1461175068.4931507</v>
          </cell>
          <cell r="AP170">
            <v>1509880904.1095891</v>
          </cell>
          <cell r="AQ170">
            <v>1461175068.4931507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122330251808.21915</v>
          </cell>
        </row>
        <row r="171">
          <cell r="A171" t="str">
            <v>HBS-41</v>
          </cell>
          <cell r="B171">
            <v>0</v>
          </cell>
          <cell r="C171">
            <v>0</v>
          </cell>
          <cell r="D171">
            <v>0</v>
          </cell>
          <cell r="E171" t="str">
            <v>현     가</v>
          </cell>
          <cell r="F171">
            <v>1509880904.1095891</v>
          </cell>
          <cell r="G171">
            <v>1454702479.4541678</v>
          </cell>
          <cell r="H171">
            <v>1496312399.1091969</v>
          </cell>
          <cell r="I171">
            <v>1489463726.8535404</v>
          </cell>
          <cell r="J171">
            <v>1339759152.8682449</v>
          </cell>
          <cell r="K171">
            <v>1476515640.461549</v>
          </cell>
          <cell r="L171">
            <v>1422556545.5435266</v>
          </cell>
          <cell r="M171">
            <v>1463246971.5246606</v>
          </cell>
          <cell r="N171">
            <v>1409772778.5927613</v>
          </cell>
          <cell r="O171">
            <v>1450097541.1319041</v>
          </cell>
          <cell r="P171">
            <v>1443460395.8380082</v>
          </cell>
          <cell r="Q171">
            <v>1390709301.047653</v>
          </cell>
          <cell r="R171">
            <v>1430488776.9868205</v>
          </cell>
          <cell r="S171">
            <v>1369085327.3318205</v>
          </cell>
          <cell r="T171">
            <v>1407512176.4284868</v>
          </cell>
          <cell r="U171">
            <v>1400339586.2149696</v>
          </cell>
          <cell r="V171">
            <v>1258999712.8396287</v>
          </cell>
          <cell r="W171">
            <v>1386789353.7843685</v>
          </cell>
          <cell r="X171">
            <v>1335435261.26648</v>
          </cell>
          <cell r="Y171">
            <v>1372917635.9867349</v>
          </cell>
          <cell r="Z171">
            <v>1322077226.0099022</v>
          </cell>
          <cell r="AA171">
            <v>1359184673.6202209</v>
          </cell>
          <cell r="AB171">
            <v>1352258357.2077351</v>
          </cell>
          <cell r="AC171">
            <v>1302182979.4334316</v>
          </cell>
          <cell r="AD171">
            <v>1338732044.5997753</v>
          </cell>
          <cell r="AE171">
            <v>1280105643.8133805</v>
          </cell>
          <cell r="AF171">
            <v>58806205676.575027</v>
          </cell>
          <cell r="AG171">
            <v>1308576194.7231128</v>
          </cell>
          <cell r="AH171">
            <v>1217987700.4336925</v>
          </cell>
          <cell r="AI171">
            <v>1294979760.0446179</v>
          </cell>
          <cell r="AJ171">
            <v>1246678655.9913104</v>
          </cell>
          <cell r="AK171">
            <v>1281301531.4848723</v>
          </cell>
          <cell r="AL171">
            <v>1233510608.0238132</v>
          </cell>
          <cell r="AM171">
            <v>1267767779.2654569</v>
          </cell>
          <cell r="AN171">
            <v>1260944848.8875749</v>
          </cell>
          <cell r="AO171">
            <v>1213913203.8914382</v>
          </cell>
          <cell r="AP171">
            <v>1247626114.2042439</v>
          </cell>
          <cell r="AQ171">
            <v>1186261756.913352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108828340422.49706</v>
          </cell>
        </row>
        <row r="172">
          <cell r="B172" t="str">
            <v>HBS-42</v>
          </cell>
          <cell r="C172" t="str">
            <v>(주)삼광수기</v>
          </cell>
          <cell r="D172">
            <v>0.3</v>
          </cell>
          <cell r="E172" t="str">
            <v>담     보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</row>
        <row r="173">
          <cell r="D173">
            <v>0.3</v>
          </cell>
          <cell r="E173" t="str">
            <v>무 담 보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3409432.0944422856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3294639.9835756789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3181081.2059852905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3067138.6109852907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2953351.2488042889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2839176.6575033683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18744819.801296204</v>
          </cell>
        </row>
        <row r="174">
          <cell r="E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3409432.0944422856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3294639.9835756789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3181081.2059852905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3067138.6109852907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2953351.2488042889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2839176.6575033683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18744819.801296204</v>
          </cell>
        </row>
        <row r="175">
          <cell r="A175" t="str">
            <v>HBS-42</v>
          </cell>
          <cell r="B175">
            <v>0</v>
          </cell>
          <cell r="C175">
            <v>0</v>
          </cell>
          <cell r="D175">
            <v>0</v>
          </cell>
          <cell r="E175" t="str">
            <v>현     가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2752125.0303435437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2485712.4775907034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2197195.9948811391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1972160.6901008051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1767476.6443129412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1581779.161244829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12756449.998473961</v>
          </cell>
        </row>
        <row r="176">
          <cell r="B176" t="str">
            <v>HBS-43</v>
          </cell>
          <cell r="C176" t="str">
            <v>두양상사</v>
          </cell>
          <cell r="D176">
            <v>0.30268309604698185</v>
          </cell>
          <cell r="E176" t="str">
            <v>담     보</v>
          </cell>
          <cell r="F176">
            <v>0</v>
          </cell>
          <cell r="G176">
            <v>0</v>
          </cell>
          <cell r="H176">
            <v>237614997.38520879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166849315.1061759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166849315.1061759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166849315.10617587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455453535.84247953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428757645.42437136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402061755.00626332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375365864.58815527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709425250.01475585</v>
          </cell>
          <cell r="DA176">
            <v>40318108.469225153</v>
          </cell>
          <cell r="DB176">
            <v>35216633.520057894</v>
          </cell>
          <cell r="DC176">
            <v>30279722.278928284</v>
          </cell>
          <cell r="DD176">
            <v>25178247.329761017</v>
          </cell>
          <cell r="DE176">
            <v>20076772.380593754</v>
          </cell>
          <cell r="DF176">
            <v>15139861.139464142</v>
          </cell>
          <cell r="DG176">
            <v>10038386.190296877</v>
          </cell>
          <cell r="DH176">
            <v>5101474.9491672656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3290576199.8372555</v>
          </cell>
        </row>
        <row r="177">
          <cell r="D177">
            <v>0.30268309604698185</v>
          </cell>
          <cell r="E177" t="str">
            <v>무 담 보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</row>
        <row r="178">
          <cell r="E178" t="str">
            <v>Total</v>
          </cell>
          <cell r="F178">
            <v>0</v>
          </cell>
          <cell r="G178">
            <v>0</v>
          </cell>
          <cell r="H178">
            <v>237614997.38520879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166849315.1061759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166849315.1061759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166849315.10617587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455453535.84247953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428757645.42437136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402061755.00626332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375365864.58815527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709425250.01475585</v>
          </cell>
          <cell r="DA178">
            <v>40318108.469225153</v>
          </cell>
          <cell r="DB178">
            <v>35216633.520057894</v>
          </cell>
          <cell r="DC178">
            <v>30279722.278928284</v>
          </cell>
          <cell r="DD178">
            <v>25178247.329761017</v>
          </cell>
          <cell r="DE178">
            <v>20076772.380593754</v>
          </cell>
          <cell r="DF178">
            <v>15139861.139464142</v>
          </cell>
          <cell r="DG178">
            <v>10038386.190296877</v>
          </cell>
          <cell r="DH178">
            <v>5101474.9491672656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3290576199.8372555</v>
          </cell>
        </row>
        <row r="179">
          <cell r="A179" t="str">
            <v>HBS-43</v>
          </cell>
          <cell r="B179">
            <v>0</v>
          </cell>
          <cell r="C179">
            <v>0</v>
          </cell>
          <cell r="D179">
            <v>0</v>
          </cell>
          <cell r="E179" t="str">
            <v>현     가</v>
          </cell>
          <cell r="F179">
            <v>0</v>
          </cell>
          <cell r="G179">
            <v>0</v>
          </cell>
          <cell r="H179">
            <v>235479676.46591368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155537063.88464323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145386596.29436514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134682305.93238959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343626782.48618746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296146033.47081369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258524471.43286145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224643241.80894738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395239258.52539605</v>
          </cell>
          <cell r="DA179">
            <v>22326131.296021119</v>
          </cell>
          <cell r="DB179">
            <v>19394408.968634039</v>
          </cell>
          <cell r="DC179">
            <v>16574502.080593888</v>
          </cell>
          <cell r="DD179">
            <v>13701217.31230337</v>
          </cell>
          <cell r="DE179">
            <v>10858940.313813789</v>
          </cell>
          <cell r="DF179">
            <v>8140676.5421375893</v>
          </cell>
          <cell r="DG179">
            <v>5364909.4744084598</v>
          </cell>
          <cell r="DH179">
            <v>2709905.5137180402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2288336121.8031483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연구인원내역"/>
      <sheetName val="조회총괄"/>
      <sheetName val="재무제표3년"/>
      <sheetName val="금융"/>
      <sheetName val="은행"/>
      <sheetName val="리스"/>
      <sheetName val="보험"/>
      <sheetName val="상환익(2001년도)"/>
      <sheetName val="TaxCalc"/>
      <sheetName val="대지급금(외화)"/>
      <sheetName val="기초자료(20010831)"/>
      <sheetName val="108.수선비"/>
      <sheetName val="적용환율"/>
      <sheetName val="US Codes"/>
      <sheetName val="담보명세"/>
      <sheetName val="9-1차이내역"/>
      <sheetName val="f_BS"/>
      <sheetName val="비용"/>
      <sheetName val="configure"/>
      <sheetName val="nr030112"/>
      <sheetName val="22.보증금(전신전화가입권)"/>
      <sheetName val="39.미지급법인세"/>
      <sheetName val="TNC"/>
      <sheetName val="팀별차입잔액"/>
      <sheetName val="WI"/>
      <sheetName val="ttt"/>
      <sheetName val="Ⅱ1-0타"/>
      <sheetName val="개별자료"/>
      <sheetName val="연차일수"/>
      <sheetName val="별제권_정리담보권1"/>
      <sheetName val="감독원보고기준_차기배당금액"/>
      <sheetName val="외화계약"/>
      <sheetName val="Sheet5(실지급)"/>
      <sheetName val="36기하반기자금계획"/>
      <sheetName val="BM_NEW2"/>
      <sheetName val="TEMP1"/>
      <sheetName val="은행계정"/>
      <sheetName val="현금흐름표"/>
      <sheetName val="10월판관"/>
      <sheetName val="A1"/>
      <sheetName val="대환취급"/>
      <sheetName val="B"/>
      <sheetName val="수정시산표"/>
      <sheetName val="Scenario"/>
      <sheetName val="연차1"/>
      <sheetName val="대형원계"/>
      <sheetName val="PL"/>
      <sheetName val="GOE Budget"/>
      <sheetName val="BSLA"/>
      <sheetName val="시산표"/>
      <sheetName val="인스탄스 정의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INFO"/>
      <sheetName val="Sheet1"/>
      <sheetName val="수출입외형_속보"/>
      <sheetName val="COA"/>
      <sheetName val="연체대출 (2)"/>
      <sheetName val="Variance"/>
      <sheetName val="시산표(매출조정전)"/>
      <sheetName val="유니채권"/>
      <sheetName val="유니채권명세"/>
      <sheetName val="95WBS"/>
      <sheetName val="공통"/>
      <sheetName val="1형pr"/>
      <sheetName val="환율 및 참고"/>
      <sheetName val="2합"/>
      <sheetName val="회수정보"/>
      <sheetName val="회생"/>
      <sheetName val="Requirement(Work Crew)"/>
      <sheetName val="회사정보"/>
      <sheetName val="TEMP2"/>
      <sheetName val="여신보고용"/>
      <sheetName val="Stock Div Accural"/>
      <sheetName val="소매_신용"/>
      <sheetName val="합병분개 Adj"/>
      <sheetName val="상품입고집계"/>
      <sheetName val="지보1_98"/>
      <sheetName val="W3000재료비비교Table(송부용)"/>
      <sheetName val="108_수선비"/>
      <sheetName val="US_Codes"/>
      <sheetName val="YHCODE"/>
      <sheetName val="BS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기본정보"/>
      <sheetName val="Data"/>
      <sheetName val=""/>
      <sheetName val="U_TOD_1.0010"/>
      <sheetName val="2007년골드윙신탁DC"/>
      <sheetName val="평가손익현황표"/>
      <sheetName val="군별 (2)"/>
      <sheetName val="이동_안"/>
      <sheetName val="손익계산서"/>
      <sheetName val="산업은행 경영지표"/>
      <sheetName val="TAB.Daten"/>
      <sheetName val="이자수익 명세"/>
      <sheetName val="일반"/>
      <sheetName val="단위업무코드"/>
      <sheetName val="033"/>
      <sheetName val="Assumptions"/>
      <sheetName val="[비자연11.XLS]B__AAAA____________2"/>
      <sheetName val="96수표어음"/>
      <sheetName val="합동별(기표용)"/>
      <sheetName val="성적표96"/>
      <sheetName val="국외감가상각내역0103"/>
      <sheetName val="[비자연11.XLS]B__AAAA____________3"/>
      <sheetName val="[비자연11.XLS]B__AAAA____________4"/>
      <sheetName val="[비자연11.XLS]B__AAAA____________7"/>
      <sheetName val="[비자연11.XLS]B__AAAA____________5"/>
      <sheetName val="[비자연11.XLS]B__AAAA____________6"/>
      <sheetName val="[비자연11.XLS]B__AAAA____________9"/>
      <sheetName val="[비자연11.XLS]B__AAAA____________8"/>
      <sheetName val="기본Data"/>
      <sheetName val="[비자연11.XLS]B__AAAA___________10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YHCODE"/>
      <sheetName val="성적표96"/>
      <sheetName val="bs(보정후)0402"/>
      <sheetName val="XREF"/>
    </sheetNames>
    <sheetDataSet>
      <sheetData sheetId="0"/>
      <sheetData sheetId="1"/>
      <sheetData sheetId="2"/>
      <sheetData sheetId="3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잔존년수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차주별평가결과"/>
      <sheetName val="정리계획CF평가"/>
      <sheetName val="항고구분"/>
      <sheetName val="장외on2"/>
      <sheetName val="X-3 ENG"/>
      <sheetName val="기대회수율산정"/>
      <sheetName val="기대회수Schedule"/>
      <sheetName val="10월"/>
      <sheetName val="Cashflow판(특별인가)"/>
      <sheetName val="대구경북"/>
      <sheetName val="통장출금액"/>
      <sheetName val="MH_생산"/>
      <sheetName val="제조원가"/>
      <sheetName val="회사정보"/>
      <sheetName val="업체명"/>
      <sheetName val="sheet1"/>
      <sheetName val="원데이타(1)"/>
      <sheetName val="여담"/>
      <sheetName val="99년(원본) "/>
      <sheetName val="WPL"/>
      <sheetName val="자금입금"/>
      <sheetName val="손익분석"/>
      <sheetName val="전행순위"/>
      <sheetName val="XREF"/>
      <sheetName val="주요항목별"/>
      <sheetName val="점수확인"/>
      <sheetName val="사업수지"/>
      <sheetName val="명세"/>
      <sheetName val="계정code"/>
      <sheetName val="공통가설"/>
      <sheetName val="Sheet4"/>
      <sheetName val="보고"/>
      <sheetName val="현금흐름(SPC)"/>
      <sheetName val="Borrower"/>
      <sheetName val="전체"/>
      <sheetName val="Variable"/>
      <sheetName val="수입"/>
      <sheetName val="020114"/>
      <sheetName val="0111월"/>
      <sheetName val="Data"/>
      <sheetName val="정산표"/>
      <sheetName val="3-2.담보정보(물건별)"/>
      <sheetName val="교통대책내역"/>
      <sheetName val="상세손익"/>
      <sheetName val="내역서2안"/>
      <sheetName val="CODE"/>
      <sheetName val="일위_파일"/>
      <sheetName val="COBS"/>
      <sheetName val="재무가정"/>
      <sheetName val="내역5"/>
      <sheetName val="단가"/>
      <sheetName val="사업비총괄표"/>
      <sheetName val="현장관리비"/>
      <sheetName val="원가명세"/>
      <sheetName val="합동별(기표용)"/>
    </sheetNames>
    <sheetDataSet>
      <sheetData sheetId="0" refreshError="1"/>
      <sheetData sheetId="1" refreshError="1"/>
      <sheetData sheetId="2" refreshError="1"/>
      <sheetData sheetId="3" refreshError="1">
        <row r="9">
          <cell r="C9" t="str">
            <v>담보유무</v>
          </cell>
          <cell r="J9" t="str">
            <v>당행회수 경매비용의 현가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손익합산"/>
      <sheetName val="종합일지"/>
      <sheetName val="hmsim"/>
      <sheetName val="97년추정손익계산서"/>
      <sheetName val="basic_info"/>
      <sheetName val="Data"/>
      <sheetName val="국외감가상각내역0103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CashFlow(중간집계)"/>
      <sheetName val="2. 담보명세"/>
      <sheetName val="각주"/>
      <sheetName val="가정"/>
      <sheetName val="Assumptions"/>
      <sheetName val="본봉표"/>
      <sheetName val="개인별급여명세서"/>
      <sheetName val="부장급 명단"/>
      <sheetName val="전체현황"/>
      <sheetName val="률표"/>
      <sheetName val="#REF"/>
      <sheetName val="93상각비"/>
      <sheetName val="Sheet5"/>
      <sheetName val="수신,비율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Configuration"/>
      <sheetName val="JournalSummary"/>
      <sheetName val="2-2.매출분석"/>
      <sheetName val="분당임차변경"/>
      <sheetName val="Sheet1"/>
      <sheetName val="대성상사"/>
      <sheetName val="기본데이터"/>
      <sheetName val="10.1.청산가치"/>
      <sheetName val="2담당0113"/>
      <sheetName val="1담당0113"/>
      <sheetName val="협조전"/>
      <sheetName val="liste des zones"/>
      <sheetName val="금융"/>
      <sheetName val="XREF"/>
      <sheetName val="기초자료"/>
      <sheetName val="보고서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差額調査用"/>
      <sheetName val="1. Assumptions"/>
      <sheetName val="지분법평가"/>
      <sheetName val="LS"/>
      <sheetName val="정공공사"/>
      <sheetName val="이익처분"/>
      <sheetName val="반기_유가증권"/>
      <sheetName val="인건비"/>
      <sheetName val="COMBINED"/>
      <sheetName val="VALSTAT"/>
      <sheetName val="US Codes"/>
      <sheetName val="채무관계인등록현황"/>
      <sheetName val="정의"/>
      <sheetName val="정산표"/>
      <sheetName val="pr34"/>
      <sheetName val="재료율"/>
      <sheetName val="HP1AMLIST"/>
      <sheetName val="계열사현황종합"/>
      <sheetName val="PL,보정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금리분석"/>
      <sheetName val="A"/>
      <sheetName val="기초코드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Summary"/>
      <sheetName val="configure"/>
      <sheetName val="대지급금(외화)"/>
      <sheetName val="폐토수익화 "/>
      <sheetName val="인쇄BS"/>
      <sheetName val="US_Codes"/>
      <sheetName val="Sheet3"/>
      <sheetName val="대출채권lead"/>
      <sheetName val="품의양"/>
      <sheetName val="현재"/>
      <sheetName val="소방"/>
      <sheetName val="코드"/>
      <sheetName val="Links"/>
      <sheetName val="Lead"/>
      <sheetName val="forecasted_BS"/>
      <sheetName val="forecasted_IS"/>
      <sheetName val="손익계산서"/>
      <sheetName val="대차대조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Sheet39"/>
      <sheetName val="97년 투입원가명세서"/>
      <sheetName val="97년직간접외주비"/>
      <sheetName val="98년직간접외주비"/>
      <sheetName val="CoA map"/>
      <sheetName val="감가상각"/>
      <sheetName val="COMPS"/>
      <sheetName val="REF"/>
      <sheetName val="보고"/>
      <sheetName val="f_IS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계정code"/>
      <sheetName val="제품분류코드"/>
      <sheetName val="주요경영사항"/>
      <sheetName val="참조 자료"/>
      <sheetName val="참고자료"/>
      <sheetName val="퇴사 템플릿 (참고자료)"/>
      <sheetName val="입사 템플릿 (참고자료)"/>
      <sheetName val="신용조회 요청 템플릿 (참고자료)"/>
      <sheetName val="input data"/>
      <sheetName val="합병분개 Adj"/>
      <sheetName val="경리통보"/>
      <sheetName val="MMD"/>
      <sheetName val="투입&amp;생산"/>
      <sheetName val="Table"/>
      <sheetName val="variable"/>
      <sheetName val="도급"/>
      <sheetName val="수금 "/>
      <sheetName val="10_1_청산가치7"/>
      <sheetName val="liste_des_zones7"/>
      <sheetName val="2__담보명세7"/>
      <sheetName val="Assumption"/>
      <sheetName val="기본정보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00_08계정9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</sheetNames>
    <sheetDataSet>
      <sheetData sheetId="0">
        <row r="6">
          <cell r="B6" t="str">
            <v>1.철물공사</v>
          </cell>
        </row>
      </sheetData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>
        <row r="6">
          <cell r="B6" t="str">
            <v>1.철물공사</v>
          </cell>
        </row>
      </sheetData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외차주"/>
      <sheetName val="Assumption"/>
      <sheetName val="Summary"/>
      <sheetName val="검증Sheet"/>
      <sheetName val="평가보고서"/>
      <sheetName val="물건별매각결과(총괄)"/>
      <sheetName val="물건별매각결과(상세)"/>
      <sheetName val="차주별매각결과"/>
      <sheetName val="차주별MRP(총괄)"/>
      <sheetName val="차주별MRP(상세)"/>
      <sheetName val="현금유입액현황"/>
      <sheetName val="비교작업"/>
      <sheetName val="조정내역검토"/>
      <sheetName val="Valuation-담보(최초)"/>
      <sheetName val="Valuation-담보(최종)"/>
      <sheetName val="차주별 Cash Flow &amp; 차주별 낙찰대금(최초)"/>
      <sheetName val="차주별 Cash Flow &amp; 차주별 낙찰대금(최종)"/>
      <sheetName val="Valuation-담보.잔존채권"/>
      <sheetName val="기타회수"/>
      <sheetName val="회수내역 (레귤러)"/>
      <sheetName val="Cashflow"/>
      <sheetName val="MCI"/>
      <sheetName val="후순위기계"/>
      <sheetName val="유치권"/>
      <sheetName val="차주일반정보"/>
      <sheetName val="물건정보"/>
      <sheetName val="채권명세"/>
      <sheetName val="설정순위"/>
      <sheetName val="법원별가격하락율"/>
      <sheetName val="지역용도구분"/>
      <sheetName val="법원별기일"/>
      <sheetName val="lookup value"/>
      <sheetName val="낙찰률"/>
      <sheetName val="가정"/>
      <sheetName val="6 취합중"/>
      <sheetName val="DD_담보"/>
      <sheetName val="법원기간정보"/>
      <sheetName val="DD_차주"/>
    </sheetNames>
    <sheetDataSet>
      <sheetData sheetId="0" refreshError="1"/>
      <sheetData sheetId="1">
        <row r="7">
          <cell r="C7">
            <v>42460</v>
          </cell>
          <cell r="D7">
            <v>42490</v>
          </cell>
        </row>
        <row r="9">
          <cell r="C9">
            <v>42523</v>
          </cell>
          <cell r="D9">
            <v>24000000000</v>
          </cell>
          <cell r="E9">
            <v>4000000000</v>
          </cell>
        </row>
        <row r="10">
          <cell r="C10">
            <v>42530</v>
          </cell>
          <cell r="D10">
            <v>0.2</v>
          </cell>
        </row>
        <row r="11">
          <cell r="C11">
            <v>42549</v>
          </cell>
        </row>
        <row r="17">
          <cell r="D17">
            <v>54000000</v>
          </cell>
          <cell r="E17">
            <v>9000000</v>
          </cell>
        </row>
        <row r="27">
          <cell r="D27">
            <v>0.02</v>
          </cell>
        </row>
        <row r="30">
          <cell r="D30">
            <v>0.01</v>
          </cell>
        </row>
        <row r="33">
          <cell r="D33">
            <v>0</v>
          </cell>
        </row>
        <row r="38">
          <cell r="C38">
            <v>42549</v>
          </cell>
        </row>
        <row r="66">
          <cell r="C66">
            <v>200000</v>
          </cell>
        </row>
        <row r="67">
          <cell r="C67">
            <v>63260</v>
          </cell>
        </row>
        <row r="71">
          <cell r="C71">
            <v>3020</v>
          </cell>
        </row>
        <row r="73">
          <cell r="C73">
            <v>2E-3</v>
          </cell>
        </row>
        <row r="74">
          <cell r="C74">
            <v>0.2</v>
          </cell>
        </row>
      </sheetData>
      <sheetData sheetId="2">
        <row r="39">
          <cell r="C39">
            <v>305390276200</v>
          </cell>
        </row>
        <row r="84">
          <cell r="C84">
            <v>313522773979</v>
          </cell>
        </row>
        <row r="129">
          <cell r="C129">
            <v>297638071457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자료해설"/>
      <sheetName val="2 직접대출 R"/>
      <sheetName val="3 유동화 대출 R"/>
      <sheetName val="4 직접대출 수정중"/>
      <sheetName val="5 유동화대출 수정중"/>
      <sheetName val="6 취합중"/>
      <sheetName val="7 지급보증 최종표"/>
      <sheetName val="참고-300위업체"/>
      <sheetName val="참고-부정확한 시공사명 정리"/>
      <sheetName val="참고-지급보증 특이내역 정리"/>
      <sheetName val="ROOT "/>
      <sheetName val="2. 담보명세"/>
      <sheetName val="성적표96"/>
      <sheetName val="CashFlow(중간집계)"/>
      <sheetName val="갑지"/>
      <sheetName val="실행"/>
      <sheetName val="Assumption"/>
      <sheetName val="DD_담보"/>
      <sheetName val="법원기간정보"/>
      <sheetName val="DD_차주"/>
      <sheetName val="CF_Investor"/>
      <sheetName val="Summary"/>
      <sheetName val="기본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직접대출</v>
          </cell>
          <cell r="C3" t="str">
            <v>은행</v>
          </cell>
          <cell r="E3" t="str">
            <v>경남은행</v>
          </cell>
          <cell r="H3">
            <v>2</v>
          </cell>
          <cell r="I3">
            <v>19673</v>
          </cell>
        </row>
        <row r="4">
          <cell r="A4" t="str">
            <v>직접대출</v>
          </cell>
          <cell r="C4" t="str">
            <v>은행</v>
          </cell>
          <cell r="E4" t="str">
            <v>경남은행</v>
          </cell>
          <cell r="H4">
            <v>2</v>
          </cell>
          <cell r="I4">
            <v>30361</v>
          </cell>
        </row>
        <row r="5">
          <cell r="A5" t="str">
            <v>직접대출</v>
          </cell>
          <cell r="C5" t="str">
            <v>은행</v>
          </cell>
          <cell r="E5" t="str">
            <v>경남은행</v>
          </cell>
          <cell r="H5">
            <v>161</v>
          </cell>
          <cell r="I5">
            <v>11901</v>
          </cell>
        </row>
        <row r="6">
          <cell r="A6" t="str">
            <v>직접대출</v>
          </cell>
          <cell r="C6" t="str">
            <v>은행</v>
          </cell>
          <cell r="E6" t="str">
            <v>경남은행</v>
          </cell>
          <cell r="H6">
            <v>24</v>
          </cell>
          <cell r="I6">
            <v>6996</v>
          </cell>
        </row>
        <row r="7">
          <cell r="A7" t="str">
            <v>직접대출</v>
          </cell>
          <cell r="C7" t="str">
            <v>은행</v>
          </cell>
          <cell r="E7" t="str">
            <v>경남은행</v>
          </cell>
          <cell r="H7">
            <v>410</v>
          </cell>
          <cell r="I7">
            <v>5647</v>
          </cell>
        </row>
        <row r="8">
          <cell r="A8" t="str">
            <v>직접대출</v>
          </cell>
          <cell r="C8" t="str">
            <v>은행</v>
          </cell>
          <cell r="E8" t="str">
            <v>경남은행</v>
          </cell>
          <cell r="H8">
            <v>50</v>
          </cell>
          <cell r="I8">
            <v>12000</v>
          </cell>
        </row>
        <row r="9">
          <cell r="A9" t="str">
            <v>직접대출</v>
          </cell>
          <cell r="C9" t="str">
            <v>은행</v>
          </cell>
          <cell r="E9" t="str">
            <v>경남은행</v>
          </cell>
          <cell r="H9">
            <v>33</v>
          </cell>
          <cell r="I9">
            <v>6010</v>
          </cell>
        </row>
        <row r="10">
          <cell r="A10" t="str">
            <v>직접대출</v>
          </cell>
          <cell r="C10" t="str">
            <v>은행</v>
          </cell>
          <cell r="E10" t="str">
            <v>경남은행</v>
          </cell>
          <cell r="H10">
            <v>61</v>
          </cell>
          <cell r="I10">
            <v>17500</v>
          </cell>
        </row>
        <row r="11">
          <cell r="A11" t="str">
            <v>직접대출</v>
          </cell>
          <cell r="C11" t="str">
            <v>은행</v>
          </cell>
          <cell r="E11" t="str">
            <v>경남은행</v>
          </cell>
          <cell r="H11">
            <v>3</v>
          </cell>
          <cell r="I11">
            <v>65000</v>
          </cell>
        </row>
        <row r="12">
          <cell r="A12" t="str">
            <v>직접대출</v>
          </cell>
          <cell r="C12" t="str">
            <v>은행</v>
          </cell>
          <cell r="E12" t="str">
            <v>경남은행</v>
          </cell>
          <cell r="H12">
            <v>263</v>
          </cell>
          <cell r="I12">
            <v>3500</v>
          </cell>
        </row>
        <row r="13">
          <cell r="A13" t="str">
            <v>직접대출</v>
          </cell>
          <cell r="C13" t="str">
            <v>은행</v>
          </cell>
          <cell r="E13" t="str">
            <v>경남은행</v>
          </cell>
          <cell r="H13">
            <v>19</v>
          </cell>
          <cell r="I13">
            <v>20000</v>
          </cell>
        </row>
        <row r="14">
          <cell r="A14" t="str">
            <v>직접대출</v>
          </cell>
          <cell r="C14" t="str">
            <v>은행</v>
          </cell>
          <cell r="E14" t="str">
            <v>경남은행</v>
          </cell>
          <cell r="H14">
            <v>14</v>
          </cell>
          <cell r="I14">
            <v>35000</v>
          </cell>
        </row>
        <row r="15">
          <cell r="A15" t="str">
            <v>직접대출</v>
          </cell>
          <cell r="C15" t="str">
            <v>은행</v>
          </cell>
          <cell r="E15" t="str">
            <v>경남은행</v>
          </cell>
          <cell r="H15">
            <v>50</v>
          </cell>
          <cell r="I15">
            <v>20000</v>
          </cell>
        </row>
        <row r="16">
          <cell r="A16" t="str">
            <v>직접대출</v>
          </cell>
          <cell r="C16" t="str">
            <v>은행</v>
          </cell>
          <cell r="E16" t="str">
            <v>경남은행</v>
          </cell>
          <cell r="H16">
            <v>85</v>
          </cell>
          <cell r="I16">
            <v>20000</v>
          </cell>
        </row>
        <row r="17">
          <cell r="A17" t="str">
            <v>직접대출</v>
          </cell>
          <cell r="C17" t="str">
            <v>은행</v>
          </cell>
          <cell r="E17" t="str">
            <v>경남은행</v>
          </cell>
          <cell r="H17">
            <v>34</v>
          </cell>
          <cell r="I17">
            <v>22000</v>
          </cell>
        </row>
        <row r="18">
          <cell r="A18" t="str">
            <v>직접대출</v>
          </cell>
          <cell r="C18" t="str">
            <v>은행</v>
          </cell>
          <cell r="E18" t="str">
            <v>경남은행</v>
          </cell>
          <cell r="H18">
            <v>9</v>
          </cell>
          <cell r="I18">
            <v>20000</v>
          </cell>
        </row>
        <row r="19">
          <cell r="A19" t="str">
            <v>직접대출</v>
          </cell>
          <cell r="C19" t="str">
            <v>은행</v>
          </cell>
          <cell r="E19" t="str">
            <v>경남은행</v>
          </cell>
          <cell r="H19">
            <v>38</v>
          </cell>
          <cell r="I19">
            <v>10000</v>
          </cell>
        </row>
        <row r="20">
          <cell r="A20" t="str">
            <v>직접대출</v>
          </cell>
          <cell r="C20" t="str">
            <v>은행</v>
          </cell>
          <cell r="E20" t="str">
            <v>경남은행</v>
          </cell>
          <cell r="H20">
            <v>4</v>
          </cell>
          <cell r="I20">
            <v>95000</v>
          </cell>
        </row>
        <row r="21">
          <cell r="A21" t="str">
            <v>직접대출</v>
          </cell>
          <cell r="C21" t="str">
            <v>은행</v>
          </cell>
          <cell r="E21" t="str">
            <v>경남은행</v>
          </cell>
          <cell r="H21">
            <v>76</v>
          </cell>
          <cell r="I21">
            <v>10000</v>
          </cell>
        </row>
        <row r="22">
          <cell r="A22" t="str">
            <v>직접대출</v>
          </cell>
          <cell r="C22" t="str">
            <v>은행</v>
          </cell>
          <cell r="E22" t="str">
            <v>경남은행</v>
          </cell>
          <cell r="H22">
            <v>4</v>
          </cell>
          <cell r="I22">
            <v>94800</v>
          </cell>
        </row>
        <row r="23">
          <cell r="A23" t="str">
            <v>직접대출</v>
          </cell>
          <cell r="C23" t="str">
            <v>은행</v>
          </cell>
          <cell r="E23" t="str">
            <v>경남은행</v>
          </cell>
          <cell r="H23">
            <v>50</v>
          </cell>
          <cell r="I23">
            <v>20000</v>
          </cell>
        </row>
        <row r="24">
          <cell r="A24" t="str">
            <v>직접대출</v>
          </cell>
          <cell r="C24" t="str">
            <v>은행</v>
          </cell>
          <cell r="E24" t="str">
            <v>경남은행</v>
          </cell>
          <cell r="H24">
            <v>44</v>
          </cell>
          <cell r="I24">
            <v>11000</v>
          </cell>
        </row>
        <row r="25">
          <cell r="A25" t="str">
            <v>직접대출</v>
          </cell>
          <cell r="C25" t="str">
            <v>은행</v>
          </cell>
          <cell r="E25" t="str">
            <v>경남은행</v>
          </cell>
          <cell r="H25">
            <v>1</v>
          </cell>
          <cell r="I25">
            <v>85000</v>
          </cell>
        </row>
        <row r="26">
          <cell r="A26" t="str">
            <v>직접대출</v>
          </cell>
          <cell r="C26" t="str">
            <v>은행</v>
          </cell>
          <cell r="E26" t="str">
            <v>경남은행</v>
          </cell>
          <cell r="H26">
            <v>1</v>
          </cell>
          <cell r="I26">
            <v>85000</v>
          </cell>
        </row>
        <row r="27">
          <cell r="A27" t="str">
            <v>직접대출</v>
          </cell>
          <cell r="C27" t="str">
            <v>은행</v>
          </cell>
          <cell r="E27" t="str">
            <v>경남은행</v>
          </cell>
          <cell r="H27">
            <v>289</v>
          </cell>
          <cell r="I27">
            <v>7000</v>
          </cell>
        </row>
        <row r="28">
          <cell r="A28" t="str">
            <v>직접대출</v>
          </cell>
          <cell r="C28" t="str">
            <v>은행</v>
          </cell>
          <cell r="E28" t="str">
            <v>경남은행</v>
          </cell>
          <cell r="H28">
            <v>8</v>
          </cell>
          <cell r="I28">
            <v>103000</v>
          </cell>
        </row>
        <row r="29">
          <cell r="A29" t="str">
            <v>직접대출</v>
          </cell>
          <cell r="C29" t="str">
            <v>은행</v>
          </cell>
          <cell r="E29" t="str">
            <v>경남은행</v>
          </cell>
          <cell r="H29">
            <v>1000</v>
          </cell>
          <cell r="I29">
            <v>10000</v>
          </cell>
        </row>
        <row r="30">
          <cell r="A30" t="str">
            <v>직접대출</v>
          </cell>
          <cell r="C30" t="str">
            <v>은행</v>
          </cell>
          <cell r="E30" t="str">
            <v>경남은행</v>
          </cell>
          <cell r="H30">
            <v>1000</v>
          </cell>
          <cell r="I30">
            <v>10000</v>
          </cell>
        </row>
        <row r="31">
          <cell r="A31" t="str">
            <v>직접대출</v>
          </cell>
          <cell r="C31" t="str">
            <v>은행</v>
          </cell>
          <cell r="E31" t="str">
            <v>경남은행</v>
          </cell>
          <cell r="H31">
            <v>41</v>
          </cell>
          <cell r="I31">
            <v>50000</v>
          </cell>
        </row>
        <row r="32">
          <cell r="A32" t="str">
            <v>직접대출</v>
          </cell>
          <cell r="C32" t="str">
            <v>은행</v>
          </cell>
          <cell r="E32" t="str">
            <v>경남은행</v>
          </cell>
          <cell r="H32">
            <v>10</v>
          </cell>
          <cell r="I32">
            <v>7500</v>
          </cell>
        </row>
        <row r="33">
          <cell r="A33" t="str">
            <v>직접대출</v>
          </cell>
          <cell r="C33" t="str">
            <v>은행</v>
          </cell>
          <cell r="E33" t="str">
            <v>경남은행</v>
          </cell>
          <cell r="H33">
            <v>8</v>
          </cell>
          <cell r="I33">
            <v>10000</v>
          </cell>
        </row>
        <row r="34">
          <cell r="A34" t="str">
            <v>직접대출</v>
          </cell>
          <cell r="C34" t="str">
            <v>은행</v>
          </cell>
          <cell r="E34" t="str">
            <v>경남은행</v>
          </cell>
          <cell r="H34">
            <v>44</v>
          </cell>
          <cell r="I34">
            <v>28000</v>
          </cell>
        </row>
        <row r="35">
          <cell r="A35" t="str">
            <v>직접대출</v>
          </cell>
          <cell r="C35" t="str">
            <v>은행</v>
          </cell>
          <cell r="E35" t="str">
            <v>경남은행</v>
          </cell>
          <cell r="H35">
            <v>41</v>
          </cell>
          <cell r="I35">
            <v>20000</v>
          </cell>
        </row>
        <row r="36">
          <cell r="A36" t="str">
            <v>직접대출</v>
          </cell>
          <cell r="C36" t="str">
            <v>은행</v>
          </cell>
          <cell r="E36" t="str">
            <v>경남은행</v>
          </cell>
          <cell r="H36">
            <v>44</v>
          </cell>
          <cell r="I36">
            <v>0</v>
          </cell>
        </row>
        <row r="37">
          <cell r="A37" t="str">
            <v>직접대출</v>
          </cell>
          <cell r="C37" t="str">
            <v>은행</v>
          </cell>
          <cell r="E37" t="str">
            <v>광주은행</v>
          </cell>
          <cell r="H37">
            <v>10</v>
          </cell>
          <cell r="I37">
            <v>12100</v>
          </cell>
        </row>
        <row r="38">
          <cell r="A38" t="str">
            <v>직접대출</v>
          </cell>
          <cell r="C38" t="str">
            <v>은행</v>
          </cell>
          <cell r="E38" t="str">
            <v>광주은행</v>
          </cell>
          <cell r="H38">
            <v>45</v>
          </cell>
          <cell r="I38">
            <v>10000</v>
          </cell>
        </row>
        <row r="39">
          <cell r="A39" t="str">
            <v>직접대출</v>
          </cell>
          <cell r="C39" t="str">
            <v>은행</v>
          </cell>
          <cell r="E39" t="str">
            <v>광주은행</v>
          </cell>
          <cell r="H39">
            <v>194</v>
          </cell>
          <cell r="I39">
            <v>12000</v>
          </cell>
        </row>
        <row r="40">
          <cell r="A40" t="str">
            <v>직접대출</v>
          </cell>
          <cell r="C40" t="str">
            <v>은행</v>
          </cell>
          <cell r="E40" t="str">
            <v>광주은행</v>
          </cell>
          <cell r="H40">
            <v>1000</v>
          </cell>
          <cell r="I40">
            <v>5108.3339999999998</v>
          </cell>
        </row>
        <row r="41">
          <cell r="A41" t="str">
            <v>직접대출</v>
          </cell>
          <cell r="C41" t="str">
            <v>은행</v>
          </cell>
          <cell r="E41" t="str">
            <v>광주은행</v>
          </cell>
          <cell r="H41">
            <v>497</v>
          </cell>
          <cell r="I41">
            <v>0</v>
          </cell>
        </row>
        <row r="42">
          <cell r="A42" t="str">
            <v>직접대출</v>
          </cell>
          <cell r="C42" t="str">
            <v>은행</v>
          </cell>
          <cell r="E42" t="str">
            <v>광주은행</v>
          </cell>
          <cell r="H42">
            <v>79</v>
          </cell>
          <cell r="I42">
            <v>5500</v>
          </cell>
        </row>
        <row r="43">
          <cell r="A43" t="str">
            <v>직접대출</v>
          </cell>
          <cell r="C43" t="str">
            <v>은행</v>
          </cell>
          <cell r="E43" t="str">
            <v>광주은행</v>
          </cell>
          <cell r="H43">
            <v>2</v>
          </cell>
          <cell r="I43">
            <v>13360</v>
          </cell>
        </row>
        <row r="44">
          <cell r="A44" t="str">
            <v>직접대출</v>
          </cell>
          <cell r="C44" t="str">
            <v>은행</v>
          </cell>
          <cell r="E44" t="str">
            <v>광주은행</v>
          </cell>
          <cell r="H44">
            <v>61</v>
          </cell>
          <cell r="I44">
            <v>9000</v>
          </cell>
        </row>
        <row r="45">
          <cell r="A45" t="str">
            <v>직접대출</v>
          </cell>
          <cell r="C45" t="str">
            <v>은행</v>
          </cell>
          <cell r="E45" t="str">
            <v>광주은행</v>
          </cell>
          <cell r="H45">
            <v>19</v>
          </cell>
          <cell r="I45">
            <v>14000</v>
          </cell>
        </row>
        <row r="46">
          <cell r="A46" t="str">
            <v>직접대출</v>
          </cell>
          <cell r="C46" t="str">
            <v>은행</v>
          </cell>
          <cell r="E46" t="str">
            <v>광주은행</v>
          </cell>
          <cell r="H46">
            <v>19</v>
          </cell>
          <cell r="I46">
            <v>16000</v>
          </cell>
        </row>
        <row r="47">
          <cell r="A47" t="str">
            <v>직접대출</v>
          </cell>
          <cell r="C47" t="str">
            <v>은행</v>
          </cell>
          <cell r="E47" t="str">
            <v>광주은행</v>
          </cell>
          <cell r="H47">
            <v>45</v>
          </cell>
          <cell r="I47">
            <v>10000</v>
          </cell>
        </row>
        <row r="48">
          <cell r="A48" t="str">
            <v>직접대출</v>
          </cell>
          <cell r="C48" t="str">
            <v>은행</v>
          </cell>
          <cell r="E48" t="str">
            <v>광주은행</v>
          </cell>
          <cell r="H48">
            <v>10</v>
          </cell>
          <cell r="I48">
            <v>3857.9119999999998</v>
          </cell>
        </row>
        <row r="49">
          <cell r="A49" t="str">
            <v>직접대출</v>
          </cell>
          <cell r="C49" t="str">
            <v>은행</v>
          </cell>
          <cell r="E49" t="str">
            <v>광주은행</v>
          </cell>
          <cell r="H49">
            <v>3</v>
          </cell>
          <cell r="I49">
            <v>0</v>
          </cell>
        </row>
        <row r="50">
          <cell r="A50" t="str">
            <v>직접대출</v>
          </cell>
          <cell r="C50" t="str">
            <v>은행</v>
          </cell>
          <cell r="E50" t="str">
            <v>광주은행</v>
          </cell>
          <cell r="H50">
            <v>8</v>
          </cell>
          <cell r="I50">
            <v>0</v>
          </cell>
        </row>
        <row r="51">
          <cell r="A51" t="str">
            <v>직접대출</v>
          </cell>
          <cell r="C51" t="str">
            <v>은행</v>
          </cell>
          <cell r="E51" t="str">
            <v>광주은행</v>
          </cell>
          <cell r="H51">
            <v>60</v>
          </cell>
          <cell r="I51">
            <v>8800</v>
          </cell>
        </row>
        <row r="52">
          <cell r="A52" t="str">
            <v>직접대출</v>
          </cell>
          <cell r="C52" t="str">
            <v>은행</v>
          </cell>
          <cell r="E52" t="str">
            <v>광주은행</v>
          </cell>
          <cell r="H52">
            <v>1000</v>
          </cell>
          <cell r="I52">
            <v>10000</v>
          </cell>
        </row>
        <row r="53">
          <cell r="A53" t="str">
            <v>직접대출</v>
          </cell>
          <cell r="C53" t="str">
            <v>은행</v>
          </cell>
          <cell r="E53" t="str">
            <v>광주은행</v>
          </cell>
          <cell r="H53">
            <v>98</v>
          </cell>
          <cell r="I53">
            <v>6500</v>
          </cell>
        </row>
        <row r="54">
          <cell r="A54" t="str">
            <v>직접대출</v>
          </cell>
          <cell r="C54" t="str">
            <v>은행</v>
          </cell>
          <cell r="E54" t="str">
            <v>광주은행</v>
          </cell>
          <cell r="H54">
            <v>133</v>
          </cell>
          <cell r="I54">
            <v>18000</v>
          </cell>
        </row>
        <row r="55">
          <cell r="A55" t="str">
            <v>직접대출</v>
          </cell>
          <cell r="C55" t="str">
            <v>은행</v>
          </cell>
          <cell r="E55" t="str">
            <v>광주은행</v>
          </cell>
          <cell r="H55">
            <v>33</v>
          </cell>
          <cell r="I55">
            <v>17700</v>
          </cell>
        </row>
        <row r="56">
          <cell r="A56" t="str">
            <v>직접대출</v>
          </cell>
          <cell r="C56" t="str">
            <v>은행</v>
          </cell>
          <cell r="E56" t="str">
            <v>광주은행</v>
          </cell>
          <cell r="H56">
            <v>13</v>
          </cell>
          <cell r="I56">
            <v>28943</v>
          </cell>
        </row>
        <row r="57">
          <cell r="A57" t="str">
            <v>직접대출</v>
          </cell>
          <cell r="C57" t="str">
            <v>은행</v>
          </cell>
          <cell r="E57" t="str">
            <v>광주은행</v>
          </cell>
          <cell r="H57">
            <v>40</v>
          </cell>
          <cell r="I57">
            <v>20000</v>
          </cell>
        </row>
        <row r="58">
          <cell r="A58" t="str">
            <v>직접대출</v>
          </cell>
          <cell r="C58" t="str">
            <v>은행</v>
          </cell>
          <cell r="E58" t="str">
            <v>광주은행</v>
          </cell>
          <cell r="H58">
            <v>35</v>
          </cell>
          <cell r="I58">
            <v>20000</v>
          </cell>
        </row>
        <row r="59">
          <cell r="A59" t="str">
            <v>직접대출</v>
          </cell>
          <cell r="C59" t="str">
            <v>은행</v>
          </cell>
          <cell r="E59" t="str">
            <v>광주은행</v>
          </cell>
          <cell r="H59">
            <v>9</v>
          </cell>
          <cell r="I59">
            <v>18280</v>
          </cell>
        </row>
        <row r="60">
          <cell r="A60" t="str">
            <v>직접대출</v>
          </cell>
          <cell r="C60" t="str">
            <v>은행</v>
          </cell>
          <cell r="E60" t="str">
            <v>광주은행</v>
          </cell>
          <cell r="H60">
            <v>120</v>
          </cell>
          <cell r="I60">
            <v>5000</v>
          </cell>
        </row>
        <row r="61">
          <cell r="A61" t="str">
            <v>직접대출</v>
          </cell>
          <cell r="C61" t="str">
            <v>은행</v>
          </cell>
          <cell r="E61" t="str">
            <v>광주은행</v>
          </cell>
          <cell r="H61">
            <v>120</v>
          </cell>
          <cell r="I61">
            <v>5000</v>
          </cell>
        </row>
        <row r="62">
          <cell r="A62" t="str">
            <v>직접대출</v>
          </cell>
          <cell r="C62" t="str">
            <v>은행</v>
          </cell>
          <cell r="E62" t="str">
            <v>광주은행</v>
          </cell>
          <cell r="H62">
            <v>10</v>
          </cell>
          <cell r="I62">
            <v>13000</v>
          </cell>
        </row>
        <row r="63">
          <cell r="A63" t="str">
            <v>직접대출</v>
          </cell>
          <cell r="C63" t="str">
            <v>은행</v>
          </cell>
          <cell r="E63" t="str">
            <v>광주은행</v>
          </cell>
          <cell r="H63">
            <v>1000</v>
          </cell>
          <cell r="I63">
            <v>16000</v>
          </cell>
        </row>
        <row r="64">
          <cell r="A64" t="str">
            <v>직접대출</v>
          </cell>
          <cell r="C64" t="str">
            <v>은행</v>
          </cell>
          <cell r="E64" t="str">
            <v>광주은행</v>
          </cell>
          <cell r="H64">
            <v>12</v>
          </cell>
          <cell r="I64">
            <v>17551.020409000001</v>
          </cell>
        </row>
        <row r="65">
          <cell r="A65" t="str">
            <v>직접대출</v>
          </cell>
          <cell r="C65" t="str">
            <v>은행</v>
          </cell>
          <cell r="E65" t="str">
            <v>광주은행</v>
          </cell>
          <cell r="H65">
            <v>10</v>
          </cell>
          <cell r="I65">
            <v>25000</v>
          </cell>
        </row>
        <row r="66">
          <cell r="A66" t="str">
            <v>직접대출</v>
          </cell>
          <cell r="C66" t="str">
            <v>은행</v>
          </cell>
          <cell r="E66" t="str">
            <v>광주은행</v>
          </cell>
          <cell r="H66">
            <v>112</v>
          </cell>
          <cell r="I66">
            <v>6670</v>
          </cell>
        </row>
        <row r="67">
          <cell r="A67" t="str">
            <v>직접대출</v>
          </cell>
          <cell r="C67" t="str">
            <v>은행</v>
          </cell>
          <cell r="E67" t="str">
            <v>광주은행</v>
          </cell>
          <cell r="H67">
            <v>9</v>
          </cell>
          <cell r="I67">
            <v>20000</v>
          </cell>
        </row>
        <row r="68">
          <cell r="A68" t="str">
            <v>직접대출</v>
          </cell>
          <cell r="C68" t="str">
            <v>은행</v>
          </cell>
          <cell r="E68" t="str">
            <v>광주은행</v>
          </cell>
          <cell r="H68">
            <v>38</v>
          </cell>
          <cell r="I68">
            <v>10000</v>
          </cell>
        </row>
        <row r="69">
          <cell r="A69" t="str">
            <v>직접대출</v>
          </cell>
          <cell r="C69" t="str">
            <v>은행</v>
          </cell>
          <cell r="E69" t="str">
            <v>광주은행</v>
          </cell>
          <cell r="H69">
            <v>50</v>
          </cell>
          <cell r="I69">
            <v>20000</v>
          </cell>
        </row>
        <row r="70">
          <cell r="A70" t="str">
            <v>직접대출</v>
          </cell>
          <cell r="C70" t="str">
            <v>은행</v>
          </cell>
          <cell r="E70" t="str">
            <v>광주은행</v>
          </cell>
          <cell r="H70">
            <v>258</v>
          </cell>
          <cell r="I70">
            <v>9500</v>
          </cell>
        </row>
        <row r="71">
          <cell r="A71" t="str">
            <v>직접대출</v>
          </cell>
          <cell r="C71" t="str">
            <v>은행</v>
          </cell>
          <cell r="E71" t="str">
            <v>광주은행</v>
          </cell>
          <cell r="H71">
            <v>56</v>
          </cell>
          <cell r="I71">
            <v>14520</v>
          </cell>
        </row>
        <row r="72">
          <cell r="A72" t="str">
            <v>직접대출</v>
          </cell>
          <cell r="C72" t="str">
            <v>은행</v>
          </cell>
          <cell r="E72" t="str">
            <v>광주은행</v>
          </cell>
          <cell r="H72">
            <v>167</v>
          </cell>
          <cell r="I72">
            <v>20000</v>
          </cell>
        </row>
        <row r="73">
          <cell r="A73" t="str">
            <v>직접대출</v>
          </cell>
          <cell r="C73" t="str">
            <v>은행</v>
          </cell>
          <cell r="E73" t="str">
            <v>광주은행</v>
          </cell>
          <cell r="H73">
            <v>1000</v>
          </cell>
          <cell r="I73">
            <v>20000</v>
          </cell>
        </row>
        <row r="74">
          <cell r="A74" t="str">
            <v>직접대출</v>
          </cell>
          <cell r="C74" t="str">
            <v>은행</v>
          </cell>
          <cell r="E74" t="str">
            <v>광주은행</v>
          </cell>
          <cell r="H74">
            <v>138</v>
          </cell>
          <cell r="I74">
            <v>9361</v>
          </cell>
        </row>
        <row r="75">
          <cell r="A75" t="str">
            <v>직접대출</v>
          </cell>
          <cell r="C75" t="str">
            <v>은행</v>
          </cell>
          <cell r="E75" t="str">
            <v>광주은행</v>
          </cell>
          <cell r="H75">
            <v>63</v>
          </cell>
          <cell r="I75">
            <v>10000</v>
          </cell>
        </row>
        <row r="76">
          <cell r="A76" t="str">
            <v>직접대출</v>
          </cell>
          <cell r="C76" t="str">
            <v>은행</v>
          </cell>
          <cell r="E76" t="str">
            <v>광주은행</v>
          </cell>
          <cell r="H76">
            <v>10</v>
          </cell>
          <cell r="I76">
            <v>0</v>
          </cell>
        </row>
        <row r="77">
          <cell r="A77" t="str">
            <v>직접대출</v>
          </cell>
          <cell r="C77" t="str">
            <v>은행</v>
          </cell>
          <cell r="E77" t="str">
            <v>광주은행</v>
          </cell>
          <cell r="H77">
            <v>3</v>
          </cell>
          <cell r="I77">
            <v>0</v>
          </cell>
        </row>
        <row r="78">
          <cell r="A78" t="str">
            <v>직접대출</v>
          </cell>
          <cell r="C78" t="str">
            <v>은행</v>
          </cell>
          <cell r="E78" t="str">
            <v>광주은행</v>
          </cell>
          <cell r="H78">
            <v>1000</v>
          </cell>
          <cell r="I78">
            <v>0</v>
          </cell>
        </row>
        <row r="79">
          <cell r="A79" t="str">
            <v>직접대출</v>
          </cell>
          <cell r="C79" t="str">
            <v>은행</v>
          </cell>
          <cell r="E79" t="str">
            <v>광주은행</v>
          </cell>
          <cell r="H79">
            <v>16</v>
          </cell>
          <cell r="I79">
            <v>0</v>
          </cell>
        </row>
        <row r="80">
          <cell r="A80" t="str">
            <v>직접대출</v>
          </cell>
          <cell r="C80" t="str">
            <v>은행</v>
          </cell>
          <cell r="E80" t="str">
            <v>광주은행</v>
          </cell>
          <cell r="H80">
            <v>1000</v>
          </cell>
          <cell r="I80">
            <v>0</v>
          </cell>
        </row>
        <row r="81">
          <cell r="A81" t="str">
            <v>직접대출</v>
          </cell>
          <cell r="C81" t="str">
            <v>은행</v>
          </cell>
          <cell r="E81" t="str">
            <v>광주은행</v>
          </cell>
          <cell r="H81">
            <v>1000</v>
          </cell>
          <cell r="I81">
            <v>0</v>
          </cell>
        </row>
        <row r="82">
          <cell r="A82" t="str">
            <v>직접대출</v>
          </cell>
          <cell r="C82" t="str">
            <v>은행</v>
          </cell>
          <cell r="E82" t="str">
            <v>광주은행</v>
          </cell>
          <cell r="H82">
            <v>1000</v>
          </cell>
          <cell r="I82">
            <v>10109.582</v>
          </cell>
        </row>
        <row r="83">
          <cell r="A83" t="str">
            <v>직접대출</v>
          </cell>
          <cell r="C83" t="str">
            <v>은행</v>
          </cell>
          <cell r="E83" t="str">
            <v>광주은행</v>
          </cell>
          <cell r="H83">
            <v>98</v>
          </cell>
          <cell r="I83">
            <v>5379</v>
          </cell>
        </row>
        <row r="84">
          <cell r="A84" t="str">
            <v>직접대출</v>
          </cell>
          <cell r="C84" t="str">
            <v>은행</v>
          </cell>
          <cell r="E84" t="str">
            <v>광주은행</v>
          </cell>
          <cell r="H84">
            <v>108</v>
          </cell>
          <cell r="I84">
            <v>9996</v>
          </cell>
        </row>
        <row r="85">
          <cell r="A85" t="str">
            <v>직접대출</v>
          </cell>
          <cell r="C85" t="str">
            <v>은행</v>
          </cell>
          <cell r="E85" t="str">
            <v>광주은행</v>
          </cell>
          <cell r="H85">
            <v>79</v>
          </cell>
          <cell r="I85">
            <v>25000</v>
          </cell>
        </row>
        <row r="86">
          <cell r="A86" t="str">
            <v>직접대출</v>
          </cell>
          <cell r="C86" t="str">
            <v>은행</v>
          </cell>
          <cell r="E86" t="str">
            <v>광주은행</v>
          </cell>
          <cell r="H86">
            <v>44</v>
          </cell>
          <cell r="I86">
            <v>0</v>
          </cell>
        </row>
        <row r="87">
          <cell r="A87" t="str">
            <v>직접대출</v>
          </cell>
          <cell r="C87" t="str">
            <v>은행</v>
          </cell>
          <cell r="E87" t="str">
            <v>광주은행</v>
          </cell>
          <cell r="H87">
            <v>25</v>
          </cell>
          <cell r="I87">
            <v>0</v>
          </cell>
        </row>
        <row r="88">
          <cell r="A88" t="str">
            <v>직접대출</v>
          </cell>
          <cell r="C88" t="str">
            <v>은행</v>
          </cell>
          <cell r="E88" t="str">
            <v>광주은행</v>
          </cell>
          <cell r="H88">
            <v>36</v>
          </cell>
          <cell r="I88">
            <v>1653</v>
          </cell>
        </row>
        <row r="89">
          <cell r="A89" t="str">
            <v>직접대출</v>
          </cell>
          <cell r="C89" t="str">
            <v>은행</v>
          </cell>
          <cell r="E89" t="str">
            <v>광주은행</v>
          </cell>
          <cell r="H89">
            <v>1000</v>
          </cell>
          <cell r="I89">
            <v>0</v>
          </cell>
        </row>
        <row r="90">
          <cell r="A90" t="str">
            <v>직접대출</v>
          </cell>
          <cell r="C90" t="str">
            <v>은행</v>
          </cell>
          <cell r="E90" t="str">
            <v>대구은행</v>
          </cell>
          <cell r="H90">
            <v>170</v>
          </cell>
          <cell r="I90">
            <v>14400</v>
          </cell>
        </row>
        <row r="91">
          <cell r="A91" t="str">
            <v>직접대출</v>
          </cell>
          <cell r="C91" t="str">
            <v>은행</v>
          </cell>
          <cell r="E91" t="str">
            <v>대구은행</v>
          </cell>
          <cell r="H91">
            <v>10</v>
          </cell>
          <cell r="I91">
            <v>15000</v>
          </cell>
        </row>
        <row r="92">
          <cell r="A92" t="str">
            <v>직접대출</v>
          </cell>
          <cell r="C92" t="str">
            <v>은행</v>
          </cell>
          <cell r="E92" t="str">
            <v>대구은행</v>
          </cell>
          <cell r="H92">
            <v>9</v>
          </cell>
          <cell r="I92">
            <v>20000</v>
          </cell>
        </row>
        <row r="93">
          <cell r="A93" t="str">
            <v>직접대출</v>
          </cell>
          <cell r="C93" t="str">
            <v>은행</v>
          </cell>
          <cell r="E93" t="str">
            <v>대구은행</v>
          </cell>
          <cell r="H93">
            <v>245</v>
          </cell>
          <cell r="I93">
            <v>29000</v>
          </cell>
        </row>
        <row r="94">
          <cell r="A94" t="str">
            <v>직접대출</v>
          </cell>
          <cell r="C94" t="str">
            <v>은행</v>
          </cell>
          <cell r="E94" t="str">
            <v>대구은행</v>
          </cell>
          <cell r="H94">
            <v>170</v>
          </cell>
          <cell r="I94">
            <v>15450</v>
          </cell>
        </row>
        <row r="95">
          <cell r="A95" t="str">
            <v>직접대출</v>
          </cell>
          <cell r="C95" t="str">
            <v>은행</v>
          </cell>
          <cell r="E95" t="str">
            <v>대구은행</v>
          </cell>
          <cell r="H95">
            <v>194</v>
          </cell>
          <cell r="I95">
            <v>30000</v>
          </cell>
        </row>
        <row r="96">
          <cell r="A96" t="str">
            <v>직접대출</v>
          </cell>
          <cell r="C96" t="str">
            <v>은행</v>
          </cell>
          <cell r="E96" t="str">
            <v>대구은행</v>
          </cell>
          <cell r="H96">
            <v>1000</v>
          </cell>
          <cell r="I96">
            <v>45000</v>
          </cell>
        </row>
        <row r="97">
          <cell r="A97" t="str">
            <v>직접대출</v>
          </cell>
          <cell r="C97" t="str">
            <v>은행</v>
          </cell>
          <cell r="E97" t="str">
            <v>대구은행</v>
          </cell>
          <cell r="H97">
            <v>1000</v>
          </cell>
          <cell r="I97">
            <v>5000</v>
          </cell>
        </row>
        <row r="98">
          <cell r="A98" t="str">
            <v>직접대출</v>
          </cell>
          <cell r="C98" t="str">
            <v>은행</v>
          </cell>
          <cell r="E98" t="str">
            <v>대구은행</v>
          </cell>
          <cell r="H98">
            <v>272</v>
          </cell>
          <cell r="I98">
            <v>3334</v>
          </cell>
        </row>
        <row r="99">
          <cell r="A99" t="str">
            <v>직접대출</v>
          </cell>
          <cell r="C99" t="str">
            <v>은행</v>
          </cell>
          <cell r="E99" t="str">
            <v>대구은행</v>
          </cell>
          <cell r="H99">
            <v>94</v>
          </cell>
          <cell r="I99">
            <v>12667</v>
          </cell>
        </row>
        <row r="100">
          <cell r="A100" t="str">
            <v>직접대출</v>
          </cell>
          <cell r="C100" t="str">
            <v>은행</v>
          </cell>
          <cell r="E100" t="str">
            <v>대구은행</v>
          </cell>
          <cell r="H100">
            <v>50</v>
          </cell>
          <cell r="I100">
            <v>20000</v>
          </cell>
        </row>
        <row r="101">
          <cell r="A101" t="str">
            <v>직접대출</v>
          </cell>
          <cell r="C101" t="str">
            <v>은행</v>
          </cell>
          <cell r="E101" t="str">
            <v>대구은행</v>
          </cell>
          <cell r="H101">
            <v>19</v>
          </cell>
          <cell r="I101">
            <v>10000</v>
          </cell>
        </row>
        <row r="102">
          <cell r="A102" t="str">
            <v>직접대출</v>
          </cell>
          <cell r="C102" t="str">
            <v>은행</v>
          </cell>
          <cell r="E102" t="str">
            <v>대구은행</v>
          </cell>
          <cell r="H102">
            <v>10</v>
          </cell>
          <cell r="I102">
            <v>7500</v>
          </cell>
        </row>
        <row r="103">
          <cell r="A103" t="str">
            <v>직접대출</v>
          </cell>
          <cell r="C103" t="str">
            <v>은행</v>
          </cell>
          <cell r="E103" t="str">
            <v>대구은행</v>
          </cell>
          <cell r="H103">
            <v>150</v>
          </cell>
          <cell r="I103">
            <v>20000</v>
          </cell>
        </row>
        <row r="104">
          <cell r="A104" t="str">
            <v>직접대출</v>
          </cell>
          <cell r="C104" t="str">
            <v>은행</v>
          </cell>
          <cell r="E104" t="str">
            <v>대구은행</v>
          </cell>
          <cell r="H104">
            <v>3</v>
          </cell>
          <cell r="I104">
            <v>0</v>
          </cell>
        </row>
        <row r="105">
          <cell r="A105" t="str">
            <v>직접대출</v>
          </cell>
          <cell r="C105" t="str">
            <v>은행</v>
          </cell>
          <cell r="E105" t="str">
            <v>대구은행</v>
          </cell>
          <cell r="H105">
            <v>68</v>
          </cell>
          <cell r="I105">
            <v>15000</v>
          </cell>
        </row>
        <row r="106">
          <cell r="A106" t="str">
            <v>직접대출</v>
          </cell>
          <cell r="C106" t="str">
            <v>은행</v>
          </cell>
          <cell r="E106" t="str">
            <v>대구은행</v>
          </cell>
          <cell r="H106">
            <v>1000</v>
          </cell>
          <cell r="I106">
            <v>4407</v>
          </cell>
        </row>
        <row r="107">
          <cell r="A107" t="str">
            <v>직접대출</v>
          </cell>
          <cell r="C107" t="str">
            <v>은행</v>
          </cell>
          <cell r="E107" t="str">
            <v>대구은행</v>
          </cell>
          <cell r="H107">
            <v>5</v>
          </cell>
          <cell r="I107">
            <v>28000</v>
          </cell>
        </row>
        <row r="108">
          <cell r="A108" t="str">
            <v>직접대출</v>
          </cell>
          <cell r="C108" t="str">
            <v>은행</v>
          </cell>
          <cell r="E108" t="str">
            <v>대구은행</v>
          </cell>
          <cell r="H108">
            <v>56</v>
          </cell>
          <cell r="I108">
            <v>32400</v>
          </cell>
        </row>
        <row r="109">
          <cell r="A109" t="str">
            <v>직접대출</v>
          </cell>
          <cell r="C109" t="str">
            <v>은행</v>
          </cell>
          <cell r="E109" t="str">
            <v>대구은행</v>
          </cell>
          <cell r="H109">
            <v>35</v>
          </cell>
          <cell r="I109">
            <v>30000</v>
          </cell>
        </row>
        <row r="110">
          <cell r="A110" t="str">
            <v>직접대출</v>
          </cell>
          <cell r="C110" t="str">
            <v>은행</v>
          </cell>
          <cell r="E110" t="str">
            <v>대구은행</v>
          </cell>
          <cell r="H110">
            <v>40</v>
          </cell>
          <cell r="I110">
            <v>30000</v>
          </cell>
        </row>
        <row r="111">
          <cell r="A111" t="str">
            <v>직접대출</v>
          </cell>
          <cell r="C111" t="str">
            <v>은행</v>
          </cell>
          <cell r="E111" t="str">
            <v>대구은행</v>
          </cell>
          <cell r="H111">
            <v>68</v>
          </cell>
          <cell r="I111">
            <v>7662</v>
          </cell>
        </row>
        <row r="112">
          <cell r="A112" t="str">
            <v>직접대출</v>
          </cell>
          <cell r="C112" t="str">
            <v>은행</v>
          </cell>
          <cell r="E112" t="str">
            <v>대구은행</v>
          </cell>
          <cell r="H112">
            <v>194</v>
          </cell>
          <cell r="I112">
            <v>7662</v>
          </cell>
        </row>
        <row r="113">
          <cell r="A113" t="str">
            <v>직접대출</v>
          </cell>
          <cell r="C113" t="str">
            <v>은행</v>
          </cell>
          <cell r="E113" t="str">
            <v>대구은행</v>
          </cell>
          <cell r="H113">
            <v>49</v>
          </cell>
          <cell r="I113">
            <v>9200</v>
          </cell>
        </row>
        <row r="114">
          <cell r="A114" t="str">
            <v>직접대출</v>
          </cell>
          <cell r="C114" t="str">
            <v>은행</v>
          </cell>
          <cell r="E114" t="str">
            <v>대구은행</v>
          </cell>
          <cell r="H114">
            <v>60</v>
          </cell>
          <cell r="I114">
            <v>22000</v>
          </cell>
        </row>
        <row r="115">
          <cell r="A115" t="str">
            <v>직접대출</v>
          </cell>
          <cell r="C115" t="str">
            <v>은행</v>
          </cell>
          <cell r="E115" t="str">
            <v>대구은행</v>
          </cell>
          <cell r="H115">
            <v>6</v>
          </cell>
          <cell r="I115">
            <v>31124</v>
          </cell>
        </row>
        <row r="116">
          <cell r="A116" t="str">
            <v>직접대출</v>
          </cell>
          <cell r="C116" t="str">
            <v>은행</v>
          </cell>
          <cell r="E116" t="str">
            <v>대구은행</v>
          </cell>
          <cell r="H116">
            <v>108</v>
          </cell>
          <cell r="I116">
            <v>15000</v>
          </cell>
        </row>
        <row r="117">
          <cell r="A117" t="str">
            <v>직접대출</v>
          </cell>
          <cell r="C117" t="str">
            <v>은행</v>
          </cell>
          <cell r="E117" t="str">
            <v>대구은행</v>
          </cell>
          <cell r="H117">
            <v>54</v>
          </cell>
          <cell r="I117">
            <v>7437</v>
          </cell>
        </row>
        <row r="118">
          <cell r="A118" t="str">
            <v>직접대출</v>
          </cell>
          <cell r="C118" t="str">
            <v>은행</v>
          </cell>
          <cell r="E118" t="str">
            <v>대구은행</v>
          </cell>
          <cell r="H118">
            <v>245</v>
          </cell>
          <cell r="I118">
            <v>26080</v>
          </cell>
        </row>
        <row r="119">
          <cell r="A119" t="str">
            <v>직접대출</v>
          </cell>
          <cell r="C119" t="str">
            <v>은행</v>
          </cell>
          <cell r="E119" t="str">
            <v>대구은행</v>
          </cell>
          <cell r="H119">
            <v>148</v>
          </cell>
          <cell r="I119">
            <v>10000</v>
          </cell>
        </row>
        <row r="120">
          <cell r="A120" t="str">
            <v>직접대출</v>
          </cell>
          <cell r="C120" t="str">
            <v>은행</v>
          </cell>
          <cell r="E120" t="str">
            <v>대구은행</v>
          </cell>
          <cell r="H120">
            <v>148</v>
          </cell>
          <cell r="I120">
            <v>9000</v>
          </cell>
        </row>
        <row r="121">
          <cell r="A121" t="str">
            <v>직접대출</v>
          </cell>
          <cell r="C121" t="str">
            <v>은행</v>
          </cell>
          <cell r="E121" t="str">
            <v>대구은행</v>
          </cell>
          <cell r="H121">
            <v>58</v>
          </cell>
          <cell r="I121">
            <v>6000</v>
          </cell>
        </row>
        <row r="122">
          <cell r="A122" t="str">
            <v>직접대출</v>
          </cell>
          <cell r="C122" t="str">
            <v>은행</v>
          </cell>
          <cell r="E122" t="str">
            <v>대구은행</v>
          </cell>
          <cell r="H122">
            <v>98</v>
          </cell>
          <cell r="I122">
            <v>6000</v>
          </cell>
        </row>
        <row r="123">
          <cell r="A123" t="str">
            <v>직접대출</v>
          </cell>
          <cell r="C123" t="str">
            <v>은행</v>
          </cell>
          <cell r="E123" t="str">
            <v>대구은행</v>
          </cell>
          <cell r="H123">
            <v>12</v>
          </cell>
          <cell r="I123">
            <v>44520</v>
          </cell>
        </row>
        <row r="124">
          <cell r="A124" t="str">
            <v>직접대출</v>
          </cell>
          <cell r="C124" t="str">
            <v>은행</v>
          </cell>
          <cell r="E124" t="str">
            <v>대구은행</v>
          </cell>
          <cell r="H124">
            <v>40</v>
          </cell>
          <cell r="I124">
            <v>4360</v>
          </cell>
        </row>
        <row r="125">
          <cell r="A125" t="str">
            <v>직접대출</v>
          </cell>
          <cell r="C125" t="str">
            <v>은행</v>
          </cell>
          <cell r="E125" t="str">
            <v>대구은행</v>
          </cell>
          <cell r="H125">
            <v>98</v>
          </cell>
          <cell r="I125">
            <v>19500</v>
          </cell>
        </row>
        <row r="126">
          <cell r="A126" t="str">
            <v>직접대출</v>
          </cell>
          <cell r="C126" t="str">
            <v>은행</v>
          </cell>
          <cell r="E126" t="str">
            <v>대구은행</v>
          </cell>
          <cell r="H126">
            <v>1000</v>
          </cell>
          <cell r="I126">
            <v>24000</v>
          </cell>
        </row>
        <row r="127">
          <cell r="A127" t="str">
            <v>직접대출</v>
          </cell>
          <cell r="C127" t="str">
            <v>은행</v>
          </cell>
          <cell r="E127" t="str">
            <v>대구은행</v>
          </cell>
          <cell r="H127">
            <v>1000</v>
          </cell>
          <cell r="I127">
            <v>24000</v>
          </cell>
        </row>
        <row r="128">
          <cell r="A128" t="str">
            <v>직접대출</v>
          </cell>
          <cell r="C128" t="str">
            <v>은행</v>
          </cell>
          <cell r="E128" t="str">
            <v>대구은행</v>
          </cell>
          <cell r="H128">
            <v>39</v>
          </cell>
          <cell r="I128">
            <v>20600</v>
          </cell>
        </row>
        <row r="129">
          <cell r="A129" t="str">
            <v>직접대출</v>
          </cell>
          <cell r="C129" t="str">
            <v>은행</v>
          </cell>
          <cell r="E129" t="str">
            <v>대구은행</v>
          </cell>
          <cell r="H129">
            <v>51</v>
          </cell>
          <cell r="I129">
            <v>30000</v>
          </cell>
        </row>
        <row r="130">
          <cell r="A130" t="str">
            <v>직접대출</v>
          </cell>
          <cell r="C130" t="str">
            <v>은행</v>
          </cell>
          <cell r="E130" t="str">
            <v>대구은행</v>
          </cell>
          <cell r="H130">
            <v>49</v>
          </cell>
          <cell r="I130">
            <v>34500</v>
          </cell>
        </row>
        <row r="131">
          <cell r="A131" t="str">
            <v>직접대출</v>
          </cell>
          <cell r="C131" t="str">
            <v>은행</v>
          </cell>
          <cell r="E131" t="str">
            <v>대구은행</v>
          </cell>
          <cell r="H131">
            <v>1000</v>
          </cell>
          <cell r="I131">
            <v>2145</v>
          </cell>
        </row>
        <row r="132">
          <cell r="A132" t="str">
            <v>직접대출</v>
          </cell>
          <cell r="C132" t="str">
            <v>은행</v>
          </cell>
          <cell r="E132" t="str">
            <v>대구은행</v>
          </cell>
          <cell r="H132">
            <v>10</v>
          </cell>
          <cell r="I132">
            <v>15000</v>
          </cell>
        </row>
        <row r="133">
          <cell r="A133" t="str">
            <v>직접대출</v>
          </cell>
          <cell r="C133" t="str">
            <v>은행</v>
          </cell>
          <cell r="E133" t="str">
            <v>대구은행</v>
          </cell>
          <cell r="H133">
            <v>16</v>
          </cell>
          <cell r="I133">
            <v>15000</v>
          </cell>
        </row>
        <row r="134">
          <cell r="A134" t="str">
            <v>직접대출</v>
          </cell>
          <cell r="C134" t="str">
            <v>은행</v>
          </cell>
          <cell r="E134" t="str">
            <v>대구은행</v>
          </cell>
          <cell r="H134">
            <v>10</v>
          </cell>
          <cell r="I134">
            <v>4000</v>
          </cell>
        </row>
        <row r="135">
          <cell r="A135" t="str">
            <v>직접대출</v>
          </cell>
          <cell r="C135" t="str">
            <v>은행</v>
          </cell>
          <cell r="E135" t="str">
            <v>대구은행</v>
          </cell>
          <cell r="H135">
            <v>16</v>
          </cell>
          <cell r="I135">
            <v>4000</v>
          </cell>
        </row>
        <row r="136">
          <cell r="A136" t="str">
            <v>직접대출</v>
          </cell>
          <cell r="C136" t="str">
            <v>은행</v>
          </cell>
          <cell r="E136" t="str">
            <v>대구은행</v>
          </cell>
          <cell r="H136">
            <v>6</v>
          </cell>
          <cell r="I136">
            <v>8057</v>
          </cell>
        </row>
        <row r="137">
          <cell r="A137" t="str">
            <v>직접대출</v>
          </cell>
          <cell r="C137" t="str">
            <v>은행</v>
          </cell>
          <cell r="E137" t="str">
            <v>대구은행</v>
          </cell>
          <cell r="H137">
            <v>68</v>
          </cell>
          <cell r="I137">
            <v>8057</v>
          </cell>
        </row>
        <row r="138">
          <cell r="A138" t="str">
            <v>직접대출</v>
          </cell>
          <cell r="C138" t="str">
            <v>은행</v>
          </cell>
          <cell r="E138" t="str">
            <v>대구은행</v>
          </cell>
          <cell r="H138">
            <v>10</v>
          </cell>
          <cell r="I138">
            <v>18770</v>
          </cell>
        </row>
        <row r="139">
          <cell r="A139" t="str">
            <v>직접대출</v>
          </cell>
          <cell r="C139" t="str">
            <v>은행</v>
          </cell>
          <cell r="E139" t="str">
            <v>대구은행</v>
          </cell>
          <cell r="H139">
            <v>17</v>
          </cell>
          <cell r="I139">
            <v>20000</v>
          </cell>
        </row>
        <row r="140">
          <cell r="A140" t="str">
            <v>직접대출</v>
          </cell>
          <cell r="C140" t="str">
            <v>은행</v>
          </cell>
          <cell r="E140" t="str">
            <v>대구은행</v>
          </cell>
          <cell r="H140">
            <v>9</v>
          </cell>
          <cell r="I140">
            <v>27420</v>
          </cell>
        </row>
        <row r="141">
          <cell r="A141" t="str">
            <v>직접대출</v>
          </cell>
          <cell r="C141" t="str">
            <v>은행</v>
          </cell>
          <cell r="E141" t="str">
            <v>대구은행</v>
          </cell>
          <cell r="H141">
            <v>54</v>
          </cell>
          <cell r="I141">
            <v>11560</v>
          </cell>
        </row>
        <row r="142">
          <cell r="A142" t="str">
            <v>직접대출</v>
          </cell>
          <cell r="C142" t="str">
            <v>은행</v>
          </cell>
          <cell r="E142" t="str">
            <v>대구은행</v>
          </cell>
          <cell r="H142">
            <v>49</v>
          </cell>
          <cell r="I142">
            <v>0</v>
          </cell>
        </row>
        <row r="143">
          <cell r="A143" t="str">
            <v>직접대출</v>
          </cell>
          <cell r="C143" t="str">
            <v>은행</v>
          </cell>
          <cell r="E143" t="str">
            <v>대구은행</v>
          </cell>
          <cell r="H143">
            <v>49</v>
          </cell>
          <cell r="I143">
            <v>4027</v>
          </cell>
        </row>
        <row r="144">
          <cell r="A144" t="str">
            <v>직접대출</v>
          </cell>
          <cell r="C144" t="str">
            <v>은행</v>
          </cell>
          <cell r="E144" t="str">
            <v>대구은행</v>
          </cell>
          <cell r="H144">
            <v>2</v>
          </cell>
          <cell r="I144">
            <v>33395</v>
          </cell>
        </row>
        <row r="145">
          <cell r="A145" t="str">
            <v>직접대출</v>
          </cell>
          <cell r="C145" t="str">
            <v>은행</v>
          </cell>
          <cell r="E145" t="str">
            <v>대구은행</v>
          </cell>
          <cell r="H145">
            <v>33</v>
          </cell>
          <cell r="I145">
            <v>17700</v>
          </cell>
        </row>
        <row r="146">
          <cell r="A146" t="str">
            <v>직접대출</v>
          </cell>
          <cell r="C146" t="str">
            <v>은행</v>
          </cell>
          <cell r="E146" t="str">
            <v>대구은행</v>
          </cell>
          <cell r="H146">
            <v>38</v>
          </cell>
          <cell r="I146">
            <v>20000</v>
          </cell>
        </row>
        <row r="147">
          <cell r="A147" t="str">
            <v>직접대출</v>
          </cell>
          <cell r="C147" t="str">
            <v>은행</v>
          </cell>
          <cell r="E147" t="str">
            <v>대구은행</v>
          </cell>
          <cell r="H147">
            <v>49</v>
          </cell>
          <cell r="I147">
            <v>36000</v>
          </cell>
        </row>
        <row r="148">
          <cell r="A148" t="str">
            <v>직접대출</v>
          </cell>
          <cell r="C148" t="str">
            <v>은행</v>
          </cell>
          <cell r="E148" t="str">
            <v>대구은행</v>
          </cell>
          <cell r="H148">
            <v>10</v>
          </cell>
          <cell r="I148">
            <v>45000</v>
          </cell>
        </row>
        <row r="149">
          <cell r="A149" t="str">
            <v>직접대출</v>
          </cell>
          <cell r="C149" t="str">
            <v>은행</v>
          </cell>
          <cell r="E149" t="str">
            <v>대구은행</v>
          </cell>
          <cell r="H149">
            <v>141</v>
          </cell>
          <cell r="I149">
            <v>11250</v>
          </cell>
        </row>
        <row r="150">
          <cell r="A150" t="str">
            <v>직접대출</v>
          </cell>
          <cell r="C150" t="str">
            <v>은행</v>
          </cell>
          <cell r="E150" t="str">
            <v>대구은행</v>
          </cell>
          <cell r="H150">
            <v>225</v>
          </cell>
          <cell r="I150">
            <v>28000</v>
          </cell>
        </row>
        <row r="151">
          <cell r="A151" t="str">
            <v>직접대출</v>
          </cell>
          <cell r="C151" t="str">
            <v>은행</v>
          </cell>
          <cell r="E151" t="str">
            <v>대구은행</v>
          </cell>
          <cell r="H151">
            <v>179</v>
          </cell>
          <cell r="I151">
            <v>0</v>
          </cell>
        </row>
        <row r="152">
          <cell r="A152" t="str">
            <v>직접대출</v>
          </cell>
          <cell r="C152" t="str">
            <v>은행</v>
          </cell>
          <cell r="E152" t="str">
            <v>대구은행</v>
          </cell>
          <cell r="H152">
            <v>33</v>
          </cell>
          <cell r="I152">
            <v>1767</v>
          </cell>
        </row>
        <row r="153">
          <cell r="A153" t="str">
            <v>직접대출</v>
          </cell>
          <cell r="C153" t="str">
            <v>은행</v>
          </cell>
          <cell r="E153" t="str">
            <v>대구은행</v>
          </cell>
          <cell r="H153">
            <v>33</v>
          </cell>
          <cell r="I153">
            <v>9333</v>
          </cell>
        </row>
        <row r="154">
          <cell r="A154" t="str">
            <v>직접대출</v>
          </cell>
          <cell r="C154" t="str">
            <v>은행</v>
          </cell>
          <cell r="E154" t="str">
            <v>대구은행</v>
          </cell>
          <cell r="H154">
            <v>1000</v>
          </cell>
          <cell r="I154">
            <v>0</v>
          </cell>
        </row>
        <row r="155">
          <cell r="A155" t="str">
            <v>직접대출</v>
          </cell>
          <cell r="C155" t="str">
            <v>은행</v>
          </cell>
          <cell r="E155" t="str">
            <v>대구은행</v>
          </cell>
          <cell r="H155">
            <v>79</v>
          </cell>
          <cell r="I155">
            <v>13899</v>
          </cell>
        </row>
        <row r="156">
          <cell r="A156" t="str">
            <v>직접대출</v>
          </cell>
          <cell r="C156" t="str">
            <v>은행</v>
          </cell>
          <cell r="E156" t="str">
            <v>대구은행</v>
          </cell>
          <cell r="H156">
            <v>6</v>
          </cell>
          <cell r="I156">
            <v>0</v>
          </cell>
        </row>
        <row r="157">
          <cell r="A157" t="str">
            <v>직접대출</v>
          </cell>
          <cell r="C157" t="str">
            <v>은행</v>
          </cell>
          <cell r="E157" t="str">
            <v>대구은행</v>
          </cell>
          <cell r="H157">
            <v>3</v>
          </cell>
          <cell r="I157">
            <v>0</v>
          </cell>
        </row>
        <row r="158">
          <cell r="A158" t="str">
            <v>직접대출</v>
          </cell>
          <cell r="C158" t="str">
            <v>은행</v>
          </cell>
          <cell r="E158" t="str">
            <v>대구은행</v>
          </cell>
          <cell r="H158">
            <v>6</v>
          </cell>
          <cell r="I158">
            <v>0</v>
          </cell>
        </row>
        <row r="159">
          <cell r="A159" t="str">
            <v>직접대출</v>
          </cell>
          <cell r="C159" t="str">
            <v>은행</v>
          </cell>
          <cell r="E159" t="str">
            <v>대구은행</v>
          </cell>
          <cell r="H159">
            <v>3</v>
          </cell>
          <cell r="I159">
            <v>0</v>
          </cell>
        </row>
        <row r="160">
          <cell r="A160" t="str">
            <v>직접대출</v>
          </cell>
          <cell r="C160" t="str">
            <v>은행</v>
          </cell>
          <cell r="E160" t="str">
            <v>대구은행</v>
          </cell>
          <cell r="H160">
            <v>6</v>
          </cell>
          <cell r="I160">
            <v>0</v>
          </cell>
        </row>
        <row r="161">
          <cell r="A161" t="str">
            <v>직접대출</v>
          </cell>
          <cell r="C161" t="str">
            <v>은행</v>
          </cell>
          <cell r="E161" t="str">
            <v>대구은행</v>
          </cell>
          <cell r="H161">
            <v>3</v>
          </cell>
          <cell r="I161">
            <v>0</v>
          </cell>
        </row>
        <row r="162">
          <cell r="A162" t="str">
            <v>직접대출</v>
          </cell>
          <cell r="C162" t="str">
            <v>은행</v>
          </cell>
          <cell r="E162" t="str">
            <v>대구은행</v>
          </cell>
          <cell r="H162">
            <v>6</v>
          </cell>
          <cell r="I162">
            <v>0</v>
          </cell>
        </row>
        <row r="163">
          <cell r="A163" t="str">
            <v>직접대출</v>
          </cell>
          <cell r="C163" t="str">
            <v>은행</v>
          </cell>
          <cell r="E163" t="str">
            <v>대구은행</v>
          </cell>
          <cell r="H163">
            <v>3</v>
          </cell>
          <cell r="I163">
            <v>0</v>
          </cell>
        </row>
        <row r="164">
          <cell r="A164" t="str">
            <v>직접대출</v>
          </cell>
          <cell r="C164" t="str">
            <v>은행</v>
          </cell>
          <cell r="E164" t="str">
            <v>대구은행</v>
          </cell>
          <cell r="H164">
            <v>6</v>
          </cell>
          <cell r="I164">
            <v>0</v>
          </cell>
        </row>
        <row r="165">
          <cell r="A165" t="str">
            <v>직접대출</v>
          </cell>
          <cell r="C165" t="str">
            <v>은행</v>
          </cell>
          <cell r="E165" t="str">
            <v>대구은행</v>
          </cell>
          <cell r="H165">
            <v>3</v>
          </cell>
          <cell r="I165">
            <v>0</v>
          </cell>
        </row>
        <row r="166">
          <cell r="A166" t="str">
            <v>직접대출</v>
          </cell>
          <cell r="C166" t="str">
            <v>은행</v>
          </cell>
          <cell r="E166" t="str">
            <v>신한은행</v>
          </cell>
          <cell r="H166">
            <v>1000</v>
          </cell>
          <cell r="I166">
            <v>5828</v>
          </cell>
        </row>
        <row r="167">
          <cell r="A167" t="str">
            <v>직접대출</v>
          </cell>
          <cell r="C167" t="str">
            <v>은행</v>
          </cell>
          <cell r="E167" t="str">
            <v>신한은행</v>
          </cell>
          <cell r="H167">
            <v>51</v>
          </cell>
          <cell r="I167">
            <v>21000</v>
          </cell>
        </row>
        <row r="168">
          <cell r="A168" t="str">
            <v>직접대출</v>
          </cell>
          <cell r="C168" t="str">
            <v>은행</v>
          </cell>
          <cell r="E168" t="str">
            <v>신한은행</v>
          </cell>
          <cell r="H168">
            <v>50</v>
          </cell>
          <cell r="I168">
            <v>8600</v>
          </cell>
        </row>
        <row r="169">
          <cell r="A169" t="str">
            <v>직접대출</v>
          </cell>
          <cell r="C169" t="str">
            <v>은행</v>
          </cell>
          <cell r="E169" t="str">
            <v>신한은행</v>
          </cell>
          <cell r="H169">
            <v>13</v>
          </cell>
          <cell r="I169">
            <v>16000</v>
          </cell>
        </row>
        <row r="170">
          <cell r="A170" t="str">
            <v>직접대출</v>
          </cell>
          <cell r="C170" t="str">
            <v>은행</v>
          </cell>
          <cell r="E170" t="str">
            <v>신한은행</v>
          </cell>
          <cell r="H170">
            <v>1000</v>
          </cell>
          <cell r="I170">
            <v>2800</v>
          </cell>
        </row>
        <row r="171">
          <cell r="A171" t="str">
            <v>직접대출</v>
          </cell>
          <cell r="C171" t="str">
            <v>은행</v>
          </cell>
          <cell r="E171" t="str">
            <v>신한은행</v>
          </cell>
          <cell r="H171">
            <v>51</v>
          </cell>
          <cell r="I171">
            <v>19000</v>
          </cell>
        </row>
        <row r="172">
          <cell r="A172" t="str">
            <v>직접대출</v>
          </cell>
          <cell r="C172" t="str">
            <v>은행</v>
          </cell>
          <cell r="E172" t="str">
            <v>신한은행</v>
          </cell>
          <cell r="H172">
            <v>51</v>
          </cell>
          <cell r="I172">
            <v>7690</v>
          </cell>
        </row>
        <row r="173">
          <cell r="A173" t="str">
            <v>직접대출</v>
          </cell>
          <cell r="C173" t="str">
            <v>은행</v>
          </cell>
          <cell r="E173" t="str">
            <v>신한은행</v>
          </cell>
          <cell r="H173">
            <v>41</v>
          </cell>
          <cell r="I173">
            <v>6898</v>
          </cell>
        </row>
        <row r="174">
          <cell r="A174" t="str">
            <v>직접대출</v>
          </cell>
          <cell r="C174" t="str">
            <v>은행</v>
          </cell>
          <cell r="E174" t="str">
            <v>신한은행</v>
          </cell>
          <cell r="H174">
            <v>146</v>
          </cell>
          <cell r="I174">
            <v>1800</v>
          </cell>
        </row>
        <row r="175">
          <cell r="A175" t="str">
            <v>직접대출</v>
          </cell>
          <cell r="C175" t="str">
            <v>은행</v>
          </cell>
          <cell r="E175" t="str">
            <v>신한은행</v>
          </cell>
          <cell r="H175">
            <v>8</v>
          </cell>
          <cell r="I175">
            <v>2333</v>
          </cell>
        </row>
        <row r="176">
          <cell r="A176" t="str">
            <v>직접대출</v>
          </cell>
          <cell r="C176" t="str">
            <v>은행</v>
          </cell>
          <cell r="E176" t="str">
            <v>신한은행</v>
          </cell>
          <cell r="H176">
            <v>1</v>
          </cell>
          <cell r="I176">
            <v>7000</v>
          </cell>
        </row>
        <row r="177">
          <cell r="A177" t="str">
            <v>직접대출</v>
          </cell>
          <cell r="C177" t="str">
            <v>은행</v>
          </cell>
          <cell r="E177" t="str">
            <v>신한은행</v>
          </cell>
          <cell r="H177">
            <v>102</v>
          </cell>
          <cell r="I177">
            <v>12000</v>
          </cell>
        </row>
        <row r="178">
          <cell r="A178" t="str">
            <v>직접대출</v>
          </cell>
          <cell r="C178" t="str">
            <v>은행</v>
          </cell>
          <cell r="E178" t="str">
            <v>신한은행</v>
          </cell>
          <cell r="H178">
            <v>78</v>
          </cell>
          <cell r="I178">
            <v>6600</v>
          </cell>
        </row>
        <row r="179">
          <cell r="A179" t="str">
            <v>직접대출</v>
          </cell>
          <cell r="C179" t="str">
            <v>은행</v>
          </cell>
          <cell r="E179" t="str">
            <v>신한은행</v>
          </cell>
          <cell r="H179">
            <v>1</v>
          </cell>
          <cell r="I179">
            <v>0</v>
          </cell>
        </row>
        <row r="180">
          <cell r="A180" t="str">
            <v>직접대출</v>
          </cell>
          <cell r="C180" t="str">
            <v>은행</v>
          </cell>
          <cell r="E180" t="str">
            <v>신한은행</v>
          </cell>
          <cell r="H180">
            <v>179</v>
          </cell>
          <cell r="I180">
            <v>13000</v>
          </cell>
        </row>
        <row r="181">
          <cell r="A181" t="str">
            <v>직접대출</v>
          </cell>
          <cell r="C181" t="str">
            <v>은행</v>
          </cell>
          <cell r="E181" t="str">
            <v>신한은행</v>
          </cell>
          <cell r="H181">
            <v>3</v>
          </cell>
          <cell r="I181">
            <v>46300</v>
          </cell>
        </row>
        <row r="182">
          <cell r="A182" t="str">
            <v>직접대출</v>
          </cell>
          <cell r="C182" t="str">
            <v>은행</v>
          </cell>
          <cell r="E182" t="str">
            <v>신한은행</v>
          </cell>
          <cell r="H182">
            <v>33</v>
          </cell>
          <cell r="I182">
            <v>17700</v>
          </cell>
        </row>
        <row r="183">
          <cell r="A183" t="str">
            <v>직접대출</v>
          </cell>
          <cell r="C183" t="str">
            <v>은행</v>
          </cell>
          <cell r="E183" t="str">
            <v>신한은행</v>
          </cell>
          <cell r="H183">
            <v>33</v>
          </cell>
          <cell r="I183">
            <v>4288</v>
          </cell>
        </row>
        <row r="184">
          <cell r="A184" t="str">
            <v>직접대출</v>
          </cell>
          <cell r="C184" t="str">
            <v>은행</v>
          </cell>
          <cell r="E184" t="str">
            <v>신한은행</v>
          </cell>
          <cell r="H184">
            <v>105</v>
          </cell>
          <cell r="I184">
            <v>10800</v>
          </cell>
        </row>
        <row r="185">
          <cell r="A185" t="str">
            <v>직접대출</v>
          </cell>
          <cell r="C185" t="str">
            <v>은행</v>
          </cell>
          <cell r="E185" t="str">
            <v>신한은행</v>
          </cell>
          <cell r="H185">
            <v>28</v>
          </cell>
          <cell r="I185">
            <v>13000</v>
          </cell>
        </row>
        <row r="186">
          <cell r="A186" t="str">
            <v>직접대출</v>
          </cell>
          <cell r="C186" t="str">
            <v>은행</v>
          </cell>
          <cell r="E186" t="str">
            <v>신한은행</v>
          </cell>
          <cell r="H186">
            <v>123</v>
          </cell>
          <cell r="I186">
            <v>7400</v>
          </cell>
        </row>
        <row r="187">
          <cell r="A187" t="str">
            <v>직접대출</v>
          </cell>
          <cell r="C187" t="str">
            <v>은행</v>
          </cell>
          <cell r="E187" t="str">
            <v>신한은행</v>
          </cell>
          <cell r="H187">
            <v>23</v>
          </cell>
          <cell r="I187">
            <v>97600</v>
          </cell>
        </row>
        <row r="188">
          <cell r="A188" t="str">
            <v>직접대출</v>
          </cell>
          <cell r="C188" t="str">
            <v>은행</v>
          </cell>
          <cell r="E188" t="str">
            <v>신한은행</v>
          </cell>
          <cell r="H188">
            <v>23</v>
          </cell>
          <cell r="I188">
            <v>53500</v>
          </cell>
        </row>
        <row r="189">
          <cell r="A189" t="str">
            <v>직접대출</v>
          </cell>
          <cell r="C189" t="str">
            <v>은행</v>
          </cell>
          <cell r="E189" t="str">
            <v>신한은행</v>
          </cell>
          <cell r="H189">
            <v>19</v>
          </cell>
          <cell r="I189">
            <v>30000</v>
          </cell>
        </row>
        <row r="190">
          <cell r="A190" t="str">
            <v>직접대출</v>
          </cell>
          <cell r="C190" t="str">
            <v>은행</v>
          </cell>
          <cell r="E190" t="str">
            <v>신한은행</v>
          </cell>
          <cell r="H190">
            <v>39</v>
          </cell>
          <cell r="I190">
            <v>8000</v>
          </cell>
        </row>
        <row r="191">
          <cell r="A191" t="str">
            <v>직접대출</v>
          </cell>
          <cell r="C191" t="str">
            <v>은행</v>
          </cell>
          <cell r="E191" t="str">
            <v>신한은행</v>
          </cell>
          <cell r="H191">
            <v>79</v>
          </cell>
          <cell r="I191">
            <v>23228</v>
          </cell>
        </row>
        <row r="192">
          <cell r="A192" t="str">
            <v>직접대출</v>
          </cell>
          <cell r="C192" t="str">
            <v>은행</v>
          </cell>
          <cell r="E192" t="str">
            <v>신한은행</v>
          </cell>
          <cell r="H192">
            <v>13</v>
          </cell>
          <cell r="I192">
            <v>11000</v>
          </cell>
        </row>
        <row r="193">
          <cell r="A193" t="str">
            <v>직접대출</v>
          </cell>
          <cell r="C193" t="str">
            <v>은행</v>
          </cell>
          <cell r="E193" t="str">
            <v>신한은행</v>
          </cell>
          <cell r="H193">
            <v>33</v>
          </cell>
          <cell r="I193">
            <v>7490</v>
          </cell>
        </row>
        <row r="194">
          <cell r="A194" t="str">
            <v>직접대출</v>
          </cell>
          <cell r="C194" t="str">
            <v>은행</v>
          </cell>
          <cell r="E194" t="str">
            <v>신한은행</v>
          </cell>
          <cell r="H194">
            <v>13</v>
          </cell>
          <cell r="I194">
            <v>50000</v>
          </cell>
        </row>
        <row r="195">
          <cell r="A195" t="str">
            <v>직접대출</v>
          </cell>
          <cell r="C195" t="str">
            <v>은행</v>
          </cell>
          <cell r="E195" t="str">
            <v>신한은행</v>
          </cell>
          <cell r="H195">
            <v>54</v>
          </cell>
          <cell r="I195">
            <v>19573</v>
          </cell>
        </row>
        <row r="196">
          <cell r="A196" t="str">
            <v>직접대출</v>
          </cell>
          <cell r="C196" t="str">
            <v>은행</v>
          </cell>
          <cell r="E196" t="str">
            <v>신한은행</v>
          </cell>
          <cell r="H196">
            <v>39</v>
          </cell>
          <cell r="I196">
            <v>95000</v>
          </cell>
        </row>
        <row r="197">
          <cell r="A197" t="str">
            <v>직접대출</v>
          </cell>
          <cell r="C197" t="str">
            <v>은행</v>
          </cell>
          <cell r="E197" t="str">
            <v>신한은행</v>
          </cell>
          <cell r="H197">
            <v>41</v>
          </cell>
          <cell r="I197">
            <v>53013</v>
          </cell>
        </row>
        <row r="198">
          <cell r="A198" t="str">
            <v>직접대출</v>
          </cell>
          <cell r="C198" t="str">
            <v>은행</v>
          </cell>
          <cell r="E198" t="str">
            <v>신한은행</v>
          </cell>
          <cell r="H198">
            <v>179</v>
          </cell>
          <cell r="I198">
            <v>32000</v>
          </cell>
        </row>
        <row r="199">
          <cell r="A199" t="str">
            <v>직접대출</v>
          </cell>
          <cell r="C199" t="str">
            <v>은행</v>
          </cell>
          <cell r="E199" t="str">
            <v>신한은행</v>
          </cell>
          <cell r="H199">
            <v>30</v>
          </cell>
          <cell r="I199">
            <v>25000</v>
          </cell>
        </row>
        <row r="200">
          <cell r="A200" t="str">
            <v>직접대출</v>
          </cell>
          <cell r="C200" t="str">
            <v>은행</v>
          </cell>
          <cell r="E200" t="str">
            <v>신한은행</v>
          </cell>
          <cell r="H200">
            <v>33</v>
          </cell>
          <cell r="I200">
            <v>6100</v>
          </cell>
        </row>
        <row r="201">
          <cell r="A201" t="str">
            <v>직접대출</v>
          </cell>
          <cell r="C201" t="str">
            <v>은행</v>
          </cell>
          <cell r="E201" t="str">
            <v>신한은행</v>
          </cell>
          <cell r="H201">
            <v>33</v>
          </cell>
          <cell r="I201">
            <v>2000</v>
          </cell>
        </row>
        <row r="202">
          <cell r="A202" t="str">
            <v>직접대출</v>
          </cell>
          <cell r="C202" t="str">
            <v>은행</v>
          </cell>
          <cell r="E202" t="str">
            <v>신한은행</v>
          </cell>
          <cell r="H202">
            <v>182</v>
          </cell>
          <cell r="I202">
            <v>8000</v>
          </cell>
        </row>
        <row r="203">
          <cell r="A203" t="str">
            <v>직접대출</v>
          </cell>
          <cell r="C203" t="str">
            <v>은행</v>
          </cell>
          <cell r="E203" t="str">
            <v>신한은행</v>
          </cell>
          <cell r="H203">
            <v>9</v>
          </cell>
          <cell r="I203">
            <v>8000</v>
          </cell>
        </row>
        <row r="204">
          <cell r="A204" t="str">
            <v>직접대출</v>
          </cell>
          <cell r="C204" t="str">
            <v>은행</v>
          </cell>
          <cell r="E204" t="str">
            <v>신한은행</v>
          </cell>
          <cell r="H204">
            <v>141</v>
          </cell>
          <cell r="I204">
            <v>3700</v>
          </cell>
        </row>
        <row r="205">
          <cell r="A205" t="str">
            <v>직접대출</v>
          </cell>
          <cell r="C205" t="str">
            <v>은행</v>
          </cell>
          <cell r="E205" t="str">
            <v>신한은행</v>
          </cell>
          <cell r="H205">
            <v>13</v>
          </cell>
          <cell r="I205">
            <v>22800</v>
          </cell>
        </row>
        <row r="206">
          <cell r="A206" t="str">
            <v>직접대출</v>
          </cell>
          <cell r="C206" t="str">
            <v>은행</v>
          </cell>
          <cell r="E206" t="str">
            <v>신한은행</v>
          </cell>
          <cell r="H206">
            <v>22</v>
          </cell>
          <cell r="I206">
            <v>30000</v>
          </cell>
        </row>
        <row r="207">
          <cell r="A207" t="str">
            <v>직접대출</v>
          </cell>
          <cell r="C207" t="str">
            <v>은행</v>
          </cell>
          <cell r="E207" t="str">
            <v>신한은행</v>
          </cell>
          <cell r="H207">
            <v>12</v>
          </cell>
          <cell r="I207">
            <v>88919</v>
          </cell>
        </row>
        <row r="208">
          <cell r="A208" t="str">
            <v>직접대출</v>
          </cell>
          <cell r="C208" t="str">
            <v>은행</v>
          </cell>
          <cell r="E208" t="str">
            <v>신한은행</v>
          </cell>
          <cell r="H208">
            <v>1000</v>
          </cell>
          <cell r="I208">
            <v>16000</v>
          </cell>
        </row>
        <row r="209">
          <cell r="A209" t="str">
            <v>직접대출</v>
          </cell>
          <cell r="C209" t="str">
            <v>은행</v>
          </cell>
          <cell r="E209" t="str">
            <v>신한은행</v>
          </cell>
          <cell r="H209">
            <v>48</v>
          </cell>
          <cell r="I209">
            <v>7000</v>
          </cell>
        </row>
        <row r="210">
          <cell r="A210" t="str">
            <v>직접대출</v>
          </cell>
          <cell r="C210" t="str">
            <v>은행</v>
          </cell>
          <cell r="E210" t="str">
            <v>신한은행</v>
          </cell>
          <cell r="H210">
            <v>9</v>
          </cell>
          <cell r="I210">
            <v>9800</v>
          </cell>
        </row>
        <row r="211">
          <cell r="A211" t="str">
            <v>직접대출</v>
          </cell>
          <cell r="C211" t="str">
            <v>은행</v>
          </cell>
          <cell r="E211" t="str">
            <v>신한은행</v>
          </cell>
          <cell r="H211">
            <v>3</v>
          </cell>
          <cell r="I211">
            <v>86600</v>
          </cell>
        </row>
        <row r="212">
          <cell r="A212" t="str">
            <v>직접대출</v>
          </cell>
          <cell r="C212" t="str">
            <v>은행</v>
          </cell>
          <cell r="E212" t="str">
            <v>신한은행</v>
          </cell>
          <cell r="H212">
            <v>48</v>
          </cell>
          <cell r="I212">
            <v>8000</v>
          </cell>
        </row>
        <row r="213">
          <cell r="A213" t="str">
            <v>직접대출</v>
          </cell>
          <cell r="C213" t="str">
            <v>은행</v>
          </cell>
          <cell r="E213" t="str">
            <v>신한은행</v>
          </cell>
          <cell r="H213">
            <v>12</v>
          </cell>
          <cell r="I213">
            <v>8882</v>
          </cell>
        </row>
        <row r="214">
          <cell r="A214" t="str">
            <v>직접대출</v>
          </cell>
          <cell r="C214" t="str">
            <v>은행</v>
          </cell>
          <cell r="E214" t="str">
            <v>신한은행</v>
          </cell>
          <cell r="H214">
            <v>48</v>
          </cell>
          <cell r="I214">
            <v>5000</v>
          </cell>
        </row>
        <row r="215">
          <cell r="A215" t="str">
            <v>직접대출</v>
          </cell>
          <cell r="C215" t="str">
            <v>은행</v>
          </cell>
          <cell r="E215" t="str">
            <v>신한은행</v>
          </cell>
          <cell r="H215">
            <v>1000</v>
          </cell>
          <cell r="I215">
            <v>0</v>
          </cell>
        </row>
        <row r="216">
          <cell r="A216" t="str">
            <v>직접대출</v>
          </cell>
          <cell r="C216" t="str">
            <v>은행</v>
          </cell>
          <cell r="E216" t="str">
            <v>신한은행</v>
          </cell>
          <cell r="H216">
            <v>1000</v>
          </cell>
          <cell r="I216">
            <v>0</v>
          </cell>
        </row>
        <row r="217">
          <cell r="A217" t="str">
            <v>직접대출</v>
          </cell>
          <cell r="C217" t="str">
            <v>은행</v>
          </cell>
          <cell r="E217" t="str">
            <v>신한은행</v>
          </cell>
          <cell r="H217">
            <v>3</v>
          </cell>
          <cell r="I217">
            <v>34276</v>
          </cell>
        </row>
        <row r="218">
          <cell r="A218" t="str">
            <v>직접대출</v>
          </cell>
          <cell r="C218" t="str">
            <v>은행</v>
          </cell>
          <cell r="E218" t="str">
            <v>신한은행</v>
          </cell>
          <cell r="H218">
            <v>3</v>
          </cell>
          <cell r="I218">
            <v>34763</v>
          </cell>
        </row>
        <row r="219">
          <cell r="A219" t="str">
            <v>직접대출</v>
          </cell>
          <cell r="C219" t="str">
            <v>은행</v>
          </cell>
          <cell r="E219" t="str">
            <v>신한은행</v>
          </cell>
          <cell r="H219">
            <v>32</v>
          </cell>
          <cell r="I219">
            <v>44429</v>
          </cell>
        </row>
        <row r="220">
          <cell r="A220" t="str">
            <v>직접대출</v>
          </cell>
          <cell r="C220" t="str">
            <v>은행</v>
          </cell>
          <cell r="E220" t="str">
            <v>신한은행</v>
          </cell>
          <cell r="H220">
            <v>42</v>
          </cell>
          <cell r="I220">
            <v>95172</v>
          </cell>
        </row>
        <row r="221">
          <cell r="A221" t="str">
            <v>직접대출</v>
          </cell>
          <cell r="C221" t="str">
            <v>은행</v>
          </cell>
          <cell r="E221" t="str">
            <v>신한은행</v>
          </cell>
          <cell r="H221">
            <v>61</v>
          </cell>
          <cell r="I221">
            <v>3000</v>
          </cell>
        </row>
        <row r="222">
          <cell r="A222" t="str">
            <v>직접대출</v>
          </cell>
          <cell r="C222" t="str">
            <v>은행</v>
          </cell>
          <cell r="E222" t="str">
            <v>신한은행</v>
          </cell>
          <cell r="H222">
            <v>3</v>
          </cell>
          <cell r="I222">
            <v>3000</v>
          </cell>
        </row>
        <row r="223">
          <cell r="A223" t="str">
            <v>직접대출</v>
          </cell>
          <cell r="C223" t="str">
            <v>은행</v>
          </cell>
          <cell r="E223" t="str">
            <v>신한은행</v>
          </cell>
          <cell r="H223">
            <v>17</v>
          </cell>
          <cell r="I223">
            <v>39000</v>
          </cell>
        </row>
        <row r="224">
          <cell r="A224" t="str">
            <v>직접대출</v>
          </cell>
          <cell r="C224" t="str">
            <v>은행</v>
          </cell>
          <cell r="E224" t="str">
            <v>신한은행</v>
          </cell>
          <cell r="H224">
            <v>122</v>
          </cell>
          <cell r="I224">
            <v>2800</v>
          </cell>
        </row>
        <row r="225">
          <cell r="A225" t="str">
            <v>직접대출</v>
          </cell>
          <cell r="C225" t="str">
            <v>은행</v>
          </cell>
          <cell r="E225" t="str">
            <v>신한은행</v>
          </cell>
          <cell r="H225">
            <v>7</v>
          </cell>
          <cell r="I225">
            <v>0</v>
          </cell>
        </row>
        <row r="226">
          <cell r="A226" t="str">
            <v>직접대출</v>
          </cell>
          <cell r="C226" t="str">
            <v>은행</v>
          </cell>
          <cell r="E226" t="str">
            <v>신한은행</v>
          </cell>
          <cell r="H226">
            <v>441</v>
          </cell>
          <cell r="I226">
            <v>6800</v>
          </cell>
        </row>
        <row r="227">
          <cell r="A227" t="str">
            <v>직접대출</v>
          </cell>
          <cell r="C227" t="str">
            <v>은행</v>
          </cell>
          <cell r="E227" t="str">
            <v>신한은행</v>
          </cell>
          <cell r="H227">
            <v>10</v>
          </cell>
          <cell r="I227">
            <v>15300</v>
          </cell>
        </row>
        <row r="228">
          <cell r="A228" t="str">
            <v>직접대출</v>
          </cell>
          <cell r="C228" t="str">
            <v>은행</v>
          </cell>
          <cell r="E228" t="str">
            <v>신한은행</v>
          </cell>
          <cell r="H228">
            <v>33</v>
          </cell>
          <cell r="I228">
            <v>47500</v>
          </cell>
        </row>
        <row r="229">
          <cell r="A229" t="str">
            <v>직접대출</v>
          </cell>
          <cell r="C229" t="str">
            <v>은행</v>
          </cell>
          <cell r="E229" t="str">
            <v>신한은행</v>
          </cell>
          <cell r="H229">
            <v>45</v>
          </cell>
          <cell r="I229">
            <v>16000</v>
          </cell>
        </row>
        <row r="230">
          <cell r="A230" t="str">
            <v>직접대출</v>
          </cell>
          <cell r="C230" t="str">
            <v>은행</v>
          </cell>
          <cell r="E230" t="str">
            <v>신한은행</v>
          </cell>
          <cell r="H230">
            <v>47</v>
          </cell>
          <cell r="I230">
            <v>7000</v>
          </cell>
        </row>
        <row r="231">
          <cell r="A231" t="str">
            <v>직접대출</v>
          </cell>
          <cell r="C231" t="str">
            <v>은행</v>
          </cell>
          <cell r="E231" t="str">
            <v>신한은행</v>
          </cell>
          <cell r="H231">
            <v>30</v>
          </cell>
          <cell r="I231">
            <v>3747</v>
          </cell>
        </row>
        <row r="232">
          <cell r="A232" t="str">
            <v>직접대출</v>
          </cell>
          <cell r="C232" t="str">
            <v>은행</v>
          </cell>
          <cell r="E232" t="str">
            <v>신한은행</v>
          </cell>
          <cell r="H232">
            <v>41</v>
          </cell>
          <cell r="I232">
            <v>60000</v>
          </cell>
        </row>
        <row r="233">
          <cell r="A233" t="str">
            <v>직접대출</v>
          </cell>
          <cell r="C233" t="str">
            <v>은행</v>
          </cell>
          <cell r="E233" t="str">
            <v>신한은행</v>
          </cell>
          <cell r="H233">
            <v>9</v>
          </cell>
          <cell r="I233">
            <v>63980</v>
          </cell>
        </row>
        <row r="234">
          <cell r="A234" t="str">
            <v>직접대출</v>
          </cell>
          <cell r="C234" t="str">
            <v>은행</v>
          </cell>
          <cell r="E234" t="str">
            <v>신한은행</v>
          </cell>
          <cell r="H234">
            <v>5</v>
          </cell>
          <cell r="I234">
            <v>3570</v>
          </cell>
        </row>
        <row r="235">
          <cell r="A235" t="str">
            <v>직접대출</v>
          </cell>
          <cell r="C235" t="str">
            <v>은행</v>
          </cell>
          <cell r="E235" t="str">
            <v>신한은행</v>
          </cell>
          <cell r="H235">
            <v>120</v>
          </cell>
          <cell r="I235">
            <v>15000</v>
          </cell>
        </row>
        <row r="236">
          <cell r="A236" t="str">
            <v>직접대출</v>
          </cell>
          <cell r="C236" t="str">
            <v>은행</v>
          </cell>
          <cell r="E236" t="str">
            <v>신한은행</v>
          </cell>
          <cell r="H236">
            <v>61</v>
          </cell>
          <cell r="I236">
            <v>3100</v>
          </cell>
        </row>
        <row r="237">
          <cell r="A237" t="str">
            <v>직접대출</v>
          </cell>
          <cell r="C237" t="str">
            <v>은행</v>
          </cell>
          <cell r="E237" t="str">
            <v>신한은행</v>
          </cell>
          <cell r="H237">
            <v>33</v>
          </cell>
          <cell r="I237">
            <v>2500</v>
          </cell>
        </row>
        <row r="238">
          <cell r="A238" t="str">
            <v>직접대출</v>
          </cell>
          <cell r="C238" t="str">
            <v>은행</v>
          </cell>
          <cell r="E238" t="str">
            <v>신한은행</v>
          </cell>
          <cell r="H238">
            <v>1</v>
          </cell>
          <cell r="I238">
            <v>0</v>
          </cell>
        </row>
        <row r="239">
          <cell r="A239" t="str">
            <v>직접대출</v>
          </cell>
          <cell r="C239" t="str">
            <v>은행</v>
          </cell>
          <cell r="E239" t="str">
            <v>신한은행</v>
          </cell>
          <cell r="H239">
            <v>46</v>
          </cell>
          <cell r="I239">
            <v>15320</v>
          </cell>
        </row>
        <row r="240">
          <cell r="A240" t="str">
            <v>직접대출</v>
          </cell>
          <cell r="C240" t="str">
            <v>은행</v>
          </cell>
          <cell r="E240" t="str">
            <v>신한은행</v>
          </cell>
          <cell r="H240">
            <v>12</v>
          </cell>
          <cell r="I240">
            <v>90000</v>
          </cell>
        </row>
        <row r="241">
          <cell r="A241" t="str">
            <v>직접대출</v>
          </cell>
          <cell r="C241" t="str">
            <v>은행</v>
          </cell>
          <cell r="E241" t="str">
            <v>신한은행</v>
          </cell>
          <cell r="H241">
            <v>4</v>
          </cell>
          <cell r="I241">
            <v>41220</v>
          </cell>
        </row>
        <row r="242">
          <cell r="A242" t="str">
            <v>직접대출</v>
          </cell>
          <cell r="C242" t="str">
            <v>은행</v>
          </cell>
          <cell r="E242" t="str">
            <v>신한은행</v>
          </cell>
          <cell r="H242">
            <v>200</v>
          </cell>
          <cell r="I242">
            <v>15003</v>
          </cell>
        </row>
        <row r="243">
          <cell r="A243" t="str">
            <v>직접대출</v>
          </cell>
          <cell r="C243" t="str">
            <v>은행</v>
          </cell>
          <cell r="E243" t="str">
            <v>신한은행</v>
          </cell>
          <cell r="H243">
            <v>414</v>
          </cell>
          <cell r="I243">
            <v>4865</v>
          </cell>
        </row>
        <row r="244">
          <cell r="A244" t="str">
            <v>직접대출</v>
          </cell>
          <cell r="C244" t="str">
            <v>은행</v>
          </cell>
          <cell r="E244" t="str">
            <v>신한은행</v>
          </cell>
          <cell r="H244">
            <v>10</v>
          </cell>
          <cell r="I244">
            <v>56312</v>
          </cell>
        </row>
        <row r="245">
          <cell r="A245" t="str">
            <v>직접대출</v>
          </cell>
          <cell r="C245" t="str">
            <v>은행</v>
          </cell>
          <cell r="E245" t="str">
            <v>신한은행</v>
          </cell>
          <cell r="H245">
            <v>105</v>
          </cell>
          <cell r="I245">
            <v>13780</v>
          </cell>
        </row>
        <row r="246">
          <cell r="A246" t="str">
            <v>직접대출</v>
          </cell>
          <cell r="C246" t="str">
            <v>은행</v>
          </cell>
          <cell r="E246" t="str">
            <v>신한은행</v>
          </cell>
          <cell r="H246">
            <v>41</v>
          </cell>
          <cell r="I246">
            <v>67680</v>
          </cell>
        </row>
        <row r="247">
          <cell r="A247" t="str">
            <v>직접대출</v>
          </cell>
          <cell r="C247" t="str">
            <v>은행</v>
          </cell>
          <cell r="E247" t="str">
            <v>신한은행</v>
          </cell>
          <cell r="H247">
            <v>1</v>
          </cell>
          <cell r="I247">
            <v>37000</v>
          </cell>
        </row>
        <row r="248">
          <cell r="A248" t="str">
            <v>직접대출</v>
          </cell>
          <cell r="C248" t="str">
            <v>은행</v>
          </cell>
          <cell r="E248" t="str">
            <v>신한은행</v>
          </cell>
          <cell r="H248">
            <v>18</v>
          </cell>
          <cell r="I248">
            <v>13500</v>
          </cell>
        </row>
        <row r="249">
          <cell r="A249" t="str">
            <v>직접대출</v>
          </cell>
          <cell r="C249" t="str">
            <v>은행</v>
          </cell>
          <cell r="E249" t="str">
            <v>신한은행</v>
          </cell>
          <cell r="H249">
            <v>29</v>
          </cell>
          <cell r="I249">
            <v>4000</v>
          </cell>
        </row>
        <row r="250">
          <cell r="A250" t="str">
            <v>직접대출</v>
          </cell>
          <cell r="C250" t="str">
            <v>은행</v>
          </cell>
          <cell r="E250" t="str">
            <v>신한은행</v>
          </cell>
          <cell r="H250">
            <v>51</v>
          </cell>
          <cell r="I250">
            <v>9775</v>
          </cell>
        </row>
        <row r="251">
          <cell r="A251" t="str">
            <v>직접대출</v>
          </cell>
          <cell r="C251" t="str">
            <v>은행</v>
          </cell>
          <cell r="E251" t="str">
            <v>신한은행</v>
          </cell>
          <cell r="H251">
            <v>12</v>
          </cell>
          <cell r="I251">
            <v>66200</v>
          </cell>
        </row>
        <row r="252">
          <cell r="A252" t="str">
            <v>직접대출</v>
          </cell>
          <cell r="C252" t="str">
            <v>은행</v>
          </cell>
          <cell r="E252" t="str">
            <v>신한은행</v>
          </cell>
          <cell r="H252">
            <v>441</v>
          </cell>
          <cell r="I252">
            <v>7200</v>
          </cell>
        </row>
        <row r="253">
          <cell r="A253" t="str">
            <v>직접대출</v>
          </cell>
          <cell r="C253" t="str">
            <v>은행</v>
          </cell>
          <cell r="E253" t="str">
            <v>신한은행</v>
          </cell>
          <cell r="H253">
            <v>140</v>
          </cell>
          <cell r="I253">
            <v>10000</v>
          </cell>
        </row>
        <row r="254">
          <cell r="A254" t="str">
            <v>직접대출</v>
          </cell>
          <cell r="C254" t="str">
            <v>은행</v>
          </cell>
          <cell r="E254" t="str">
            <v>신한은행</v>
          </cell>
          <cell r="H254">
            <v>9</v>
          </cell>
          <cell r="I254">
            <v>30000</v>
          </cell>
        </row>
        <row r="255">
          <cell r="A255" t="str">
            <v>직접대출</v>
          </cell>
          <cell r="C255" t="str">
            <v>은행</v>
          </cell>
          <cell r="E255" t="str">
            <v>신한은행</v>
          </cell>
          <cell r="H255">
            <v>1000</v>
          </cell>
          <cell r="I255">
            <v>15000</v>
          </cell>
        </row>
        <row r="256">
          <cell r="A256" t="str">
            <v>직접대출</v>
          </cell>
          <cell r="C256" t="str">
            <v>은행</v>
          </cell>
          <cell r="E256" t="str">
            <v>신한은행</v>
          </cell>
          <cell r="H256">
            <v>10</v>
          </cell>
          <cell r="I256">
            <v>20000</v>
          </cell>
        </row>
        <row r="257">
          <cell r="A257" t="str">
            <v>직접대출</v>
          </cell>
          <cell r="C257" t="str">
            <v>은행</v>
          </cell>
          <cell r="E257" t="str">
            <v>신한은행</v>
          </cell>
          <cell r="H257">
            <v>10</v>
          </cell>
          <cell r="I257">
            <v>22500</v>
          </cell>
        </row>
        <row r="258">
          <cell r="A258" t="str">
            <v>직접대출</v>
          </cell>
          <cell r="C258" t="str">
            <v>은행</v>
          </cell>
          <cell r="E258" t="str">
            <v>신한은행</v>
          </cell>
          <cell r="H258">
            <v>1000</v>
          </cell>
          <cell r="I258">
            <v>0</v>
          </cell>
        </row>
        <row r="259">
          <cell r="A259" t="str">
            <v>직접대출</v>
          </cell>
          <cell r="C259" t="str">
            <v>은행</v>
          </cell>
          <cell r="E259" t="str">
            <v>신한은행</v>
          </cell>
          <cell r="H259">
            <v>1000</v>
          </cell>
          <cell r="I259">
            <v>0</v>
          </cell>
        </row>
        <row r="260">
          <cell r="A260" t="str">
            <v>직접대출</v>
          </cell>
          <cell r="C260" t="str">
            <v>은행</v>
          </cell>
          <cell r="E260" t="str">
            <v>신한은행</v>
          </cell>
          <cell r="H260">
            <v>125</v>
          </cell>
          <cell r="I260">
            <v>15400</v>
          </cell>
        </row>
        <row r="261">
          <cell r="A261" t="str">
            <v>직접대출</v>
          </cell>
          <cell r="C261" t="str">
            <v>은행</v>
          </cell>
          <cell r="E261" t="str">
            <v>신한은행</v>
          </cell>
          <cell r="H261">
            <v>365</v>
          </cell>
          <cell r="I261">
            <v>8400</v>
          </cell>
        </row>
        <row r="262">
          <cell r="A262" t="str">
            <v>직접대출</v>
          </cell>
          <cell r="C262" t="str">
            <v>은행</v>
          </cell>
          <cell r="E262" t="str">
            <v>신한은행</v>
          </cell>
          <cell r="H262">
            <v>17</v>
          </cell>
          <cell r="I262">
            <v>83100</v>
          </cell>
        </row>
        <row r="263">
          <cell r="A263" t="str">
            <v>직접대출</v>
          </cell>
          <cell r="C263" t="str">
            <v>은행</v>
          </cell>
          <cell r="E263" t="str">
            <v>신한은행</v>
          </cell>
          <cell r="H263">
            <v>17</v>
          </cell>
          <cell r="I263">
            <v>55700</v>
          </cell>
        </row>
        <row r="264">
          <cell r="A264" t="str">
            <v>직접대출</v>
          </cell>
          <cell r="C264" t="str">
            <v>은행</v>
          </cell>
          <cell r="E264" t="str">
            <v>신한은행</v>
          </cell>
          <cell r="H264">
            <v>1000</v>
          </cell>
          <cell r="I264">
            <v>0</v>
          </cell>
        </row>
        <row r="265">
          <cell r="A265" t="str">
            <v>직접대출</v>
          </cell>
          <cell r="C265" t="str">
            <v>은행</v>
          </cell>
          <cell r="E265" t="str">
            <v>신한은행</v>
          </cell>
          <cell r="H265">
            <v>3</v>
          </cell>
          <cell r="I265">
            <v>10000</v>
          </cell>
        </row>
        <row r="266">
          <cell r="A266" t="str">
            <v>직접대출</v>
          </cell>
          <cell r="C266" t="str">
            <v>은행</v>
          </cell>
          <cell r="E266" t="str">
            <v>신한은행</v>
          </cell>
          <cell r="H266">
            <v>1000</v>
          </cell>
          <cell r="I266">
            <v>13500</v>
          </cell>
        </row>
        <row r="267">
          <cell r="A267" t="str">
            <v>직접대출</v>
          </cell>
          <cell r="C267" t="str">
            <v>은행</v>
          </cell>
          <cell r="E267" t="str">
            <v>신한은행</v>
          </cell>
          <cell r="H267">
            <v>27</v>
          </cell>
          <cell r="I267">
            <v>0</v>
          </cell>
        </row>
        <row r="268">
          <cell r="A268" t="str">
            <v>직접대출</v>
          </cell>
          <cell r="C268" t="str">
            <v>은행</v>
          </cell>
          <cell r="E268" t="str">
            <v>신한은행</v>
          </cell>
          <cell r="H268">
            <v>45</v>
          </cell>
          <cell r="I268">
            <v>15000</v>
          </cell>
        </row>
        <row r="269">
          <cell r="A269" t="str">
            <v>직접대출</v>
          </cell>
          <cell r="C269" t="str">
            <v>은행</v>
          </cell>
          <cell r="E269" t="str">
            <v>신한은행</v>
          </cell>
          <cell r="H269">
            <v>61</v>
          </cell>
          <cell r="I269">
            <v>10000</v>
          </cell>
        </row>
        <row r="270">
          <cell r="A270" t="str">
            <v>직접대출</v>
          </cell>
          <cell r="C270" t="str">
            <v>은행</v>
          </cell>
          <cell r="E270" t="str">
            <v>신한은행</v>
          </cell>
          <cell r="H270">
            <v>78</v>
          </cell>
          <cell r="I270">
            <v>5800</v>
          </cell>
        </row>
        <row r="271">
          <cell r="A271" t="str">
            <v>직접대출</v>
          </cell>
          <cell r="C271" t="str">
            <v>은행</v>
          </cell>
          <cell r="E271" t="str">
            <v>신한은행</v>
          </cell>
          <cell r="H271">
            <v>78</v>
          </cell>
          <cell r="I271">
            <v>4700</v>
          </cell>
        </row>
        <row r="272">
          <cell r="A272" t="str">
            <v>직접대출</v>
          </cell>
          <cell r="C272" t="str">
            <v>은행</v>
          </cell>
          <cell r="E272" t="str">
            <v>신한은행</v>
          </cell>
          <cell r="H272">
            <v>1000</v>
          </cell>
          <cell r="I272">
            <v>10000</v>
          </cell>
        </row>
        <row r="273">
          <cell r="A273" t="str">
            <v>직접대출</v>
          </cell>
          <cell r="C273" t="str">
            <v>은행</v>
          </cell>
          <cell r="E273" t="str">
            <v>신한은행</v>
          </cell>
          <cell r="H273">
            <v>45</v>
          </cell>
          <cell r="I273">
            <v>17700</v>
          </cell>
        </row>
        <row r="274">
          <cell r="A274" t="str">
            <v>직접대출</v>
          </cell>
          <cell r="C274" t="str">
            <v>은행</v>
          </cell>
          <cell r="E274" t="str">
            <v>신한은행</v>
          </cell>
          <cell r="H274">
            <v>141</v>
          </cell>
          <cell r="I274">
            <v>37800</v>
          </cell>
        </row>
        <row r="275">
          <cell r="A275" t="str">
            <v>직접대출</v>
          </cell>
          <cell r="C275" t="str">
            <v>은행</v>
          </cell>
          <cell r="E275" t="str">
            <v>신한은행</v>
          </cell>
          <cell r="H275">
            <v>98</v>
          </cell>
          <cell r="I275">
            <v>8000</v>
          </cell>
        </row>
        <row r="276">
          <cell r="A276" t="str">
            <v>직접대출</v>
          </cell>
          <cell r="C276" t="str">
            <v>은행</v>
          </cell>
          <cell r="E276" t="str">
            <v>신한은행</v>
          </cell>
          <cell r="H276">
            <v>51</v>
          </cell>
          <cell r="I276">
            <v>40000</v>
          </cell>
        </row>
        <row r="277">
          <cell r="A277" t="str">
            <v>직접대출</v>
          </cell>
          <cell r="C277" t="str">
            <v>은행</v>
          </cell>
          <cell r="E277" t="str">
            <v>신한은행</v>
          </cell>
          <cell r="H277">
            <v>1000</v>
          </cell>
          <cell r="I277">
            <v>8500</v>
          </cell>
        </row>
        <row r="278">
          <cell r="A278" t="str">
            <v>직접대출</v>
          </cell>
          <cell r="C278" t="str">
            <v>은행</v>
          </cell>
          <cell r="E278" t="str">
            <v>신한은행</v>
          </cell>
          <cell r="H278">
            <v>51</v>
          </cell>
          <cell r="I278">
            <v>26250</v>
          </cell>
        </row>
        <row r="279">
          <cell r="A279" t="str">
            <v>직접대출</v>
          </cell>
          <cell r="C279" t="str">
            <v>은행</v>
          </cell>
          <cell r="E279" t="str">
            <v>신한은행</v>
          </cell>
          <cell r="H279">
            <v>3</v>
          </cell>
          <cell r="I279">
            <v>25000</v>
          </cell>
        </row>
        <row r="280">
          <cell r="A280" t="str">
            <v>직접대출</v>
          </cell>
          <cell r="C280" t="str">
            <v>은행</v>
          </cell>
          <cell r="E280" t="str">
            <v>신한은행</v>
          </cell>
          <cell r="H280">
            <v>441</v>
          </cell>
          <cell r="I280">
            <v>44000</v>
          </cell>
        </row>
        <row r="281">
          <cell r="A281" t="str">
            <v>직접대출</v>
          </cell>
          <cell r="C281" t="str">
            <v>은행</v>
          </cell>
          <cell r="E281" t="str">
            <v>신한은행</v>
          </cell>
          <cell r="H281">
            <v>1000</v>
          </cell>
          <cell r="I281">
            <v>7500</v>
          </cell>
        </row>
        <row r="282">
          <cell r="A282" t="str">
            <v>직접대출</v>
          </cell>
          <cell r="C282" t="str">
            <v>은행</v>
          </cell>
          <cell r="E282" t="str">
            <v>신한은행</v>
          </cell>
          <cell r="H282">
            <v>23</v>
          </cell>
          <cell r="I282">
            <v>16700</v>
          </cell>
        </row>
        <row r="283">
          <cell r="A283" t="str">
            <v>직접대출</v>
          </cell>
          <cell r="C283" t="str">
            <v>은행</v>
          </cell>
          <cell r="E283" t="str">
            <v>신한은행</v>
          </cell>
          <cell r="H283">
            <v>138</v>
          </cell>
          <cell r="I283">
            <v>50000</v>
          </cell>
        </row>
        <row r="284">
          <cell r="A284" t="str">
            <v>직접대출</v>
          </cell>
          <cell r="C284" t="str">
            <v>은행</v>
          </cell>
          <cell r="E284" t="str">
            <v>신한은행</v>
          </cell>
          <cell r="H284">
            <v>1000</v>
          </cell>
          <cell r="I284">
            <v>10000</v>
          </cell>
        </row>
        <row r="285">
          <cell r="A285" t="str">
            <v>직접대출</v>
          </cell>
          <cell r="C285" t="str">
            <v>은행</v>
          </cell>
          <cell r="E285" t="str">
            <v>신한은행</v>
          </cell>
          <cell r="H285">
            <v>1000</v>
          </cell>
          <cell r="I285">
            <v>2000</v>
          </cell>
        </row>
        <row r="286">
          <cell r="A286" t="str">
            <v>직접대출</v>
          </cell>
          <cell r="C286" t="str">
            <v>은행</v>
          </cell>
          <cell r="E286" t="str">
            <v>신한은행</v>
          </cell>
          <cell r="H286">
            <v>1000</v>
          </cell>
          <cell r="I286">
            <v>10600</v>
          </cell>
        </row>
        <row r="287">
          <cell r="A287" t="str">
            <v>직접대출</v>
          </cell>
          <cell r="C287" t="str">
            <v>은행</v>
          </cell>
          <cell r="E287" t="str">
            <v>신한은행</v>
          </cell>
          <cell r="H287">
            <v>25</v>
          </cell>
          <cell r="I287">
            <v>5000</v>
          </cell>
        </row>
        <row r="288">
          <cell r="A288" t="str">
            <v>직접대출</v>
          </cell>
          <cell r="C288" t="str">
            <v>은행</v>
          </cell>
          <cell r="E288" t="str">
            <v>신한은행</v>
          </cell>
          <cell r="H288">
            <v>1000</v>
          </cell>
          <cell r="I288">
            <v>0</v>
          </cell>
        </row>
        <row r="289">
          <cell r="A289" t="str">
            <v>직접대출</v>
          </cell>
          <cell r="C289" t="str">
            <v>은행</v>
          </cell>
          <cell r="E289" t="str">
            <v>신한은행</v>
          </cell>
          <cell r="H289">
            <v>23</v>
          </cell>
          <cell r="I289">
            <v>11000</v>
          </cell>
        </row>
        <row r="290">
          <cell r="A290" t="str">
            <v>직접대출</v>
          </cell>
          <cell r="C290" t="str">
            <v>은행</v>
          </cell>
          <cell r="E290" t="str">
            <v>신한은행</v>
          </cell>
          <cell r="H290">
            <v>141</v>
          </cell>
          <cell r="I290">
            <v>9380</v>
          </cell>
        </row>
        <row r="291">
          <cell r="A291" t="str">
            <v>직접대출</v>
          </cell>
          <cell r="C291" t="str">
            <v>은행</v>
          </cell>
          <cell r="E291" t="str">
            <v>신한은행</v>
          </cell>
          <cell r="H291">
            <v>61</v>
          </cell>
          <cell r="I291">
            <v>8700</v>
          </cell>
        </row>
        <row r="292">
          <cell r="A292" t="str">
            <v>직접대출</v>
          </cell>
          <cell r="C292" t="str">
            <v>은행</v>
          </cell>
          <cell r="E292" t="str">
            <v>신한은행</v>
          </cell>
          <cell r="H292">
            <v>23</v>
          </cell>
          <cell r="I292">
            <v>15000</v>
          </cell>
        </row>
        <row r="293">
          <cell r="A293" t="str">
            <v>직접대출</v>
          </cell>
          <cell r="C293" t="str">
            <v>은행</v>
          </cell>
          <cell r="E293" t="str">
            <v>신한은행</v>
          </cell>
          <cell r="H293">
            <v>61</v>
          </cell>
          <cell r="I293">
            <v>10860</v>
          </cell>
        </row>
        <row r="294">
          <cell r="A294" t="str">
            <v>직접대출</v>
          </cell>
          <cell r="C294" t="str">
            <v>은행</v>
          </cell>
          <cell r="E294" t="str">
            <v>신한은행</v>
          </cell>
          <cell r="H294">
            <v>1000</v>
          </cell>
          <cell r="I294">
            <v>7000</v>
          </cell>
        </row>
        <row r="295">
          <cell r="A295" t="str">
            <v>직접대출</v>
          </cell>
          <cell r="C295" t="str">
            <v>은행</v>
          </cell>
          <cell r="E295" t="str">
            <v>신한은행</v>
          </cell>
          <cell r="H295">
            <v>8</v>
          </cell>
          <cell r="I295">
            <v>18130</v>
          </cell>
        </row>
        <row r="296">
          <cell r="A296" t="str">
            <v>직접대출</v>
          </cell>
          <cell r="C296" t="str">
            <v>은행</v>
          </cell>
          <cell r="E296" t="str">
            <v>신한은행</v>
          </cell>
          <cell r="H296">
            <v>61</v>
          </cell>
          <cell r="I296">
            <v>12857</v>
          </cell>
        </row>
        <row r="297">
          <cell r="A297" t="str">
            <v>직접대출</v>
          </cell>
          <cell r="C297" t="str">
            <v>은행</v>
          </cell>
          <cell r="E297" t="str">
            <v>신한은행</v>
          </cell>
          <cell r="H297">
            <v>28</v>
          </cell>
          <cell r="I297">
            <v>25000</v>
          </cell>
        </row>
        <row r="298">
          <cell r="A298" t="str">
            <v>직접대출</v>
          </cell>
          <cell r="C298" t="str">
            <v>은행</v>
          </cell>
          <cell r="E298" t="str">
            <v>신한은행</v>
          </cell>
          <cell r="H298">
            <v>179</v>
          </cell>
          <cell r="I298">
            <v>3200</v>
          </cell>
        </row>
        <row r="299">
          <cell r="A299" t="str">
            <v>직접대출</v>
          </cell>
          <cell r="C299" t="str">
            <v>은행</v>
          </cell>
          <cell r="E299" t="str">
            <v>신한은행</v>
          </cell>
          <cell r="H299">
            <v>1000</v>
          </cell>
          <cell r="I299">
            <v>0</v>
          </cell>
        </row>
        <row r="300">
          <cell r="A300" t="str">
            <v>직접대출</v>
          </cell>
          <cell r="C300" t="str">
            <v>은행</v>
          </cell>
          <cell r="E300" t="str">
            <v>신한은행</v>
          </cell>
          <cell r="H300">
            <v>1000</v>
          </cell>
          <cell r="I300">
            <v>2835</v>
          </cell>
        </row>
        <row r="301">
          <cell r="A301" t="str">
            <v>직접대출</v>
          </cell>
          <cell r="C301" t="str">
            <v>은행</v>
          </cell>
          <cell r="E301" t="str">
            <v>신한은행</v>
          </cell>
          <cell r="H301">
            <v>182</v>
          </cell>
          <cell r="I301">
            <v>15000</v>
          </cell>
        </row>
        <row r="302">
          <cell r="A302" t="str">
            <v>직접대출</v>
          </cell>
          <cell r="C302" t="str">
            <v>은행</v>
          </cell>
          <cell r="E302" t="str">
            <v>신한은행</v>
          </cell>
          <cell r="H302">
            <v>1</v>
          </cell>
          <cell r="I302">
            <v>700</v>
          </cell>
        </row>
        <row r="303">
          <cell r="A303" t="str">
            <v>직접대출</v>
          </cell>
          <cell r="C303" t="str">
            <v>은행</v>
          </cell>
          <cell r="E303" t="str">
            <v>신한은행</v>
          </cell>
          <cell r="H303">
            <v>1000</v>
          </cell>
          <cell r="I303">
            <v>15000</v>
          </cell>
        </row>
        <row r="304">
          <cell r="A304" t="str">
            <v>직접대출</v>
          </cell>
          <cell r="C304" t="str">
            <v>은행</v>
          </cell>
          <cell r="E304" t="str">
            <v>신한은행</v>
          </cell>
          <cell r="H304">
            <v>1000</v>
          </cell>
          <cell r="I304">
            <v>7500</v>
          </cell>
        </row>
        <row r="305">
          <cell r="A305" t="str">
            <v>직접대출</v>
          </cell>
          <cell r="C305" t="str">
            <v>은행</v>
          </cell>
          <cell r="E305" t="str">
            <v>신한은행</v>
          </cell>
          <cell r="H305">
            <v>174</v>
          </cell>
          <cell r="I305">
            <v>15000</v>
          </cell>
        </row>
        <row r="306">
          <cell r="A306" t="str">
            <v>직접대출</v>
          </cell>
          <cell r="C306" t="str">
            <v>은행</v>
          </cell>
          <cell r="E306" t="str">
            <v>신한은행</v>
          </cell>
          <cell r="H306">
            <v>1000</v>
          </cell>
          <cell r="I306">
            <v>12000</v>
          </cell>
        </row>
        <row r="307">
          <cell r="A307" t="str">
            <v>직접대출</v>
          </cell>
          <cell r="C307" t="str">
            <v>은행</v>
          </cell>
          <cell r="E307" t="str">
            <v>신한은행</v>
          </cell>
          <cell r="H307">
            <v>264</v>
          </cell>
          <cell r="I307">
            <v>6500</v>
          </cell>
        </row>
        <row r="308">
          <cell r="A308" t="str">
            <v>직접대출</v>
          </cell>
          <cell r="C308" t="str">
            <v>은행</v>
          </cell>
          <cell r="E308" t="str">
            <v>신한은행</v>
          </cell>
          <cell r="H308">
            <v>103</v>
          </cell>
          <cell r="I308">
            <v>17000</v>
          </cell>
        </row>
        <row r="309">
          <cell r="A309" t="str">
            <v>직접대출</v>
          </cell>
          <cell r="C309" t="str">
            <v>은행</v>
          </cell>
          <cell r="E309" t="str">
            <v>신한은행</v>
          </cell>
          <cell r="H309">
            <v>40</v>
          </cell>
          <cell r="I309">
            <v>13080</v>
          </cell>
        </row>
        <row r="310">
          <cell r="A310" t="str">
            <v>직접대출</v>
          </cell>
          <cell r="C310" t="str">
            <v>은행</v>
          </cell>
          <cell r="E310" t="str">
            <v>신한은행</v>
          </cell>
          <cell r="H310">
            <v>1000</v>
          </cell>
          <cell r="I310">
            <v>2691</v>
          </cell>
        </row>
        <row r="311">
          <cell r="A311" t="str">
            <v>직접대출</v>
          </cell>
          <cell r="C311" t="str">
            <v>은행</v>
          </cell>
          <cell r="E311" t="str">
            <v>신한은행</v>
          </cell>
          <cell r="H311">
            <v>23</v>
          </cell>
          <cell r="I311">
            <v>55000</v>
          </cell>
        </row>
        <row r="312">
          <cell r="A312" t="str">
            <v>직접대출</v>
          </cell>
          <cell r="C312" t="str">
            <v>은행</v>
          </cell>
          <cell r="E312" t="str">
            <v>신한은행</v>
          </cell>
          <cell r="H312">
            <v>13</v>
          </cell>
          <cell r="I312">
            <v>7000</v>
          </cell>
        </row>
        <row r="313">
          <cell r="A313" t="str">
            <v>직접대출</v>
          </cell>
          <cell r="C313" t="str">
            <v>은행</v>
          </cell>
          <cell r="E313" t="str">
            <v>신한은행</v>
          </cell>
          <cell r="H313">
            <v>108</v>
          </cell>
          <cell r="I313">
            <v>55000</v>
          </cell>
        </row>
        <row r="314">
          <cell r="A314" t="str">
            <v>직접대출</v>
          </cell>
          <cell r="C314" t="str">
            <v>은행</v>
          </cell>
          <cell r="E314" t="str">
            <v>신한은행</v>
          </cell>
          <cell r="H314">
            <v>1000</v>
          </cell>
          <cell r="I314">
            <v>11300</v>
          </cell>
        </row>
        <row r="315">
          <cell r="A315" t="str">
            <v>직접대출</v>
          </cell>
          <cell r="C315" t="str">
            <v>은행</v>
          </cell>
          <cell r="E315" t="str">
            <v>신한은행</v>
          </cell>
          <cell r="H315">
            <v>1000</v>
          </cell>
          <cell r="I315">
            <v>10000</v>
          </cell>
        </row>
        <row r="316">
          <cell r="A316" t="str">
            <v>직접대출</v>
          </cell>
          <cell r="C316" t="str">
            <v>은행</v>
          </cell>
          <cell r="E316" t="str">
            <v>신한은행</v>
          </cell>
          <cell r="H316">
            <v>3</v>
          </cell>
          <cell r="I316">
            <v>1300</v>
          </cell>
        </row>
        <row r="317">
          <cell r="A317" t="str">
            <v>직접대출</v>
          </cell>
          <cell r="C317" t="str">
            <v>은행</v>
          </cell>
          <cell r="E317" t="str">
            <v>신한은행</v>
          </cell>
          <cell r="H317">
            <v>83</v>
          </cell>
          <cell r="I317">
            <v>12100</v>
          </cell>
        </row>
        <row r="318">
          <cell r="A318" t="str">
            <v>직접대출</v>
          </cell>
          <cell r="C318" t="str">
            <v>은행</v>
          </cell>
          <cell r="E318" t="str">
            <v>신한은행</v>
          </cell>
          <cell r="H318">
            <v>94</v>
          </cell>
          <cell r="I318">
            <v>11000</v>
          </cell>
        </row>
        <row r="319">
          <cell r="A319" t="str">
            <v>직접대출</v>
          </cell>
          <cell r="C319" t="str">
            <v>은행</v>
          </cell>
          <cell r="E319" t="str">
            <v>신한은행</v>
          </cell>
          <cell r="H319">
            <v>22</v>
          </cell>
          <cell r="I319">
            <v>20000</v>
          </cell>
        </row>
        <row r="320">
          <cell r="A320" t="str">
            <v>직접대출</v>
          </cell>
          <cell r="C320" t="str">
            <v>은행</v>
          </cell>
          <cell r="E320" t="str">
            <v>신한은행</v>
          </cell>
          <cell r="H320">
            <v>138</v>
          </cell>
          <cell r="I320">
            <v>20000</v>
          </cell>
        </row>
        <row r="321">
          <cell r="A321" t="str">
            <v>직접대출</v>
          </cell>
          <cell r="C321" t="str">
            <v>은행</v>
          </cell>
          <cell r="E321" t="str">
            <v>신한은행</v>
          </cell>
          <cell r="H321">
            <v>1000</v>
          </cell>
          <cell r="I321">
            <v>2449</v>
          </cell>
        </row>
        <row r="322">
          <cell r="A322" t="str">
            <v>직접대출</v>
          </cell>
          <cell r="C322" t="str">
            <v>은행</v>
          </cell>
          <cell r="E322" t="str">
            <v>신한은행</v>
          </cell>
          <cell r="H322">
            <v>14</v>
          </cell>
          <cell r="I322">
            <v>6181</v>
          </cell>
        </row>
        <row r="323">
          <cell r="A323" t="str">
            <v>직접대출</v>
          </cell>
          <cell r="C323" t="str">
            <v>은행</v>
          </cell>
          <cell r="E323" t="str">
            <v>신한은행</v>
          </cell>
          <cell r="H323">
            <v>62</v>
          </cell>
          <cell r="I323">
            <v>15000</v>
          </cell>
        </row>
        <row r="324">
          <cell r="A324" t="str">
            <v>직접대출</v>
          </cell>
          <cell r="C324" t="str">
            <v>은행</v>
          </cell>
          <cell r="E324" t="str">
            <v>신한은행</v>
          </cell>
          <cell r="H324">
            <v>174</v>
          </cell>
          <cell r="I324">
            <v>74000</v>
          </cell>
        </row>
        <row r="325">
          <cell r="A325" t="str">
            <v>직접대출</v>
          </cell>
          <cell r="C325" t="str">
            <v>은행</v>
          </cell>
          <cell r="E325" t="str">
            <v>신한은행</v>
          </cell>
          <cell r="H325">
            <v>78</v>
          </cell>
          <cell r="I325">
            <v>13496</v>
          </cell>
        </row>
        <row r="326">
          <cell r="A326" t="str">
            <v>직접대출</v>
          </cell>
          <cell r="C326" t="str">
            <v>은행</v>
          </cell>
          <cell r="E326" t="str">
            <v>신한은행</v>
          </cell>
          <cell r="H326">
            <v>335</v>
          </cell>
          <cell r="I326">
            <v>5000</v>
          </cell>
        </row>
        <row r="327">
          <cell r="A327" t="str">
            <v>직접대출</v>
          </cell>
          <cell r="C327" t="str">
            <v>은행</v>
          </cell>
          <cell r="E327" t="str">
            <v>신한은행</v>
          </cell>
          <cell r="H327">
            <v>98</v>
          </cell>
          <cell r="I327">
            <v>41746</v>
          </cell>
        </row>
        <row r="328">
          <cell r="A328" t="str">
            <v>직접대출</v>
          </cell>
          <cell r="C328" t="str">
            <v>은행</v>
          </cell>
          <cell r="E328" t="str">
            <v>신한은행</v>
          </cell>
          <cell r="H328">
            <v>76</v>
          </cell>
          <cell r="I328">
            <v>95000</v>
          </cell>
        </row>
        <row r="329">
          <cell r="A329" t="str">
            <v>직접대출</v>
          </cell>
          <cell r="C329" t="str">
            <v>은행</v>
          </cell>
          <cell r="E329" t="str">
            <v>신한은행</v>
          </cell>
          <cell r="H329">
            <v>111</v>
          </cell>
          <cell r="I329">
            <v>16000</v>
          </cell>
        </row>
        <row r="330">
          <cell r="A330" t="str">
            <v>직접대출</v>
          </cell>
          <cell r="C330" t="str">
            <v>은행</v>
          </cell>
          <cell r="E330" t="str">
            <v>신한은행</v>
          </cell>
          <cell r="H330">
            <v>33</v>
          </cell>
          <cell r="I330">
            <v>11100</v>
          </cell>
        </row>
        <row r="331">
          <cell r="A331" t="str">
            <v>직접대출</v>
          </cell>
          <cell r="C331" t="str">
            <v>은행</v>
          </cell>
          <cell r="E331" t="str">
            <v>신한은행</v>
          </cell>
          <cell r="H331">
            <v>98</v>
          </cell>
          <cell r="I331">
            <v>48732</v>
          </cell>
        </row>
        <row r="332">
          <cell r="A332" t="str">
            <v>직접대출</v>
          </cell>
          <cell r="C332" t="str">
            <v>은행</v>
          </cell>
          <cell r="E332" t="str">
            <v>신한은행</v>
          </cell>
          <cell r="H332">
            <v>26</v>
          </cell>
          <cell r="I332">
            <v>0</v>
          </cell>
        </row>
        <row r="333">
          <cell r="A333" t="str">
            <v>직접대출</v>
          </cell>
          <cell r="C333" t="str">
            <v>은행</v>
          </cell>
          <cell r="E333" t="str">
            <v>신한은행</v>
          </cell>
          <cell r="H333">
            <v>30</v>
          </cell>
          <cell r="I333">
            <v>24302</v>
          </cell>
        </row>
        <row r="334">
          <cell r="A334" t="str">
            <v>직접대출</v>
          </cell>
          <cell r="C334" t="str">
            <v>은행</v>
          </cell>
          <cell r="E334" t="str">
            <v>신한은행</v>
          </cell>
          <cell r="H334">
            <v>17</v>
          </cell>
          <cell r="I334">
            <v>37800</v>
          </cell>
        </row>
        <row r="335">
          <cell r="A335" t="str">
            <v>직접대출</v>
          </cell>
          <cell r="C335" t="str">
            <v>은행</v>
          </cell>
          <cell r="E335" t="str">
            <v>신한은행</v>
          </cell>
          <cell r="H335">
            <v>174</v>
          </cell>
          <cell r="I335">
            <v>44400</v>
          </cell>
        </row>
        <row r="336">
          <cell r="A336" t="str">
            <v>직접대출</v>
          </cell>
          <cell r="C336" t="str">
            <v>은행</v>
          </cell>
          <cell r="E336" t="str">
            <v>신한은행</v>
          </cell>
          <cell r="H336">
            <v>9</v>
          </cell>
          <cell r="I336">
            <v>42788</v>
          </cell>
        </row>
        <row r="337">
          <cell r="A337" t="str">
            <v>직접대출</v>
          </cell>
          <cell r="C337" t="str">
            <v>은행</v>
          </cell>
          <cell r="E337" t="str">
            <v>신한은행</v>
          </cell>
          <cell r="H337">
            <v>1000</v>
          </cell>
          <cell r="I337">
            <v>0</v>
          </cell>
        </row>
        <row r="338">
          <cell r="A338" t="str">
            <v>직접대출</v>
          </cell>
          <cell r="C338" t="str">
            <v>은행</v>
          </cell>
          <cell r="E338" t="str">
            <v>신한은행</v>
          </cell>
          <cell r="H338">
            <v>13</v>
          </cell>
          <cell r="I338">
            <v>60500</v>
          </cell>
        </row>
        <row r="339">
          <cell r="A339" t="str">
            <v>직접대출</v>
          </cell>
          <cell r="C339" t="str">
            <v>은행</v>
          </cell>
          <cell r="E339" t="str">
            <v>신한은행</v>
          </cell>
          <cell r="H339">
            <v>28</v>
          </cell>
          <cell r="I339">
            <v>30000</v>
          </cell>
        </row>
        <row r="340">
          <cell r="A340" t="str">
            <v>직접대출</v>
          </cell>
          <cell r="C340" t="str">
            <v>은행</v>
          </cell>
          <cell r="E340" t="str">
            <v>신한은행</v>
          </cell>
          <cell r="H340">
            <v>1000</v>
          </cell>
          <cell r="I340">
            <v>4000</v>
          </cell>
        </row>
        <row r="341">
          <cell r="A341" t="str">
            <v>직접대출</v>
          </cell>
          <cell r="C341" t="str">
            <v>은행</v>
          </cell>
          <cell r="E341" t="str">
            <v>신한은행</v>
          </cell>
          <cell r="H341">
            <v>32</v>
          </cell>
          <cell r="I341">
            <v>43750</v>
          </cell>
        </row>
        <row r="342">
          <cell r="A342" t="str">
            <v>직접대출</v>
          </cell>
          <cell r="C342" t="str">
            <v>은행</v>
          </cell>
          <cell r="E342" t="str">
            <v>신한은행</v>
          </cell>
          <cell r="H342">
            <v>9</v>
          </cell>
          <cell r="I342">
            <v>8283</v>
          </cell>
        </row>
        <row r="343">
          <cell r="A343" t="str">
            <v>직접대출</v>
          </cell>
          <cell r="C343" t="str">
            <v>은행</v>
          </cell>
          <cell r="E343" t="str">
            <v>신한은행</v>
          </cell>
          <cell r="H343">
            <v>79</v>
          </cell>
          <cell r="I343">
            <v>11000</v>
          </cell>
        </row>
        <row r="344">
          <cell r="A344" t="str">
            <v>직접대출</v>
          </cell>
          <cell r="C344" t="str">
            <v>은행</v>
          </cell>
          <cell r="E344" t="str">
            <v>신한은행</v>
          </cell>
          <cell r="H344">
            <v>98</v>
          </cell>
          <cell r="I344">
            <v>25000</v>
          </cell>
        </row>
        <row r="345">
          <cell r="A345" t="str">
            <v>직접대출</v>
          </cell>
          <cell r="C345" t="str">
            <v>은행</v>
          </cell>
          <cell r="E345" t="str">
            <v>신한은행</v>
          </cell>
          <cell r="H345">
            <v>1000</v>
          </cell>
          <cell r="I345">
            <v>11200</v>
          </cell>
        </row>
        <row r="346">
          <cell r="A346" t="str">
            <v>직접대출</v>
          </cell>
          <cell r="C346" t="str">
            <v>은행</v>
          </cell>
          <cell r="E346" t="str">
            <v>신한은행</v>
          </cell>
          <cell r="H346">
            <v>410</v>
          </cell>
          <cell r="I346">
            <v>50000</v>
          </cell>
        </row>
        <row r="347">
          <cell r="A347" t="str">
            <v>직접대출</v>
          </cell>
          <cell r="C347" t="str">
            <v>은행</v>
          </cell>
          <cell r="E347" t="str">
            <v>신한은행</v>
          </cell>
          <cell r="H347">
            <v>18</v>
          </cell>
          <cell r="I347">
            <v>45000</v>
          </cell>
        </row>
        <row r="348">
          <cell r="A348" t="str">
            <v>직접대출</v>
          </cell>
          <cell r="C348" t="str">
            <v>은행</v>
          </cell>
          <cell r="E348" t="str">
            <v>신한은행</v>
          </cell>
          <cell r="H348">
            <v>1000</v>
          </cell>
          <cell r="I348">
            <v>0</v>
          </cell>
        </row>
        <row r="349">
          <cell r="A349" t="str">
            <v>직접대출</v>
          </cell>
          <cell r="C349" t="str">
            <v>은행</v>
          </cell>
          <cell r="E349" t="str">
            <v>신한은행</v>
          </cell>
          <cell r="H349">
            <v>1000</v>
          </cell>
          <cell r="I349">
            <v>0</v>
          </cell>
        </row>
        <row r="350">
          <cell r="A350" t="str">
            <v>직접대출</v>
          </cell>
          <cell r="C350" t="str">
            <v>은행</v>
          </cell>
          <cell r="E350" t="str">
            <v>신한은행</v>
          </cell>
          <cell r="H350">
            <v>66</v>
          </cell>
          <cell r="I350">
            <v>26950</v>
          </cell>
        </row>
        <row r="351">
          <cell r="A351" t="str">
            <v>직접대출</v>
          </cell>
          <cell r="C351" t="str">
            <v>은행</v>
          </cell>
          <cell r="E351" t="str">
            <v>신한은행</v>
          </cell>
          <cell r="H351">
            <v>1000</v>
          </cell>
          <cell r="I351">
            <v>0</v>
          </cell>
        </row>
        <row r="352">
          <cell r="A352" t="str">
            <v>직접대출</v>
          </cell>
          <cell r="C352" t="str">
            <v>은행</v>
          </cell>
          <cell r="E352" t="str">
            <v>신한은행</v>
          </cell>
          <cell r="H352">
            <v>112</v>
          </cell>
          <cell r="I352">
            <v>3000</v>
          </cell>
        </row>
        <row r="353">
          <cell r="A353" t="str">
            <v>직접대출</v>
          </cell>
          <cell r="C353" t="str">
            <v>은행</v>
          </cell>
          <cell r="E353" t="str">
            <v>신한은행</v>
          </cell>
          <cell r="H353">
            <v>108</v>
          </cell>
          <cell r="I353">
            <v>30000</v>
          </cell>
        </row>
        <row r="354">
          <cell r="A354" t="str">
            <v>직접대출</v>
          </cell>
          <cell r="C354" t="str">
            <v>은행</v>
          </cell>
          <cell r="E354" t="str">
            <v>신한은행</v>
          </cell>
          <cell r="H354">
            <v>77</v>
          </cell>
          <cell r="I354">
            <v>18000</v>
          </cell>
        </row>
        <row r="355">
          <cell r="A355" t="str">
            <v>직접대출</v>
          </cell>
          <cell r="C355" t="str">
            <v>은행</v>
          </cell>
          <cell r="E355" t="str">
            <v>신한은행</v>
          </cell>
          <cell r="H355">
            <v>79</v>
          </cell>
          <cell r="I355">
            <v>40000</v>
          </cell>
        </row>
        <row r="356">
          <cell r="A356" t="str">
            <v>직접대출</v>
          </cell>
          <cell r="C356" t="str">
            <v>은행</v>
          </cell>
          <cell r="E356" t="str">
            <v>신한은행</v>
          </cell>
          <cell r="H356">
            <v>1000</v>
          </cell>
          <cell r="I356">
            <v>30000</v>
          </cell>
        </row>
        <row r="357">
          <cell r="A357" t="str">
            <v>직접대출</v>
          </cell>
          <cell r="C357" t="str">
            <v>은행</v>
          </cell>
          <cell r="E357" t="str">
            <v>신한은행</v>
          </cell>
          <cell r="H357">
            <v>78</v>
          </cell>
          <cell r="I357">
            <v>15000</v>
          </cell>
        </row>
        <row r="358">
          <cell r="A358" t="str">
            <v>직접대출</v>
          </cell>
          <cell r="C358" t="str">
            <v>은행</v>
          </cell>
          <cell r="E358" t="str">
            <v>신한은행</v>
          </cell>
          <cell r="H358">
            <v>30</v>
          </cell>
          <cell r="I358">
            <v>10000</v>
          </cell>
        </row>
        <row r="359">
          <cell r="A359" t="str">
            <v>직접대출</v>
          </cell>
          <cell r="C359" t="str">
            <v>은행</v>
          </cell>
          <cell r="E359" t="str">
            <v>신한은행</v>
          </cell>
          <cell r="H359">
            <v>155</v>
          </cell>
          <cell r="I359">
            <v>20000</v>
          </cell>
        </row>
        <row r="360">
          <cell r="A360" t="str">
            <v>직접대출</v>
          </cell>
          <cell r="C360" t="str">
            <v>은행</v>
          </cell>
          <cell r="E360" t="str">
            <v>신한은행</v>
          </cell>
          <cell r="H360">
            <v>165</v>
          </cell>
          <cell r="I360">
            <v>20000</v>
          </cell>
        </row>
        <row r="361">
          <cell r="A361" t="str">
            <v>직접대출</v>
          </cell>
          <cell r="C361" t="str">
            <v>은행</v>
          </cell>
          <cell r="E361" t="str">
            <v>신한은행</v>
          </cell>
          <cell r="H361">
            <v>1000</v>
          </cell>
          <cell r="I361">
            <v>3150</v>
          </cell>
        </row>
        <row r="362">
          <cell r="A362" t="str">
            <v>직접대출</v>
          </cell>
          <cell r="C362" t="str">
            <v>은행</v>
          </cell>
          <cell r="E362" t="str">
            <v>신한은행</v>
          </cell>
          <cell r="H362">
            <v>12</v>
          </cell>
          <cell r="I362">
            <v>9481</v>
          </cell>
        </row>
        <row r="363">
          <cell r="A363" t="str">
            <v>직접대출</v>
          </cell>
          <cell r="C363" t="str">
            <v>은행</v>
          </cell>
          <cell r="E363" t="str">
            <v>신한은행</v>
          </cell>
          <cell r="H363">
            <v>66</v>
          </cell>
          <cell r="I363">
            <v>28800</v>
          </cell>
        </row>
        <row r="364">
          <cell r="A364" t="str">
            <v>직접대출</v>
          </cell>
          <cell r="C364" t="str">
            <v>은행</v>
          </cell>
          <cell r="E364" t="str">
            <v>신한은행</v>
          </cell>
          <cell r="H364">
            <v>1000</v>
          </cell>
          <cell r="I364">
            <v>56300</v>
          </cell>
        </row>
        <row r="365">
          <cell r="A365" t="str">
            <v>직접대출</v>
          </cell>
          <cell r="C365" t="str">
            <v>은행</v>
          </cell>
          <cell r="E365" t="str">
            <v>신한은행</v>
          </cell>
          <cell r="H365">
            <v>48</v>
          </cell>
          <cell r="I365">
            <v>15400</v>
          </cell>
        </row>
        <row r="366">
          <cell r="A366" t="str">
            <v>직접대출</v>
          </cell>
          <cell r="C366" t="str">
            <v>은행</v>
          </cell>
          <cell r="E366" t="str">
            <v>신한은행</v>
          </cell>
          <cell r="H366">
            <v>17</v>
          </cell>
          <cell r="I366">
            <v>56100</v>
          </cell>
        </row>
        <row r="367">
          <cell r="A367" t="str">
            <v>직접대출</v>
          </cell>
          <cell r="C367" t="str">
            <v>은행</v>
          </cell>
          <cell r="E367" t="str">
            <v>신한은행</v>
          </cell>
          <cell r="H367">
            <v>46</v>
          </cell>
          <cell r="I367">
            <v>32000</v>
          </cell>
        </row>
        <row r="368">
          <cell r="A368" t="str">
            <v>직접대출</v>
          </cell>
          <cell r="C368" t="str">
            <v>은행</v>
          </cell>
          <cell r="E368" t="str">
            <v>신한은행</v>
          </cell>
          <cell r="H368">
            <v>1</v>
          </cell>
          <cell r="I368">
            <v>9000</v>
          </cell>
        </row>
        <row r="369">
          <cell r="A369" t="str">
            <v>직접대출</v>
          </cell>
          <cell r="C369" t="str">
            <v>은행</v>
          </cell>
          <cell r="E369" t="str">
            <v>신한은행</v>
          </cell>
          <cell r="H369">
            <v>39</v>
          </cell>
          <cell r="I369">
            <v>70000</v>
          </cell>
        </row>
        <row r="370">
          <cell r="A370" t="str">
            <v>직접대출</v>
          </cell>
          <cell r="C370" t="str">
            <v>은행</v>
          </cell>
          <cell r="E370" t="str">
            <v>신한은행</v>
          </cell>
          <cell r="H370">
            <v>32</v>
          </cell>
          <cell r="I370">
            <v>17800</v>
          </cell>
        </row>
        <row r="371">
          <cell r="A371" t="str">
            <v>직접대출</v>
          </cell>
          <cell r="C371" t="str">
            <v>은행</v>
          </cell>
          <cell r="E371" t="str">
            <v>신한은행</v>
          </cell>
          <cell r="H371">
            <v>21</v>
          </cell>
          <cell r="I371">
            <v>1870</v>
          </cell>
        </row>
        <row r="372">
          <cell r="A372" t="str">
            <v>직접대출</v>
          </cell>
          <cell r="C372" t="str">
            <v>은행</v>
          </cell>
          <cell r="E372" t="str">
            <v>신한은행</v>
          </cell>
          <cell r="H372">
            <v>1</v>
          </cell>
          <cell r="I372">
            <v>19455</v>
          </cell>
        </row>
        <row r="373">
          <cell r="A373" t="str">
            <v>직접대출</v>
          </cell>
          <cell r="C373" t="str">
            <v>은행</v>
          </cell>
          <cell r="E373" t="str">
            <v>신한은행</v>
          </cell>
          <cell r="H373">
            <v>1</v>
          </cell>
          <cell r="I373">
            <v>17450</v>
          </cell>
        </row>
        <row r="374">
          <cell r="A374" t="str">
            <v>직접대출</v>
          </cell>
          <cell r="C374" t="str">
            <v>은행</v>
          </cell>
          <cell r="E374" t="str">
            <v>신한은행</v>
          </cell>
          <cell r="H374">
            <v>14</v>
          </cell>
          <cell r="I374">
            <v>13000</v>
          </cell>
        </row>
        <row r="375">
          <cell r="A375" t="str">
            <v>직접대출</v>
          </cell>
          <cell r="C375" t="str">
            <v>은행</v>
          </cell>
          <cell r="E375" t="str">
            <v>신한은행</v>
          </cell>
          <cell r="H375">
            <v>73</v>
          </cell>
          <cell r="I375">
            <v>50000</v>
          </cell>
        </row>
        <row r="376">
          <cell r="A376" t="str">
            <v>직접대출</v>
          </cell>
          <cell r="C376" t="str">
            <v>은행</v>
          </cell>
          <cell r="E376" t="str">
            <v>신한은행</v>
          </cell>
          <cell r="H376">
            <v>1000</v>
          </cell>
          <cell r="I376">
            <v>0</v>
          </cell>
        </row>
        <row r="377">
          <cell r="A377" t="str">
            <v>직접대출</v>
          </cell>
          <cell r="C377" t="str">
            <v>은행</v>
          </cell>
          <cell r="E377" t="str">
            <v>신한은행</v>
          </cell>
          <cell r="H377">
            <v>4</v>
          </cell>
          <cell r="I377">
            <v>120000</v>
          </cell>
        </row>
        <row r="378">
          <cell r="A378" t="str">
            <v>직접대출</v>
          </cell>
          <cell r="C378" t="str">
            <v>은행</v>
          </cell>
          <cell r="E378" t="str">
            <v>신한은행</v>
          </cell>
          <cell r="H378">
            <v>10</v>
          </cell>
          <cell r="I378">
            <v>24000</v>
          </cell>
        </row>
        <row r="379">
          <cell r="A379" t="str">
            <v>직접대출</v>
          </cell>
          <cell r="C379" t="str">
            <v>은행</v>
          </cell>
          <cell r="E379" t="str">
            <v>신한은행</v>
          </cell>
          <cell r="H379">
            <v>10</v>
          </cell>
          <cell r="I379">
            <v>0</v>
          </cell>
        </row>
        <row r="380">
          <cell r="A380" t="str">
            <v>직접대출</v>
          </cell>
          <cell r="C380" t="str">
            <v>은행</v>
          </cell>
          <cell r="E380" t="str">
            <v>신한은행</v>
          </cell>
          <cell r="H380">
            <v>142</v>
          </cell>
          <cell r="I380">
            <v>4587</v>
          </cell>
        </row>
        <row r="381">
          <cell r="A381" t="str">
            <v>직접대출</v>
          </cell>
          <cell r="C381" t="str">
            <v>은행</v>
          </cell>
          <cell r="E381" t="str">
            <v>신한은행</v>
          </cell>
          <cell r="H381">
            <v>168</v>
          </cell>
          <cell r="I381">
            <v>10000</v>
          </cell>
        </row>
        <row r="382">
          <cell r="A382" t="str">
            <v>직접대출</v>
          </cell>
          <cell r="C382" t="str">
            <v>은행</v>
          </cell>
          <cell r="E382" t="str">
            <v>신한은행</v>
          </cell>
          <cell r="H382">
            <v>1000</v>
          </cell>
          <cell r="I382">
            <v>0</v>
          </cell>
        </row>
        <row r="383">
          <cell r="A383" t="str">
            <v>직접대출</v>
          </cell>
          <cell r="C383" t="str">
            <v>은행</v>
          </cell>
          <cell r="E383" t="str">
            <v>신한은행</v>
          </cell>
          <cell r="H383">
            <v>10</v>
          </cell>
          <cell r="I383">
            <v>0</v>
          </cell>
        </row>
        <row r="384">
          <cell r="A384" t="str">
            <v>직접대출</v>
          </cell>
          <cell r="C384" t="str">
            <v>은행</v>
          </cell>
          <cell r="E384" t="str">
            <v>신한은행</v>
          </cell>
          <cell r="H384">
            <v>9</v>
          </cell>
          <cell r="I384">
            <v>9000</v>
          </cell>
        </row>
        <row r="385">
          <cell r="A385" t="str">
            <v>직접대출</v>
          </cell>
          <cell r="C385" t="str">
            <v>은행</v>
          </cell>
          <cell r="E385" t="str">
            <v>신한은행</v>
          </cell>
          <cell r="H385">
            <v>1000</v>
          </cell>
          <cell r="I385">
            <v>5600</v>
          </cell>
        </row>
        <row r="386">
          <cell r="A386" t="str">
            <v>직접대출</v>
          </cell>
          <cell r="C386" t="str">
            <v>은행</v>
          </cell>
          <cell r="E386" t="str">
            <v>전북은행</v>
          </cell>
          <cell r="H386">
            <v>6</v>
          </cell>
          <cell r="I386">
            <v>0</v>
          </cell>
        </row>
        <row r="387">
          <cell r="A387" t="str">
            <v>직접대출</v>
          </cell>
          <cell r="C387" t="str">
            <v>은행</v>
          </cell>
          <cell r="E387" t="str">
            <v>전북은행</v>
          </cell>
          <cell r="H387">
            <v>167</v>
          </cell>
          <cell r="I387">
            <v>20000</v>
          </cell>
        </row>
        <row r="388">
          <cell r="A388" t="str">
            <v>직접대출</v>
          </cell>
          <cell r="C388" t="str">
            <v>은행</v>
          </cell>
          <cell r="E388" t="str">
            <v>전북은행</v>
          </cell>
          <cell r="H388">
            <v>6</v>
          </cell>
          <cell r="I388">
            <v>0</v>
          </cell>
        </row>
        <row r="389">
          <cell r="A389" t="str">
            <v>직접대출</v>
          </cell>
          <cell r="C389" t="str">
            <v>은행</v>
          </cell>
          <cell r="E389" t="str">
            <v>전북은행</v>
          </cell>
          <cell r="H389">
            <v>13</v>
          </cell>
          <cell r="I389">
            <v>4235</v>
          </cell>
        </row>
        <row r="390">
          <cell r="A390" t="str">
            <v>직접대출</v>
          </cell>
          <cell r="C390" t="str">
            <v>은행</v>
          </cell>
          <cell r="E390" t="str">
            <v>제주은행</v>
          </cell>
          <cell r="H390">
            <v>51</v>
          </cell>
          <cell r="I390">
            <v>3850</v>
          </cell>
        </row>
        <row r="391">
          <cell r="A391" t="str">
            <v>직접대출</v>
          </cell>
          <cell r="C391" t="str">
            <v>은행</v>
          </cell>
          <cell r="E391" t="str">
            <v>제주은행</v>
          </cell>
          <cell r="H391">
            <v>123</v>
          </cell>
          <cell r="I391">
            <v>2400</v>
          </cell>
        </row>
        <row r="392">
          <cell r="A392" t="str">
            <v>직접대출</v>
          </cell>
          <cell r="C392" t="str">
            <v>은행</v>
          </cell>
          <cell r="E392" t="str">
            <v>제주은행</v>
          </cell>
          <cell r="H392">
            <v>79</v>
          </cell>
          <cell r="I392">
            <v>4646</v>
          </cell>
        </row>
        <row r="393">
          <cell r="A393" t="str">
            <v>직접대출</v>
          </cell>
          <cell r="C393" t="str">
            <v>은행</v>
          </cell>
          <cell r="E393" t="str">
            <v>제주은행</v>
          </cell>
          <cell r="H393">
            <v>54</v>
          </cell>
          <cell r="I393">
            <v>5356</v>
          </cell>
        </row>
        <row r="394">
          <cell r="A394" t="str">
            <v>직접대출</v>
          </cell>
          <cell r="C394" t="str">
            <v>은행</v>
          </cell>
          <cell r="E394" t="str">
            <v>제주은행</v>
          </cell>
          <cell r="H394">
            <v>179</v>
          </cell>
          <cell r="I394">
            <v>6300</v>
          </cell>
        </row>
        <row r="395">
          <cell r="A395" t="str">
            <v>직접대출</v>
          </cell>
          <cell r="C395" t="str">
            <v>은행</v>
          </cell>
          <cell r="E395" t="str">
            <v>제주은행</v>
          </cell>
          <cell r="H395">
            <v>141</v>
          </cell>
          <cell r="I395">
            <v>500</v>
          </cell>
        </row>
        <row r="396">
          <cell r="A396" t="str">
            <v>직접대출</v>
          </cell>
          <cell r="C396" t="str">
            <v>은행</v>
          </cell>
          <cell r="E396" t="str">
            <v>제주은행</v>
          </cell>
          <cell r="H396">
            <v>14</v>
          </cell>
          <cell r="I396">
            <v>10000</v>
          </cell>
        </row>
        <row r="397">
          <cell r="A397" t="str">
            <v>직접대출</v>
          </cell>
          <cell r="C397" t="str">
            <v>은행</v>
          </cell>
          <cell r="E397" t="str">
            <v>제주은행</v>
          </cell>
          <cell r="H397">
            <v>78</v>
          </cell>
          <cell r="I397">
            <v>1833</v>
          </cell>
        </row>
        <row r="398">
          <cell r="A398" t="str">
            <v>직접대출</v>
          </cell>
          <cell r="C398" t="str">
            <v>은행</v>
          </cell>
          <cell r="E398" t="str">
            <v>제주은행</v>
          </cell>
          <cell r="H398">
            <v>1</v>
          </cell>
          <cell r="I398">
            <v>0</v>
          </cell>
        </row>
        <row r="399">
          <cell r="A399" t="str">
            <v>직접대출</v>
          </cell>
          <cell r="C399" t="str">
            <v>은행</v>
          </cell>
          <cell r="E399" t="str">
            <v>제주은행</v>
          </cell>
          <cell r="H399">
            <v>13</v>
          </cell>
          <cell r="I399">
            <v>20000</v>
          </cell>
        </row>
        <row r="400">
          <cell r="A400" t="str">
            <v>직접대출</v>
          </cell>
          <cell r="C400" t="str">
            <v>은행</v>
          </cell>
          <cell r="E400" t="str">
            <v>제주은행</v>
          </cell>
          <cell r="H400">
            <v>17</v>
          </cell>
          <cell r="I400">
            <v>8000</v>
          </cell>
        </row>
        <row r="401">
          <cell r="A401" t="str">
            <v>직접대출</v>
          </cell>
          <cell r="C401" t="str">
            <v>은행</v>
          </cell>
          <cell r="E401" t="str">
            <v>제주은행</v>
          </cell>
          <cell r="H401">
            <v>105</v>
          </cell>
          <cell r="I401">
            <v>11040</v>
          </cell>
        </row>
        <row r="402">
          <cell r="A402" t="str">
            <v>직접대출</v>
          </cell>
          <cell r="C402" t="str">
            <v>은행</v>
          </cell>
          <cell r="E402" t="str">
            <v>제주은행</v>
          </cell>
          <cell r="H402">
            <v>12</v>
          </cell>
          <cell r="I402">
            <v>0</v>
          </cell>
        </row>
        <row r="403">
          <cell r="A403" t="str">
            <v>직접대출</v>
          </cell>
          <cell r="C403" t="str">
            <v>은행</v>
          </cell>
          <cell r="E403" t="str">
            <v>제주은행</v>
          </cell>
          <cell r="H403">
            <v>10</v>
          </cell>
          <cell r="I403">
            <v>15000</v>
          </cell>
        </row>
        <row r="404">
          <cell r="A404" t="str">
            <v>직접대출</v>
          </cell>
          <cell r="C404" t="str">
            <v>은행</v>
          </cell>
          <cell r="E404" t="str">
            <v>제주은행</v>
          </cell>
          <cell r="H404">
            <v>1000</v>
          </cell>
          <cell r="I404">
            <v>0</v>
          </cell>
        </row>
        <row r="405">
          <cell r="A405" t="str">
            <v>직접대출</v>
          </cell>
          <cell r="C405" t="str">
            <v>은행</v>
          </cell>
          <cell r="E405" t="str">
            <v>제주은행</v>
          </cell>
          <cell r="H405">
            <v>45</v>
          </cell>
          <cell r="I405">
            <v>4420</v>
          </cell>
        </row>
        <row r="406">
          <cell r="A406" t="str">
            <v>직접대출</v>
          </cell>
          <cell r="C406" t="str">
            <v>은행</v>
          </cell>
          <cell r="E406" t="str">
            <v>제주은행</v>
          </cell>
          <cell r="H406">
            <v>141</v>
          </cell>
          <cell r="I406">
            <v>8150</v>
          </cell>
        </row>
        <row r="407">
          <cell r="A407" t="str">
            <v>직접대출</v>
          </cell>
          <cell r="C407" t="str">
            <v>은행</v>
          </cell>
          <cell r="E407" t="str">
            <v>제주은행</v>
          </cell>
          <cell r="H407">
            <v>61</v>
          </cell>
          <cell r="I407">
            <v>7143</v>
          </cell>
        </row>
        <row r="408">
          <cell r="A408" t="str">
            <v>직접대출</v>
          </cell>
          <cell r="C408" t="str">
            <v>은행</v>
          </cell>
          <cell r="E408" t="str">
            <v>제주은행</v>
          </cell>
          <cell r="H408">
            <v>22</v>
          </cell>
          <cell r="I408">
            <v>7000</v>
          </cell>
        </row>
        <row r="409">
          <cell r="A409" t="str">
            <v>직접대출</v>
          </cell>
          <cell r="C409" t="str">
            <v>은행</v>
          </cell>
          <cell r="E409" t="str">
            <v>제주은행</v>
          </cell>
          <cell r="H409">
            <v>1000</v>
          </cell>
          <cell r="I409">
            <v>0</v>
          </cell>
        </row>
        <row r="410">
          <cell r="A410" t="str">
            <v>직접대출</v>
          </cell>
          <cell r="C410" t="str">
            <v>은행</v>
          </cell>
          <cell r="E410" t="str">
            <v>SC제일은행</v>
          </cell>
          <cell r="H410">
            <v>97</v>
          </cell>
          <cell r="I410">
            <v>9000</v>
          </cell>
        </row>
        <row r="411">
          <cell r="A411" t="str">
            <v>직접대출</v>
          </cell>
          <cell r="C411" t="str">
            <v>은행</v>
          </cell>
          <cell r="E411" t="str">
            <v>SC제일은행</v>
          </cell>
          <cell r="H411">
            <v>10</v>
          </cell>
          <cell r="I411">
            <v>25000</v>
          </cell>
        </row>
        <row r="412">
          <cell r="A412" t="str">
            <v>직접대출</v>
          </cell>
          <cell r="C412" t="str">
            <v>은행</v>
          </cell>
          <cell r="E412" t="str">
            <v>SC제일은행</v>
          </cell>
          <cell r="H412">
            <v>3</v>
          </cell>
          <cell r="I412">
            <v>67900</v>
          </cell>
        </row>
        <row r="413">
          <cell r="A413" t="str">
            <v>직접대출</v>
          </cell>
          <cell r="C413" t="str">
            <v>은행</v>
          </cell>
          <cell r="E413" t="str">
            <v>SC제일은행</v>
          </cell>
          <cell r="H413">
            <v>5</v>
          </cell>
          <cell r="I413">
            <v>54000</v>
          </cell>
        </row>
        <row r="414">
          <cell r="A414" t="str">
            <v>직접대출</v>
          </cell>
          <cell r="C414" t="str">
            <v>은행</v>
          </cell>
          <cell r="E414" t="str">
            <v>SC제일은행</v>
          </cell>
          <cell r="H414">
            <v>10</v>
          </cell>
          <cell r="I414">
            <v>68000</v>
          </cell>
        </row>
        <row r="415">
          <cell r="A415" t="str">
            <v>직접대출</v>
          </cell>
          <cell r="C415" t="str">
            <v>은행</v>
          </cell>
          <cell r="E415" t="str">
            <v>SC제일은행</v>
          </cell>
          <cell r="H415">
            <v>7</v>
          </cell>
          <cell r="I415">
            <v>52000</v>
          </cell>
        </row>
        <row r="416">
          <cell r="A416" t="str">
            <v>직접대출</v>
          </cell>
          <cell r="C416" t="str">
            <v>은행</v>
          </cell>
          <cell r="E416" t="str">
            <v>SC제일은행</v>
          </cell>
          <cell r="H416">
            <v>7</v>
          </cell>
          <cell r="I416">
            <v>70024</v>
          </cell>
        </row>
        <row r="417">
          <cell r="A417" t="str">
            <v>직접대출</v>
          </cell>
          <cell r="C417" t="str">
            <v>은행</v>
          </cell>
          <cell r="E417" t="str">
            <v>하나은행</v>
          </cell>
          <cell r="H417">
            <v>2</v>
          </cell>
          <cell r="I417">
            <v>13300</v>
          </cell>
        </row>
        <row r="418">
          <cell r="A418" t="str">
            <v>직접대출</v>
          </cell>
          <cell r="C418" t="str">
            <v>은행</v>
          </cell>
          <cell r="E418" t="str">
            <v>하나은행</v>
          </cell>
          <cell r="H418">
            <v>169</v>
          </cell>
          <cell r="I418">
            <v>15000</v>
          </cell>
        </row>
        <row r="419">
          <cell r="A419" t="str">
            <v>직접대출</v>
          </cell>
          <cell r="C419" t="str">
            <v>은행</v>
          </cell>
          <cell r="E419" t="str">
            <v>하나은행</v>
          </cell>
          <cell r="H419">
            <v>24</v>
          </cell>
          <cell r="I419">
            <v>20319</v>
          </cell>
        </row>
        <row r="420">
          <cell r="A420" t="str">
            <v>직접대출</v>
          </cell>
          <cell r="C420" t="str">
            <v>은행</v>
          </cell>
          <cell r="E420" t="str">
            <v>하나은행</v>
          </cell>
          <cell r="H420">
            <v>76</v>
          </cell>
          <cell r="I420">
            <v>25000</v>
          </cell>
        </row>
        <row r="421">
          <cell r="A421" t="str">
            <v>직접대출</v>
          </cell>
          <cell r="C421" t="str">
            <v>은행</v>
          </cell>
          <cell r="E421" t="str">
            <v>하나은행</v>
          </cell>
          <cell r="H421">
            <v>138</v>
          </cell>
          <cell r="I421">
            <v>11200</v>
          </cell>
        </row>
        <row r="422">
          <cell r="A422" t="str">
            <v>직접대출</v>
          </cell>
          <cell r="C422" t="str">
            <v>은행</v>
          </cell>
          <cell r="E422" t="str">
            <v>하나은행</v>
          </cell>
          <cell r="H422">
            <v>3</v>
          </cell>
          <cell r="I422">
            <v>71000</v>
          </cell>
        </row>
        <row r="423">
          <cell r="A423" t="str">
            <v>직접대출</v>
          </cell>
          <cell r="C423" t="str">
            <v>은행</v>
          </cell>
          <cell r="E423" t="str">
            <v>하나은행</v>
          </cell>
          <cell r="H423">
            <v>10</v>
          </cell>
          <cell r="I423">
            <v>3000</v>
          </cell>
        </row>
        <row r="424">
          <cell r="A424" t="str">
            <v>직접대출</v>
          </cell>
          <cell r="C424" t="str">
            <v>은행</v>
          </cell>
          <cell r="E424" t="str">
            <v>하나은행</v>
          </cell>
          <cell r="H424">
            <v>71</v>
          </cell>
          <cell r="I424">
            <v>7000</v>
          </cell>
        </row>
        <row r="425">
          <cell r="A425" t="str">
            <v>직접대출</v>
          </cell>
          <cell r="C425" t="str">
            <v>은행</v>
          </cell>
          <cell r="E425" t="str">
            <v>하나은행</v>
          </cell>
          <cell r="H425">
            <v>3</v>
          </cell>
          <cell r="I425">
            <v>27800</v>
          </cell>
        </row>
        <row r="426">
          <cell r="A426" t="str">
            <v>직접대출</v>
          </cell>
          <cell r="C426" t="str">
            <v>은행</v>
          </cell>
          <cell r="E426" t="str">
            <v>하나은행</v>
          </cell>
          <cell r="H426">
            <v>98</v>
          </cell>
          <cell r="I426">
            <v>21800</v>
          </cell>
        </row>
        <row r="427">
          <cell r="A427" t="str">
            <v>직접대출</v>
          </cell>
          <cell r="C427" t="str">
            <v>은행</v>
          </cell>
          <cell r="E427" t="str">
            <v>하나은행</v>
          </cell>
          <cell r="H427">
            <v>13</v>
          </cell>
          <cell r="I427">
            <v>32000</v>
          </cell>
        </row>
        <row r="428">
          <cell r="A428" t="str">
            <v>직접대출</v>
          </cell>
          <cell r="C428" t="str">
            <v>은행</v>
          </cell>
          <cell r="E428" t="str">
            <v>하나은행</v>
          </cell>
          <cell r="H428">
            <v>1000</v>
          </cell>
          <cell r="I428">
            <v>5285</v>
          </cell>
        </row>
        <row r="429">
          <cell r="A429" t="str">
            <v>직접대출</v>
          </cell>
          <cell r="C429" t="str">
            <v>은행</v>
          </cell>
          <cell r="E429" t="str">
            <v>하나은행</v>
          </cell>
          <cell r="H429">
            <v>69</v>
          </cell>
          <cell r="I429">
            <v>24000</v>
          </cell>
        </row>
        <row r="430">
          <cell r="A430" t="str">
            <v>직접대출</v>
          </cell>
          <cell r="C430" t="str">
            <v>은행</v>
          </cell>
          <cell r="E430" t="str">
            <v>하나은행</v>
          </cell>
          <cell r="H430">
            <v>3</v>
          </cell>
          <cell r="I430">
            <v>0</v>
          </cell>
        </row>
        <row r="431">
          <cell r="A431" t="str">
            <v>직접대출</v>
          </cell>
          <cell r="C431" t="str">
            <v>은행</v>
          </cell>
          <cell r="E431" t="str">
            <v>하나은행</v>
          </cell>
          <cell r="H431">
            <v>1000</v>
          </cell>
          <cell r="I431">
            <v>0</v>
          </cell>
        </row>
        <row r="432">
          <cell r="A432" t="str">
            <v>직접대출</v>
          </cell>
          <cell r="C432" t="str">
            <v>은행</v>
          </cell>
          <cell r="E432" t="str">
            <v>하나은행</v>
          </cell>
          <cell r="H432">
            <v>87</v>
          </cell>
          <cell r="I432">
            <v>2200</v>
          </cell>
        </row>
        <row r="433">
          <cell r="A433" t="str">
            <v>직접대출</v>
          </cell>
          <cell r="C433" t="str">
            <v>은행</v>
          </cell>
          <cell r="E433" t="str">
            <v>하나은행</v>
          </cell>
          <cell r="H433">
            <v>48</v>
          </cell>
          <cell r="I433">
            <v>0</v>
          </cell>
        </row>
        <row r="434">
          <cell r="A434" t="str">
            <v>직접대출</v>
          </cell>
          <cell r="C434" t="str">
            <v>은행</v>
          </cell>
          <cell r="E434" t="str">
            <v>하나은행</v>
          </cell>
          <cell r="H434">
            <v>56</v>
          </cell>
          <cell r="I434">
            <v>51000</v>
          </cell>
        </row>
        <row r="435">
          <cell r="A435" t="str">
            <v>직접대출</v>
          </cell>
          <cell r="C435" t="str">
            <v>은행</v>
          </cell>
          <cell r="E435" t="str">
            <v>하나은행</v>
          </cell>
          <cell r="H435">
            <v>138</v>
          </cell>
          <cell r="I435">
            <v>10700</v>
          </cell>
        </row>
        <row r="436">
          <cell r="A436" t="str">
            <v>직접대출</v>
          </cell>
          <cell r="C436" t="str">
            <v>은행</v>
          </cell>
          <cell r="E436" t="str">
            <v>하나은행</v>
          </cell>
          <cell r="H436">
            <v>56</v>
          </cell>
          <cell r="I436">
            <v>34000</v>
          </cell>
        </row>
        <row r="437">
          <cell r="A437" t="str">
            <v>직접대출</v>
          </cell>
          <cell r="C437" t="str">
            <v>은행</v>
          </cell>
          <cell r="E437" t="str">
            <v>하나은행</v>
          </cell>
          <cell r="H437">
            <v>3</v>
          </cell>
          <cell r="I437">
            <v>68800</v>
          </cell>
        </row>
        <row r="438">
          <cell r="A438" t="str">
            <v>직접대출</v>
          </cell>
          <cell r="C438" t="str">
            <v>은행</v>
          </cell>
          <cell r="E438" t="str">
            <v>하나은행</v>
          </cell>
          <cell r="H438">
            <v>71</v>
          </cell>
          <cell r="I438">
            <v>12000</v>
          </cell>
        </row>
        <row r="439">
          <cell r="A439" t="str">
            <v>직접대출</v>
          </cell>
          <cell r="C439" t="str">
            <v>은행</v>
          </cell>
          <cell r="E439" t="str">
            <v>하나은행</v>
          </cell>
          <cell r="H439">
            <v>3</v>
          </cell>
          <cell r="I439">
            <v>2760</v>
          </cell>
        </row>
        <row r="440">
          <cell r="A440" t="str">
            <v>직접대출</v>
          </cell>
          <cell r="C440" t="str">
            <v>은행</v>
          </cell>
          <cell r="E440" t="str">
            <v>하나은행</v>
          </cell>
          <cell r="H440">
            <v>74</v>
          </cell>
          <cell r="I440">
            <v>26000</v>
          </cell>
        </row>
        <row r="441">
          <cell r="A441" t="str">
            <v>직접대출</v>
          </cell>
          <cell r="C441" t="str">
            <v>은행</v>
          </cell>
          <cell r="E441" t="str">
            <v>하나은행</v>
          </cell>
          <cell r="H441">
            <v>408</v>
          </cell>
          <cell r="I441">
            <v>40900</v>
          </cell>
        </row>
        <row r="442">
          <cell r="A442" t="str">
            <v>직접대출</v>
          </cell>
          <cell r="C442" t="str">
            <v>은행</v>
          </cell>
          <cell r="E442" t="str">
            <v>하나은행</v>
          </cell>
          <cell r="H442">
            <v>39</v>
          </cell>
          <cell r="I442">
            <v>2100</v>
          </cell>
        </row>
        <row r="443">
          <cell r="A443" t="str">
            <v>직접대출</v>
          </cell>
          <cell r="C443" t="str">
            <v>은행</v>
          </cell>
          <cell r="E443" t="str">
            <v>하나은행</v>
          </cell>
          <cell r="H443">
            <v>29</v>
          </cell>
          <cell r="I443">
            <v>13000</v>
          </cell>
        </row>
        <row r="444">
          <cell r="A444" t="str">
            <v>직접대출</v>
          </cell>
          <cell r="C444" t="str">
            <v>은행</v>
          </cell>
          <cell r="E444" t="str">
            <v>하나은행</v>
          </cell>
          <cell r="H444">
            <v>1000</v>
          </cell>
          <cell r="I444">
            <v>0</v>
          </cell>
        </row>
        <row r="445">
          <cell r="A445" t="str">
            <v>직접대출</v>
          </cell>
          <cell r="C445" t="str">
            <v>은행</v>
          </cell>
          <cell r="E445" t="str">
            <v>하나은행</v>
          </cell>
          <cell r="H445">
            <v>17</v>
          </cell>
          <cell r="I445">
            <v>40000</v>
          </cell>
        </row>
        <row r="446">
          <cell r="A446" t="str">
            <v>직접대출</v>
          </cell>
          <cell r="C446" t="str">
            <v>은행</v>
          </cell>
          <cell r="E446" t="str">
            <v>하나은행</v>
          </cell>
          <cell r="H446">
            <v>1000</v>
          </cell>
          <cell r="I446">
            <v>0</v>
          </cell>
        </row>
        <row r="447">
          <cell r="A447" t="str">
            <v>직접대출</v>
          </cell>
          <cell r="C447" t="str">
            <v>은행</v>
          </cell>
          <cell r="E447" t="str">
            <v>하나은행</v>
          </cell>
          <cell r="H447">
            <v>125</v>
          </cell>
          <cell r="I447">
            <v>12400</v>
          </cell>
        </row>
        <row r="448">
          <cell r="A448" t="str">
            <v>직접대출</v>
          </cell>
          <cell r="C448" t="str">
            <v>은행</v>
          </cell>
          <cell r="E448" t="str">
            <v>하나은행</v>
          </cell>
          <cell r="H448">
            <v>3</v>
          </cell>
          <cell r="I448">
            <v>39710</v>
          </cell>
        </row>
        <row r="449">
          <cell r="A449" t="str">
            <v>직접대출</v>
          </cell>
          <cell r="C449" t="str">
            <v>은행</v>
          </cell>
          <cell r="E449" t="str">
            <v>하나은행</v>
          </cell>
          <cell r="H449">
            <v>3</v>
          </cell>
          <cell r="I449">
            <v>27400</v>
          </cell>
        </row>
        <row r="450">
          <cell r="A450" t="str">
            <v>직접대출</v>
          </cell>
          <cell r="C450" t="str">
            <v>은행</v>
          </cell>
          <cell r="E450" t="str">
            <v>하나은행</v>
          </cell>
          <cell r="H450">
            <v>3</v>
          </cell>
          <cell r="I450">
            <v>11000</v>
          </cell>
        </row>
        <row r="451">
          <cell r="A451" t="str">
            <v>직접대출</v>
          </cell>
          <cell r="C451" t="str">
            <v>은행</v>
          </cell>
          <cell r="E451" t="str">
            <v>하나은행</v>
          </cell>
          <cell r="H451">
            <v>46</v>
          </cell>
          <cell r="I451">
            <v>30000</v>
          </cell>
        </row>
        <row r="452">
          <cell r="A452" t="str">
            <v>직접대출</v>
          </cell>
          <cell r="C452" t="str">
            <v>은행</v>
          </cell>
          <cell r="E452" t="str">
            <v>하나은행</v>
          </cell>
          <cell r="H452">
            <v>1</v>
          </cell>
          <cell r="I452">
            <v>65000</v>
          </cell>
        </row>
        <row r="453">
          <cell r="A453" t="str">
            <v>직접대출</v>
          </cell>
          <cell r="C453" t="str">
            <v>은행</v>
          </cell>
          <cell r="E453" t="str">
            <v>하나은행</v>
          </cell>
          <cell r="H453">
            <v>24</v>
          </cell>
          <cell r="I453">
            <v>15717</v>
          </cell>
        </row>
        <row r="454">
          <cell r="A454" t="str">
            <v>직접대출</v>
          </cell>
          <cell r="C454" t="str">
            <v>은행</v>
          </cell>
          <cell r="E454" t="str">
            <v>하나은행</v>
          </cell>
          <cell r="H454">
            <v>46</v>
          </cell>
          <cell r="I454">
            <v>155000</v>
          </cell>
        </row>
        <row r="455">
          <cell r="A455" t="str">
            <v>직접대출</v>
          </cell>
          <cell r="C455" t="str">
            <v>은행</v>
          </cell>
          <cell r="E455" t="str">
            <v>하나은행</v>
          </cell>
          <cell r="H455">
            <v>24</v>
          </cell>
          <cell r="I455">
            <v>9328</v>
          </cell>
        </row>
        <row r="456">
          <cell r="A456" t="str">
            <v>직접대출</v>
          </cell>
          <cell r="C456" t="str">
            <v>은행</v>
          </cell>
          <cell r="E456" t="str">
            <v>하나은행</v>
          </cell>
          <cell r="H456">
            <v>13</v>
          </cell>
          <cell r="I456">
            <v>58000</v>
          </cell>
        </row>
        <row r="457">
          <cell r="A457" t="str">
            <v>직접대출</v>
          </cell>
          <cell r="C457" t="str">
            <v>은행</v>
          </cell>
          <cell r="E457" t="str">
            <v>하나은행</v>
          </cell>
          <cell r="H457">
            <v>46</v>
          </cell>
          <cell r="I457">
            <v>70000</v>
          </cell>
        </row>
        <row r="458">
          <cell r="A458" t="str">
            <v>직접대출</v>
          </cell>
          <cell r="C458" t="str">
            <v>은행</v>
          </cell>
          <cell r="E458" t="str">
            <v>하나은행</v>
          </cell>
          <cell r="H458">
            <v>47</v>
          </cell>
          <cell r="I458">
            <v>12000</v>
          </cell>
        </row>
        <row r="459">
          <cell r="A459" t="str">
            <v>직접대출</v>
          </cell>
          <cell r="C459" t="str">
            <v>은행</v>
          </cell>
          <cell r="E459" t="str">
            <v>하나은행</v>
          </cell>
          <cell r="H459">
            <v>125</v>
          </cell>
          <cell r="I459">
            <v>10000</v>
          </cell>
        </row>
        <row r="460">
          <cell r="A460" t="str">
            <v>직접대출</v>
          </cell>
          <cell r="C460" t="str">
            <v>은행</v>
          </cell>
          <cell r="E460" t="str">
            <v>하나은행</v>
          </cell>
          <cell r="H460">
            <v>49</v>
          </cell>
          <cell r="I460">
            <v>26564</v>
          </cell>
        </row>
        <row r="461">
          <cell r="A461" t="str">
            <v>직접대출</v>
          </cell>
          <cell r="C461" t="str">
            <v>은행</v>
          </cell>
          <cell r="E461" t="str">
            <v>하나은행</v>
          </cell>
          <cell r="H461">
            <v>3</v>
          </cell>
          <cell r="I461">
            <v>31000</v>
          </cell>
        </row>
        <row r="462">
          <cell r="A462" t="str">
            <v>직접대출</v>
          </cell>
          <cell r="C462" t="str">
            <v>은행</v>
          </cell>
          <cell r="E462" t="str">
            <v>하나은행</v>
          </cell>
          <cell r="H462">
            <v>3</v>
          </cell>
          <cell r="I462">
            <v>20000</v>
          </cell>
        </row>
        <row r="463">
          <cell r="A463" t="str">
            <v>직접대출</v>
          </cell>
          <cell r="C463" t="str">
            <v>은행</v>
          </cell>
          <cell r="E463" t="str">
            <v>우리은행</v>
          </cell>
          <cell r="H463">
            <v>4</v>
          </cell>
          <cell r="I463">
            <v>72850</v>
          </cell>
        </row>
        <row r="464">
          <cell r="A464" t="str">
            <v>직접대출</v>
          </cell>
          <cell r="C464" t="str">
            <v>은행</v>
          </cell>
          <cell r="E464" t="str">
            <v>우리은행</v>
          </cell>
          <cell r="H464">
            <v>79</v>
          </cell>
          <cell r="I464">
            <v>16105</v>
          </cell>
        </row>
        <row r="465">
          <cell r="A465" t="str">
            <v>직접대출</v>
          </cell>
          <cell r="C465" t="str">
            <v>은행</v>
          </cell>
          <cell r="E465" t="str">
            <v>우리은행</v>
          </cell>
          <cell r="H465">
            <v>79</v>
          </cell>
          <cell r="I465">
            <v>12522.273950000001</v>
          </cell>
        </row>
        <row r="466">
          <cell r="A466" t="str">
            <v>직접대출</v>
          </cell>
          <cell r="C466" t="str">
            <v>은행</v>
          </cell>
          <cell r="E466" t="str">
            <v>우리은행</v>
          </cell>
          <cell r="H466">
            <v>47</v>
          </cell>
          <cell r="I466">
            <v>76100</v>
          </cell>
        </row>
        <row r="467">
          <cell r="A467" t="str">
            <v>직접대출</v>
          </cell>
          <cell r="C467" t="str">
            <v>은행</v>
          </cell>
          <cell r="E467" t="str">
            <v>우리은행</v>
          </cell>
          <cell r="H467">
            <v>47</v>
          </cell>
          <cell r="I467">
            <v>80000</v>
          </cell>
        </row>
        <row r="468">
          <cell r="A468" t="str">
            <v>직접대출</v>
          </cell>
          <cell r="C468" t="str">
            <v>은행</v>
          </cell>
          <cell r="E468" t="str">
            <v>우리은행</v>
          </cell>
          <cell r="H468">
            <v>47</v>
          </cell>
          <cell r="I468">
            <v>8000</v>
          </cell>
        </row>
        <row r="469">
          <cell r="A469" t="str">
            <v>직접대출</v>
          </cell>
          <cell r="C469" t="str">
            <v>은행</v>
          </cell>
          <cell r="E469" t="str">
            <v>우리은행</v>
          </cell>
          <cell r="H469">
            <v>32</v>
          </cell>
          <cell r="I469">
            <v>31724</v>
          </cell>
        </row>
        <row r="470">
          <cell r="A470" t="str">
            <v>직접대출</v>
          </cell>
          <cell r="C470" t="str">
            <v>은행</v>
          </cell>
          <cell r="E470" t="str">
            <v>우리은행</v>
          </cell>
          <cell r="H470">
            <v>4</v>
          </cell>
          <cell r="I470">
            <v>41000</v>
          </cell>
        </row>
        <row r="471">
          <cell r="A471" t="str">
            <v>직접대출</v>
          </cell>
          <cell r="C471" t="str">
            <v>은행</v>
          </cell>
          <cell r="E471" t="str">
            <v>우리은행</v>
          </cell>
          <cell r="H471">
            <v>4</v>
          </cell>
          <cell r="I471">
            <v>41000</v>
          </cell>
        </row>
        <row r="472">
          <cell r="A472" t="str">
            <v>직접대출</v>
          </cell>
          <cell r="C472" t="str">
            <v>은행</v>
          </cell>
          <cell r="E472" t="str">
            <v>우리은행</v>
          </cell>
          <cell r="H472">
            <v>4</v>
          </cell>
          <cell r="I472">
            <v>19870</v>
          </cell>
        </row>
        <row r="473">
          <cell r="A473" t="str">
            <v>직접대출</v>
          </cell>
          <cell r="C473" t="str">
            <v>은행</v>
          </cell>
          <cell r="E473" t="str">
            <v>우리은행</v>
          </cell>
          <cell r="H473">
            <v>40</v>
          </cell>
          <cell r="I473">
            <v>77000</v>
          </cell>
        </row>
        <row r="474">
          <cell r="A474" t="str">
            <v>직접대출</v>
          </cell>
          <cell r="C474" t="str">
            <v>은행</v>
          </cell>
          <cell r="E474" t="str">
            <v>우리은행</v>
          </cell>
          <cell r="H474">
            <v>126</v>
          </cell>
          <cell r="I474">
            <v>980</v>
          </cell>
        </row>
        <row r="475">
          <cell r="A475" t="str">
            <v>직접대출</v>
          </cell>
          <cell r="C475" t="str">
            <v>은행</v>
          </cell>
          <cell r="E475" t="str">
            <v>우리은행</v>
          </cell>
          <cell r="H475">
            <v>18</v>
          </cell>
          <cell r="I475">
            <v>14072.414000000001</v>
          </cell>
        </row>
        <row r="476">
          <cell r="A476" t="str">
            <v>직접대출</v>
          </cell>
          <cell r="C476" t="str">
            <v>은행</v>
          </cell>
          <cell r="E476" t="str">
            <v>우리은행</v>
          </cell>
          <cell r="H476">
            <v>61</v>
          </cell>
          <cell r="I476">
            <v>23500</v>
          </cell>
        </row>
        <row r="477">
          <cell r="A477" t="str">
            <v>직접대출</v>
          </cell>
          <cell r="C477" t="str">
            <v>은행</v>
          </cell>
          <cell r="E477" t="str">
            <v>우리은행</v>
          </cell>
          <cell r="H477">
            <v>108</v>
          </cell>
          <cell r="I477">
            <v>12500</v>
          </cell>
        </row>
        <row r="478">
          <cell r="A478" t="str">
            <v>직접대출</v>
          </cell>
          <cell r="C478" t="str">
            <v>은행</v>
          </cell>
          <cell r="E478" t="str">
            <v>우리은행</v>
          </cell>
          <cell r="H478">
            <v>61</v>
          </cell>
          <cell r="I478">
            <v>9600</v>
          </cell>
        </row>
        <row r="479">
          <cell r="A479" t="str">
            <v>직접대출</v>
          </cell>
          <cell r="C479" t="str">
            <v>은행</v>
          </cell>
          <cell r="E479" t="str">
            <v>우리은행</v>
          </cell>
          <cell r="H479">
            <v>108</v>
          </cell>
          <cell r="I479">
            <v>36000</v>
          </cell>
        </row>
        <row r="480">
          <cell r="A480" t="str">
            <v>직접대출</v>
          </cell>
          <cell r="C480" t="str">
            <v>은행</v>
          </cell>
          <cell r="E480" t="str">
            <v>우리은행</v>
          </cell>
          <cell r="H480">
            <v>108</v>
          </cell>
          <cell r="I480">
            <v>45000</v>
          </cell>
        </row>
        <row r="481">
          <cell r="A481" t="str">
            <v>직접대출</v>
          </cell>
          <cell r="C481" t="str">
            <v>은행</v>
          </cell>
          <cell r="E481" t="str">
            <v>우리은행</v>
          </cell>
          <cell r="H481">
            <v>108</v>
          </cell>
          <cell r="I481">
            <v>4000</v>
          </cell>
        </row>
        <row r="482">
          <cell r="A482" t="str">
            <v>직접대출</v>
          </cell>
          <cell r="C482" t="str">
            <v>은행</v>
          </cell>
          <cell r="E482" t="str">
            <v>우리은행</v>
          </cell>
          <cell r="H482">
            <v>23</v>
          </cell>
          <cell r="I482">
            <v>8000</v>
          </cell>
        </row>
        <row r="483">
          <cell r="A483" t="str">
            <v>직접대출</v>
          </cell>
          <cell r="C483" t="str">
            <v>은행</v>
          </cell>
          <cell r="E483" t="str">
            <v>우리은행</v>
          </cell>
          <cell r="H483">
            <v>79</v>
          </cell>
          <cell r="I483">
            <v>12000</v>
          </cell>
        </row>
        <row r="484">
          <cell r="A484" t="str">
            <v>직접대출</v>
          </cell>
          <cell r="C484" t="str">
            <v>은행</v>
          </cell>
          <cell r="E484" t="str">
            <v>우리은행</v>
          </cell>
          <cell r="H484">
            <v>79</v>
          </cell>
          <cell r="I484">
            <v>46650.836585999998</v>
          </cell>
        </row>
        <row r="485">
          <cell r="A485" t="str">
            <v>직접대출</v>
          </cell>
          <cell r="C485" t="str">
            <v>은행</v>
          </cell>
          <cell r="E485" t="str">
            <v>우리은행</v>
          </cell>
          <cell r="H485">
            <v>18</v>
          </cell>
          <cell r="I485">
            <v>7650.2731169999997</v>
          </cell>
        </row>
        <row r="486">
          <cell r="A486" t="str">
            <v>직접대출</v>
          </cell>
          <cell r="C486" t="str">
            <v>은행</v>
          </cell>
          <cell r="E486" t="str">
            <v>우리은행</v>
          </cell>
          <cell r="H486">
            <v>2</v>
          </cell>
          <cell r="I486">
            <v>37100</v>
          </cell>
        </row>
        <row r="487">
          <cell r="A487" t="str">
            <v>직접대출</v>
          </cell>
          <cell r="C487" t="str">
            <v>은행</v>
          </cell>
          <cell r="E487" t="str">
            <v>우리은행</v>
          </cell>
          <cell r="H487">
            <v>2</v>
          </cell>
          <cell r="I487">
            <v>70380</v>
          </cell>
        </row>
        <row r="488">
          <cell r="A488" t="str">
            <v>직접대출</v>
          </cell>
          <cell r="C488" t="str">
            <v>은행</v>
          </cell>
          <cell r="E488" t="str">
            <v>우리은행</v>
          </cell>
          <cell r="H488">
            <v>125</v>
          </cell>
          <cell r="I488">
            <v>2250.9</v>
          </cell>
        </row>
        <row r="489">
          <cell r="A489" t="str">
            <v>직접대출</v>
          </cell>
          <cell r="C489" t="str">
            <v>은행</v>
          </cell>
          <cell r="E489" t="str">
            <v>우리은행</v>
          </cell>
          <cell r="H489">
            <v>4</v>
          </cell>
          <cell r="I489">
            <v>14996.221437</v>
          </cell>
        </row>
        <row r="490">
          <cell r="A490" t="str">
            <v>직접대출</v>
          </cell>
          <cell r="C490" t="str">
            <v>은행</v>
          </cell>
          <cell r="E490" t="str">
            <v>우리은행</v>
          </cell>
          <cell r="H490">
            <v>340</v>
          </cell>
          <cell r="I490">
            <v>0</v>
          </cell>
        </row>
        <row r="491">
          <cell r="A491" t="str">
            <v>직접대출</v>
          </cell>
          <cell r="C491" t="str">
            <v>은행</v>
          </cell>
          <cell r="E491" t="str">
            <v>우리은행</v>
          </cell>
          <cell r="H491">
            <v>340</v>
          </cell>
          <cell r="I491">
            <v>6400</v>
          </cell>
        </row>
        <row r="492">
          <cell r="A492" t="str">
            <v>직접대출</v>
          </cell>
          <cell r="C492" t="str">
            <v>은행</v>
          </cell>
          <cell r="E492" t="str">
            <v>우리은행</v>
          </cell>
          <cell r="H492">
            <v>340</v>
          </cell>
          <cell r="I492">
            <v>0</v>
          </cell>
        </row>
        <row r="493">
          <cell r="A493" t="str">
            <v>직접대출</v>
          </cell>
          <cell r="C493" t="str">
            <v>은행</v>
          </cell>
          <cell r="E493" t="str">
            <v>우리은행</v>
          </cell>
          <cell r="H493">
            <v>23</v>
          </cell>
          <cell r="I493">
            <v>1500</v>
          </cell>
        </row>
        <row r="494">
          <cell r="A494" t="str">
            <v>직접대출</v>
          </cell>
          <cell r="C494" t="str">
            <v>은행</v>
          </cell>
          <cell r="E494" t="str">
            <v>우리은행</v>
          </cell>
          <cell r="H494">
            <v>3</v>
          </cell>
          <cell r="I494">
            <v>5766.744925</v>
          </cell>
        </row>
        <row r="495">
          <cell r="A495" t="str">
            <v>직접대출</v>
          </cell>
          <cell r="C495" t="str">
            <v>은행</v>
          </cell>
          <cell r="E495" t="str">
            <v>우리은행</v>
          </cell>
          <cell r="H495">
            <v>1000</v>
          </cell>
          <cell r="I495">
            <v>4500</v>
          </cell>
        </row>
        <row r="496">
          <cell r="A496" t="str">
            <v>직접대출</v>
          </cell>
          <cell r="C496" t="str">
            <v>은행</v>
          </cell>
          <cell r="E496" t="str">
            <v>우리은행</v>
          </cell>
          <cell r="H496">
            <v>71</v>
          </cell>
          <cell r="I496">
            <v>13300</v>
          </cell>
        </row>
        <row r="497">
          <cell r="A497" t="str">
            <v>직접대출</v>
          </cell>
          <cell r="C497" t="str">
            <v>은행</v>
          </cell>
          <cell r="E497" t="str">
            <v>우리은행</v>
          </cell>
          <cell r="H497">
            <v>5</v>
          </cell>
          <cell r="I497">
            <v>44000</v>
          </cell>
        </row>
        <row r="498">
          <cell r="A498" t="str">
            <v>직접대출</v>
          </cell>
          <cell r="C498" t="str">
            <v>은행</v>
          </cell>
          <cell r="E498" t="str">
            <v>우리은행</v>
          </cell>
          <cell r="H498">
            <v>12</v>
          </cell>
          <cell r="I498">
            <v>28178.426762999999</v>
          </cell>
        </row>
        <row r="499">
          <cell r="A499" t="str">
            <v>직접대출</v>
          </cell>
          <cell r="C499" t="str">
            <v>은행</v>
          </cell>
          <cell r="E499" t="str">
            <v>우리은행</v>
          </cell>
          <cell r="H499">
            <v>77</v>
          </cell>
          <cell r="I499">
            <v>16500</v>
          </cell>
        </row>
        <row r="500">
          <cell r="A500" t="str">
            <v>직접대출</v>
          </cell>
          <cell r="C500" t="str">
            <v>은행</v>
          </cell>
          <cell r="E500" t="str">
            <v>우리은행</v>
          </cell>
          <cell r="H500">
            <v>3</v>
          </cell>
          <cell r="I500">
            <v>16510.08538</v>
          </cell>
        </row>
        <row r="501">
          <cell r="A501" t="str">
            <v>직접대출</v>
          </cell>
          <cell r="C501" t="str">
            <v>은행</v>
          </cell>
          <cell r="E501" t="str">
            <v>우리은행</v>
          </cell>
          <cell r="H501">
            <v>18</v>
          </cell>
          <cell r="I501">
            <v>60000</v>
          </cell>
        </row>
        <row r="502">
          <cell r="A502" t="str">
            <v>직접대출</v>
          </cell>
          <cell r="C502" t="str">
            <v>은행</v>
          </cell>
          <cell r="E502" t="str">
            <v>우리은행</v>
          </cell>
          <cell r="H502">
            <v>80</v>
          </cell>
          <cell r="I502">
            <v>53000</v>
          </cell>
        </row>
        <row r="503">
          <cell r="A503" t="str">
            <v>직접대출</v>
          </cell>
          <cell r="C503" t="str">
            <v>은행</v>
          </cell>
          <cell r="E503" t="str">
            <v>우리은행</v>
          </cell>
          <cell r="H503">
            <v>5</v>
          </cell>
          <cell r="I503">
            <v>366.36566800000003</v>
          </cell>
        </row>
        <row r="504">
          <cell r="A504" t="str">
            <v>직접대출</v>
          </cell>
          <cell r="C504" t="str">
            <v>은행</v>
          </cell>
          <cell r="E504" t="str">
            <v>우리은행</v>
          </cell>
          <cell r="H504">
            <v>12</v>
          </cell>
          <cell r="I504">
            <v>49567.316220000001</v>
          </cell>
        </row>
        <row r="505">
          <cell r="A505" t="str">
            <v>직접대출</v>
          </cell>
          <cell r="C505" t="str">
            <v>은행</v>
          </cell>
          <cell r="E505" t="str">
            <v>우리은행</v>
          </cell>
          <cell r="H505">
            <v>68</v>
          </cell>
          <cell r="I505">
            <v>1700</v>
          </cell>
        </row>
        <row r="506">
          <cell r="A506" t="str">
            <v>직접대출</v>
          </cell>
          <cell r="C506" t="str">
            <v>은행</v>
          </cell>
          <cell r="E506" t="str">
            <v>우리은행</v>
          </cell>
          <cell r="H506">
            <v>123</v>
          </cell>
          <cell r="I506">
            <v>9800</v>
          </cell>
        </row>
        <row r="507">
          <cell r="A507" t="str">
            <v>직접대출</v>
          </cell>
          <cell r="C507" t="str">
            <v>은행</v>
          </cell>
          <cell r="E507" t="str">
            <v>우리은행</v>
          </cell>
          <cell r="H507">
            <v>279</v>
          </cell>
          <cell r="I507">
            <v>9900</v>
          </cell>
        </row>
        <row r="508">
          <cell r="A508" t="str">
            <v>직접대출</v>
          </cell>
          <cell r="C508" t="str">
            <v>은행</v>
          </cell>
          <cell r="E508" t="str">
            <v>우리은행</v>
          </cell>
          <cell r="H508">
            <v>279</v>
          </cell>
          <cell r="I508">
            <v>18700</v>
          </cell>
        </row>
        <row r="509">
          <cell r="A509" t="str">
            <v>직접대출</v>
          </cell>
          <cell r="C509" t="str">
            <v>은행</v>
          </cell>
          <cell r="E509" t="str">
            <v>우리은행</v>
          </cell>
          <cell r="H509">
            <v>343</v>
          </cell>
          <cell r="I509">
            <v>6200</v>
          </cell>
        </row>
        <row r="510">
          <cell r="A510" t="str">
            <v>직접대출</v>
          </cell>
          <cell r="C510" t="str">
            <v>은행</v>
          </cell>
          <cell r="E510" t="str">
            <v>우리은행</v>
          </cell>
          <cell r="H510">
            <v>343</v>
          </cell>
          <cell r="I510">
            <v>9800</v>
          </cell>
        </row>
        <row r="511">
          <cell r="A511" t="str">
            <v>직접대출</v>
          </cell>
          <cell r="C511" t="str">
            <v>은행</v>
          </cell>
          <cell r="E511" t="str">
            <v>우리은행</v>
          </cell>
          <cell r="H511">
            <v>18</v>
          </cell>
          <cell r="I511">
            <v>21571.153425</v>
          </cell>
        </row>
        <row r="512">
          <cell r="A512" t="str">
            <v>직접대출</v>
          </cell>
          <cell r="C512" t="str">
            <v>은행</v>
          </cell>
          <cell r="E512" t="str">
            <v>우리은행</v>
          </cell>
          <cell r="H512">
            <v>18</v>
          </cell>
          <cell r="I512">
            <v>4851</v>
          </cell>
        </row>
        <row r="513">
          <cell r="A513" t="str">
            <v>직접대출</v>
          </cell>
          <cell r="C513" t="str">
            <v>은행</v>
          </cell>
          <cell r="E513" t="str">
            <v>우리은행</v>
          </cell>
          <cell r="H513">
            <v>4</v>
          </cell>
          <cell r="I513">
            <v>8316.1860379999998</v>
          </cell>
        </row>
        <row r="514">
          <cell r="A514" t="str">
            <v>직접대출</v>
          </cell>
          <cell r="C514" t="str">
            <v>은행</v>
          </cell>
          <cell r="E514" t="str">
            <v>우리은행</v>
          </cell>
          <cell r="H514">
            <v>4</v>
          </cell>
          <cell r="I514">
            <v>14788.6</v>
          </cell>
        </row>
        <row r="515">
          <cell r="A515" t="str">
            <v>직접대출</v>
          </cell>
          <cell r="C515" t="str">
            <v>은행</v>
          </cell>
          <cell r="E515" t="str">
            <v>우리은행</v>
          </cell>
          <cell r="H515">
            <v>23</v>
          </cell>
          <cell r="I515">
            <v>105000</v>
          </cell>
        </row>
        <row r="516">
          <cell r="A516" t="str">
            <v>직접대출</v>
          </cell>
          <cell r="C516" t="str">
            <v>은행</v>
          </cell>
          <cell r="E516" t="str">
            <v>우리은행</v>
          </cell>
          <cell r="H516">
            <v>1</v>
          </cell>
          <cell r="I516">
            <v>3583.3013329999999</v>
          </cell>
        </row>
        <row r="517">
          <cell r="A517" t="str">
            <v>직접대출</v>
          </cell>
          <cell r="C517" t="str">
            <v>은행</v>
          </cell>
          <cell r="E517" t="str">
            <v>우리은행</v>
          </cell>
          <cell r="H517">
            <v>46</v>
          </cell>
          <cell r="I517">
            <v>5980</v>
          </cell>
        </row>
        <row r="518">
          <cell r="A518" t="str">
            <v>직접대출</v>
          </cell>
          <cell r="C518" t="str">
            <v>은행</v>
          </cell>
          <cell r="E518" t="str">
            <v>우리은행</v>
          </cell>
          <cell r="H518">
            <v>44</v>
          </cell>
          <cell r="I518">
            <v>0</v>
          </cell>
        </row>
        <row r="519">
          <cell r="A519" t="str">
            <v>직접대출</v>
          </cell>
          <cell r="C519" t="str">
            <v>은행</v>
          </cell>
          <cell r="E519" t="str">
            <v>우리은행</v>
          </cell>
          <cell r="H519">
            <v>44</v>
          </cell>
          <cell r="I519">
            <v>0</v>
          </cell>
        </row>
        <row r="520">
          <cell r="A520" t="str">
            <v>직접대출</v>
          </cell>
          <cell r="C520" t="str">
            <v>은행</v>
          </cell>
          <cell r="E520" t="str">
            <v>우리은행</v>
          </cell>
          <cell r="H520">
            <v>44</v>
          </cell>
          <cell r="I520">
            <v>0</v>
          </cell>
        </row>
        <row r="521">
          <cell r="A521" t="str">
            <v>직접대출</v>
          </cell>
          <cell r="C521" t="str">
            <v>은행</v>
          </cell>
          <cell r="E521" t="str">
            <v>우리은행</v>
          </cell>
          <cell r="H521">
            <v>44</v>
          </cell>
          <cell r="I521">
            <v>0</v>
          </cell>
        </row>
        <row r="522">
          <cell r="A522" t="str">
            <v>직접대출</v>
          </cell>
          <cell r="C522" t="str">
            <v>은행</v>
          </cell>
          <cell r="E522" t="str">
            <v>우리은행</v>
          </cell>
          <cell r="H522">
            <v>1</v>
          </cell>
          <cell r="I522">
            <v>7000</v>
          </cell>
        </row>
        <row r="523">
          <cell r="A523" t="str">
            <v>직접대출</v>
          </cell>
          <cell r="C523" t="str">
            <v>은행</v>
          </cell>
          <cell r="E523" t="str">
            <v>우리은행</v>
          </cell>
          <cell r="H523">
            <v>272</v>
          </cell>
          <cell r="I523">
            <v>22000</v>
          </cell>
        </row>
        <row r="524">
          <cell r="A524" t="str">
            <v>직접대출</v>
          </cell>
          <cell r="C524" t="str">
            <v>은행</v>
          </cell>
          <cell r="E524" t="str">
            <v>우리은행</v>
          </cell>
          <cell r="H524">
            <v>272</v>
          </cell>
          <cell r="I524">
            <v>44000</v>
          </cell>
        </row>
        <row r="525">
          <cell r="A525" t="str">
            <v>직접대출</v>
          </cell>
          <cell r="C525" t="str">
            <v>은행</v>
          </cell>
          <cell r="E525" t="str">
            <v>우리은행</v>
          </cell>
          <cell r="H525">
            <v>272</v>
          </cell>
          <cell r="I525">
            <v>7167</v>
          </cell>
        </row>
        <row r="526">
          <cell r="A526" t="str">
            <v>직접대출</v>
          </cell>
          <cell r="C526" t="str">
            <v>은행</v>
          </cell>
          <cell r="E526" t="str">
            <v>우리은행</v>
          </cell>
          <cell r="H526">
            <v>272</v>
          </cell>
          <cell r="I526">
            <v>6167</v>
          </cell>
        </row>
        <row r="527">
          <cell r="A527" t="str">
            <v>직접대출</v>
          </cell>
          <cell r="C527" t="str">
            <v>은행</v>
          </cell>
          <cell r="E527" t="str">
            <v>우리은행</v>
          </cell>
          <cell r="H527">
            <v>3</v>
          </cell>
          <cell r="I527">
            <v>71800</v>
          </cell>
        </row>
        <row r="528">
          <cell r="A528" t="str">
            <v>직접대출</v>
          </cell>
          <cell r="C528" t="str">
            <v>은행</v>
          </cell>
          <cell r="E528" t="str">
            <v>우리은행</v>
          </cell>
          <cell r="H528">
            <v>77</v>
          </cell>
          <cell r="I528">
            <v>20500</v>
          </cell>
        </row>
        <row r="529">
          <cell r="A529" t="str">
            <v>직접대출</v>
          </cell>
          <cell r="C529" t="str">
            <v>은행</v>
          </cell>
          <cell r="E529" t="str">
            <v>우리은행</v>
          </cell>
          <cell r="H529">
            <v>16</v>
          </cell>
          <cell r="I529">
            <v>23040.251130000001</v>
          </cell>
        </row>
        <row r="530">
          <cell r="A530" t="str">
            <v>직접대출</v>
          </cell>
          <cell r="C530" t="str">
            <v>은행</v>
          </cell>
          <cell r="E530" t="str">
            <v>우리은행</v>
          </cell>
          <cell r="H530">
            <v>49</v>
          </cell>
          <cell r="I530">
            <v>9492</v>
          </cell>
        </row>
        <row r="531">
          <cell r="A531" t="str">
            <v>직접대출</v>
          </cell>
          <cell r="C531" t="str">
            <v>은행</v>
          </cell>
          <cell r="E531" t="str">
            <v>우리은행</v>
          </cell>
          <cell r="H531">
            <v>18</v>
          </cell>
          <cell r="I531">
            <v>8532.3911659999994</v>
          </cell>
        </row>
        <row r="532">
          <cell r="A532" t="str">
            <v>직접대출</v>
          </cell>
          <cell r="C532" t="str">
            <v>은행</v>
          </cell>
          <cell r="E532" t="str">
            <v>우리은행</v>
          </cell>
          <cell r="H532">
            <v>5</v>
          </cell>
          <cell r="I532">
            <v>19898.802026000001</v>
          </cell>
        </row>
        <row r="533">
          <cell r="A533" t="str">
            <v>직접대출</v>
          </cell>
          <cell r="C533" t="str">
            <v>은행</v>
          </cell>
          <cell r="E533" t="str">
            <v>우리은행</v>
          </cell>
          <cell r="H533">
            <v>123</v>
          </cell>
          <cell r="I533">
            <v>4660</v>
          </cell>
        </row>
        <row r="534">
          <cell r="A534" t="str">
            <v>직접대출</v>
          </cell>
          <cell r="C534" t="str">
            <v>은행</v>
          </cell>
          <cell r="E534" t="str">
            <v>우리은행</v>
          </cell>
          <cell r="H534">
            <v>18</v>
          </cell>
          <cell r="I534">
            <v>22</v>
          </cell>
        </row>
        <row r="535">
          <cell r="A535" t="str">
            <v>직접대출</v>
          </cell>
          <cell r="C535" t="str">
            <v>은행</v>
          </cell>
          <cell r="E535" t="str">
            <v>우리은행</v>
          </cell>
          <cell r="H535">
            <v>18</v>
          </cell>
          <cell r="I535">
            <v>21</v>
          </cell>
        </row>
        <row r="536">
          <cell r="A536" t="str">
            <v>직접대출</v>
          </cell>
          <cell r="C536" t="str">
            <v>은행</v>
          </cell>
          <cell r="E536" t="str">
            <v>우리은행</v>
          </cell>
          <cell r="H536">
            <v>18</v>
          </cell>
          <cell r="I536">
            <v>20</v>
          </cell>
        </row>
        <row r="537">
          <cell r="A537" t="str">
            <v>직접대출</v>
          </cell>
          <cell r="C537" t="str">
            <v>은행</v>
          </cell>
          <cell r="E537" t="str">
            <v>우리은행</v>
          </cell>
          <cell r="H537">
            <v>18</v>
          </cell>
          <cell r="I537">
            <v>20</v>
          </cell>
        </row>
        <row r="538">
          <cell r="A538" t="str">
            <v>직접대출</v>
          </cell>
          <cell r="C538" t="str">
            <v>은행</v>
          </cell>
          <cell r="E538" t="str">
            <v>우리은행</v>
          </cell>
          <cell r="H538">
            <v>18</v>
          </cell>
          <cell r="I538">
            <v>140.578326</v>
          </cell>
        </row>
        <row r="539">
          <cell r="A539" t="str">
            <v>직접대출</v>
          </cell>
          <cell r="C539" t="str">
            <v>은행</v>
          </cell>
          <cell r="E539" t="str">
            <v>우리은행</v>
          </cell>
          <cell r="H539">
            <v>18</v>
          </cell>
          <cell r="I539">
            <v>20</v>
          </cell>
        </row>
        <row r="540">
          <cell r="A540" t="str">
            <v>직접대출</v>
          </cell>
          <cell r="C540" t="str">
            <v>은행</v>
          </cell>
          <cell r="E540" t="str">
            <v>우리은행</v>
          </cell>
          <cell r="H540">
            <v>18</v>
          </cell>
          <cell r="I540">
            <v>26</v>
          </cell>
        </row>
        <row r="541">
          <cell r="A541" t="str">
            <v>직접대출</v>
          </cell>
          <cell r="C541" t="str">
            <v>은행</v>
          </cell>
          <cell r="E541" t="str">
            <v>우리은행</v>
          </cell>
          <cell r="H541">
            <v>18</v>
          </cell>
          <cell r="I541">
            <v>5514.1114980000002</v>
          </cell>
        </row>
        <row r="542">
          <cell r="A542" t="str">
            <v>직접대출</v>
          </cell>
          <cell r="C542" t="str">
            <v>은행</v>
          </cell>
          <cell r="E542" t="str">
            <v>우리은행</v>
          </cell>
          <cell r="H542">
            <v>18</v>
          </cell>
          <cell r="I542">
            <v>17</v>
          </cell>
        </row>
        <row r="543">
          <cell r="A543" t="str">
            <v>직접대출</v>
          </cell>
          <cell r="C543" t="str">
            <v>은행</v>
          </cell>
          <cell r="E543" t="str">
            <v>우리은행</v>
          </cell>
          <cell r="H543">
            <v>18</v>
          </cell>
          <cell r="I543">
            <v>1834.91</v>
          </cell>
        </row>
        <row r="544">
          <cell r="A544" t="str">
            <v>직접대출</v>
          </cell>
          <cell r="C544" t="str">
            <v>은행</v>
          </cell>
          <cell r="E544" t="str">
            <v>우리은행</v>
          </cell>
          <cell r="H544">
            <v>18</v>
          </cell>
          <cell r="I544">
            <v>20</v>
          </cell>
        </row>
        <row r="545">
          <cell r="A545" t="str">
            <v>직접대출</v>
          </cell>
          <cell r="C545" t="str">
            <v>은행</v>
          </cell>
          <cell r="E545" t="str">
            <v>우리은행</v>
          </cell>
          <cell r="H545">
            <v>18</v>
          </cell>
          <cell r="I545">
            <v>57</v>
          </cell>
        </row>
        <row r="546">
          <cell r="A546" t="str">
            <v>직접대출</v>
          </cell>
          <cell r="C546" t="str">
            <v>은행</v>
          </cell>
          <cell r="E546" t="str">
            <v>우리은행</v>
          </cell>
          <cell r="H546">
            <v>18</v>
          </cell>
          <cell r="I546">
            <v>31</v>
          </cell>
        </row>
        <row r="547">
          <cell r="A547" t="str">
            <v>직접대출</v>
          </cell>
          <cell r="C547" t="str">
            <v>은행</v>
          </cell>
          <cell r="E547" t="str">
            <v>우리은행</v>
          </cell>
          <cell r="H547">
            <v>18</v>
          </cell>
          <cell r="I547">
            <v>11</v>
          </cell>
        </row>
        <row r="548">
          <cell r="A548" t="str">
            <v>직접대출</v>
          </cell>
          <cell r="C548" t="str">
            <v>은행</v>
          </cell>
          <cell r="E548" t="str">
            <v>우리은행</v>
          </cell>
          <cell r="H548">
            <v>18</v>
          </cell>
          <cell r="I548">
            <v>20</v>
          </cell>
        </row>
        <row r="549">
          <cell r="A549" t="str">
            <v>직접대출</v>
          </cell>
          <cell r="C549" t="str">
            <v>은행</v>
          </cell>
          <cell r="E549" t="str">
            <v>우리은행</v>
          </cell>
          <cell r="H549">
            <v>18</v>
          </cell>
          <cell r="I549">
            <v>20</v>
          </cell>
        </row>
        <row r="550">
          <cell r="A550" t="str">
            <v>직접대출</v>
          </cell>
          <cell r="C550" t="str">
            <v>은행</v>
          </cell>
          <cell r="E550" t="str">
            <v>우리은행</v>
          </cell>
          <cell r="H550">
            <v>18</v>
          </cell>
          <cell r="I550">
            <v>31</v>
          </cell>
        </row>
        <row r="551">
          <cell r="A551" t="str">
            <v>직접대출</v>
          </cell>
          <cell r="C551" t="str">
            <v>은행</v>
          </cell>
          <cell r="E551" t="str">
            <v>우리은행</v>
          </cell>
          <cell r="H551">
            <v>6</v>
          </cell>
          <cell r="I551">
            <v>58000</v>
          </cell>
        </row>
        <row r="552">
          <cell r="A552" t="str">
            <v>직접대출</v>
          </cell>
          <cell r="C552" t="str">
            <v>은행</v>
          </cell>
          <cell r="E552" t="str">
            <v>우리은행</v>
          </cell>
          <cell r="H552">
            <v>98</v>
          </cell>
          <cell r="I552">
            <v>4000</v>
          </cell>
        </row>
        <row r="553">
          <cell r="A553" t="str">
            <v>직접대출</v>
          </cell>
          <cell r="C553" t="str">
            <v>은행</v>
          </cell>
          <cell r="E553" t="str">
            <v>우리은행</v>
          </cell>
          <cell r="H553">
            <v>16</v>
          </cell>
          <cell r="I553">
            <v>7507.4435549999998</v>
          </cell>
        </row>
        <row r="554">
          <cell r="A554" t="str">
            <v>직접대출</v>
          </cell>
          <cell r="C554" t="str">
            <v>은행</v>
          </cell>
          <cell r="E554" t="str">
            <v>우리은행</v>
          </cell>
          <cell r="H554">
            <v>1</v>
          </cell>
          <cell r="I554">
            <v>109000</v>
          </cell>
        </row>
        <row r="555">
          <cell r="A555" t="str">
            <v>직접대출</v>
          </cell>
          <cell r="C555" t="str">
            <v>은행</v>
          </cell>
          <cell r="E555" t="str">
            <v>우리은행</v>
          </cell>
          <cell r="H555">
            <v>36</v>
          </cell>
          <cell r="I555">
            <v>42000</v>
          </cell>
        </row>
        <row r="556">
          <cell r="A556" t="str">
            <v>직접대출</v>
          </cell>
          <cell r="C556" t="str">
            <v>은행</v>
          </cell>
          <cell r="E556" t="str">
            <v>우리은행</v>
          </cell>
          <cell r="H556">
            <v>60</v>
          </cell>
          <cell r="I556">
            <v>17600</v>
          </cell>
        </row>
        <row r="557">
          <cell r="A557" t="str">
            <v>직접대출</v>
          </cell>
          <cell r="C557" t="str">
            <v>은행</v>
          </cell>
          <cell r="E557" t="str">
            <v>우리은행</v>
          </cell>
          <cell r="H557">
            <v>34</v>
          </cell>
          <cell r="I557">
            <v>80000</v>
          </cell>
        </row>
        <row r="558">
          <cell r="A558" t="str">
            <v>직접대출</v>
          </cell>
          <cell r="C558" t="str">
            <v>은행</v>
          </cell>
          <cell r="E558" t="str">
            <v>우리은행</v>
          </cell>
          <cell r="H558">
            <v>12</v>
          </cell>
          <cell r="I558">
            <v>40000</v>
          </cell>
        </row>
        <row r="559">
          <cell r="A559" t="str">
            <v>직접대출</v>
          </cell>
          <cell r="C559" t="str">
            <v>은행</v>
          </cell>
          <cell r="E559" t="str">
            <v>우리은행</v>
          </cell>
          <cell r="H559">
            <v>2</v>
          </cell>
          <cell r="I559">
            <v>23800</v>
          </cell>
        </row>
        <row r="560">
          <cell r="A560" t="str">
            <v>직접대출</v>
          </cell>
          <cell r="C560" t="str">
            <v>은행</v>
          </cell>
          <cell r="E560" t="str">
            <v>우리은행</v>
          </cell>
          <cell r="H560">
            <v>99</v>
          </cell>
          <cell r="I560">
            <v>0</v>
          </cell>
        </row>
        <row r="561">
          <cell r="A561" t="str">
            <v>직접대출</v>
          </cell>
          <cell r="C561" t="str">
            <v>은행</v>
          </cell>
          <cell r="E561" t="str">
            <v>우리은행</v>
          </cell>
          <cell r="H561">
            <v>21</v>
          </cell>
          <cell r="I561">
            <v>7817.6177699999998</v>
          </cell>
        </row>
        <row r="562">
          <cell r="A562" t="str">
            <v>직접대출</v>
          </cell>
          <cell r="C562" t="str">
            <v>은행</v>
          </cell>
          <cell r="E562" t="str">
            <v>우리은행</v>
          </cell>
          <cell r="H562">
            <v>21</v>
          </cell>
          <cell r="I562">
            <v>6000</v>
          </cell>
        </row>
        <row r="563">
          <cell r="A563" t="str">
            <v>직접대출</v>
          </cell>
          <cell r="C563" t="str">
            <v>은행</v>
          </cell>
          <cell r="E563" t="str">
            <v>우리은행</v>
          </cell>
          <cell r="H563">
            <v>35</v>
          </cell>
          <cell r="I563">
            <v>14450</v>
          </cell>
        </row>
        <row r="564">
          <cell r="A564" t="str">
            <v>직접대출</v>
          </cell>
          <cell r="C564" t="str">
            <v>은행</v>
          </cell>
          <cell r="E564" t="str">
            <v>우리은행</v>
          </cell>
          <cell r="H564">
            <v>7</v>
          </cell>
          <cell r="I564">
            <v>144000</v>
          </cell>
        </row>
        <row r="565">
          <cell r="A565" t="str">
            <v>직접대출</v>
          </cell>
          <cell r="C565" t="str">
            <v>은행</v>
          </cell>
          <cell r="E565" t="str">
            <v>우리은행</v>
          </cell>
          <cell r="H565">
            <v>86</v>
          </cell>
          <cell r="I565">
            <v>30000</v>
          </cell>
        </row>
        <row r="566">
          <cell r="A566" t="str">
            <v>직접대출</v>
          </cell>
          <cell r="C566" t="str">
            <v>은행</v>
          </cell>
          <cell r="E566" t="str">
            <v>우리은행</v>
          </cell>
          <cell r="H566">
            <v>86</v>
          </cell>
          <cell r="I566">
            <v>15000</v>
          </cell>
        </row>
        <row r="567">
          <cell r="A567" t="str">
            <v>직접대출</v>
          </cell>
          <cell r="C567" t="str">
            <v>은행</v>
          </cell>
          <cell r="E567" t="str">
            <v>우리은행</v>
          </cell>
          <cell r="H567">
            <v>18</v>
          </cell>
          <cell r="I567">
            <v>7099.73722</v>
          </cell>
        </row>
        <row r="568">
          <cell r="A568" t="str">
            <v>직접대출</v>
          </cell>
          <cell r="C568" t="str">
            <v>은행</v>
          </cell>
          <cell r="E568" t="str">
            <v>우리은행</v>
          </cell>
          <cell r="H568">
            <v>405</v>
          </cell>
          <cell r="I568">
            <v>0</v>
          </cell>
        </row>
        <row r="569">
          <cell r="A569" t="str">
            <v>직접대출</v>
          </cell>
          <cell r="C569" t="str">
            <v>은행</v>
          </cell>
          <cell r="E569" t="str">
            <v>우리은행</v>
          </cell>
          <cell r="H569">
            <v>46</v>
          </cell>
          <cell r="I569">
            <v>89000</v>
          </cell>
        </row>
        <row r="570">
          <cell r="A570" t="str">
            <v>직접대출</v>
          </cell>
          <cell r="C570" t="str">
            <v>은행</v>
          </cell>
          <cell r="E570" t="str">
            <v>우리은행</v>
          </cell>
          <cell r="H570">
            <v>98</v>
          </cell>
          <cell r="I570">
            <v>13447</v>
          </cell>
        </row>
        <row r="571">
          <cell r="A571" t="str">
            <v>직접대출</v>
          </cell>
          <cell r="C571" t="str">
            <v>은행</v>
          </cell>
          <cell r="E571" t="str">
            <v>우리은행</v>
          </cell>
          <cell r="H571">
            <v>176</v>
          </cell>
          <cell r="I571">
            <v>19990</v>
          </cell>
        </row>
        <row r="572">
          <cell r="A572" t="str">
            <v>직접대출</v>
          </cell>
          <cell r="C572" t="str">
            <v>은행</v>
          </cell>
          <cell r="E572" t="str">
            <v>우리은행</v>
          </cell>
          <cell r="H572">
            <v>34</v>
          </cell>
          <cell r="I572">
            <v>50000</v>
          </cell>
        </row>
        <row r="573">
          <cell r="A573" t="str">
            <v>직접대출</v>
          </cell>
          <cell r="C573" t="str">
            <v>은행</v>
          </cell>
          <cell r="E573" t="str">
            <v>우리은행</v>
          </cell>
          <cell r="H573">
            <v>1000</v>
          </cell>
          <cell r="I573">
            <v>0</v>
          </cell>
        </row>
        <row r="574">
          <cell r="A574" t="str">
            <v>직접대출</v>
          </cell>
          <cell r="C574" t="str">
            <v>은행</v>
          </cell>
          <cell r="E574" t="str">
            <v>우리은행</v>
          </cell>
          <cell r="H574">
            <v>125</v>
          </cell>
          <cell r="I574">
            <v>5049</v>
          </cell>
        </row>
        <row r="575">
          <cell r="A575" t="str">
            <v>직접대출</v>
          </cell>
          <cell r="C575" t="str">
            <v>은행</v>
          </cell>
          <cell r="E575" t="str">
            <v>우리은행</v>
          </cell>
          <cell r="H575">
            <v>102</v>
          </cell>
          <cell r="I575">
            <v>44000</v>
          </cell>
        </row>
        <row r="576">
          <cell r="A576" t="str">
            <v>직접대출</v>
          </cell>
          <cell r="C576" t="str">
            <v>은행</v>
          </cell>
          <cell r="E576" t="str">
            <v>우리은행</v>
          </cell>
          <cell r="H576">
            <v>140</v>
          </cell>
          <cell r="I576">
            <v>140000</v>
          </cell>
        </row>
        <row r="577">
          <cell r="A577" t="str">
            <v>직접대출</v>
          </cell>
          <cell r="C577" t="str">
            <v>은행</v>
          </cell>
          <cell r="E577" t="str">
            <v>우리은행</v>
          </cell>
          <cell r="H577">
            <v>46</v>
          </cell>
          <cell r="I577">
            <v>28000</v>
          </cell>
        </row>
        <row r="578">
          <cell r="A578" t="str">
            <v>직접대출</v>
          </cell>
          <cell r="C578" t="str">
            <v>은행</v>
          </cell>
          <cell r="E578" t="str">
            <v>우리은행</v>
          </cell>
          <cell r="H578">
            <v>1</v>
          </cell>
          <cell r="I578">
            <v>7420.4216319999996</v>
          </cell>
        </row>
        <row r="579">
          <cell r="A579" t="str">
            <v>직접대출</v>
          </cell>
          <cell r="C579" t="str">
            <v>은행</v>
          </cell>
          <cell r="E579" t="str">
            <v>우리은행</v>
          </cell>
          <cell r="H579">
            <v>1000</v>
          </cell>
          <cell r="I579">
            <v>0</v>
          </cell>
        </row>
        <row r="580">
          <cell r="A580" t="str">
            <v>직접대출</v>
          </cell>
          <cell r="C580" t="str">
            <v>은행</v>
          </cell>
          <cell r="E580" t="str">
            <v>우리은행</v>
          </cell>
          <cell r="H580">
            <v>25</v>
          </cell>
          <cell r="I580">
            <v>20000</v>
          </cell>
        </row>
        <row r="581">
          <cell r="A581" t="str">
            <v>직접대출</v>
          </cell>
          <cell r="C581" t="str">
            <v>은행</v>
          </cell>
          <cell r="E581" t="str">
            <v>우리은행</v>
          </cell>
          <cell r="H581">
            <v>14</v>
          </cell>
          <cell r="I581">
            <v>68000</v>
          </cell>
        </row>
        <row r="582">
          <cell r="A582" t="str">
            <v>직접대출</v>
          </cell>
          <cell r="C582" t="str">
            <v>은행</v>
          </cell>
          <cell r="E582" t="str">
            <v>우리은행</v>
          </cell>
          <cell r="H582">
            <v>14</v>
          </cell>
          <cell r="I582">
            <v>65500</v>
          </cell>
        </row>
        <row r="583">
          <cell r="A583" t="str">
            <v>직접대출</v>
          </cell>
          <cell r="C583" t="str">
            <v>은행</v>
          </cell>
          <cell r="E583" t="str">
            <v>우리은행</v>
          </cell>
          <cell r="H583">
            <v>54</v>
          </cell>
          <cell r="I583">
            <v>30000</v>
          </cell>
        </row>
        <row r="584">
          <cell r="A584" t="str">
            <v>직접대출</v>
          </cell>
          <cell r="C584" t="str">
            <v>은행</v>
          </cell>
          <cell r="E584" t="str">
            <v>우리은행</v>
          </cell>
          <cell r="H584">
            <v>116</v>
          </cell>
          <cell r="I584">
            <v>0</v>
          </cell>
        </row>
        <row r="585">
          <cell r="A585" t="str">
            <v>직접대출</v>
          </cell>
          <cell r="C585" t="str">
            <v>은행</v>
          </cell>
          <cell r="E585" t="str">
            <v>우리은행</v>
          </cell>
          <cell r="H585">
            <v>12</v>
          </cell>
          <cell r="I585">
            <v>71652.547749000005</v>
          </cell>
        </row>
        <row r="586">
          <cell r="A586" t="str">
            <v>직접대출</v>
          </cell>
          <cell r="C586" t="str">
            <v>은행</v>
          </cell>
          <cell r="E586" t="str">
            <v>우리은행</v>
          </cell>
          <cell r="H586">
            <v>12</v>
          </cell>
          <cell r="I586">
            <v>17266.608821000002</v>
          </cell>
        </row>
        <row r="587">
          <cell r="A587" t="str">
            <v>직접대출</v>
          </cell>
          <cell r="C587" t="str">
            <v>은행</v>
          </cell>
          <cell r="E587" t="str">
            <v>우리은행</v>
          </cell>
          <cell r="H587">
            <v>49</v>
          </cell>
          <cell r="I587">
            <v>30000</v>
          </cell>
        </row>
        <row r="588">
          <cell r="A588" t="str">
            <v>직접대출</v>
          </cell>
          <cell r="C588" t="str">
            <v>은행</v>
          </cell>
          <cell r="E588" t="str">
            <v>우리은행</v>
          </cell>
          <cell r="H588">
            <v>50</v>
          </cell>
          <cell r="I588">
            <v>58600</v>
          </cell>
        </row>
        <row r="589">
          <cell r="A589" t="str">
            <v>직접대출</v>
          </cell>
          <cell r="C589" t="str">
            <v>은행</v>
          </cell>
          <cell r="E589" t="str">
            <v>우리은행</v>
          </cell>
          <cell r="H589">
            <v>48</v>
          </cell>
          <cell r="I589">
            <v>6500</v>
          </cell>
        </row>
        <row r="590">
          <cell r="A590" t="str">
            <v>직접대출</v>
          </cell>
          <cell r="C590" t="str">
            <v>은행</v>
          </cell>
          <cell r="E590" t="str">
            <v>우리은행</v>
          </cell>
          <cell r="H590">
            <v>203</v>
          </cell>
          <cell r="I590">
            <v>6000</v>
          </cell>
        </row>
        <row r="591">
          <cell r="A591" t="str">
            <v>직접대출</v>
          </cell>
          <cell r="C591" t="str">
            <v>은행</v>
          </cell>
          <cell r="E591" t="str">
            <v>우리은행</v>
          </cell>
          <cell r="H591">
            <v>5</v>
          </cell>
          <cell r="I591">
            <v>13766.326266</v>
          </cell>
        </row>
        <row r="592">
          <cell r="A592" t="str">
            <v>직접대출</v>
          </cell>
          <cell r="C592" t="str">
            <v>은행</v>
          </cell>
          <cell r="E592" t="str">
            <v>우리은행</v>
          </cell>
          <cell r="H592">
            <v>85</v>
          </cell>
          <cell r="I592">
            <v>24500</v>
          </cell>
        </row>
        <row r="593">
          <cell r="A593" t="str">
            <v>직접대출</v>
          </cell>
          <cell r="C593" t="str">
            <v>은행</v>
          </cell>
          <cell r="E593" t="str">
            <v>우리은행</v>
          </cell>
          <cell r="H593">
            <v>16</v>
          </cell>
          <cell r="I593">
            <v>9259.5454250000003</v>
          </cell>
        </row>
        <row r="594">
          <cell r="A594" t="str">
            <v>직접대출</v>
          </cell>
          <cell r="C594" t="str">
            <v>은행</v>
          </cell>
          <cell r="E594" t="str">
            <v>우리은행</v>
          </cell>
          <cell r="H594">
            <v>16</v>
          </cell>
          <cell r="I594">
            <v>23000</v>
          </cell>
        </row>
        <row r="595">
          <cell r="A595" t="str">
            <v>직접대출</v>
          </cell>
          <cell r="C595" t="str">
            <v>은행</v>
          </cell>
          <cell r="E595" t="str">
            <v>우리은행</v>
          </cell>
          <cell r="H595">
            <v>16</v>
          </cell>
          <cell r="I595">
            <v>27249.990134</v>
          </cell>
        </row>
        <row r="596">
          <cell r="A596" t="str">
            <v>직접대출</v>
          </cell>
          <cell r="C596" t="str">
            <v>은행</v>
          </cell>
          <cell r="E596" t="str">
            <v>우리은행</v>
          </cell>
          <cell r="H596">
            <v>61</v>
          </cell>
          <cell r="I596">
            <v>10000</v>
          </cell>
        </row>
        <row r="597">
          <cell r="A597" t="str">
            <v>직접대출</v>
          </cell>
          <cell r="C597" t="str">
            <v>은행</v>
          </cell>
          <cell r="E597" t="str">
            <v>우리은행</v>
          </cell>
          <cell r="H597">
            <v>1000</v>
          </cell>
          <cell r="I597">
            <v>0</v>
          </cell>
        </row>
        <row r="598">
          <cell r="A598" t="str">
            <v>직접대출</v>
          </cell>
          <cell r="C598" t="str">
            <v>은행</v>
          </cell>
          <cell r="E598" t="str">
            <v>우리은행</v>
          </cell>
          <cell r="H598">
            <v>39</v>
          </cell>
          <cell r="I598">
            <v>67500</v>
          </cell>
        </row>
        <row r="599">
          <cell r="A599" t="str">
            <v>직접대출</v>
          </cell>
          <cell r="C599" t="str">
            <v>은행</v>
          </cell>
          <cell r="E599" t="str">
            <v>우리은행</v>
          </cell>
          <cell r="H599">
            <v>3</v>
          </cell>
          <cell r="I599">
            <v>14100</v>
          </cell>
        </row>
        <row r="600">
          <cell r="A600" t="str">
            <v>직접대출</v>
          </cell>
          <cell r="C600" t="str">
            <v>은행</v>
          </cell>
          <cell r="E600" t="str">
            <v>우리은행</v>
          </cell>
          <cell r="H600">
            <v>18</v>
          </cell>
          <cell r="I600">
            <v>1133</v>
          </cell>
        </row>
        <row r="601">
          <cell r="A601" t="str">
            <v>직접대출</v>
          </cell>
          <cell r="C601" t="str">
            <v>은행</v>
          </cell>
          <cell r="E601" t="str">
            <v>우리은행</v>
          </cell>
          <cell r="H601">
            <v>2</v>
          </cell>
          <cell r="I601">
            <v>35500</v>
          </cell>
        </row>
        <row r="602">
          <cell r="A602" t="str">
            <v>직접대출</v>
          </cell>
          <cell r="C602" t="str">
            <v>은행</v>
          </cell>
          <cell r="E602" t="str">
            <v>우리은행</v>
          </cell>
          <cell r="H602">
            <v>2</v>
          </cell>
          <cell r="I602">
            <v>65700</v>
          </cell>
        </row>
        <row r="603">
          <cell r="A603" t="str">
            <v>직접대출</v>
          </cell>
          <cell r="C603" t="str">
            <v>은행</v>
          </cell>
          <cell r="E603" t="str">
            <v>우리은행</v>
          </cell>
          <cell r="H603">
            <v>2</v>
          </cell>
          <cell r="I603">
            <v>54700</v>
          </cell>
        </row>
        <row r="604">
          <cell r="A604" t="str">
            <v>직접대출</v>
          </cell>
          <cell r="C604" t="str">
            <v>은행</v>
          </cell>
          <cell r="E604" t="str">
            <v>우리은행</v>
          </cell>
          <cell r="H604">
            <v>1</v>
          </cell>
          <cell r="I604">
            <v>17440</v>
          </cell>
        </row>
        <row r="605">
          <cell r="A605" t="str">
            <v>직접대출</v>
          </cell>
          <cell r="C605" t="str">
            <v>은행</v>
          </cell>
          <cell r="E605" t="str">
            <v>우리은행</v>
          </cell>
          <cell r="H605">
            <v>1</v>
          </cell>
          <cell r="I605">
            <v>15780</v>
          </cell>
        </row>
        <row r="606">
          <cell r="A606" t="str">
            <v>직접대출</v>
          </cell>
          <cell r="C606" t="str">
            <v>은행</v>
          </cell>
          <cell r="E606" t="str">
            <v>우리은행</v>
          </cell>
          <cell r="H606">
            <v>10</v>
          </cell>
          <cell r="I606">
            <v>864</v>
          </cell>
        </row>
        <row r="607">
          <cell r="A607" t="str">
            <v>직접대출</v>
          </cell>
          <cell r="C607" t="str">
            <v>은행</v>
          </cell>
          <cell r="E607" t="str">
            <v>우리은행</v>
          </cell>
          <cell r="H607">
            <v>21</v>
          </cell>
          <cell r="I607">
            <v>38000</v>
          </cell>
        </row>
        <row r="608">
          <cell r="A608" t="str">
            <v>직접대출</v>
          </cell>
          <cell r="C608" t="str">
            <v>은행</v>
          </cell>
          <cell r="E608" t="str">
            <v>우리은행</v>
          </cell>
          <cell r="H608">
            <v>12</v>
          </cell>
          <cell r="I608">
            <v>28417.977105999998</v>
          </cell>
        </row>
        <row r="609">
          <cell r="A609" t="str">
            <v>직접대출</v>
          </cell>
          <cell r="C609" t="str">
            <v>은행</v>
          </cell>
          <cell r="E609" t="str">
            <v>우리은행</v>
          </cell>
          <cell r="H609">
            <v>2</v>
          </cell>
          <cell r="I609">
            <v>76500</v>
          </cell>
        </row>
        <row r="610">
          <cell r="A610" t="str">
            <v>직접대출</v>
          </cell>
          <cell r="C610" t="str">
            <v>은행</v>
          </cell>
          <cell r="E610" t="str">
            <v>우리은행</v>
          </cell>
          <cell r="H610">
            <v>2</v>
          </cell>
          <cell r="I610">
            <v>37500</v>
          </cell>
        </row>
        <row r="611">
          <cell r="A611" t="str">
            <v>직접대출</v>
          </cell>
          <cell r="C611" t="str">
            <v>은행</v>
          </cell>
          <cell r="E611" t="str">
            <v>우리은행</v>
          </cell>
          <cell r="H611">
            <v>6</v>
          </cell>
          <cell r="I611">
            <v>11851.100832</v>
          </cell>
        </row>
        <row r="612">
          <cell r="A612" t="str">
            <v>직접대출</v>
          </cell>
          <cell r="C612" t="str">
            <v>은행</v>
          </cell>
          <cell r="E612" t="str">
            <v>우리은행</v>
          </cell>
          <cell r="H612">
            <v>60</v>
          </cell>
          <cell r="I612">
            <v>19625</v>
          </cell>
        </row>
        <row r="613">
          <cell r="A613" t="str">
            <v>직접대출</v>
          </cell>
          <cell r="C613" t="str">
            <v>은행</v>
          </cell>
          <cell r="E613" t="str">
            <v>우리은행</v>
          </cell>
          <cell r="H613">
            <v>3</v>
          </cell>
          <cell r="I613">
            <v>120000</v>
          </cell>
        </row>
        <row r="614">
          <cell r="A614" t="str">
            <v>직접대출</v>
          </cell>
          <cell r="C614" t="str">
            <v>은행</v>
          </cell>
          <cell r="E614" t="str">
            <v>우리은행</v>
          </cell>
          <cell r="H614">
            <v>212</v>
          </cell>
          <cell r="I614">
            <v>17624.282491000002</v>
          </cell>
        </row>
        <row r="615">
          <cell r="A615" t="str">
            <v>직접대출</v>
          </cell>
          <cell r="C615" t="str">
            <v>은행</v>
          </cell>
          <cell r="E615" t="str">
            <v>우리은행</v>
          </cell>
          <cell r="H615">
            <v>212</v>
          </cell>
          <cell r="I615">
            <v>84100.766889000006</v>
          </cell>
        </row>
        <row r="616">
          <cell r="A616" t="str">
            <v>직접대출</v>
          </cell>
          <cell r="C616" t="str">
            <v>은행</v>
          </cell>
          <cell r="E616" t="str">
            <v>우리은행</v>
          </cell>
          <cell r="H616">
            <v>212</v>
          </cell>
          <cell r="I616">
            <v>36600</v>
          </cell>
        </row>
        <row r="617">
          <cell r="A617" t="str">
            <v>직접대출</v>
          </cell>
          <cell r="C617" t="str">
            <v>은행</v>
          </cell>
          <cell r="E617" t="str">
            <v>우리은행</v>
          </cell>
          <cell r="H617">
            <v>1</v>
          </cell>
          <cell r="I617">
            <v>8300</v>
          </cell>
        </row>
        <row r="618">
          <cell r="A618" t="str">
            <v>직접대출</v>
          </cell>
          <cell r="C618" t="str">
            <v>은행</v>
          </cell>
          <cell r="E618" t="str">
            <v>우리은행</v>
          </cell>
          <cell r="H618">
            <v>174</v>
          </cell>
          <cell r="I618">
            <v>63385</v>
          </cell>
        </row>
        <row r="619">
          <cell r="A619" t="str">
            <v>직접대출</v>
          </cell>
          <cell r="C619" t="str">
            <v>은행</v>
          </cell>
          <cell r="E619" t="str">
            <v>우리은행</v>
          </cell>
          <cell r="H619">
            <v>340</v>
          </cell>
          <cell r="I619">
            <v>6600</v>
          </cell>
        </row>
        <row r="620">
          <cell r="A620" t="str">
            <v>직접대출</v>
          </cell>
          <cell r="C620" t="str">
            <v>은행</v>
          </cell>
          <cell r="E620" t="str">
            <v>우리은행</v>
          </cell>
          <cell r="H620">
            <v>33</v>
          </cell>
          <cell r="I620">
            <v>37000</v>
          </cell>
        </row>
        <row r="621">
          <cell r="A621" t="str">
            <v>직접대출</v>
          </cell>
          <cell r="C621" t="str">
            <v>은행</v>
          </cell>
          <cell r="E621" t="str">
            <v>우리은행</v>
          </cell>
          <cell r="H621">
            <v>410</v>
          </cell>
          <cell r="I621">
            <v>59000</v>
          </cell>
        </row>
        <row r="622">
          <cell r="A622" t="str">
            <v>직접대출</v>
          </cell>
          <cell r="C622" t="str">
            <v>은행</v>
          </cell>
          <cell r="E622" t="str">
            <v>우리은행</v>
          </cell>
          <cell r="H622">
            <v>2</v>
          </cell>
          <cell r="I622">
            <v>128912</v>
          </cell>
        </row>
        <row r="623">
          <cell r="A623" t="str">
            <v>직접대출</v>
          </cell>
          <cell r="C623" t="str">
            <v>은행</v>
          </cell>
          <cell r="E623" t="str">
            <v>우리은행</v>
          </cell>
          <cell r="H623">
            <v>87</v>
          </cell>
          <cell r="I623">
            <v>5500</v>
          </cell>
        </row>
        <row r="624">
          <cell r="A624" t="str">
            <v>직접대출</v>
          </cell>
          <cell r="C624" t="str">
            <v>은행</v>
          </cell>
          <cell r="E624" t="str">
            <v>우리은행</v>
          </cell>
          <cell r="H624">
            <v>1000</v>
          </cell>
          <cell r="I624">
            <v>0</v>
          </cell>
        </row>
        <row r="625">
          <cell r="A625" t="str">
            <v>직접대출</v>
          </cell>
          <cell r="C625" t="str">
            <v>은행</v>
          </cell>
          <cell r="E625" t="str">
            <v>우리은행</v>
          </cell>
          <cell r="H625">
            <v>15</v>
          </cell>
          <cell r="I625">
            <v>80000</v>
          </cell>
        </row>
        <row r="626">
          <cell r="A626" t="str">
            <v>직접대출</v>
          </cell>
          <cell r="C626" t="str">
            <v>은행</v>
          </cell>
          <cell r="E626" t="str">
            <v>우리은행</v>
          </cell>
          <cell r="H626">
            <v>198</v>
          </cell>
          <cell r="I626">
            <v>11500</v>
          </cell>
        </row>
        <row r="627">
          <cell r="A627" t="str">
            <v>직접대출</v>
          </cell>
          <cell r="C627" t="str">
            <v>은행</v>
          </cell>
          <cell r="E627" t="str">
            <v>우리은행</v>
          </cell>
          <cell r="H627">
            <v>12</v>
          </cell>
          <cell r="I627">
            <v>13800</v>
          </cell>
        </row>
        <row r="628">
          <cell r="A628" t="str">
            <v>직접대출</v>
          </cell>
          <cell r="C628" t="str">
            <v>은행</v>
          </cell>
          <cell r="E628" t="str">
            <v>우리은행</v>
          </cell>
          <cell r="H628">
            <v>194</v>
          </cell>
          <cell r="I628">
            <v>18000</v>
          </cell>
        </row>
        <row r="629">
          <cell r="A629" t="str">
            <v>직접대출</v>
          </cell>
          <cell r="C629" t="str">
            <v>은행</v>
          </cell>
          <cell r="E629" t="str">
            <v>우리은행</v>
          </cell>
          <cell r="H629">
            <v>1000</v>
          </cell>
          <cell r="I629">
            <v>0</v>
          </cell>
        </row>
        <row r="630">
          <cell r="A630" t="str">
            <v>직접대출</v>
          </cell>
          <cell r="C630" t="str">
            <v>은행</v>
          </cell>
          <cell r="E630" t="str">
            <v>우리은행</v>
          </cell>
          <cell r="H630">
            <v>32</v>
          </cell>
          <cell r="I630">
            <v>100000</v>
          </cell>
        </row>
        <row r="631">
          <cell r="A631" t="str">
            <v>직접대출</v>
          </cell>
          <cell r="C631" t="str">
            <v>은행</v>
          </cell>
          <cell r="E631" t="str">
            <v>우리은행</v>
          </cell>
          <cell r="H631">
            <v>40</v>
          </cell>
          <cell r="I631">
            <v>28000</v>
          </cell>
        </row>
        <row r="632">
          <cell r="A632" t="str">
            <v>직접대출</v>
          </cell>
          <cell r="C632" t="str">
            <v>은행</v>
          </cell>
          <cell r="E632" t="str">
            <v>우리은행</v>
          </cell>
          <cell r="H632">
            <v>14</v>
          </cell>
          <cell r="I632">
            <v>23000</v>
          </cell>
        </row>
        <row r="633">
          <cell r="A633" t="str">
            <v>직접대출</v>
          </cell>
          <cell r="C633" t="str">
            <v>은행</v>
          </cell>
          <cell r="E633" t="str">
            <v>우리은행</v>
          </cell>
          <cell r="H633">
            <v>32</v>
          </cell>
          <cell r="I633">
            <v>33000</v>
          </cell>
        </row>
        <row r="634">
          <cell r="A634" t="str">
            <v>직접대출</v>
          </cell>
          <cell r="C634" t="str">
            <v>은행</v>
          </cell>
          <cell r="E634" t="str">
            <v>우리은행</v>
          </cell>
          <cell r="H634">
            <v>32</v>
          </cell>
          <cell r="I634">
            <v>36000</v>
          </cell>
        </row>
        <row r="635">
          <cell r="A635" t="str">
            <v>직접대출</v>
          </cell>
          <cell r="C635" t="str">
            <v>은행</v>
          </cell>
          <cell r="E635" t="str">
            <v>우리은행</v>
          </cell>
          <cell r="H635">
            <v>40</v>
          </cell>
          <cell r="I635">
            <v>25000</v>
          </cell>
        </row>
        <row r="636">
          <cell r="A636" t="str">
            <v>직접대출</v>
          </cell>
          <cell r="C636" t="str">
            <v>은행</v>
          </cell>
          <cell r="E636" t="str">
            <v>우리은행</v>
          </cell>
          <cell r="H636">
            <v>98</v>
          </cell>
          <cell r="I636">
            <v>27100</v>
          </cell>
        </row>
        <row r="637">
          <cell r="A637" t="str">
            <v>직접대출</v>
          </cell>
          <cell r="C637" t="str">
            <v>은행</v>
          </cell>
          <cell r="E637" t="str">
            <v>우리은행</v>
          </cell>
          <cell r="H637">
            <v>322</v>
          </cell>
          <cell r="I637">
            <v>5500</v>
          </cell>
        </row>
        <row r="638">
          <cell r="A638" t="str">
            <v>직접대출</v>
          </cell>
          <cell r="C638" t="str">
            <v>은행</v>
          </cell>
          <cell r="E638" t="str">
            <v>우리은행</v>
          </cell>
          <cell r="H638">
            <v>5</v>
          </cell>
          <cell r="I638">
            <v>32400</v>
          </cell>
        </row>
        <row r="639">
          <cell r="A639" t="str">
            <v>직접대출</v>
          </cell>
          <cell r="C639" t="str">
            <v>은행</v>
          </cell>
          <cell r="E639" t="str">
            <v>우리은행</v>
          </cell>
          <cell r="H639">
            <v>23</v>
          </cell>
          <cell r="I639">
            <v>7000</v>
          </cell>
        </row>
        <row r="640">
          <cell r="A640" t="str">
            <v>직접대출</v>
          </cell>
          <cell r="C640" t="str">
            <v>은행</v>
          </cell>
          <cell r="E640" t="str">
            <v>우리은행</v>
          </cell>
          <cell r="H640">
            <v>52</v>
          </cell>
          <cell r="I640">
            <v>46000</v>
          </cell>
        </row>
        <row r="641">
          <cell r="A641" t="str">
            <v>직접대출</v>
          </cell>
          <cell r="C641" t="str">
            <v>은행</v>
          </cell>
          <cell r="E641" t="str">
            <v>우리은행</v>
          </cell>
          <cell r="H641">
            <v>1</v>
          </cell>
          <cell r="I641">
            <v>5547</v>
          </cell>
        </row>
        <row r="642">
          <cell r="A642" t="str">
            <v>직접대출</v>
          </cell>
          <cell r="C642" t="str">
            <v>은행</v>
          </cell>
          <cell r="E642" t="str">
            <v>우리은행</v>
          </cell>
          <cell r="H642">
            <v>2</v>
          </cell>
          <cell r="I642">
            <v>52500</v>
          </cell>
        </row>
        <row r="643">
          <cell r="A643" t="str">
            <v>직접대출</v>
          </cell>
          <cell r="C643" t="str">
            <v>은행</v>
          </cell>
          <cell r="E643" t="str">
            <v>우리은행</v>
          </cell>
          <cell r="H643">
            <v>2</v>
          </cell>
          <cell r="I643">
            <v>30900</v>
          </cell>
        </row>
        <row r="644">
          <cell r="A644" t="str">
            <v>직접대출</v>
          </cell>
          <cell r="C644" t="str">
            <v>은행</v>
          </cell>
          <cell r="E644" t="str">
            <v>우리은행</v>
          </cell>
          <cell r="H644">
            <v>48</v>
          </cell>
          <cell r="I644">
            <v>60000</v>
          </cell>
        </row>
        <row r="645">
          <cell r="A645" t="str">
            <v>직접대출</v>
          </cell>
          <cell r="C645" t="str">
            <v>은행</v>
          </cell>
          <cell r="E645" t="str">
            <v>우리은행</v>
          </cell>
          <cell r="H645">
            <v>12</v>
          </cell>
          <cell r="I645">
            <v>35102.040816000001</v>
          </cell>
        </row>
        <row r="646">
          <cell r="A646" t="str">
            <v>직접대출</v>
          </cell>
          <cell r="C646" t="str">
            <v>은행</v>
          </cell>
          <cell r="E646" t="str">
            <v>우리은행</v>
          </cell>
          <cell r="H646">
            <v>77</v>
          </cell>
          <cell r="I646">
            <v>4000</v>
          </cell>
        </row>
        <row r="647">
          <cell r="A647" t="str">
            <v>직접대출</v>
          </cell>
          <cell r="C647" t="str">
            <v>은행</v>
          </cell>
          <cell r="E647" t="str">
            <v>우리은행</v>
          </cell>
          <cell r="H647">
            <v>49</v>
          </cell>
          <cell r="I647">
            <v>37800</v>
          </cell>
        </row>
        <row r="648">
          <cell r="A648" t="str">
            <v>직접대출</v>
          </cell>
          <cell r="C648" t="str">
            <v>은행</v>
          </cell>
          <cell r="E648" t="str">
            <v>우리은행</v>
          </cell>
          <cell r="H648">
            <v>150</v>
          </cell>
          <cell r="I648">
            <v>51000</v>
          </cell>
        </row>
        <row r="649">
          <cell r="A649" t="str">
            <v>직접대출</v>
          </cell>
          <cell r="C649" t="str">
            <v>은행</v>
          </cell>
          <cell r="E649" t="str">
            <v>우리은행</v>
          </cell>
          <cell r="H649">
            <v>34</v>
          </cell>
          <cell r="I649">
            <v>19000</v>
          </cell>
        </row>
        <row r="650">
          <cell r="A650" t="str">
            <v>직접대출</v>
          </cell>
          <cell r="C650" t="str">
            <v>은행</v>
          </cell>
          <cell r="E650" t="str">
            <v>우리은행</v>
          </cell>
          <cell r="H650">
            <v>6</v>
          </cell>
          <cell r="I650">
            <v>16000</v>
          </cell>
        </row>
        <row r="651">
          <cell r="A651" t="str">
            <v>직접대출</v>
          </cell>
          <cell r="C651" t="str">
            <v>은행</v>
          </cell>
          <cell r="E651" t="str">
            <v>우리은행</v>
          </cell>
          <cell r="H651">
            <v>34</v>
          </cell>
          <cell r="I651">
            <v>34500</v>
          </cell>
        </row>
        <row r="652">
          <cell r="A652" t="str">
            <v>직접대출</v>
          </cell>
          <cell r="C652" t="str">
            <v>은행</v>
          </cell>
          <cell r="E652" t="str">
            <v>우리은행</v>
          </cell>
          <cell r="H652">
            <v>32</v>
          </cell>
          <cell r="I652">
            <v>10000</v>
          </cell>
        </row>
        <row r="653">
          <cell r="A653" t="str">
            <v>직접대출</v>
          </cell>
          <cell r="C653" t="str">
            <v>은행</v>
          </cell>
          <cell r="E653" t="str">
            <v>우리은행</v>
          </cell>
          <cell r="H653">
            <v>1000</v>
          </cell>
          <cell r="I653">
            <v>0</v>
          </cell>
        </row>
        <row r="654">
          <cell r="A654" t="str">
            <v>직접대출</v>
          </cell>
          <cell r="C654" t="str">
            <v>은행</v>
          </cell>
          <cell r="E654" t="str">
            <v>우리은행</v>
          </cell>
          <cell r="H654">
            <v>21</v>
          </cell>
          <cell r="I654">
            <v>40554.798065000003</v>
          </cell>
        </row>
        <row r="655">
          <cell r="A655" t="str">
            <v>직접대출</v>
          </cell>
          <cell r="C655" t="str">
            <v>은행</v>
          </cell>
          <cell r="E655" t="str">
            <v>우리은행</v>
          </cell>
          <cell r="H655">
            <v>10</v>
          </cell>
          <cell r="I655">
            <v>60000</v>
          </cell>
        </row>
        <row r="656">
          <cell r="A656" t="str">
            <v>직접대출</v>
          </cell>
          <cell r="C656" t="str">
            <v>은행</v>
          </cell>
          <cell r="E656" t="str">
            <v>우리은행</v>
          </cell>
          <cell r="H656">
            <v>13</v>
          </cell>
          <cell r="I656">
            <v>9904</v>
          </cell>
        </row>
        <row r="657">
          <cell r="A657" t="str">
            <v>직접대출</v>
          </cell>
          <cell r="C657" t="str">
            <v>은행</v>
          </cell>
          <cell r="E657" t="str">
            <v>우리은행</v>
          </cell>
          <cell r="H657">
            <v>18</v>
          </cell>
          <cell r="I657">
            <v>15494.550265</v>
          </cell>
        </row>
        <row r="658">
          <cell r="A658" t="str">
            <v>직접대출</v>
          </cell>
          <cell r="C658" t="str">
            <v>은행</v>
          </cell>
          <cell r="E658" t="str">
            <v>우리은행</v>
          </cell>
          <cell r="H658">
            <v>1000</v>
          </cell>
          <cell r="I658">
            <v>930</v>
          </cell>
        </row>
        <row r="659">
          <cell r="A659" t="str">
            <v>직접대출</v>
          </cell>
          <cell r="C659" t="str">
            <v>은행</v>
          </cell>
          <cell r="E659" t="str">
            <v>우리은행</v>
          </cell>
          <cell r="H659">
            <v>40</v>
          </cell>
          <cell r="I659">
            <v>10233.784</v>
          </cell>
        </row>
        <row r="660">
          <cell r="A660" t="str">
            <v>직접대출</v>
          </cell>
          <cell r="C660" t="str">
            <v>은행</v>
          </cell>
          <cell r="E660" t="str">
            <v>우리은행</v>
          </cell>
          <cell r="H660">
            <v>23</v>
          </cell>
          <cell r="I660">
            <v>20000</v>
          </cell>
        </row>
        <row r="661">
          <cell r="A661" t="str">
            <v>직접대출</v>
          </cell>
          <cell r="C661" t="str">
            <v>은행</v>
          </cell>
          <cell r="E661" t="str">
            <v>우리은행</v>
          </cell>
          <cell r="H661">
            <v>46</v>
          </cell>
          <cell r="I661">
            <v>40000</v>
          </cell>
        </row>
        <row r="662">
          <cell r="A662" t="str">
            <v>직접대출</v>
          </cell>
          <cell r="C662" t="str">
            <v>은행</v>
          </cell>
          <cell r="E662" t="str">
            <v>우리은행</v>
          </cell>
          <cell r="H662">
            <v>38</v>
          </cell>
          <cell r="I662">
            <v>43661.3024</v>
          </cell>
        </row>
        <row r="663">
          <cell r="A663" t="str">
            <v>직접대출</v>
          </cell>
          <cell r="C663" t="str">
            <v>은행</v>
          </cell>
          <cell r="E663" t="str">
            <v>우리은행</v>
          </cell>
          <cell r="H663">
            <v>14</v>
          </cell>
          <cell r="I663">
            <v>106620</v>
          </cell>
        </row>
        <row r="664">
          <cell r="A664" t="str">
            <v>직접대출</v>
          </cell>
          <cell r="C664" t="str">
            <v>은행</v>
          </cell>
          <cell r="E664" t="str">
            <v>우리은행</v>
          </cell>
          <cell r="H664">
            <v>59</v>
          </cell>
          <cell r="I664">
            <v>54831.5075</v>
          </cell>
        </row>
        <row r="665">
          <cell r="A665" t="str">
            <v>직접대출</v>
          </cell>
          <cell r="C665" t="str">
            <v>은행</v>
          </cell>
          <cell r="E665" t="str">
            <v>우리은행</v>
          </cell>
          <cell r="H665">
            <v>46</v>
          </cell>
          <cell r="I665">
            <v>18500</v>
          </cell>
        </row>
        <row r="666">
          <cell r="A666" t="str">
            <v>직접대출</v>
          </cell>
          <cell r="C666" t="str">
            <v>은행</v>
          </cell>
          <cell r="E666" t="str">
            <v>우리은행</v>
          </cell>
          <cell r="H666">
            <v>5</v>
          </cell>
          <cell r="I666">
            <v>41000</v>
          </cell>
        </row>
        <row r="667">
          <cell r="A667" t="str">
            <v>직접대출</v>
          </cell>
          <cell r="C667" t="str">
            <v>은행</v>
          </cell>
          <cell r="E667" t="str">
            <v>우리은행</v>
          </cell>
          <cell r="H667">
            <v>5</v>
          </cell>
          <cell r="I667">
            <v>56000</v>
          </cell>
        </row>
        <row r="668">
          <cell r="A668" t="str">
            <v>직접대출</v>
          </cell>
          <cell r="C668" t="str">
            <v>은행</v>
          </cell>
          <cell r="E668" t="str">
            <v>우리은행</v>
          </cell>
          <cell r="H668">
            <v>5</v>
          </cell>
          <cell r="I668">
            <v>21000</v>
          </cell>
        </row>
        <row r="669">
          <cell r="A669" t="str">
            <v>직접대출</v>
          </cell>
          <cell r="C669" t="str">
            <v>은행</v>
          </cell>
          <cell r="E669" t="str">
            <v>우리은행</v>
          </cell>
          <cell r="H669">
            <v>40</v>
          </cell>
          <cell r="I669">
            <v>0</v>
          </cell>
        </row>
        <row r="670">
          <cell r="A670" t="str">
            <v>직접대출</v>
          </cell>
          <cell r="C670" t="str">
            <v>은행</v>
          </cell>
          <cell r="E670" t="str">
            <v>우리은행</v>
          </cell>
          <cell r="H670">
            <v>1</v>
          </cell>
          <cell r="I670">
            <v>7400</v>
          </cell>
        </row>
        <row r="671">
          <cell r="A671" t="str">
            <v>직접대출</v>
          </cell>
          <cell r="C671" t="str">
            <v>은행</v>
          </cell>
          <cell r="E671" t="str">
            <v>우리은행</v>
          </cell>
          <cell r="H671">
            <v>1</v>
          </cell>
          <cell r="I671">
            <v>22100</v>
          </cell>
        </row>
        <row r="672">
          <cell r="A672" t="str">
            <v>직접대출</v>
          </cell>
          <cell r="C672" t="str">
            <v>은행</v>
          </cell>
          <cell r="E672" t="str">
            <v>우리은행</v>
          </cell>
          <cell r="H672">
            <v>175</v>
          </cell>
          <cell r="I672">
            <v>37000</v>
          </cell>
        </row>
        <row r="673">
          <cell r="A673" t="str">
            <v>직접대출</v>
          </cell>
          <cell r="C673" t="str">
            <v>은행</v>
          </cell>
          <cell r="E673" t="str">
            <v>우리은행</v>
          </cell>
          <cell r="H673">
            <v>21</v>
          </cell>
          <cell r="I673">
            <v>53000</v>
          </cell>
        </row>
        <row r="674">
          <cell r="A674" t="str">
            <v>직접대출</v>
          </cell>
          <cell r="C674" t="str">
            <v>은행</v>
          </cell>
          <cell r="E674" t="str">
            <v>우리은행</v>
          </cell>
          <cell r="H674">
            <v>127</v>
          </cell>
          <cell r="I674">
            <v>3000</v>
          </cell>
        </row>
        <row r="675">
          <cell r="A675" t="str">
            <v>직접대출</v>
          </cell>
          <cell r="C675" t="str">
            <v>은행</v>
          </cell>
          <cell r="E675" t="str">
            <v>우리은행</v>
          </cell>
          <cell r="H675">
            <v>60</v>
          </cell>
          <cell r="I675">
            <v>10000</v>
          </cell>
        </row>
        <row r="676">
          <cell r="A676" t="str">
            <v>직접대출</v>
          </cell>
          <cell r="C676" t="str">
            <v>은행</v>
          </cell>
          <cell r="E676" t="str">
            <v>우리은행</v>
          </cell>
          <cell r="H676">
            <v>1</v>
          </cell>
          <cell r="I676">
            <v>196000</v>
          </cell>
        </row>
        <row r="677">
          <cell r="A677" t="str">
            <v>직접대출</v>
          </cell>
          <cell r="C677" t="str">
            <v>은행</v>
          </cell>
          <cell r="E677" t="str">
            <v>우리은행</v>
          </cell>
          <cell r="H677">
            <v>38</v>
          </cell>
          <cell r="I677">
            <v>15500</v>
          </cell>
        </row>
        <row r="678">
          <cell r="A678" t="str">
            <v>직접대출</v>
          </cell>
          <cell r="C678" t="str">
            <v>은행</v>
          </cell>
          <cell r="E678" t="str">
            <v>우리은행</v>
          </cell>
          <cell r="H678">
            <v>15</v>
          </cell>
          <cell r="I678">
            <v>40000</v>
          </cell>
        </row>
        <row r="679">
          <cell r="A679" t="str">
            <v>직접대출</v>
          </cell>
          <cell r="C679" t="str">
            <v>은행</v>
          </cell>
          <cell r="E679" t="str">
            <v>우리은행</v>
          </cell>
          <cell r="H679">
            <v>1000</v>
          </cell>
          <cell r="I679">
            <v>9200</v>
          </cell>
        </row>
        <row r="680">
          <cell r="A680" t="str">
            <v>직접대출</v>
          </cell>
          <cell r="C680" t="str">
            <v>은행</v>
          </cell>
          <cell r="E680" t="str">
            <v>우리은행</v>
          </cell>
          <cell r="H680">
            <v>3</v>
          </cell>
          <cell r="I680">
            <v>46500</v>
          </cell>
        </row>
        <row r="681">
          <cell r="A681" t="str">
            <v>직접대출</v>
          </cell>
          <cell r="C681" t="str">
            <v>은행</v>
          </cell>
          <cell r="E681" t="str">
            <v>우리은행</v>
          </cell>
          <cell r="H681">
            <v>66</v>
          </cell>
          <cell r="I681">
            <v>26950</v>
          </cell>
        </row>
        <row r="682">
          <cell r="A682" t="str">
            <v>직접대출</v>
          </cell>
          <cell r="C682" t="str">
            <v>은행</v>
          </cell>
          <cell r="E682" t="str">
            <v>우리은행</v>
          </cell>
          <cell r="H682">
            <v>21</v>
          </cell>
          <cell r="I682">
            <v>45000</v>
          </cell>
        </row>
        <row r="683">
          <cell r="A683" t="str">
            <v>직접대출</v>
          </cell>
          <cell r="C683" t="str">
            <v>은행</v>
          </cell>
          <cell r="E683" t="str">
            <v>우리은행</v>
          </cell>
          <cell r="H683">
            <v>17</v>
          </cell>
          <cell r="I683">
            <v>25200</v>
          </cell>
        </row>
        <row r="684">
          <cell r="A684" t="str">
            <v>직접대출</v>
          </cell>
          <cell r="C684" t="str">
            <v>은행</v>
          </cell>
          <cell r="E684" t="str">
            <v>우리은행</v>
          </cell>
          <cell r="H684">
            <v>95</v>
          </cell>
          <cell r="I684">
            <v>0</v>
          </cell>
        </row>
        <row r="685">
          <cell r="A685" t="str">
            <v>직접대출</v>
          </cell>
          <cell r="C685" t="str">
            <v>은행</v>
          </cell>
          <cell r="E685" t="str">
            <v>우리은행</v>
          </cell>
          <cell r="H685">
            <v>95</v>
          </cell>
          <cell r="I685">
            <v>0</v>
          </cell>
        </row>
        <row r="686">
          <cell r="A686" t="str">
            <v>직접대출</v>
          </cell>
          <cell r="C686" t="str">
            <v>은행</v>
          </cell>
          <cell r="E686" t="str">
            <v>우리은행</v>
          </cell>
          <cell r="H686">
            <v>35</v>
          </cell>
          <cell r="I686">
            <v>13300</v>
          </cell>
        </row>
        <row r="687">
          <cell r="A687" t="str">
            <v>직접대출</v>
          </cell>
          <cell r="C687" t="str">
            <v>은행</v>
          </cell>
          <cell r="E687" t="str">
            <v>우리은행</v>
          </cell>
          <cell r="H687">
            <v>50</v>
          </cell>
          <cell r="I687">
            <v>42000</v>
          </cell>
        </row>
        <row r="688">
          <cell r="A688" t="str">
            <v>직접대출</v>
          </cell>
          <cell r="C688" t="str">
            <v>은행</v>
          </cell>
          <cell r="E688" t="str">
            <v>우리은행</v>
          </cell>
          <cell r="H688">
            <v>127</v>
          </cell>
          <cell r="I688">
            <v>70000</v>
          </cell>
        </row>
        <row r="689">
          <cell r="A689" t="str">
            <v>직접대출</v>
          </cell>
          <cell r="C689" t="str">
            <v>은행</v>
          </cell>
          <cell r="E689" t="str">
            <v>우리은행</v>
          </cell>
          <cell r="H689">
            <v>85</v>
          </cell>
          <cell r="I689">
            <v>48000</v>
          </cell>
        </row>
        <row r="690">
          <cell r="A690" t="str">
            <v>직접대출</v>
          </cell>
          <cell r="C690" t="str">
            <v>은행</v>
          </cell>
          <cell r="E690" t="str">
            <v>우리은행</v>
          </cell>
          <cell r="H690">
            <v>85</v>
          </cell>
          <cell r="I690">
            <v>70000</v>
          </cell>
        </row>
        <row r="691">
          <cell r="A691" t="str">
            <v>직접대출</v>
          </cell>
          <cell r="C691" t="str">
            <v>은행</v>
          </cell>
          <cell r="E691" t="str">
            <v>우리은행</v>
          </cell>
          <cell r="H691">
            <v>172</v>
          </cell>
          <cell r="I691">
            <v>8900</v>
          </cell>
        </row>
        <row r="692">
          <cell r="A692" t="str">
            <v>직접대출</v>
          </cell>
          <cell r="C692" t="str">
            <v>은행</v>
          </cell>
          <cell r="E692" t="str">
            <v>우리은행</v>
          </cell>
          <cell r="H692">
            <v>172</v>
          </cell>
          <cell r="I692">
            <v>1710</v>
          </cell>
        </row>
        <row r="693">
          <cell r="A693" t="str">
            <v>직접대출</v>
          </cell>
          <cell r="C693" t="str">
            <v>은행</v>
          </cell>
          <cell r="E693" t="str">
            <v>우리은행</v>
          </cell>
          <cell r="H693">
            <v>169</v>
          </cell>
          <cell r="I693">
            <v>15120</v>
          </cell>
        </row>
        <row r="694">
          <cell r="A694" t="str">
            <v>직접대출</v>
          </cell>
          <cell r="C694" t="str">
            <v>은행</v>
          </cell>
          <cell r="E694" t="str">
            <v>우리은행</v>
          </cell>
          <cell r="H694">
            <v>77</v>
          </cell>
          <cell r="I694">
            <v>16900</v>
          </cell>
        </row>
        <row r="695">
          <cell r="A695" t="str">
            <v>직접대출</v>
          </cell>
          <cell r="C695" t="str">
            <v>은행</v>
          </cell>
          <cell r="E695" t="str">
            <v>우리은행</v>
          </cell>
          <cell r="H695">
            <v>1000</v>
          </cell>
          <cell r="I695">
            <v>0</v>
          </cell>
        </row>
        <row r="696">
          <cell r="A696" t="str">
            <v>직접대출</v>
          </cell>
          <cell r="C696" t="str">
            <v>은행</v>
          </cell>
          <cell r="E696" t="str">
            <v>우리은행</v>
          </cell>
          <cell r="H696">
            <v>99</v>
          </cell>
          <cell r="I696">
            <v>15300</v>
          </cell>
        </row>
        <row r="697">
          <cell r="A697" t="str">
            <v>직접대출</v>
          </cell>
          <cell r="C697" t="str">
            <v>은행</v>
          </cell>
          <cell r="E697" t="str">
            <v>우리은행</v>
          </cell>
          <cell r="H697">
            <v>1000</v>
          </cell>
          <cell r="I697">
            <v>34840.74</v>
          </cell>
        </row>
        <row r="698">
          <cell r="A698" t="str">
            <v>직접대출</v>
          </cell>
          <cell r="C698" t="str">
            <v>은행</v>
          </cell>
          <cell r="E698" t="str">
            <v>우리은행</v>
          </cell>
          <cell r="H698">
            <v>34</v>
          </cell>
          <cell r="I698">
            <v>36300</v>
          </cell>
        </row>
        <row r="699">
          <cell r="A699" t="str">
            <v>직접대출</v>
          </cell>
          <cell r="C699" t="str">
            <v>은행</v>
          </cell>
          <cell r="E699" t="str">
            <v>우리은행</v>
          </cell>
          <cell r="H699">
            <v>10</v>
          </cell>
          <cell r="I699">
            <v>66500</v>
          </cell>
        </row>
        <row r="700">
          <cell r="A700" t="str">
            <v>직접대출</v>
          </cell>
          <cell r="C700" t="str">
            <v>은행</v>
          </cell>
          <cell r="E700" t="str">
            <v>우리은행</v>
          </cell>
          <cell r="H700">
            <v>1000</v>
          </cell>
          <cell r="I700">
            <v>0</v>
          </cell>
        </row>
        <row r="701">
          <cell r="A701" t="str">
            <v>직접대출</v>
          </cell>
          <cell r="C701" t="str">
            <v>은행</v>
          </cell>
          <cell r="E701" t="str">
            <v>우리은행</v>
          </cell>
          <cell r="H701">
            <v>151</v>
          </cell>
          <cell r="I701">
            <v>22115</v>
          </cell>
        </row>
        <row r="702">
          <cell r="A702" t="str">
            <v>직접대출</v>
          </cell>
          <cell r="C702" t="str">
            <v>은행</v>
          </cell>
          <cell r="E702" t="str">
            <v>우리은행</v>
          </cell>
          <cell r="H702">
            <v>9</v>
          </cell>
          <cell r="I702">
            <v>40000</v>
          </cell>
        </row>
        <row r="703">
          <cell r="A703" t="str">
            <v>직접대출</v>
          </cell>
          <cell r="C703" t="str">
            <v>은행</v>
          </cell>
          <cell r="E703" t="str">
            <v>우리은행</v>
          </cell>
          <cell r="H703">
            <v>12</v>
          </cell>
          <cell r="I703">
            <v>2500</v>
          </cell>
        </row>
        <row r="704">
          <cell r="A704" t="str">
            <v>직접대출</v>
          </cell>
          <cell r="C704" t="str">
            <v>은행</v>
          </cell>
          <cell r="E704" t="str">
            <v>우리은행</v>
          </cell>
          <cell r="H704">
            <v>46</v>
          </cell>
          <cell r="I704">
            <v>5000</v>
          </cell>
        </row>
        <row r="705">
          <cell r="A705" t="str">
            <v>직접대출</v>
          </cell>
          <cell r="C705" t="str">
            <v>은행</v>
          </cell>
          <cell r="E705" t="str">
            <v>우리은행</v>
          </cell>
          <cell r="H705">
            <v>202</v>
          </cell>
          <cell r="I705">
            <v>67224.127200000003</v>
          </cell>
        </row>
        <row r="706">
          <cell r="A706" t="str">
            <v>직접대출</v>
          </cell>
          <cell r="C706" t="str">
            <v>은행</v>
          </cell>
          <cell r="E706" t="str">
            <v>우리은행</v>
          </cell>
          <cell r="H706">
            <v>77</v>
          </cell>
          <cell r="I706">
            <v>57000</v>
          </cell>
        </row>
        <row r="707">
          <cell r="A707" t="str">
            <v>직접대출</v>
          </cell>
          <cell r="C707" t="str">
            <v>은행</v>
          </cell>
          <cell r="E707" t="str">
            <v>우리은행</v>
          </cell>
          <cell r="H707">
            <v>77</v>
          </cell>
          <cell r="I707">
            <v>1900</v>
          </cell>
        </row>
        <row r="708">
          <cell r="A708" t="str">
            <v>직접대출</v>
          </cell>
          <cell r="C708" t="str">
            <v>은행</v>
          </cell>
          <cell r="E708" t="str">
            <v>우리은행</v>
          </cell>
          <cell r="H708">
            <v>77</v>
          </cell>
          <cell r="I708">
            <v>500</v>
          </cell>
        </row>
        <row r="709">
          <cell r="A709" t="str">
            <v>직접대출</v>
          </cell>
          <cell r="C709" t="str">
            <v>은행</v>
          </cell>
          <cell r="E709" t="str">
            <v>우리은행</v>
          </cell>
          <cell r="H709">
            <v>77</v>
          </cell>
          <cell r="I709">
            <v>500</v>
          </cell>
        </row>
        <row r="710">
          <cell r="A710" t="str">
            <v>직접대출</v>
          </cell>
          <cell r="C710" t="str">
            <v>은행</v>
          </cell>
          <cell r="E710" t="str">
            <v>우리은행</v>
          </cell>
          <cell r="H710">
            <v>77</v>
          </cell>
          <cell r="I710">
            <v>2000</v>
          </cell>
        </row>
        <row r="711">
          <cell r="A711" t="str">
            <v>직접대출</v>
          </cell>
          <cell r="C711" t="str">
            <v>은행</v>
          </cell>
          <cell r="E711" t="str">
            <v>우리은행</v>
          </cell>
          <cell r="H711">
            <v>77</v>
          </cell>
          <cell r="I711">
            <v>1300</v>
          </cell>
        </row>
        <row r="712">
          <cell r="A712" t="str">
            <v>직접대출</v>
          </cell>
          <cell r="C712" t="str">
            <v>은행</v>
          </cell>
          <cell r="E712" t="str">
            <v>우리은행</v>
          </cell>
          <cell r="H712">
            <v>77</v>
          </cell>
          <cell r="I712">
            <v>1800</v>
          </cell>
        </row>
        <row r="713">
          <cell r="A713" t="str">
            <v>직접대출</v>
          </cell>
          <cell r="C713" t="str">
            <v>은행</v>
          </cell>
          <cell r="E713" t="str">
            <v>우리은행</v>
          </cell>
          <cell r="H713">
            <v>77</v>
          </cell>
          <cell r="I713">
            <v>4000</v>
          </cell>
        </row>
        <row r="714">
          <cell r="A714" t="str">
            <v>직접대출</v>
          </cell>
          <cell r="C714" t="str">
            <v>은행</v>
          </cell>
          <cell r="E714" t="str">
            <v>우리은행</v>
          </cell>
          <cell r="H714">
            <v>21</v>
          </cell>
          <cell r="I714">
            <v>28900</v>
          </cell>
        </row>
        <row r="715">
          <cell r="A715" t="str">
            <v>직접대출</v>
          </cell>
          <cell r="C715" t="str">
            <v>은행</v>
          </cell>
          <cell r="E715" t="str">
            <v>우리은행</v>
          </cell>
          <cell r="H715">
            <v>69</v>
          </cell>
          <cell r="I715">
            <v>2900</v>
          </cell>
        </row>
        <row r="716">
          <cell r="A716" t="str">
            <v>직접대출</v>
          </cell>
          <cell r="C716" t="str">
            <v>은행</v>
          </cell>
          <cell r="E716" t="str">
            <v>우리은행</v>
          </cell>
          <cell r="H716">
            <v>3</v>
          </cell>
          <cell r="I716">
            <v>106810</v>
          </cell>
        </row>
        <row r="717">
          <cell r="A717" t="str">
            <v>직접대출</v>
          </cell>
          <cell r="C717" t="str">
            <v>은행</v>
          </cell>
          <cell r="E717" t="str">
            <v>우리은행</v>
          </cell>
          <cell r="H717">
            <v>22</v>
          </cell>
          <cell r="I717">
            <v>50000</v>
          </cell>
        </row>
        <row r="718">
          <cell r="A718" t="str">
            <v>직접대출</v>
          </cell>
          <cell r="C718" t="str">
            <v>은행</v>
          </cell>
          <cell r="E718" t="str">
            <v>우리은행</v>
          </cell>
          <cell r="H718">
            <v>69</v>
          </cell>
          <cell r="I718">
            <v>50000</v>
          </cell>
        </row>
        <row r="719">
          <cell r="A719" t="str">
            <v>직접대출</v>
          </cell>
          <cell r="C719" t="str">
            <v>은행</v>
          </cell>
          <cell r="E719" t="str">
            <v>우리은행</v>
          </cell>
          <cell r="H719">
            <v>69</v>
          </cell>
          <cell r="I719">
            <v>0</v>
          </cell>
        </row>
        <row r="720">
          <cell r="A720" t="str">
            <v>직접대출</v>
          </cell>
          <cell r="C720" t="str">
            <v>은행</v>
          </cell>
          <cell r="E720" t="str">
            <v>우리은행</v>
          </cell>
          <cell r="H720">
            <v>14</v>
          </cell>
          <cell r="I720">
            <v>19600</v>
          </cell>
        </row>
        <row r="721">
          <cell r="A721" t="str">
            <v>직접대출</v>
          </cell>
          <cell r="C721" t="str">
            <v>은행</v>
          </cell>
          <cell r="E721" t="str">
            <v>우리은행</v>
          </cell>
          <cell r="H721">
            <v>6</v>
          </cell>
          <cell r="I721">
            <v>24600</v>
          </cell>
        </row>
        <row r="722">
          <cell r="A722" t="str">
            <v>직접대출</v>
          </cell>
          <cell r="C722" t="str">
            <v>은행</v>
          </cell>
          <cell r="E722" t="str">
            <v>우리은행</v>
          </cell>
          <cell r="H722">
            <v>89</v>
          </cell>
          <cell r="I722">
            <v>0</v>
          </cell>
        </row>
        <row r="723">
          <cell r="A723" t="str">
            <v>직접대출</v>
          </cell>
          <cell r="C723" t="str">
            <v>은행</v>
          </cell>
          <cell r="E723" t="str">
            <v>우리은행</v>
          </cell>
          <cell r="H723">
            <v>1000</v>
          </cell>
          <cell r="I723">
            <v>0</v>
          </cell>
        </row>
        <row r="724">
          <cell r="A724" t="str">
            <v>직접대출</v>
          </cell>
          <cell r="C724" t="str">
            <v>은행</v>
          </cell>
          <cell r="E724" t="str">
            <v>우리은행</v>
          </cell>
          <cell r="H724">
            <v>1000</v>
          </cell>
          <cell r="I724">
            <v>0</v>
          </cell>
        </row>
        <row r="725">
          <cell r="A725" t="str">
            <v>직접대출</v>
          </cell>
          <cell r="C725" t="str">
            <v>은행</v>
          </cell>
          <cell r="E725" t="str">
            <v>우리은행</v>
          </cell>
          <cell r="H725">
            <v>63</v>
          </cell>
          <cell r="I725">
            <v>19521</v>
          </cell>
        </row>
        <row r="726">
          <cell r="A726" t="str">
            <v>직접대출</v>
          </cell>
          <cell r="C726" t="str">
            <v>은행</v>
          </cell>
          <cell r="E726" t="str">
            <v>우리은행</v>
          </cell>
          <cell r="H726">
            <v>63</v>
          </cell>
          <cell r="I726">
            <v>41968</v>
          </cell>
        </row>
        <row r="727">
          <cell r="A727" t="str">
            <v>직접대출</v>
          </cell>
          <cell r="C727" t="str">
            <v>은행</v>
          </cell>
          <cell r="E727" t="str">
            <v>우리은행</v>
          </cell>
          <cell r="H727">
            <v>333</v>
          </cell>
          <cell r="I727">
            <v>19500</v>
          </cell>
        </row>
        <row r="728">
          <cell r="A728" t="str">
            <v>직접대출</v>
          </cell>
          <cell r="C728" t="str">
            <v>은행</v>
          </cell>
          <cell r="E728" t="str">
            <v>우리은행</v>
          </cell>
          <cell r="H728">
            <v>36</v>
          </cell>
          <cell r="I728">
            <v>24000</v>
          </cell>
        </row>
        <row r="729">
          <cell r="A729" t="str">
            <v>직접대출</v>
          </cell>
          <cell r="C729" t="str">
            <v>은행</v>
          </cell>
          <cell r="E729" t="str">
            <v>우리은행</v>
          </cell>
          <cell r="H729">
            <v>10</v>
          </cell>
          <cell r="I729">
            <v>452.2</v>
          </cell>
        </row>
        <row r="730">
          <cell r="A730" t="str">
            <v>직접대출</v>
          </cell>
          <cell r="C730" t="str">
            <v>은행</v>
          </cell>
          <cell r="E730" t="str">
            <v>우리은행</v>
          </cell>
          <cell r="H730">
            <v>1000</v>
          </cell>
          <cell r="I730">
            <v>0</v>
          </cell>
        </row>
        <row r="731">
          <cell r="A731" t="str">
            <v>직접대출</v>
          </cell>
          <cell r="C731" t="str">
            <v>은행</v>
          </cell>
          <cell r="E731" t="str">
            <v>우리은행</v>
          </cell>
          <cell r="H731">
            <v>98</v>
          </cell>
          <cell r="I731">
            <v>11700</v>
          </cell>
        </row>
        <row r="732">
          <cell r="A732" t="str">
            <v>직접대출</v>
          </cell>
          <cell r="C732" t="str">
            <v>은행</v>
          </cell>
          <cell r="E732" t="str">
            <v>우리은행</v>
          </cell>
          <cell r="H732">
            <v>150</v>
          </cell>
          <cell r="I732">
            <v>95000</v>
          </cell>
        </row>
        <row r="733">
          <cell r="A733" t="str">
            <v>직접대출</v>
          </cell>
          <cell r="C733" t="str">
            <v>은행</v>
          </cell>
          <cell r="E733" t="str">
            <v>우리은행</v>
          </cell>
          <cell r="H733">
            <v>1000</v>
          </cell>
          <cell r="I733">
            <v>0</v>
          </cell>
        </row>
        <row r="734">
          <cell r="A734" t="str">
            <v>직접대출</v>
          </cell>
          <cell r="C734" t="str">
            <v>은행</v>
          </cell>
          <cell r="E734" t="str">
            <v>우리은행</v>
          </cell>
          <cell r="H734">
            <v>14</v>
          </cell>
          <cell r="I734">
            <v>32680</v>
          </cell>
        </row>
        <row r="735">
          <cell r="A735" t="str">
            <v>직접대출</v>
          </cell>
          <cell r="C735" t="str">
            <v>은행</v>
          </cell>
          <cell r="E735" t="str">
            <v>우리은행</v>
          </cell>
          <cell r="H735">
            <v>32</v>
          </cell>
          <cell r="I735">
            <v>15300</v>
          </cell>
        </row>
        <row r="736">
          <cell r="A736" t="str">
            <v>직접대출</v>
          </cell>
          <cell r="C736" t="str">
            <v>은행</v>
          </cell>
          <cell r="E736" t="str">
            <v>우리은행</v>
          </cell>
          <cell r="H736">
            <v>1000</v>
          </cell>
          <cell r="I736">
            <v>17000</v>
          </cell>
        </row>
        <row r="737">
          <cell r="A737" t="str">
            <v>직접대출</v>
          </cell>
          <cell r="C737" t="str">
            <v>은행</v>
          </cell>
          <cell r="E737" t="str">
            <v>우리은행</v>
          </cell>
          <cell r="H737">
            <v>308</v>
          </cell>
          <cell r="I737">
            <v>4000</v>
          </cell>
        </row>
        <row r="738">
          <cell r="A738" t="str">
            <v>직접대출</v>
          </cell>
          <cell r="C738" t="str">
            <v>은행</v>
          </cell>
          <cell r="E738" t="str">
            <v>우리은행</v>
          </cell>
          <cell r="H738">
            <v>18</v>
          </cell>
          <cell r="I738">
            <v>26500</v>
          </cell>
        </row>
        <row r="739">
          <cell r="A739" t="str">
            <v>직접대출</v>
          </cell>
          <cell r="C739" t="str">
            <v>은행</v>
          </cell>
          <cell r="E739" t="str">
            <v>우리은행</v>
          </cell>
          <cell r="H739">
            <v>79</v>
          </cell>
          <cell r="I739">
            <v>34600</v>
          </cell>
        </row>
        <row r="740">
          <cell r="A740" t="str">
            <v>직접대출</v>
          </cell>
          <cell r="C740" t="str">
            <v>은행</v>
          </cell>
          <cell r="E740" t="str">
            <v>우리은행</v>
          </cell>
          <cell r="H740">
            <v>441</v>
          </cell>
          <cell r="I740">
            <v>39111</v>
          </cell>
        </row>
        <row r="741">
          <cell r="A741" t="str">
            <v>직접대출</v>
          </cell>
          <cell r="C741" t="str">
            <v>은행</v>
          </cell>
          <cell r="E741" t="str">
            <v>우리은행</v>
          </cell>
          <cell r="H741">
            <v>1000</v>
          </cell>
          <cell r="I741">
            <v>0</v>
          </cell>
        </row>
        <row r="742">
          <cell r="A742" t="str">
            <v>직접대출</v>
          </cell>
          <cell r="C742" t="str">
            <v>은행</v>
          </cell>
          <cell r="E742" t="str">
            <v>우리은행</v>
          </cell>
          <cell r="H742">
            <v>1000</v>
          </cell>
          <cell r="I742">
            <v>0</v>
          </cell>
        </row>
        <row r="743">
          <cell r="A743" t="str">
            <v>직접대출</v>
          </cell>
          <cell r="C743" t="str">
            <v>은행</v>
          </cell>
          <cell r="E743" t="str">
            <v>우리은행</v>
          </cell>
          <cell r="H743">
            <v>14</v>
          </cell>
          <cell r="I743">
            <v>18000</v>
          </cell>
        </row>
        <row r="744">
          <cell r="A744" t="str">
            <v>직접대출</v>
          </cell>
          <cell r="C744" t="str">
            <v>은행</v>
          </cell>
          <cell r="E744" t="str">
            <v>우리은행</v>
          </cell>
          <cell r="H744">
            <v>23</v>
          </cell>
          <cell r="I744">
            <v>14000</v>
          </cell>
        </row>
        <row r="745">
          <cell r="A745" t="str">
            <v>직접대출</v>
          </cell>
          <cell r="C745" t="str">
            <v>은행</v>
          </cell>
          <cell r="E745" t="str">
            <v>우리은행</v>
          </cell>
          <cell r="H745">
            <v>1000</v>
          </cell>
          <cell r="I745">
            <v>28900</v>
          </cell>
        </row>
        <row r="746">
          <cell r="A746" t="str">
            <v>직접대출</v>
          </cell>
          <cell r="C746" t="str">
            <v>은행</v>
          </cell>
          <cell r="E746" t="str">
            <v>우리은행</v>
          </cell>
          <cell r="H746">
            <v>12</v>
          </cell>
          <cell r="I746">
            <v>8332.8019999999997</v>
          </cell>
        </row>
        <row r="747">
          <cell r="A747" t="str">
            <v>직접대출</v>
          </cell>
          <cell r="C747" t="str">
            <v>은행</v>
          </cell>
          <cell r="E747" t="str">
            <v>우리은행</v>
          </cell>
          <cell r="H747">
            <v>272</v>
          </cell>
          <cell r="I747">
            <v>56000</v>
          </cell>
        </row>
        <row r="748">
          <cell r="A748" t="str">
            <v>직접대출</v>
          </cell>
          <cell r="C748" t="str">
            <v>은행</v>
          </cell>
          <cell r="E748" t="str">
            <v>우리은행</v>
          </cell>
          <cell r="H748">
            <v>87</v>
          </cell>
          <cell r="I748">
            <v>9000</v>
          </cell>
        </row>
        <row r="749">
          <cell r="A749" t="str">
            <v>직접대출</v>
          </cell>
          <cell r="C749" t="str">
            <v>은행</v>
          </cell>
          <cell r="E749" t="str">
            <v>우리은행</v>
          </cell>
          <cell r="H749">
            <v>176</v>
          </cell>
          <cell r="I749">
            <v>6000</v>
          </cell>
        </row>
        <row r="750">
          <cell r="A750" t="str">
            <v>직접대출</v>
          </cell>
          <cell r="C750" t="str">
            <v>은행</v>
          </cell>
          <cell r="E750" t="str">
            <v>우리은행</v>
          </cell>
          <cell r="H750">
            <v>1000</v>
          </cell>
          <cell r="I750">
            <v>0</v>
          </cell>
        </row>
        <row r="751">
          <cell r="A751" t="str">
            <v>직접대출</v>
          </cell>
          <cell r="C751" t="str">
            <v>은행</v>
          </cell>
          <cell r="E751" t="str">
            <v>우리은행</v>
          </cell>
          <cell r="H751">
            <v>50</v>
          </cell>
          <cell r="I751">
            <v>45000</v>
          </cell>
        </row>
        <row r="752">
          <cell r="A752" t="str">
            <v>직접대출</v>
          </cell>
          <cell r="C752" t="str">
            <v>은행</v>
          </cell>
          <cell r="E752" t="str">
            <v>우리은행</v>
          </cell>
          <cell r="H752">
            <v>23</v>
          </cell>
          <cell r="I752">
            <v>12300</v>
          </cell>
        </row>
        <row r="753">
          <cell r="A753" t="str">
            <v>직접대출</v>
          </cell>
          <cell r="C753" t="str">
            <v>은행</v>
          </cell>
          <cell r="E753" t="str">
            <v>우리은행</v>
          </cell>
          <cell r="H753">
            <v>78</v>
          </cell>
          <cell r="I753">
            <v>533.05999999999995</v>
          </cell>
        </row>
        <row r="754">
          <cell r="A754" t="str">
            <v>직접대출</v>
          </cell>
          <cell r="C754" t="str">
            <v>은행</v>
          </cell>
          <cell r="E754" t="str">
            <v>우리은행</v>
          </cell>
          <cell r="H754">
            <v>35</v>
          </cell>
          <cell r="I754">
            <v>0</v>
          </cell>
        </row>
        <row r="755">
          <cell r="A755" t="str">
            <v>직접대출</v>
          </cell>
          <cell r="C755" t="str">
            <v>은행</v>
          </cell>
          <cell r="E755" t="str">
            <v>우리은행</v>
          </cell>
          <cell r="H755">
            <v>65</v>
          </cell>
          <cell r="I755">
            <v>0</v>
          </cell>
        </row>
        <row r="756">
          <cell r="A756" t="str">
            <v>직접대출</v>
          </cell>
          <cell r="C756" t="str">
            <v>은행</v>
          </cell>
          <cell r="E756" t="str">
            <v>우리은행</v>
          </cell>
          <cell r="H756">
            <v>22</v>
          </cell>
          <cell r="I756">
            <v>40000</v>
          </cell>
        </row>
        <row r="757">
          <cell r="A757" t="str">
            <v>직접대출</v>
          </cell>
          <cell r="C757" t="str">
            <v>은행</v>
          </cell>
          <cell r="E757" t="str">
            <v>우리은행</v>
          </cell>
          <cell r="H757">
            <v>25</v>
          </cell>
          <cell r="I757">
            <v>24000</v>
          </cell>
        </row>
        <row r="758">
          <cell r="A758" t="str">
            <v>직접대출</v>
          </cell>
          <cell r="C758" t="str">
            <v>은행</v>
          </cell>
          <cell r="E758" t="str">
            <v>우리은행</v>
          </cell>
          <cell r="H758">
            <v>83</v>
          </cell>
          <cell r="I758">
            <v>0</v>
          </cell>
        </row>
        <row r="759">
          <cell r="A759" t="str">
            <v>직접대출</v>
          </cell>
          <cell r="C759" t="str">
            <v>은행</v>
          </cell>
          <cell r="E759" t="str">
            <v>우리은행</v>
          </cell>
          <cell r="H759">
            <v>1</v>
          </cell>
          <cell r="I759">
            <v>22916</v>
          </cell>
        </row>
        <row r="760">
          <cell r="A760" t="str">
            <v>직접대출</v>
          </cell>
          <cell r="C760" t="str">
            <v>은행</v>
          </cell>
          <cell r="E760" t="str">
            <v>우리은행</v>
          </cell>
          <cell r="H760">
            <v>6</v>
          </cell>
          <cell r="I760">
            <v>80000</v>
          </cell>
        </row>
        <row r="761">
          <cell r="A761" t="str">
            <v>직접대출</v>
          </cell>
          <cell r="C761" t="str">
            <v>은행</v>
          </cell>
          <cell r="E761" t="str">
            <v>우리은행</v>
          </cell>
          <cell r="H761">
            <v>76</v>
          </cell>
          <cell r="I761">
            <v>32500</v>
          </cell>
        </row>
        <row r="762">
          <cell r="A762" t="str">
            <v>직접대출</v>
          </cell>
          <cell r="C762" t="str">
            <v>은행</v>
          </cell>
          <cell r="E762" t="str">
            <v>우리은행</v>
          </cell>
          <cell r="H762">
            <v>46</v>
          </cell>
          <cell r="I762">
            <v>43600</v>
          </cell>
        </row>
        <row r="763">
          <cell r="A763" t="str">
            <v>직접대출</v>
          </cell>
          <cell r="C763" t="str">
            <v>은행</v>
          </cell>
          <cell r="E763" t="str">
            <v>우리은행</v>
          </cell>
          <cell r="H763">
            <v>21</v>
          </cell>
          <cell r="I763">
            <v>48000</v>
          </cell>
        </row>
        <row r="764">
          <cell r="A764" t="str">
            <v>직접대출</v>
          </cell>
          <cell r="C764" t="str">
            <v>은행</v>
          </cell>
          <cell r="E764" t="str">
            <v>우리은행</v>
          </cell>
          <cell r="H764">
            <v>32</v>
          </cell>
          <cell r="I764">
            <v>18000</v>
          </cell>
        </row>
        <row r="765">
          <cell r="A765" t="str">
            <v>직접대출</v>
          </cell>
          <cell r="C765" t="str">
            <v>은행</v>
          </cell>
          <cell r="E765" t="str">
            <v>우리은행</v>
          </cell>
          <cell r="H765">
            <v>13</v>
          </cell>
          <cell r="I765">
            <v>66500</v>
          </cell>
        </row>
        <row r="766">
          <cell r="A766" t="str">
            <v>직접대출</v>
          </cell>
          <cell r="C766" t="str">
            <v>은행</v>
          </cell>
          <cell r="E766" t="str">
            <v>우리은행</v>
          </cell>
          <cell r="H766">
            <v>35</v>
          </cell>
          <cell r="I766">
            <v>99600</v>
          </cell>
        </row>
        <row r="767">
          <cell r="A767" t="str">
            <v>직접대출</v>
          </cell>
          <cell r="C767" t="str">
            <v>은행</v>
          </cell>
          <cell r="E767" t="str">
            <v>우리은행</v>
          </cell>
          <cell r="H767">
            <v>22</v>
          </cell>
          <cell r="I767">
            <v>19000</v>
          </cell>
        </row>
        <row r="768">
          <cell r="A768" t="str">
            <v>직접대출</v>
          </cell>
          <cell r="C768" t="str">
            <v>은행</v>
          </cell>
          <cell r="E768" t="str">
            <v>우리은행</v>
          </cell>
          <cell r="H768">
            <v>31</v>
          </cell>
          <cell r="I768">
            <v>30800</v>
          </cell>
        </row>
        <row r="769">
          <cell r="A769" t="str">
            <v>직접대출</v>
          </cell>
          <cell r="C769" t="str">
            <v>은행</v>
          </cell>
          <cell r="E769" t="str">
            <v>우리은행</v>
          </cell>
          <cell r="H769">
            <v>102</v>
          </cell>
          <cell r="I769">
            <v>2000</v>
          </cell>
        </row>
        <row r="770">
          <cell r="A770" t="str">
            <v>직접대출</v>
          </cell>
          <cell r="C770" t="str">
            <v>은행</v>
          </cell>
          <cell r="E770" t="str">
            <v>우리은행</v>
          </cell>
          <cell r="H770">
            <v>1</v>
          </cell>
          <cell r="I770">
            <v>55000</v>
          </cell>
        </row>
        <row r="771">
          <cell r="A771" t="str">
            <v>직접대출</v>
          </cell>
          <cell r="C771" t="str">
            <v>은행</v>
          </cell>
          <cell r="E771" t="str">
            <v>우리은행</v>
          </cell>
          <cell r="H771">
            <v>77</v>
          </cell>
          <cell r="I771">
            <v>25000</v>
          </cell>
        </row>
        <row r="772">
          <cell r="A772" t="str">
            <v>직접대출</v>
          </cell>
          <cell r="C772" t="str">
            <v>은행</v>
          </cell>
          <cell r="E772" t="str">
            <v>우리은행</v>
          </cell>
          <cell r="H772">
            <v>17</v>
          </cell>
          <cell r="I772">
            <v>3500</v>
          </cell>
        </row>
        <row r="773">
          <cell r="A773" t="str">
            <v>직접대출</v>
          </cell>
          <cell r="C773" t="str">
            <v>은행</v>
          </cell>
          <cell r="E773" t="str">
            <v>우리은행</v>
          </cell>
          <cell r="H773">
            <v>180</v>
          </cell>
          <cell r="I773">
            <v>4500</v>
          </cell>
        </row>
        <row r="774">
          <cell r="A774" t="str">
            <v>직접대출</v>
          </cell>
          <cell r="C774" t="str">
            <v>은행</v>
          </cell>
          <cell r="E774" t="str">
            <v>우리은행</v>
          </cell>
          <cell r="H774">
            <v>1000</v>
          </cell>
          <cell r="I774">
            <v>10000</v>
          </cell>
        </row>
        <row r="775">
          <cell r="A775" t="str">
            <v>직접대출</v>
          </cell>
          <cell r="C775" t="str">
            <v>은행</v>
          </cell>
          <cell r="E775" t="str">
            <v>우리은행</v>
          </cell>
          <cell r="H775">
            <v>58</v>
          </cell>
          <cell r="I775">
            <v>25000</v>
          </cell>
        </row>
        <row r="776">
          <cell r="A776" t="str">
            <v>직접대출</v>
          </cell>
          <cell r="C776" t="str">
            <v>은행</v>
          </cell>
          <cell r="E776" t="str">
            <v>우리은행</v>
          </cell>
          <cell r="H776">
            <v>56</v>
          </cell>
          <cell r="I776">
            <v>42500</v>
          </cell>
        </row>
        <row r="777">
          <cell r="A777" t="str">
            <v>직접대출</v>
          </cell>
          <cell r="C777" t="str">
            <v>은행</v>
          </cell>
          <cell r="E777" t="str">
            <v>우리은행</v>
          </cell>
          <cell r="H777">
            <v>18</v>
          </cell>
          <cell r="I777">
            <v>56700</v>
          </cell>
        </row>
        <row r="778">
          <cell r="A778" t="str">
            <v>직접대출</v>
          </cell>
          <cell r="C778" t="str">
            <v>은행</v>
          </cell>
          <cell r="E778" t="str">
            <v>우리은행</v>
          </cell>
          <cell r="H778">
            <v>29</v>
          </cell>
          <cell r="I778">
            <v>95000</v>
          </cell>
        </row>
        <row r="779">
          <cell r="A779" t="str">
            <v>직접대출</v>
          </cell>
          <cell r="C779" t="str">
            <v>은행</v>
          </cell>
          <cell r="E779" t="str">
            <v>우리은행</v>
          </cell>
          <cell r="H779">
            <v>269</v>
          </cell>
          <cell r="I779">
            <v>10000</v>
          </cell>
        </row>
        <row r="780">
          <cell r="A780" t="str">
            <v>직접대출</v>
          </cell>
          <cell r="C780" t="str">
            <v>은행</v>
          </cell>
          <cell r="E780" t="str">
            <v>우리은행</v>
          </cell>
          <cell r="H780">
            <v>1000</v>
          </cell>
          <cell r="I780">
            <v>15325</v>
          </cell>
        </row>
        <row r="781">
          <cell r="A781" t="str">
            <v>직접대출</v>
          </cell>
          <cell r="C781" t="str">
            <v>은행</v>
          </cell>
          <cell r="E781" t="str">
            <v>우리은행</v>
          </cell>
          <cell r="H781">
            <v>194</v>
          </cell>
          <cell r="I781">
            <v>15325</v>
          </cell>
        </row>
        <row r="782">
          <cell r="A782" t="str">
            <v>직접대출</v>
          </cell>
          <cell r="C782" t="str">
            <v>은행</v>
          </cell>
          <cell r="E782" t="str">
            <v>우리은행</v>
          </cell>
          <cell r="H782">
            <v>62</v>
          </cell>
          <cell r="I782">
            <v>0</v>
          </cell>
        </row>
        <row r="783">
          <cell r="A783" t="str">
            <v>직접대출</v>
          </cell>
          <cell r="C783" t="str">
            <v>은행</v>
          </cell>
          <cell r="E783" t="str">
            <v>우리은행</v>
          </cell>
          <cell r="H783">
            <v>1</v>
          </cell>
          <cell r="I783">
            <v>40000</v>
          </cell>
        </row>
        <row r="784">
          <cell r="A784" t="str">
            <v>직접대출</v>
          </cell>
          <cell r="C784" t="str">
            <v>은행</v>
          </cell>
          <cell r="E784" t="str">
            <v>우리은행</v>
          </cell>
          <cell r="H784">
            <v>86</v>
          </cell>
          <cell r="I784">
            <v>0</v>
          </cell>
        </row>
        <row r="785">
          <cell r="A785" t="str">
            <v>직접대출</v>
          </cell>
          <cell r="C785" t="str">
            <v>은행</v>
          </cell>
          <cell r="E785" t="str">
            <v>우리은행</v>
          </cell>
          <cell r="H785">
            <v>76</v>
          </cell>
          <cell r="I785">
            <v>7000</v>
          </cell>
        </row>
        <row r="786">
          <cell r="A786" t="str">
            <v>직접대출</v>
          </cell>
          <cell r="C786" t="str">
            <v>은행</v>
          </cell>
          <cell r="E786" t="str">
            <v>우리은행</v>
          </cell>
          <cell r="H786">
            <v>144</v>
          </cell>
          <cell r="I786">
            <v>9000</v>
          </cell>
        </row>
        <row r="787">
          <cell r="A787" t="str">
            <v>직접대출</v>
          </cell>
          <cell r="C787" t="str">
            <v>은행</v>
          </cell>
          <cell r="E787" t="str">
            <v>우리은행</v>
          </cell>
          <cell r="H787">
            <v>1000</v>
          </cell>
          <cell r="I787">
            <v>0</v>
          </cell>
        </row>
        <row r="788">
          <cell r="A788" t="str">
            <v>직접대출</v>
          </cell>
          <cell r="C788" t="str">
            <v>은행</v>
          </cell>
          <cell r="E788" t="str">
            <v>우리은행</v>
          </cell>
          <cell r="H788">
            <v>46</v>
          </cell>
          <cell r="I788">
            <v>11712</v>
          </cell>
        </row>
        <row r="789">
          <cell r="A789" t="str">
            <v>직접대출</v>
          </cell>
          <cell r="C789" t="str">
            <v>은행</v>
          </cell>
          <cell r="E789" t="str">
            <v>우리은행</v>
          </cell>
          <cell r="H789">
            <v>1000</v>
          </cell>
          <cell r="I789">
            <v>1381</v>
          </cell>
        </row>
        <row r="790">
          <cell r="A790" t="str">
            <v>직접대출</v>
          </cell>
          <cell r="C790" t="str">
            <v>은행</v>
          </cell>
          <cell r="E790" t="str">
            <v>우리은행</v>
          </cell>
          <cell r="H790">
            <v>1000</v>
          </cell>
          <cell r="I790">
            <v>0</v>
          </cell>
        </row>
        <row r="791">
          <cell r="A791" t="str">
            <v>직접대출</v>
          </cell>
          <cell r="C791" t="str">
            <v>은행</v>
          </cell>
          <cell r="E791" t="str">
            <v>우리은행</v>
          </cell>
          <cell r="H791">
            <v>32</v>
          </cell>
          <cell r="I791">
            <v>20200</v>
          </cell>
        </row>
        <row r="792">
          <cell r="A792" t="str">
            <v>직접대출</v>
          </cell>
          <cell r="C792" t="str">
            <v>은행</v>
          </cell>
          <cell r="E792" t="str">
            <v>우리은행</v>
          </cell>
          <cell r="H792">
            <v>38</v>
          </cell>
          <cell r="I792">
            <v>27560</v>
          </cell>
        </row>
        <row r="793">
          <cell r="A793" t="str">
            <v>직접대출</v>
          </cell>
          <cell r="C793" t="str">
            <v>은행</v>
          </cell>
          <cell r="E793" t="str">
            <v>우리은행</v>
          </cell>
          <cell r="H793">
            <v>61</v>
          </cell>
          <cell r="I793">
            <v>30000</v>
          </cell>
        </row>
        <row r="794">
          <cell r="A794" t="str">
            <v>직접대출</v>
          </cell>
          <cell r="C794" t="str">
            <v>은행</v>
          </cell>
          <cell r="E794" t="str">
            <v>우리은행</v>
          </cell>
          <cell r="H794">
            <v>34</v>
          </cell>
          <cell r="I794">
            <v>0</v>
          </cell>
        </row>
        <row r="795">
          <cell r="A795" t="str">
            <v>직접대출</v>
          </cell>
          <cell r="C795" t="str">
            <v>은행</v>
          </cell>
          <cell r="E795" t="str">
            <v>우리은행</v>
          </cell>
          <cell r="H795">
            <v>29</v>
          </cell>
          <cell r="I795">
            <v>40000</v>
          </cell>
        </row>
        <row r="796">
          <cell r="A796" t="str">
            <v>직접대출</v>
          </cell>
          <cell r="C796" t="str">
            <v>은행</v>
          </cell>
          <cell r="E796" t="str">
            <v>우리은행</v>
          </cell>
          <cell r="H796">
            <v>12</v>
          </cell>
          <cell r="I796">
            <v>26720</v>
          </cell>
        </row>
        <row r="797">
          <cell r="A797" t="str">
            <v>직접대출</v>
          </cell>
          <cell r="C797" t="str">
            <v>은행</v>
          </cell>
          <cell r="E797" t="str">
            <v>우리은행</v>
          </cell>
          <cell r="H797">
            <v>112</v>
          </cell>
          <cell r="I797">
            <v>10005</v>
          </cell>
        </row>
        <row r="798">
          <cell r="A798" t="str">
            <v>직접대출</v>
          </cell>
          <cell r="C798" t="str">
            <v>은행</v>
          </cell>
          <cell r="E798" t="str">
            <v>우리은행</v>
          </cell>
          <cell r="H798">
            <v>1000</v>
          </cell>
          <cell r="I798">
            <v>0</v>
          </cell>
        </row>
        <row r="799">
          <cell r="A799" t="str">
            <v>직접대출</v>
          </cell>
          <cell r="C799" t="str">
            <v>은행</v>
          </cell>
          <cell r="E799" t="str">
            <v>우리은행</v>
          </cell>
          <cell r="H799">
            <v>83</v>
          </cell>
          <cell r="I799">
            <v>0</v>
          </cell>
        </row>
        <row r="800">
          <cell r="A800" t="str">
            <v>직접대출</v>
          </cell>
          <cell r="C800" t="str">
            <v>은행</v>
          </cell>
          <cell r="E800" t="str">
            <v>우리은행</v>
          </cell>
          <cell r="H800">
            <v>133</v>
          </cell>
          <cell r="I800">
            <v>30400</v>
          </cell>
        </row>
        <row r="801">
          <cell r="A801" t="str">
            <v>직접대출</v>
          </cell>
          <cell r="C801" t="str">
            <v>은행</v>
          </cell>
          <cell r="E801" t="str">
            <v>우리은행</v>
          </cell>
          <cell r="H801">
            <v>30</v>
          </cell>
          <cell r="I801">
            <v>35000</v>
          </cell>
        </row>
        <row r="802">
          <cell r="A802" t="str">
            <v>직접대출</v>
          </cell>
          <cell r="C802" t="str">
            <v>은행</v>
          </cell>
          <cell r="E802" t="str">
            <v>우리은행</v>
          </cell>
          <cell r="H802">
            <v>244</v>
          </cell>
          <cell r="I802">
            <v>9000</v>
          </cell>
        </row>
        <row r="803">
          <cell r="A803" t="str">
            <v>직접대출</v>
          </cell>
          <cell r="C803" t="str">
            <v>은행</v>
          </cell>
          <cell r="E803" t="str">
            <v>우리은행</v>
          </cell>
          <cell r="H803">
            <v>62</v>
          </cell>
          <cell r="I803">
            <v>0</v>
          </cell>
        </row>
        <row r="804">
          <cell r="A804" t="str">
            <v>직접대출</v>
          </cell>
          <cell r="C804" t="str">
            <v>은행</v>
          </cell>
          <cell r="E804" t="str">
            <v>우리은행</v>
          </cell>
          <cell r="H804">
            <v>100</v>
          </cell>
          <cell r="I804">
            <v>10000</v>
          </cell>
        </row>
        <row r="805">
          <cell r="A805" t="str">
            <v>직접대출</v>
          </cell>
          <cell r="C805" t="str">
            <v>은행</v>
          </cell>
          <cell r="E805" t="str">
            <v>우리은행</v>
          </cell>
          <cell r="H805">
            <v>1000</v>
          </cell>
          <cell r="I805">
            <v>10800</v>
          </cell>
        </row>
        <row r="806">
          <cell r="A806" t="str">
            <v>직접대출</v>
          </cell>
          <cell r="C806" t="str">
            <v>은행</v>
          </cell>
          <cell r="E806" t="str">
            <v>우리은행</v>
          </cell>
          <cell r="H806">
            <v>127</v>
          </cell>
          <cell r="I806">
            <v>30000</v>
          </cell>
        </row>
        <row r="807">
          <cell r="A807" t="str">
            <v>직접대출</v>
          </cell>
          <cell r="C807" t="str">
            <v>은행</v>
          </cell>
          <cell r="E807" t="str">
            <v>우리은행</v>
          </cell>
          <cell r="H807">
            <v>1000</v>
          </cell>
          <cell r="I807">
            <v>0</v>
          </cell>
        </row>
        <row r="808">
          <cell r="A808" t="str">
            <v>직접대출</v>
          </cell>
          <cell r="C808" t="str">
            <v>은행</v>
          </cell>
          <cell r="E808" t="str">
            <v>우리은행</v>
          </cell>
          <cell r="H808">
            <v>60</v>
          </cell>
          <cell r="I808">
            <v>35000</v>
          </cell>
        </row>
        <row r="809">
          <cell r="A809" t="str">
            <v>직접대출</v>
          </cell>
          <cell r="C809" t="str">
            <v>은행</v>
          </cell>
          <cell r="E809" t="str">
            <v>우리은행</v>
          </cell>
          <cell r="H809">
            <v>38</v>
          </cell>
          <cell r="I809">
            <v>50000</v>
          </cell>
        </row>
        <row r="810">
          <cell r="A810" t="str">
            <v>직접대출</v>
          </cell>
          <cell r="C810" t="str">
            <v>은행</v>
          </cell>
          <cell r="E810" t="str">
            <v>우리은행</v>
          </cell>
          <cell r="H810">
            <v>41</v>
          </cell>
          <cell r="I810">
            <v>20000</v>
          </cell>
        </row>
        <row r="811">
          <cell r="A811" t="str">
            <v>직접대출</v>
          </cell>
          <cell r="C811" t="str">
            <v>은행</v>
          </cell>
          <cell r="E811" t="str">
            <v>우리은행</v>
          </cell>
          <cell r="H811">
            <v>39</v>
          </cell>
          <cell r="I811">
            <v>54400</v>
          </cell>
        </row>
        <row r="812">
          <cell r="A812" t="str">
            <v>직접대출</v>
          </cell>
          <cell r="C812" t="str">
            <v>은행</v>
          </cell>
          <cell r="E812" t="str">
            <v>우리은행</v>
          </cell>
          <cell r="H812">
            <v>32</v>
          </cell>
          <cell r="I812">
            <v>17594</v>
          </cell>
        </row>
        <row r="813">
          <cell r="A813" t="str">
            <v>직접대출</v>
          </cell>
          <cell r="C813" t="str">
            <v>은행</v>
          </cell>
          <cell r="E813" t="str">
            <v>우리은행</v>
          </cell>
          <cell r="H813">
            <v>14</v>
          </cell>
          <cell r="I813">
            <v>8655</v>
          </cell>
        </row>
        <row r="814">
          <cell r="A814" t="str">
            <v>직접대출</v>
          </cell>
          <cell r="C814" t="str">
            <v>은행</v>
          </cell>
          <cell r="E814" t="str">
            <v>우리은행</v>
          </cell>
          <cell r="H814">
            <v>133</v>
          </cell>
          <cell r="I814">
            <v>8360</v>
          </cell>
        </row>
        <row r="815">
          <cell r="A815" t="str">
            <v>직접대출</v>
          </cell>
          <cell r="C815" t="str">
            <v>은행</v>
          </cell>
          <cell r="E815" t="str">
            <v>우리은행</v>
          </cell>
          <cell r="H815">
            <v>27</v>
          </cell>
          <cell r="I815">
            <v>0</v>
          </cell>
        </row>
        <row r="816">
          <cell r="A816" t="str">
            <v>직접대출</v>
          </cell>
          <cell r="C816" t="str">
            <v>은행</v>
          </cell>
          <cell r="E816" t="str">
            <v>우리은행</v>
          </cell>
          <cell r="H816">
            <v>102</v>
          </cell>
          <cell r="I816">
            <v>0</v>
          </cell>
        </row>
        <row r="817">
          <cell r="A817" t="str">
            <v>직접대출</v>
          </cell>
          <cell r="C817" t="str">
            <v>은행</v>
          </cell>
          <cell r="E817" t="str">
            <v>우리은행</v>
          </cell>
          <cell r="H817">
            <v>158</v>
          </cell>
          <cell r="I817">
            <v>0</v>
          </cell>
        </row>
        <row r="818">
          <cell r="A818" t="str">
            <v>직접대출</v>
          </cell>
          <cell r="C818" t="str">
            <v>은행</v>
          </cell>
          <cell r="E818" t="str">
            <v>우리은행</v>
          </cell>
          <cell r="H818">
            <v>79</v>
          </cell>
          <cell r="I818">
            <v>45000</v>
          </cell>
        </row>
        <row r="819">
          <cell r="A819" t="str">
            <v>직접대출</v>
          </cell>
          <cell r="C819" t="str">
            <v>은행</v>
          </cell>
          <cell r="E819" t="str">
            <v>우리은행</v>
          </cell>
          <cell r="H819">
            <v>50</v>
          </cell>
          <cell r="I819">
            <v>45000</v>
          </cell>
        </row>
        <row r="820">
          <cell r="A820" t="str">
            <v>직접대출</v>
          </cell>
          <cell r="C820" t="str">
            <v>은행</v>
          </cell>
          <cell r="E820" t="str">
            <v>우리은행</v>
          </cell>
          <cell r="H820">
            <v>1000</v>
          </cell>
          <cell r="I820">
            <v>0</v>
          </cell>
        </row>
        <row r="821">
          <cell r="A821" t="str">
            <v>직접대출</v>
          </cell>
          <cell r="C821" t="str">
            <v>은행</v>
          </cell>
          <cell r="E821" t="str">
            <v>우리은행</v>
          </cell>
          <cell r="H821">
            <v>14</v>
          </cell>
          <cell r="I821">
            <v>26000</v>
          </cell>
        </row>
        <row r="822">
          <cell r="A822" t="str">
            <v>직접대출</v>
          </cell>
          <cell r="C822" t="str">
            <v>은행</v>
          </cell>
          <cell r="E822" t="str">
            <v>우리은행</v>
          </cell>
          <cell r="H822">
            <v>1000</v>
          </cell>
          <cell r="I822">
            <v>0</v>
          </cell>
        </row>
        <row r="823">
          <cell r="A823" t="str">
            <v>직접대출</v>
          </cell>
          <cell r="C823" t="str">
            <v>은행</v>
          </cell>
          <cell r="E823" t="str">
            <v>우리은행</v>
          </cell>
          <cell r="H823">
            <v>6</v>
          </cell>
          <cell r="I823">
            <v>0</v>
          </cell>
        </row>
        <row r="824">
          <cell r="A824" t="str">
            <v>직접대출</v>
          </cell>
          <cell r="C824" t="str">
            <v>은행</v>
          </cell>
          <cell r="E824" t="str">
            <v>우리은행</v>
          </cell>
          <cell r="H824">
            <v>1000</v>
          </cell>
          <cell r="I824">
            <v>0</v>
          </cell>
        </row>
        <row r="825">
          <cell r="A825" t="str">
            <v>직접대출</v>
          </cell>
          <cell r="C825" t="str">
            <v>은행</v>
          </cell>
          <cell r="E825" t="str">
            <v>우리은행</v>
          </cell>
          <cell r="H825">
            <v>1000</v>
          </cell>
          <cell r="I825">
            <v>0</v>
          </cell>
        </row>
        <row r="826">
          <cell r="A826" t="str">
            <v>직접대출</v>
          </cell>
          <cell r="C826" t="str">
            <v>은행</v>
          </cell>
          <cell r="E826" t="str">
            <v>우리은행</v>
          </cell>
          <cell r="H826">
            <v>1000</v>
          </cell>
          <cell r="I826">
            <v>0</v>
          </cell>
        </row>
        <row r="827">
          <cell r="A827" t="str">
            <v>직접대출</v>
          </cell>
          <cell r="C827" t="str">
            <v>은행</v>
          </cell>
          <cell r="E827" t="str">
            <v>우리은행</v>
          </cell>
          <cell r="H827">
            <v>1</v>
          </cell>
          <cell r="I827">
            <v>86000</v>
          </cell>
        </row>
        <row r="828">
          <cell r="A828" t="str">
            <v>직접대출</v>
          </cell>
          <cell r="C828" t="str">
            <v>은행</v>
          </cell>
          <cell r="E828" t="str">
            <v>우리은행</v>
          </cell>
          <cell r="H828">
            <v>108</v>
          </cell>
          <cell r="I828">
            <v>15000</v>
          </cell>
        </row>
        <row r="829">
          <cell r="A829" t="str">
            <v>직접대출</v>
          </cell>
          <cell r="C829" t="str">
            <v>은행</v>
          </cell>
          <cell r="E829" t="str">
            <v>우리은행</v>
          </cell>
          <cell r="H829">
            <v>83</v>
          </cell>
          <cell r="I829">
            <v>15000</v>
          </cell>
        </row>
        <row r="830">
          <cell r="A830" t="str">
            <v>직접대출</v>
          </cell>
          <cell r="C830" t="str">
            <v>은행</v>
          </cell>
          <cell r="E830" t="str">
            <v>우리은행</v>
          </cell>
          <cell r="H830">
            <v>134</v>
          </cell>
          <cell r="I830">
            <v>15000</v>
          </cell>
        </row>
        <row r="831">
          <cell r="A831" t="str">
            <v>직접대출</v>
          </cell>
          <cell r="C831" t="str">
            <v>은행</v>
          </cell>
          <cell r="E831" t="str">
            <v>우리은행</v>
          </cell>
          <cell r="H831">
            <v>13</v>
          </cell>
          <cell r="I831">
            <v>43058</v>
          </cell>
        </row>
        <row r="832">
          <cell r="A832" t="str">
            <v>직접대출</v>
          </cell>
          <cell r="C832" t="str">
            <v>은행</v>
          </cell>
          <cell r="E832" t="str">
            <v>우리은행</v>
          </cell>
          <cell r="H832">
            <v>1</v>
          </cell>
          <cell r="I832">
            <v>0</v>
          </cell>
        </row>
        <row r="833">
          <cell r="A833" t="str">
            <v>직접대출</v>
          </cell>
          <cell r="C833" t="str">
            <v>은행</v>
          </cell>
          <cell r="E833" t="str">
            <v>우리은행</v>
          </cell>
          <cell r="H833">
            <v>102</v>
          </cell>
          <cell r="I833">
            <v>0</v>
          </cell>
        </row>
        <row r="834">
          <cell r="A834" t="str">
            <v>직접대출</v>
          </cell>
          <cell r="C834" t="str">
            <v>은행</v>
          </cell>
          <cell r="E834" t="str">
            <v>우리은행</v>
          </cell>
          <cell r="H834">
            <v>71</v>
          </cell>
          <cell r="I834">
            <v>20000</v>
          </cell>
        </row>
        <row r="835">
          <cell r="A835" t="str">
            <v>직접대출</v>
          </cell>
          <cell r="C835" t="str">
            <v>은행</v>
          </cell>
          <cell r="E835" t="str">
            <v>우리은행</v>
          </cell>
          <cell r="H835">
            <v>75</v>
          </cell>
          <cell r="I835">
            <v>0</v>
          </cell>
        </row>
        <row r="836">
          <cell r="A836" t="str">
            <v>직접대출</v>
          </cell>
          <cell r="C836" t="str">
            <v>은행</v>
          </cell>
          <cell r="E836" t="str">
            <v>우리은행</v>
          </cell>
          <cell r="H836">
            <v>494</v>
          </cell>
          <cell r="I836">
            <v>2543</v>
          </cell>
        </row>
        <row r="837">
          <cell r="A837" t="str">
            <v>직접대출</v>
          </cell>
          <cell r="C837" t="str">
            <v>은행</v>
          </cell>
          <cell r="E837" t="str">
            <v>우리은행</v>
          </cell>
          <cell r="H837">
            <v>50</v>
          </cell>
          <cell r="I837">
            <v>40000</v>
          </cell>
        </row>
        <row r="838">
          <cell r="A838" t="str">
            <v>직접대출</v>
          </cell>
          <cell r="C838" t="str">
            <v>은행</v>
          </cell>
          <cell r="E838" t="str">
            <v>우리은행</v>
          </cell>
          <cell r="H838">
            <v>133</v>
          </cell>
          <cell r="I838">
            <v>0</v>
          </cell>
        </row>
        <row r="839">
          <cell r="A839" t="str">
            <v>직접대출</v>
          </cell>
          <cell r="C839" t="str">
            <v>은행</v>
          </cell>
          <cell r="E839" t="str">
            <v>우리은행</v>
          </cell>
          <cell r="H839">
            <v>343</v>
          </cell>
          <cell r="I839">
            <v>3000</v>
          </cell>
        </row>
        <row r="840">
          <cell r="A840" t="str">
            <v>직접대출</v>
          </cell>
          <cell r="C840" t="str">
            <v>은행</v>
          </cell>
          <cell r="E840" t="str">
            <v>우리은행</v>
          </cell>
          <cell r="H840">
            <v>30</v>
          </cell>
          <cell r="I840">
            <v>10000</v>
          </cell>
        </row>
        <row r="841">
          <cell r="A841" t="str">
            <v>직접대출</v>
          </cell>
          <cell r="C841" t="str">
            <v>은행</v>
          </cell>
          <cell r="E841" t="str">
            <v>우리은행</v>
          </cell>
          <cell r="H841">
            <v>216</v>
          </cell>
          <cell r="I841">
            <v>11970</v>
          </cell>
        </row>
        <row r="842">
          <cell r="A842" t="str">
            <v>직접대출</v>
          </cell>
          <cell r="C842" t="str">
            <v>은행</v>
          </cell>
          <cell r="E842" t="str">
            <v>우리은행</v>
          </cell>
          <cell r="H842">
            <v>5</v>
          </cell>
          <cell r="I842">
            <v>40000</v>
          </cell>
        </row>
        <row r="843">
          <cell r="A843" t="str">
            <v>직접대출</v>
          </cell>
          <cell r="C843" t="str">
            <v>은행</v>
          </cell>
          <cell r="E843" t="str">
            <v>우리은행</v>
          </cell>
          <cell r="H843">
            <v>182</v>
          </cell>
          <cell r="I843">
            <v>16800</v>
          </cell>
        </row>
        <row r="844">
          <cell r="A844" t="str">
            <v>직접대출</v>
          </cell>
          <cell r="C844" t="str">
            <v>은행</v>
          </cell>
          <cell r="E844" t="str">
            <v>우리은행</v>
          </cell>
          <cell r="H844">
            <v>494</v>
          </cell>
          <cell r="I844">
            <v>2543</v>
          </cell>
        </row>
        <row r="845">
          <cell r="A845" t="str">
            <v>직접대출</v>
          </cell>
          <cell r="C845" t="str">
            <v>은행</v>
          </cell>
          <cell r="E845" t="str">
            <v>우리은행</v>
          </cell>
          <cell r="H845">
            <v>155</v>
          </cell>
          <cell r="I845">
            <v>9378</v>
          </cell>
        </row>
        <row r="846">
          <cell r="A846" t="str">
            <v>직접대출</v>
          </cell>
          <cell r="C846" t="str">
            <v>은행</v>
          </cell>
          <cell r="E846" t="str">
            <v>우리은행</v>
          </cell>
          <cell r="H846">
            <v>1000</v>
          </cell>
          <cell r="I846">
            <v>67797</v>
          </cell>
        </row>
        <row r="847">
          <cell r="A847" t="str">
            <v>직접대출</v>
          </cell>
          <cell r="C847" t="str">
            <v>은행</v>
          </cell>
          <cell r="E847" t="str">
            <v>우리은행</v>
          </cell>
          <cell r="H847">
            <v>184</v>
          </cell>
          <cell r="I847">
            <v>20000</v>
          </cell>
        </row>
        <row r="848">
          <cell r="A848" t="str">
            <v>직접대출</v>
          </cell>
          <cell r="C848" t="str">
            <v>은행</v>
          </cell>
          <cell r="E848" t="str">
            <v>우리은행</v>
          </cell>
          <cell r="H848">
            <v>264</v>
          </cell>
          <cell r="I848">
            <v>15800</v>
          </cell>
        </row>
        <row r="849">
          <cell r="A849" t="str">
            <v>직접대출</v>
          </cell>
          <cell r="C849" t="str">
            <v>은행</v>
          </cell>
          <cell r="E849" t="str">
            <v>우리은행</v>
          </cell>
          <cell r="H849">
            <v>14</v>
          </cell>
          <cell r="I849">
            <v>0</v>
          </cell>
        </row>
        <row r="850">
          <cell r="A850" t="str">
            <v>직접대출</v>
          </cell>
          <cell r="C850" t="str">
            <v>은행</v>
          </cell>
          <cell r="E850" t="str">
            <v>우리은행</v>
          </cell>
          <cell r="H850">
            <v>125</v>
          </cell>
          <cell r="I850">
            <v>10500</v>
          </cell>
        </row>
        <row r="851">
          <cell r="A851" t="str">
            <v>직접대출</v>
          </cell>
          <cell r="C851" t="str">
            <v>은행</v>
          </cell>
          <cell r="E851" t="str">
            <v>우리은행</v>
          </cell>
          <cell r="H851">
            <v>158</v>
          </cell>
          <cell r="I851">
            <v>0</v>
          </cell>
        </row>
        <row r="852">
          <cell r="A852" t="str">
            <v>직접대출</v>
          </cell>
          <cell r="C852" t="str">
            <v>은행</v>
          </cell>
          <cell r="E852" t="str">
            <v>우리은행</v>
          </cell>
          <cell r="H852">
            <v>66</v>
          </cell>
          <cell r="I852">
            <v>35000</v>
          </cell>
        </row>
        <row r="853">
          <cell r="A853" t="str">
            <v>직접대출</v>
          </cell>
          <cell r="C853" t="str">
            <v>은행</v>
          </cell>
          <cell r="E853" t="str">
            <v>우리은행</v>
          </cell>
          <cell r="H853">
            <v>1000</v>
          </cell>
          <cell r="I853">
            <v>0</v>
          </cell>
        </row>
        <row r="854">
          <cell r="A854" t="str">
            <v>직접대출</v>
          </cell>
          <cell r="C854" t="str">
            <v>은행</v>
          </cell>
          <cell r="E854" t="str">
            <v>우리은행</v>
          </cell>
          <cell r="H854">
            <v>1000</v>
          </cell>
          <cell r="I854">
            <v>46000</v>
          </cell>
        </row>
        <row r="855">
          <cell r="A855" t="str">
            <v>직접대출</v>
          </cell>
          <cell r="C855" t="str">
            <v>은행</v>
          </cell>
          <cell r="E855" t="str">
            <v>우리은행</v>
          </cell>
          <cell r="H855">
            <v>1000</v>
          </cell>
          <cell r="I855">
            <v>0</v>
          </cell>
        </row>
        <row r="856">
          <cell r="A856" t="str">
            <v>직접대출</v>
          </cell>
          <cell r="C856" t="str">
            <v>은행</v>
          </cell>
          <cell r="E856" t="str">
            <v>우리은행</v>
          </cell>
          <cell r="H856">
            <v>1000</v>
          </cell>
          <cell r="I856">
            <v>0</v>
          </cell>
        </row>
        <row r="857">
          <cell r="A857" t="str">
            <v>직접대출</v>
          </cell>
          <cell r="C857" t="str">
            <v>은행</v>
          </cell>
          <cell r="E857" t="str">
            <v>우리은행</v>
          </cell>
          <cell r="H857">
            <v>1000</v>
          </cell>
          <cell r="I857">
            <v>22403</v>
          </cell>
        </row>
        <row r="858">
          <cell r="A858" t="str">
            <v>직접대출</v>
          </cell>
          <cell r="C858" t="str">
            <v>은행</v>
          </cell>
          <cell r="E858" t="str">
            <v>우리은행</v>
          </cell>
          <cell r="H858">
            <v>1000</v>
          </cell>
          <cell r="I858">
            <v>0</v>
          </cell>
        </row>
        <row r="859">
          <cell r="A859" t="str">
            <v>직접대출</v>
          </cell>
          <cell r="C859" t="str">
            <v>은행</v>
          </cell>
          <cell r="E859" t="str">
            <v>우리은행</v>
          </cell>
          <cell r="H859">
            <v>21</v>
          </cell>
          <cell r="I859">
            <v>70000</v>
          </cell>
        </row>
        <row r="860">
          <cell r="A860" t="str">
            <v>직접대출</v>
          </cell>
          <cell r="C860" t="str">
            <v>은행</v>
          </cell>
          <cell r="E860" t="str">
            <v>우리은행</v>
          </cell>
          <cell r="H860">
            <v>2</v>
          </cell>
          <cell r="I860">
            <v>0</v>
          </cell>
        </row>
        <row r="861">
          <cell r="A861" t="str">
            <v>직접대출</v>
          </cell>
          <cell r="C861" t="str">
            <v>은행</v>
          </cell>
          <cell r="E861" t="str">
            <v>우리은행</v>
          </cell>
          <cell r="H861">
            <v>2</v>
          </cell>
          <cell r="I861">
            <v>0</v>
          </cell>
        </row>
        <row r="862">
          <cell r="A862" t="str">
            <v>직접대출</v>
          </cell>
          <cell r="C862" t="str">
            <v>은행</v>
          </cell>
          <cell r="E862" t="str">
            <v>우리은행</v>
          </cell>
          <cell r="H862">
            <v>2</v>
          </cell>
          <cell r="I862">
            <v>0</v>
          </cell>
        </row>
        <row r="863">
          <cell r="A863" t="str">
            <v>직접대출</v>
          </cell>
          <cell r="C863" t="str">
            <v>은행</v>
          </cell>
          <cell r="E863" t="str">
            <v>우리은행</v>
          </cell>
          <cell r="H863">
            <v>21</v>
          </cell>
          <cell r="I863">
            <v>28000</v>
          </cell>
        </row>
        <row r="864">
          <cell r="A864" t="str">
            <v>직접대출</v>
          </cell>
          <cell r="C864" t="str">
            <v>은행</v>
          </cell>
          <cell r="E864" t="str">
            <v>우리은행</v>
          </cell>
          <cell r="H864">
            <v>63</v>
          </cell>
          <cell r="I864">
            <v>0</v>
          </cell>
        </row>
        <row r="865">
          <cell r="A865" t="str">
            <v>직접대출</v>
          </cell>
          <cell r="C865" t="str">
            <v>은행</v>
          </cell>
          <cell r="E865" t="str">
            <v>우리은행</v>
          </cell>
          <cell r="H865">
            <v>63</v>
          </cell>
          <cell r="I865">
            <v>0</v>
          </cell>
        </row>
        <row r="866">
          <cell r="A866" t="str">
            <v>직접대출</v>
          </cell>
          <cell r="C866" t="str">
            <v>은행</v>
          </cell>
          <cell r="E866" t="str">
            <v>우리은행</v>
          </cell>
          <cell r="H866">
            <v>372</v>
          </cell>
          <cell r="I866">
            <v>0</v>
          </cell>
        </row>
        <row r="867">
          <cell r="A867" t="str">
            <v>직접대출</v>
          </cell>
          <cell r="C867" t="str">
            <v>은행</v>
          </cell>
          <cell r="E867" t="str">
            <v>국민은행</v>
          </cell>
          <cell r="H867">
            <v>5</v>
          </cell>
          <cell r="I867">
            <v>59830.258328999997</v>
          </cell>
        </row>
        <row r="868">
          <cell r="A868" t="str">
            <v>직접대출</v>
          </cell>
          <cell r="C868" t="str">
            <v>은행</v>
          </cell>
          <cell r="E868" t="str">
            <v>국민은행</v>
          </cell>
          <cell r="H868">
            <v>48</v>
          </cell>
          <cell r="I868">
            <v>10000</v>
          </cell>
        </row>
        <row r="869">
          <cell r="A869" t="str">
            <v>직접대출</v>
          </cell>
          <cell r="C869" t="str">
            <v>은행</v>
          </cell>
          <cell r="E869" t="str">
            <v>국민은행</v>
          </cell>
          <cell r="H869">
            <v>48</v>
          </cell>
          <cell r="I869">
            <v>45000</v>
          </cell>
        </row>
        <row r="870">
          <cell r="A870" t="str">
            <v>직접대출</v>
          </cell>
          <cell r="C870" t="str">
            <v>은행</v>
          </cell>
          <cell r="E870" t="str">
            <v>국민은행</v>
          </cell>
          <cell r="H870">
            <v>1</v>
          </cell>
          <cell r="I870">
            <v>12503.904</v>
          </cell>
        </row>
        <row r="871">
          <cell r="A871" t="str">
            <v>직접대출</v>
          </cell>
          <cell r="C871" t="str">
            <v>은행</v>
          </cell>
          <cell r="E871" t="str">
            <v>국민은행</v>
          </cell>
          <cell r="H871">
            <v>99</v>
          </cell>
          <cell r="I871">
            <v>0</v>
          </cell>
        </row>
        <row r="872">
          <cell r="A872" t="str">
            <v>직접대출</v>
          </cell>
          <cell r="C872" t="str">
            <v>은행</v>
          </cell>
          <cell r="E872" t="str">
            <v>국민은행</v>
          </cell>
          <cell r="H872">
            <v>98</v>
          </cell>
          <cell r="I872">
            <v>3647.8</v>
          </cell>
        </row>
        <row r="873">
          <cell r="A873" t="str">
            <v>직접대출</v>
          </cell>
          <cell r="C873" t="str">
            <v>은행</v>
          </cell>
          <cell r="E873" t="str">
            <v>국민은행</v>
          </cell>
          <cell r="H873">
            <v>99</v>
          </cell>
          <cell r="I873">
            <v>1486.5</v>
          </cell>
        </row>
        <row r="874">
          <cell r="A874" t="str">
            <v>직접대출</v>
          </cell>
          <cell r="C874" t="str">
            <v>은행</v>
          </cell>
          <cell r="E874" t="str">
            <v>국민은행</v>
          </cell>
          <cell r="H874">
            <v>1</v>
          </cell>
          <cell r="I874">
            <v>7495.2100229999996</v>
          </cell>
        </row>
        <row r="875">
          <cell r="A875" t="str">
            <v>직접대출</v>
          </cell>
          <cell r="C875" t="str">
            <v>은행</v>
          </cell>
          <cell r="E875" t="str">
            <v>국민은행</v>
          </cell>
          <cell r="H875">
            <v>1</v>
          </cell>
          <cell r="I875">
            <v>15670.72946</v>
          </cell>
        </row>
        <row r="876">
          <cell r="A876" t="str">
            <v>직접대출</v>
          </cell>
          <cell r="C876" t="str">
            <v>은행</v>
          </cell>
          <cell r="E876" t="str">
            <v>국민은행</v>
          </cell>
          <cell r="H876">
            <v>4</v>
          </cell>
          <cell r="I876">
            <v>11000</v>
          </cell>
        </row>
        <row r="877">
          <cell r="A877" t="str">
            <v>직접대출</v>
          </cell>
          <cell r="C877" t="str">
            <v>은행</v>
          </cell>
          <cell r="E877" t="str">
            <v>국민은행</v>
          </cell>
          <cell r="H877">
            <v>4</v>
          </cell>
          <cell r="I877">
            <v>9000</v>
          </cell>
        </row>
        <row r="878">
          <cell r="A878" t="str">
            <v>직접대출</v>
          </cell>
          <cell r="C878" t="str">
            <v>은행</v>
          </cell>
          <cell r="E878" t="str">
            <v>국민은행</v>
          </cell>
          <cell r="H878">
            <v>34</v>
          </cell>
          <cell r="I878">
            <v>6500</v>
          </cell>
        </row>
        <row r="879">
          <cell r="A879" t="str">
            <v>직접대출</v>
          </cell>
          <cell r="C879" t="str">
            <v>은행</v>
          </cell>
          <cell r="E879" t="str">
            <v>국민은행</v>
          </cell>
          <cell r="H879">
            <v>3</v>
          </cell>
          <cell r="I879">
            <v>32500</v>
          </cell>
        </row>
        <row r="880">
          <cell r="A880" t="str">
            <v>직접대출</v>
          </cell>
          <cell r="C880" t="str">
            <v>은행</v>
          </cell>
          <cell r="E880" t="str">
            <v>국민은행</v>
          </cell>
          <cell r="H880">
            <v>3</v>
          </cell>
          <cell r="I880">
            <v>1950</v>
          </cell>
        </row>
        <row r="881">
          <cell r="A881" t="str">
            <v>직접대출</v>
          </cell>
          <cell r="C881" t="str">
            <v>은행</v>
          </cell>
          <cell r="E881" t="str">
            <v>국민은행</v>
          </cell>
          <cell r="H881">
            <v>23</v>
          </cell>
          <cell r="I881">
            <v>31400</v>
          </cell>
        </row>
        <row r="882">
          <cell r="A882" t="str">
            <v>직접대출</v>
          </cell>
          <cell r="C882" t="str">
            <v>은행</v>
          </cell>
          <cell r="E882" t="str">
            <v>국민은행</v>
          </cell>
          <cell r="H882">
            <v>3</v>
          </cell>
          <cell r="I882">
            <v>89589</v>
          </cell>
        </row>
        <row r="883">
          <cell r="A883" t="str">
            <v>직접대출</v>
          </cell>
          <cell r="C883" t="str">
            <v>은행</v>
          </cell>
          <cell r="E883" t="str">
            <v>국민은행</v>
          </cell>
          <cell r="H883">
            <v>8</v>
          </cell>
          <cell r="I883">
            <v>7564.4943130000001</v>
          </cell>
        </row>
        <row r="884">
          <cell r="A884" t="str">
            <v>직접대출</v>
          </cell>
          <cell r="C884" t="str">
            <v>은행</v>
          </cell>
          <cell r="E884" t="str">
            <v>국민은행</v>
          </cell>
          <cell r="H884">
            <v>8</v>
          </cell>
          <cell r="I884">
            <v>2642.8925279999999</v>
          </cell>
        </row>
        <row r="885">
          <cell r="A885" t="str">
            <v>직접대출</v>
          </cell>
          <cell r="C885" t="str">
            <v>은행</v>
          </cell>
          <cell r="E885" t="str">
            <v>국민은행</v>
          </cell>
          <cell r="H885">
            <v>95</v>
          </cell>
          <cell r="I885">
            <v>17000</v>
          </cell>
        </row>
        <row r="886">
          <cell r="A886" t="str">
            <v>직접대출</v>
          </cell>
          <cell r="C886" t="str">
            <v>은행</v>
          </cell>
          <cell r="E886" t="str">
            <v>국민은행</v>
          </cell>
          <cell r="H886">
            <v>1000</v>
          </cell>
          <cell r="I886">
            <v>15000</v>
          </cell>
        </row>
        <row r="887">
          <cell r="A887" t="str">
            <v>직접대출</v>
          </cell>
          <cell r="C887" t="str">
            <v>은행</v>
          </cell>
          <cell r="E887" t="str">
            <v>국민은행</v>
          </cell>
          <cell r="H887">
            <v>1000</v>
          </cell>
          <cell r="I887">
            <v>0</v>
          </cell>
        </row>
        <row r="888">
          <cell r="A888" t="str">
            <v>직접대출</v>
          </cell>
          <cell r="C888" t="str">
            <v>은행</v>
          </cell>
          <cell r="E888" t="str">
            <v>국민은행</v>
          </cell>
          <cell r="H888">
            <v>2</v>
          </cell>
          <cell r="I888">
            <v>89300</v>
          </cell>
        </row>
        <row r="889">
          <cell r="A889" t="str">
            <v>직접대출</v>
          </cell>
          <cell r="C889" t="str">
            <v>은행</v>
          </cell>
          <cell r="E889" t="str">
            <v>국민은행</v>
          </cell>
          <cell r="H889">
            <v>87</v>
          </cell>
          <cell r="I889">
            <v>24000</v>
          </cell>
        </row>
        <row r="890">
          <cell r="A890" t="str">
            <v>직접대출</v>
          </cell>
          <cell r="C890" t="str">
            <v>은행</v>
          </cell>
          <cell r="E890" t="str">
            <v>국민은행</v>
          </cell>
          <cell r="H890">
            <v>99</v>
          </cell>
          <cell r="I890">
            <v>30000</v>
          </cell>
        </row>
        <row r="891">
          <cell r="A891" t="str">
            <v>직접대출</v>
          </cell>
          <cell r="C891" t="str">
            <v>은행</v>
          </cell>
          <cell r="E891" t="str">
            <v>국민은행</v>
          </cell>
          <cell r="H891">
            <v>60</v>
          </cell>
          <cell r="I891">
            <v>0</v>
          </cell>
        </row>
        <row r="892">
          <cell r="A892" t="str">
            <v>직접대출</v>
          </cell>
          <cell r="C892" t="str">
            <v>은행</v>
          </cell>
          <cell r="E892" t="str">
            <v>국민은행</v>
          </cell>
          <cell r="H892">
            <v>87</v>
          </cell>
          <cell r="I892">
            <v>22000</v>
          </cell>
        </row>
        <row r="893">
          <cell r="A893" t="str">
            <v>직접대출</v>
          </cell>
          <cell r="C893" t="str">
            <v>은행</v>
          </cell>
          <cell r="E893" t="str">
            <v>국민은행</v>
          </cell>
          <cell r="H893">
            <v>100</v>
          </cell>
          <cell r="I893">
            <v>10000</v>
          </cell>
        </row>
        <row r="894">
          <cell r="A894" t="str">
            <v>직접대출</v>
          </cell>
          <cell r="C894" t="str">
            <v>은행</v>
          </cell>
          <cell r="E894" t="str">
            <v>국민은행</v>
          </cell>
          <cell r="H894">
            <v>100</v>
          </cell>
          <cell r="I894">
            <v>1300</v>
          </cell>
        </row>
        <row r="895">
          <cell r="A895" t="str">
            <v>직접대출</v>
          </cell>
          <cell r="C895" t="str">
            <v>은행</v>
          </cell>
          <cell r="E895" t="str">
            <v>국민은행</v>
          </cell>
          <cell r="H895">
            <v>40</v>
          </cell>
          <cell r="I895">
            <v>11538.858107</v>
          </cell>
        </row>
        <row r="896">
          <cell r="A896" t="str">
            <v>직접대출</v>
          </cell>
          <cell r="C896" t="str">
            <v>은행</v>
          </cell>
          <cell r="E896" t="str">
            <v>국민은행</v>
          </cell>
          <cell r="H896">
            <v>10</v>
          </cell>
          <cell r="I896">
            <v>3000</v>
          </cell>
        </row>
        <row r="897">
          <cell r="A897" t="str">
            <v>직접대출</v>
          </cell>
          <cell r="C897" t="str">
            <v>은행</v>
          </cell>
          <cell r="E897" t="str">
            <v>국민은행</v>
          </cell>
          <cell r="H897">
            <v>1000</v>
          </cell>
          <cell r="I897">
            <v>8000</v>
          </cell>
        </row>
        <row r="898">
          <cell r="A898" t="str">
            <v>직접대출</v>
          </cell>
          <cell r="C898" t="str">
            <v>은행</v>
          </cell>
          <cell r="E898" t="str">
            <v>국민은행</v>
          </cell>
          <cell r="H898">
            <v>1000</v>
          </cell>
          <cell r="I898">
            <v>0</v>
          </cell>
        </row>
        <row r="899">
          <cell r="A899" t="str">
            <v>직접대출</v>
          </cell>
          <cell r="C899" t="str">
            <v>은행</v>
          </cell>
          <cell r="E899" t="str">
            <v>국민은행</v>
          </cell>
          <cell r="H899">
            <v>32</v>
          </cell>
          <cell r="I899">
            <v>4000</v>
          </cell>
        </row>
        <row r="900">
          <cell r="A900" t="str">
            <v>직접대출</v>
          </cell>
          <cell r="C900" t="str">
            <v>은행</v>
          </cell>
          <cell r="E900" t="str">
            <v>국민은행</v>
          </cell>
          <cell r="H900">
            <v>61</v>
          </cell>
          <cell r="I900">
            <v>30000</v>
          </cell>
        </row>
        <row r="901">
          <cell r="A901" t="str">
            <v>직접대출</v>
          </cell>
          <cell r="C901" t="str">
            <v>은행</v>
          </cell>
          <cell r="E901" t="str">
            <v>국민은행</v>
          </cell>
          <cell r="H901">
            <v>66</v>
          </cell>
          <cell r="I901">
            <v>9000</v>
          </cell>
        </row>
        <row r="902">
          <cell r="A902" t="str">
            <v>직접대출</v>
          </cell>
          <cell r="C902" t="str">
            <v>은행</v>
          </cell>
          <cell r="E902" t="str">
            <v>국민은행</v>
          </cell>
          <cell r="H902">
            <v>66</v>
          </cell>
          <cell r="I902">
            <v>13949</v>
          </cell>
        </row>
        <row r="903">
          <cell r="A903" t="str">
            <v>직접대출</v>
          </cell>
          <cell r="C903" t="str">
            <v>은행</v>
          </cell>
          <cell r="E903" t="str">
            <v>국민은행</v>
          </cell>
          <cell r="H903">
            <v>8</v>
          </cell>
          <cell r="I903">
            <v>15396.744906</v>
          </cell>
        </row>
        <row r="904">
          <cell r="A904" t="str">
            <v>직접대출</v>
          </cell>
          <cell r="C904" t="str">
            <v>은행</v>
          </cell>
          <cell r="E904" t="str">
            <v>국민은행</v>
          </cell>
          <cell r="H904">
            <v>1000</v>
          </cell>
          <cell r="I904">
            <v>0</v>
          </cell>
        </row>
        <row r="905">
          <cell r="A905" t="str">
            <v>직접대출</v>
          </cell>
          <cell r="C905" t="str">
            <v>은행</v>
          </cell>
          <cell r="E905" t="str">
            <v>국민은행</v>
          </cell>
          <cell r="H905">
            <v>74</v>
          </cell>
          <cell r="I905">
            <v>10000</v>
          </cell>
        </row>
        <row r="906">
          <cell r="A906" t="str">
            <v>직접대출</v>
          </cell>
          <cell r="C906" t="str">
            <v>은행</v>
          </cell>
          <cell r="E906" t="str">
            <v>국민은행</v>
          </cell>
          <cell r="H906">
            <v>16</v>
          </cell>
          <cell r="I906">
            <v>77000</v>
          </cell>
        </row>
        <row r="907">
          <cell r="A907" t="str">
            <v>직접대출</v>
          </cell>
          <cell r="C907" t="str">
            <v>은행</v>
          </cell>
          <cell r="E907" t="str">
            <v>국민은행</v>
          </cell>
          <cell r="H907">
            <v>3</v>
          </cell>
          <cell r="I907">
            <v>11400</v>
          </cell>
        </row>
        <row r="908">
          <cell r="A908" t="str">
            <v>직접대출</v>
          </cell>
          <cell r="C908" t="str">
            <v>은행</v>
          </cell>
          <cell r="E908" t="str">
            <v>국민은행</v>
          </cell>
          <cell r="H908">
            <v>4</v>
          </cell>
          <cell r="I908">
            <v>32600</v>
          </cell>
        </row>
        <row r="909">
          <cell r="A909" t="str">
            <v>직접대출</v>
          </cell>
          <cell r="C909" t="str">
            <v>은행</v>
          </cell>
          <cell r="E909" t="str">
            <v>국민은행</v>
          </cell>
          <cell r="H909">
            <v>174</v>
          </cell>
          <cell r="I909">
            <v>0</v>
          </cell>
        </row>
        <row r="910">
          <cell r="A910" t="str">
            <v>직접대출</v>
          </cell>
          <cell r="C910" t="str">
            <v>은행</v>
          </cell>
          <cell r="E910" t="str">
            <v>국민은행</v>
          </cell>
          <cell r="H910">
            <v>4</v>
          </cell>
          <cell r="I910">
            <v>2850</v>
          </cell>
        </row>
        <row r="911">
          <cell r="A911" t="str">
            <v>직접대출</v>
          </cell>
          <cell r="C911" t="str">
            <v>은행</v>
          </cell>
          <cell r="E911" t="str">
            <v>국민은행</v>
          </cell>
          <cell r="H911">
            <v>143</v>
          </cell>
          <cell r="I911">
            <v>16726.802373999999</v>
          </cell>
        </row>
        <row r="912">
          <cell r="A912" t="str">
            <v>직접대출</v>
          </cell>
          <cell r="C912" t="str">
            <v>은행</v>
          </cell>
          <cell r="E912" t="str">
            <v>국민은행</v>
          </cell>
          <cell r="H912">
            <v>273</v>
          </cell>
          <cell r="I912">
            <v>15000</v>
          </cell>
        </row>
        <row r="913">
          <cell r="A913" t="str">
            <v>직접대출</v>
          </cell>
          <cell r="C913" t="str">
            <v>은행</v>
          </cell>
          <cell r="E913" t="str">
            <v>국민은행</v>
          </cell>
          <cell r="H913">
            <v>273</v>
          </cell>
          <cell r="I913">
            <v>8000</v>
          </cell>
        </row>
        <row r="914">
          <cell r="A914" t="str">
            <v>직접대출</v>
          </cell>
          <cell r="C914" t="str">
            <v>은행</v>
          </cell>
          <cell r="E914" t="str">
            <v>국민은행</v>
          </cell>
          <cell r="H914">
            <v>20</v>
          </cell>
          <cell r="I914">
            <v>10411.368058</v>
          </cell>
        </row>
        <row r="915">
          <cell r="A915" t="str">
            <v>직접대출</v>
          </cell>
          <cell r="C915" t="str">
            <v>은행</v>
          </cell>
          <cell r="E915" t="str">
            <v>국민은행</v>
          </cell>
          <cell r="H915">
            <v>66</v>
          </cell>
          <cell r="I915">
            <v>18000</v>
          </cell>
        </row>
        <row r="916">
          <cell r="A916" t="str">
            <v>직접대출</v>
          </cell>
          <cell r="C916" t="str">
            <v>은행</v>
          </cell>
          <cell r="E916" t="str">
            <v>국민은행</v>
          </cell>
          <cell r="H916">
            <v>66</v>
          </cell>
          <cell r="I916">
            <v>0</v>
          </cell>
        </row>
        <row r="917">
          <cell r="A917" t="str">
            <v>직접대출</v>
          </cell>
          <cell r="C917" t="str">
            <v>은행</v>
          </cell>
          <cell r="E917" t="str">
            <v>국민은행</v>
          </cell>
          <cell r="H917">
            <v>46</v>
          </cell>
          <cell r="I917">
            <v>20000</v>
          </cell>
        </row>
        <row r="918">
          <cell r="A918" t="str">
            <v>직접대출</v>
          </cell>
          <cell r="C918" t="str">
            <v>은행</v>
          </cell>
          <cell r="E918" t="str">
            <v>국민은행</v>
          </cell>
          <cell r="H918">
            <v>66</v>
          </cell>
          <cell r="I918">
            <v>0</v>
          </cell>
        </row>
        <row r="919">
          <cell r="A919" t="str">
            <v>직접대출</v>
          </cell>
          <cell r="C919" t="str">
            <v>은행</v>
          </cell>
          <cell r="E919" t="str">
            <v>국민은행</v>
          </cell>
          <cell r="H919">
            <v>66</v>
          </cell>
          <cell r="I919">
            <v>80850</v>
          </cell>
        </row>
        <row r="920">
          <cell r="A920" t="str">
            <v>직접대출</v>
          </cell>
          <cell r="C920" t="str">
            <v>은행</v>
          </cell>
          <cell r="E920" t="str">
            <v>국민은행</v>
          </cell>
          <cell r="H920">
            <v>146</v>
          </cell>
          <cell r="I920">
            <v>4500</v>
          </cell>
        </row>
        <row r="921">
          <cell r="A921" t="str">
            <v>직접대출</v>
          </cell>
          <cell r="C921" t="str">
            <v>은행</v>
          </cell>
          <cell r="E921" t="str">
            <v>국민은행</v>
          </cell>
          <cell r="H921">
            <v>146</v>
          </cell>
          <cell r="I921">
            <v>1544.2947975000002</v>
          </cell>
        </row>
        <row r="922">
          <cell r="A922" t="str">
            <v>직접대출</v>
          </cell>
          <cell r="C922" t="str">
            <v>은행</v>
          </cell>
          <cell r="E922" t="str">
            <v>국민은행</v>
          </cell>
          <cell r="H922">
            <v>20</v>
          </cell>
          <cell r="I922">
            <v>10000</v>
          </cell>
        </row>
        <row r="923">
          <cell r="A923" t="str">
            <v>직접대출</v>
          </cell>
          <cell r="C923" t="str">
            <v>은행</v>
          </cell>
          <cell r="E923" t="str">
            <v>국민은행</v>
          </cell>
          <cell r="H923">
            <v>20</v>
          </cell>
          <cell r="I923">
            <v>45000</v>
          </cell>
        </row>
        <row r="924">
          <cell r="A924" t="str">
            <v>직접대출</v>
          </cell>
          <cell r="C924" t="str">
            <v>은행</v>
          </cell>
          <cell r="E924" t="str">
            <v>국민은행</v>
          </cell>
          <cell r="H924">
            <v>70</v>
          </cell>
          <cell r="I924">
            <v>6000</v>
          </cell>
        </row>
        <row r="925">
          <cell r="A925" t="str">
            <v>직접대출</v>
          </cell>
          <cell r="C925" t="str">
            <v>은행</v>
          </cell>
          <cell r="E925" t="str">
            <v>국민은행</v>
          </cell>
          <cell r="H925">
            <v>78</v>
          </cell>
          <cell r="I925">
            <v>18000</v>
          </cell>
        </row>
        <row r="926">
          <cell r="A926" t="str">
            <v>직접대출</v>
          </cell>
          <cell r="C926" t="str">
            <v>은행</v>
          </cell>
          <cell r="E926" t="str">
            <v>국민은행</v>
          </cell>
          <cell r="H926">
            <v>86</v>
          </cell>
          <cell r="I926">
            <v>15920</v>
          </cell>
        </row>
        <row r="927">
          <cell r="A927" t="str">
            <v>직접대출</v>
          </cell>
          <cell r="C927" t="str">
            <v>은행</v>
          </cell>
          <cell r="E927" t="str">
            <v>국민은행</v>
          </cell>
          <cell r="H927">
            <v>7</v>
          </cell>
          <cell r="I927">
            <v>52343.411028000002</v>
          </cell>
        </row>
        <row r="928">
          <cell r="A928" t="str">
            <v>직접대출</v>
          </cell>
          <cell r="C928" t="str">
            <v>은행</v>
          </cell>
          <cell r="E928" t="str">
            <v>국민은행</v>
          </cell>
          <cell r="H928">
            <v>1000</v>
          </cell>
          <cell r="I928">
            <v>4550</v>
          </cell>
        </row>
        <row r="929">
          <cell r="A929" t="str">
            <v>직접대출</v>
          </cell>
          <cell r="C929" t="str">
            <v>은행</v>
          </cell>
          <cell r="E929" t="str">
            <v>국민은행</v>
          </cell>
          <cell r="H929">
            <v>453</v>
          </cell>
          <cell r="I929">
            <v>390</v>
          </cell>
        </row>
        <row r="930">
          <cell r="A930" t="str">
            <v>직접대출</v>
          </cell>
          <cell r="C930" t="str">
            <v>은행</v>
          </cell>
          <cell r="E930" t="str">
            <v>국민은행</v>
          </cell>
          <cell r="H930">
            <v>453</v>
          </cell>
          <cell r="I930">
            <v>300</v>
          </cell>
        </row>
        <row r="931">
          <cell r="A931" t="str">
            <v>직접대출</v>
          </cell>
          <cell r="C931" t="str">
            <v>은행</v>
          </cell>
          <cell r="E931" t="str">
            <v>국민은행</v>
          </cell>
          <cell r="H931">
            <v>21</v>
          </cell>
          <cell r="I931">
            <v>60000</v>
          </cell>
        </row>
        <row r="932">
          <cell r="A932" t="str">
            <v>직접대출</v>
          </cell>
          <cell r="C932" t="str">
            <v>은행</v>
          </cell>
          <cell r="E932" t="str">
            <v>국민은행</v>
          </cell>
          <cell r="H932">
            <v>1000</v>
          </cell>
          <cell r="I932">
            <v>0</v>
          </cell>
        </row>
        <row r="933">
          <cell r="A933" t="str">
            <v>직접대출</v>
          </cell>
          <cell r="C933" t="str">
            <v>은행</v>
          </cell>
          <cell r="E933" t="str">
            <v>국민은행</v>
          </cell>
          <cell r="H933">
            <v>1000</v>
          </cell>
          <cell r="I933">
            <v>0</v>
          </cell>
        </row>
        <row r="934">
          <cell r="A934" t="str">
            <v>직접대출</v>
          </cell>
          <cell r="C934" t="str">
            <v>은행</v>
          </cell>
          <cell r="E934" t="str">
            <v>국민은행</v>
          </cell>
          <cell r="H934">
            <v>21</v>
          </cell>
          <cell r="I934">
            <v>9000</v>
          </cell>
        </row>
        <row r="935">
          <cell r="A935" t="str">
            <v>직접대출</v>
          </cell>
          <cell r="C935" t="str">
            <v>은행</v>
          </cell>
          <cell r="E935" t="str">
            <v>국민은행</v>
          </cell>
          <cell r="H935">
            <v>3</v>
          </cell>
          <cell r="I935">
            <v>25000</v>
          </cell>
        </row>
        <row r="936">
          <cell r="A936" t="str">
            <v>직접대출</v>
          </cell>
          <cell r="C936" t="str">
            <v>은행</v>
          </cell>
          <cell r="E936" t="str">
            <v>국민은행</v>
          </cell>
          <cell r="H936">
            <v>3</v>
          </cell>
          <cell r="I936">
            <v>45000</v>
          </cell>
        </row>
        <row r="937">
          <cell r="A937" t="str">
            <v>직접대출</v>
          </cell>
          <cell r="C937" t="str">
            <v>은행</v>
          </cell>
          <cell r="E937" t="str">
            <v>국민은행</v>
          </cell>
          <cell r="H937">
            <v>1</v>
          </cell>
          <cell r="I937">
            <v>18000</v>
          </cell>
        </row>
        <row r="938">
          <cell r="A938" t="str">
            <v>직접대출</v>
          </cell>
          <cell r="C938" t="str">
            <v>은행</v>
          </cell>
          <cell r="E938" t="str">
            <v>국민은행</v>
          </cell>
          <cell r="H938">
            <v>1</v>
          </cell>
          <cell r="I938">
            <v>10000</v>
          </cell>
        </row>
        <row r="939">
          <cell r="A939" t="str">
            <v>직접대출</v>
          </cell>
          <cell r="C939" t="str">
            <v>은행</v>
          </cell>
          <cell r="E939" t="str">
            <v>국민은행</v>
          </cell>
          <cell r="H939">
            <v>1</v>
          </cell>
          <cell r="I939">
            <v>37000</v>
          </cell>
        </row>
        <row r="940">
          <cell r="A940" t="str">
            <v>직접대출</v>
          </cell>
          <cell r="C940" t="str">
            <v>은행</v>
          </cell>
          <cell r="E940" t="str">
            <v>국민은행</v>
          </cell>
          <cell r="H940">
            <v>23</v>
          </cell>
          <cell r="I940">
            <v>12250.377123</v>
          </cell>
        </row>
        <row r="941">
          <cell r="A941" t="str">
            <v>직접대출</v>
          </cell>
          <cell r="C941" t="str">
            <v>은행</v>
          </cell>
          <cell r="E941" t="str">
            <v>국민은행</v>
          </cell>
          <cell r="H941">
            <v>1</v>
          </cell>
          <cell r="I941">
            <v>46000</v>
          </cell>
        </row>
        <row r="942">
          <cell r="A942" t="str">
            <v>직접대출</v>
          </cell>
          <cell r="C942" t="str">
            <v>은행</v>
          </cell>
          <cell r="E942" t="str">
            <v>국민은행</v>
          </cell>
          <cell r="H942">
            <v>2</v>
          </cell>
          <cell r="I942">
            <v>8000</v>
          </cell>
        </row>
        <row r="943">
          <cell r="A943" t="str">
            <v>직접대출</v>
          </cell>
          <cell r="C943" t="str">
            <v>은행</v>
          </cell>
          <cell r="E943" t="str">
            <v>국민은행</v>
          </cell>
          <cell r="H943">
            <v>1</v>
          </cell>
          <cell r="I943">
            <v>8000</v>
          </cell>
        </row>
        <row r="944">
          <cell r="A944" t="str">
            <v>직접대출</v>
          </cell>
          <cell r="C944" t="str">
            <v>은행</v>
          </cell>
          <cell r="E944" t="str">
            <v>국민은행</v>
          </cell>
          <cell r="H944">
            <v>2</v>
          </cell>
          <cell r="I944">
            <v>10000</v>
          </cell>
        </row>
        <row r="945">
          <cell r="A945" t="str">
            <v>직접대출</v>
          </cell>
          <cell r="C945" t="str">
            <v>은행</v>
          </cell>
          <cell r="E945" t="str">
            <v>국민은행</v>
          </cell>
          <cell r="H945">
            <v>1</v>
          </cell>
          <cell r="I945">
            <v>955.61553000000004</v>
          </cell>
        </row>
        <row r="946">
          <cell r="A946" t="str">
            <v>직접대출</v>
          </cell>
          <cell r="C946" t="str">
            <v>은행</v>
          </cell>
          <cell r="E946" t="str">
            <v>국민은행</v>
          </cell>
          <cell r="H946">
            <v>4</v>
          </cell>
          <cell r="I946">
            <v>39200</v>
          </cell>
        </row>
        <row r="947">
          <cell r="A947" t="str">
            <v>직접대출</v>
          </cell>
          <cell r="C947" t="str">
            <v>은행</v>
          </cell>
          <cell r="E947" t="str">
            <v>국민은행</v>
          </cell>
          <cell r="H947">
            <v>5</v>
          </cell>
          <cell r="I947">
            <v>12098.341791999999</v>
          </cell>
        </row>
        <row r="948">
          <cell r="A948" t="str">
            <v>직접대출</v>
          </cell>
          <cell r="C948" t="str">
            <v>은행</v>
          </cell>
          <cell r="E948" t="str">
            <v>국민은행</v>
          </cell>
          <cell r="H948">
            <v>39</v>
          </cell>
          <cell r="I948">
            <v>46535.103607000005</v>
          </cell>
        </row>
        <row r="949">
          <cell r="A949" t="str">
            <v>직접대출</v>
          </cell>
          <cell r="C949" t="str">
            <v>은행</v>
          </cell>
          <cell r="E949" t="str">
            <v>국민은행</v>
          </cell>
          <cell r="H949">
            <v>1000</v>
          </cell>
          <cell r="I949">
            <v>3940</v>
          </cell>
        </row>
        <row r="950">
          <cell r="A950" t="str">
            <v>직접대출</v>
          </cell>
          <cell r="C950" t="str">
            <v>은행</v>
          </cell>
          <cell r="E950" t="str">
            <v>국민은행</v>
          </cell>
          <cell r="H950">
            <v>63</v>
          </cell>
          <cell r="I950">
            <v>29006.195879999999</v>
          </cell>
        </row>
        <row r="951">
          <cell r="A951" t="str">
            <v>직접대출</v>
          </cell>
          <cell r="C951" t="str">
            <v>은행</v>
          </cell>
          <cell r="E951" t="str">
            <v>국민은행</v>
          </cell>
          <cell r="H951">
            <v>39</v>
          </cell>
          <cell r="I951">
            <v>7359.9315959999994</v>
          </cell>
        </row>
        <row r="952">
          <cell r="A952" t="str">
            <v>직접대출</v>
          </cell>
          <cell r="C952" t="str">
            <v>은행</v>
          </cell>
          <cell r="E952" t="str">
            <v>국민은행</v>
          </cell>
          <cell r="H952">
            <v>32</v>
          </cell>
          <cell r="I952">
            <v>44000</v>
          </cell>
        </row>
        <row r="953">
          <cell r="A953" t="str">
            <v>직접대출</v>
          </cell>
          <cell r="C953" t="str">
            <v>은행</v>
          </cell>
          <cell r="E953" t="str">
            <v>국민은행</v>
          </cell>
          <cell r="H953">
            <v>63</v>
          </cell>
          <cell r="I953">
            <v>0</v>
          </cell>
        </row>
        <row r="954">
          <cell r="A954" t="str">
            <v>직접대출</v>
          </cell>
          <cell r="C954" t="str">
            <v>은행</v>
          </cell>
          <cell r="E954" t="str">
            <v>국민은행</v>
          </cell>
          <cell r="H954">
            <v>63</v>
          </cell>
          <cell r="I954">
            <v>32867.885999999999</v>
          </cell>
        </row>
        <row r="955">
          <cell r="A955" t="str">
            <v>직접대출</v>
          </cell>
          <cell r="C955" t="str">
            <v>은행</v>
          </cell>
          <cell r="E955" t="str">
            <v>국민은행</v>
          </cell>
          <cell r="H955">
            <v>32</v>
          </cell>
          <cell r="I955">
            <v>26000</v>
          </cell>
        </row>
        <row r="956">
          <cell r="A956" t="str">
            <v>직접대출</v>
          </cell>
          <cell r="C956" t="str">
            <v>은행</v>
          </cell>
          <cell r="E956" t="str">
            <v>국민은행</v>
          </cell>
          <cell r="H956">
            <v>39</v>
          </cell>
          <cell r="I956">
            <v>308.216745</v>
          </cell>
        </row>
        <row r="957">
          <cell r="A957" t="str">
            <v>직접대출</v>
          </cell>
          <cell r="C957" t="str">
            <v>은행</v>
          </cell>
          <cell r="E957" t="str">
            <v>국민은행</v>
          </cell>
          <cell r="H957">
            <v>1000</v>
          </cell>
          <cell r="I957">
            <v>3000</v>
          </cell>
        </row>
        <row r="958">
          <cell r="A958" t="str">
            <v>직접대출</v>
          </cell>
          <cell r="C958" t="str">
            <v>은행</v>
          </cell>
          <cell r="E958" t="str">
            <v>국민은행</v>
          </cell>
          <cell r="H958">
            <v>292</v>
          </cell>
          <cell r="I958">
            <v>19500</v>
          </cell>
        </row>
        <row r="959">
          <cell r="A959" t="str">
            <v>직접대출</v>
          </cell>
          <cell r="C959" t="str">
            <v>은행</v>
          </cell>
          <cell r="E959" t="str">
            <v>국민은행</v>
          </cell>
          <cell r="H959">
            <v>16</v>
          </cell>
          <cell r="I959">
            <v>2752.8984999999998</v>
          </cell>
        </row>
        <row r="960">
          <cell r="A960" t="str">
            <v>직접대출</v>
          </cell>
          <cell r="C960" t="str">
            <v>은행</v>
          </cell>
          <cell r="E960" t="str">
            <v>국민은행</v>
          </cell>
          <cell r="H960">
            <v>28</v>
          </cell>
          <cell r="I960">
            <v>9800</v>
          </cell>
        </row>
        <row r="961">
          <cell r="A961" t="str">
            <v>직접대출</v>
          </cell>
          <cell r="C961" t="str">
            <v>은행</v>
          </cell>
          <cell r="E961" t="str">
            <v>국민은행</v>
          </cell>
          <cell r="H961">
            <v>8</v>
          </cell>
          <cell r="I961">
            <v>3232.4</v>
          </cell>
        </row>
        <row r="962">
          <cell r="A962" t="str">
            <v>직접대출</v>
          </cell>
          <cell r="C962" t="str">
            <v>은행</v>
          </cell>
          <cell r="E962" t="str">
            <v>국민은행</v>
          </cell>
          <cell r="H962">
            <v>40</v>
          </cell>
          <cell r="I962">
            <v>5000</v>
          </cell>
        </row>
        <row r="963">
          <cell r="A963" t="str">
            <v>직접대출</v>
          </cell>
          <cell r="C963" t="str">
            <v>은행</v>
          </cell>
          <cell r="E963" t="str">
            <v>국민은행</v>
          </cell>
          <cell r="H963">
            <v>115</v>
          </cell>
          <cell r="I963">
            <v>55000</v>
          </cell>
        </row>
        <row r="964">
          <cell r="A964" t="str">
            <v>직접대출</v>
          </cell>
          <cell r="C964" t="str">
            <v>은행</v>
          </cell>
          <cell r="E964" t="str">
            <v>국민은행</v>
          </cell>
          <cell r="H964">
            <v>1</v>
          </cell>
          <cell r="I964">
            <v>27155.069</v>
          </cell>
        </row>
        <row r="965">
          <cell r="A965" t="str">
            <v>직접대출</v>
          </cell>
          <cell r="C965" t="str">
            <v>은행</v>
          </cell>
          <cell r="E965" t="str">
            <v>국민은행</v>
          </cell>
          <cell r="H965">
            <v>1</v>
          </cell>
          <cell r="I965">
            <v>44602.369599999998</v>
          </cell>
        </row>
        <row r="966">
          <cell r="A966" t="str">
            <v>직접대출</v>
          </cell>
          <cell r="C966" t="str">
            <v>은행</v>
          </cell>
          <cell r="E966" t="str">
            <v>국민은행</v>
          </cell>
          <cell r="H966">
            <v>80</v>
          </cell>
          <cell r="I966">
            <v>14000</v>
          </cell>
        </row>
        <row r="967">
          <cell r="A967" t="str">
            <v>직접대출</v>
          </cell>
          <cell r="C967" t="str">
            <v>은행</v>
          </cell>
          <cell r="E967" t="str">
            <v>국민은행</v>
          </cell>
          <cell r="H967">
            <v>188</v>
          </cell>
          <cell r="I967">
            <v>5500</v>
          </cell>
        </row>
        <row r="968">
          <cell r="A968" t="str">
            <v>직접대출</v>
          </cell>
          <cell r="C968" t="str">
            <v>은행</v>
          </cell>
          <cell r="E968" t="str">
            <v>국민은행</v>
          </cell>
          <cell r="H968">
            <v>182</v>
          </cell>
          <cell r="I968">
            <v>4000</v>
          </cell>
        </row>
        <row r="969">
          <cell r="A969" t="str">
            <v>직접대출</v>
          </cell>
          <cell r="C969" t="str">
            <v>은행</v>
          </cell>
          <cell r="E969" t="str">
            <v>국민은행</v>
          </cell>
          <cell r="H969">
            <v>125</v>
          </cell>
          <cell r="I969">
            <v>10000</v>
          </cell>
        </row>
        <row r="970">
          <cell r="A970" t="str">
            <v>직접대출</v>
          </cell>
          <cell r="C970" t="str">
            <v>은행</v>
          </cell>
          <cell r="E970" t="str">
            <v>국민은행</v>
          </cell>
          <cell r="H970">
            <v>244</v>
          </cell>
          <cell r="I970">
            <v>4500</v>
          </cell>
        </row>
        <row r="971">
          <cell r="A971" t="str">
            <v>직접대출</v>
          </cell>
          <cell r="C971" t="str">
            <v>은행</v>
          </cell>
          <cell r="E971" t="str">
            <v>국민은행</v>
          </cell>
          <cell r="H971">
            <v>1</v>
          </cell>
          <cell r="I971">
            <v>40000</v>
          </cell>
        </row>
        <row r="972">
          <cell r="A972" t="str">
            <v>직접대출</v>
          </cell>
          <cell r="C972" t="str">
            <v>은행</v>
          </cell>
          <cell r="E972" t="str">
            <v>국민은행</v>
          </cell>
          <cell r="H972">
            <v>45</v>
          </cell>
          <cell r="I972">
            <v>20000</v>
          </cell>
        </row>
        <row r="973">
          <cell r="A973" t="str">
            <v>직접대출</v>
          </cell>
          <cell r="C973" t="str">
            <v>은행</v>
          </cell>
          <cell r="E973" t="str">
            <v>국민은행</v>
          </cell>
          <cell r="H973">
            <v>14</v>
          </cell>
          <cell r="I973">
            <v>35000</v>
          </cell>
        </row>
        <row r="974">
          <cell r="A974" t="str">
            <v>직접대출</v>
          </cell>
          <cell r="C974" t="str">
            <v>은행</v>
          </cell>
          <cell r="E974" t="str">
            <v>국민은행</v>
          </cell>
          <cell r="H974">
            <v>1000</v>
          </cell>
          <cell r="I974">
            <v>4000</v>
          </cell>
        </row>
        <row r="975">
          <cell r="A975" t="str">
            <v>직접대출</v>
          </cell>
          <cell r="C975" t="str">
            <v>은행</v>
          </cell>
          <cell r="E975" t="str">
            <v>국민은행</v>
          </cell>
          <cell r="H975">
            <v>272</v>
          </cell>
          <cell r="I975">
            <v>3500</v>
          </cell>
        </row>
        <row r="976">
          <cell r="A976" t="str">
            <v>직접대출</v>
          </cell>
          <cell r="C976" t="str">
            <v>은행</v>
          </cell>
          <cell r="E976" t="str">
            <v>국민은행</v>
          </cell>
          <cell r="H976">
            <v>272</v>
          </cell>
          <cell r="I976">
            <v>22800</v>
          </cell>
        </row>
        <row r="977">
          <cell r="A977" t="str">
            <v>직접대출</v>
          </cell>
          <cell r="C977" t="str">
            <v>은행</v>
          </cell>
          <cell r="E977" t="str">
            <v>국민은행</v>
          </cell>
          <cell r="H977">
            <v>86</v>
          </cell>
          <cell r="I977">
            <v>27000</v>
          </cell>
        </row>
        <row r="978">
          <cell r="A978" t="str">
            <v>직접대출</v>
          </cell>
          <cell r="C978" t="str">
            <v>은행</v>
          </cell>
          <cell r="E978" t="str">
            <v>국민은행</v>
          </cell>
          <cell r="H978">
            <v>272</v>
          </cell>
          <cell r="I978">
            <v>0</v>
          </cell>
        </row>
        <row r="979">
          <cell r="A979" t="str">
            <v>직접대출</v>
          </cell>
          <cell r="C979" t="str">
            <v>은행</v>
          </cell>
          <cell r="E979" t="str">
            <v>국민은행</v>
          </cell>
          <cell r="H979">
            <v>272</v>
          </cell>
          <cell r="I979">
            <v>15669.668948</v>
          </cell>
        </row>
        <row r="980">
          <cell r="A980" t="str">
            <v>직접대출</v>
          </cell>
          <cell r="C980" t="str">
            <v>은행</v>
          </cell>
          <cell r="E980" t="str">
            <v>국민은행</v>
          </cell>
          <cell r="H980">
            <v>272</v>
          </cell>
          <cell r="I980">
            <v>12000</v>
          </cell>
        </row>
        <row r="981">
          <cell r="A981" t="str">
            <v>직접대출</v>
          </cell>
          <cell r="C981" t="str">
            <v>은행</v>
          </cell>
          <cell r="E981" t="str">
            <v>국민은행</v>
          </cell>
          <cell r="H981">
            <v>1000</v>
          </cell>
          <cell r="I981">
            <v>5855</v>
          </cell>
        </row>
        <row r="982">
          <cell r="A982" t="str">
            <v>직접대출</v>
          </cell>
          <cell r="C982" t="str">
            <v>은행</v>
          </cell>
          <cell r="E982" t="str">
            <v>국민은행</v>
          </cell>
          <cell r="H982">
            <v>1</v>
          </cell>
          <cell r="I982">
            <v>4569.3</v>
          </cell>
        </row>
        <row r="983">
          <cell r="A983" t="str">
            <v>직접대출</v>
          </cell>
          <cell r="C983" t="str">
            <v>은행</v>
          </cell>
          <cell r="E983" t="str">
            <v>국민은행</v>
          </cell>
          <cell r="H983">
            <v>1</v>
          </cell>
          <cell r="I983">
            <v>3900</v>
          </cell>
        </row>
        <row r="984">
          <cell r="A984" t="str">
            <v>직접대출</v>
          </cell>
          <cell r="C984" t="str">
            <v>은행</v>
          </cell>
          <cell r="E984" t="str">
            <v>국민은행</v>
          </cell>
          <cell r="H984">
            <v>138</v>
          </cell>
          <cell r="I984">
            <v>50000</v>
          </cell>
        </row>
        <row r="985">
          <cell r="A985" t="str">
            <v>직접대출</v>
          </cell>
          <cell r="C985" t="str">
            <v>은행</v>
          </cell>
          <cell r="E985" t="str">
            <v>국민은행</v>
          </cell>
          <cell r="H985">
            <v>67</v>
          </cell>
          <cell r="I985">
            <v>8740</v>
          </cell>
        </row>
        <row r="986">
          <cell r="A986" t="str">
            <v>직접대출</v>
          </cell>
          <cell r="C986" t="str">
            <v>은행</v>
          </cell>
          <cell r="E986" t="str">
            <v>국민은행</v>
          </cell>
          <cell r="H986">
            <v>67</v>
          </cell>
          <cell r="I986">
            <v>10260</v>
          </cell>
        </row>
        <row r="987">
          <cell r="A987" t="str">
            <v>직접대출</v>
          </cell>
          <cell r="C987" t="str">
            <v>은행</v>
          </cell>
          <cell r="E987" t="str">
            <v>국민은행</v>
          </cell>
          <cell r="H987">
            <v>138</v>
          </cell>
          <cell r="I987">
            <v>16000</v>
          </cell>
        </row>
        <row r="988">
          <cell r="A988" t="str">
            <v>직접대출</v>
          </cell>
          <cell r="C988" t="str">
            <v>은행</v>
          </cell>
          <cell r="E988" t="str">
            <v>국민은행</v>
          </cell>
          <cell r="H988">
            <v>51</v>
          </cell>
          <cell r="I988">
            <v>7500</v>
          </cell>
        </row>
        <row r="989">
          <cell r="A989" t="str">
            <v>직접대출</v>
          </cell>
          <cell r="C989" t="str">
            <v>은행</v>
          </cell>
          <cell r="E989" t="str">
            <v>국민은행</v>
          </cell>
          <cell r="H989">
            <v>5</v>
          </cell>
          <cell r="I989">
            <v>63000</v>
          </cell>
        </row>
        <row r="990">
          <cell r="A990" t="str">
            <v>직접대출</v>
          </cell>
          <cell r="C990" t="str">
            <v>은행</v>
          </cell>
          <cell r="E990" t="str">
            <v>국민은행</v>
          </cell>
          <cell r="H990">
            <v>1000</v>
          </cell>
          <cell r="I990">
            <v>32000</v>
          </cell>
        </row>
        <row r="991">
          <cell r="A991" t="str">
            <v>직접대출</v>
          </cell>
          <cell r="C991" t="str">
            <v>은행</v>
          </cell>
          <cell r="E991" t="str">
            <v>국민은행</v>
          </cell>
          <cell r="H991">
            <v>5</v>
          </cell>
          <cell r="I991">
            <v>35200.35</v>
          </cell>
        </row>
        <row r="992">
          <cell r="A992" t="str">
            <v>직접대출</v>
          </cell>
          <cell r="C992" t="str">
            <v>은행</v>
          </cell>
          <cell r="E992" t="str">
            <v>국민은행</v>
          </cell>
          <cell r="H992">
            <v>13</v>
          </cell>
          <cell r="I992">
            <v>11202</v>
          </cell>
        </row>
        <row r="993">
          <cell r="A993" t="str">
            <v>직접대출</v>
          </cell>
          <cell r="C993" t="str">
            <v>은행</v>
          </cell>
          <cell r="E993" t="str">
            <v>국민은행</v>
          </cell>
          <cell r="H993">
            <v>1000</v>
          </cell>
          <cell r="I993">
            <v>25000</v>
          </cell>
        </row>
        <row r="994">
          <cell r="A994" t="str">
            <v>직접대출</v>
          </cell>
          <cell r="C994" t="str">
            <v>은행</v>
          </cell>
          <cell r="E994" t="str">
            <v>국민은행</v>
          </cell>
          <cell r="H994">
            <v>25</v>
          </cell>
          <cell r="I994">
            <v>80000</v>
          </cell>
        </row>
        <row r="995">
          <cell r="A995" t="str">
            <v>직접대출</v>
          </cell>
          <cell r="C995" t="str">
            <v>은행</v>
          </cell>
          <cell r="E995" t="str">
            <v>국민은행</v>
          </cell>
          <cell r="H995">
            <v>46</v>
          </cell>
          <cell r="I995">
            <v>65000</v>
          </cell>
        </row>
        <row r="996">
          <cell r="A996" t="str">
            <v>직접대출</v>
          </cell>
          <cell r="C996" t="str">
            <v>은행</v>
          </cell>
          <cell r="E996" t="str">
            <v>국민은행</v>
          </cell>
          <cell r="H996">
            <v>87</v>
          </cell>
          <cell r="I996">
            <v>25000</v>
          </cell>
        </row>
        <row r="997">
          <cell r="A997" t="str">
            <v>직접대출</v>
          </cell>
          <cell r="C997" t="str">
            <v>은행</v>
          </cell>
          <cell r="E997" t="str">
            <v>국민은행</v>
          </cell>
          <cell r="H997">
            <v>25</v>
          </cell>
          <cell r="I997">
            <v>72000</v>
          </cell>
        </row>
        <row r="998">
          <cell r="A998" t="str">
            <v>직접대출</v>
          </cell>
          <cell r="C998" t="str">
            <v>은행</v>
          </cell>
          <cell r="E998" t="str">
            <v>국민은행</v>
          </cell>
          <cell r="H998">
            <v>39</v>
          </cell>
          <cell r="I998">
            <v>11000</v>
          </cell>
        </row>
        <row r="999">
          <cell r="A999" t="str">
            <v>직접대출</v>
          </cell>
          <cell r="C999" t="str">
            <v>은행</v>
          </cell>
          <cell r="E999" t="str">
            <v>국민은행</v>
          </cell>
          <cell r="H999">
            <v>39</v>
          </cell>
          <cell r="I999">
            <v>12800</v>
          </cell>
        </row>
        <row r="1000">
          <cell r="A1000" t="str">
            <v>직접대출</v>
          </cell>
          <cell r="C1000" t="str">
            <v>은행</v>
          </cell>
          <cell r="E1000" t="str">
            <v>국민은행</v>
          </cell>
          <cell r="H1000">
            <v>39</v>
          </cell>
          <cell r="I1000">
            <v>12000</v>
          </cell>
        </row>
        <row r="1001">
          <cell r="A1001" t="str">
            <v>직접대출</v>
          </cell>
          <cell r="C1001" t="str">
            <v>은행</v>
          </cell>
          <cell r="E1001" t="str">
            <v>국민은행</v>
          </cell>
          <cell r="H1001">
            <v>7</v>
          </cell>
          <cell r="I1001">
            <v>17385.976278000002</v>
          </cell>
        </row>
        <row r="1002">
          <cell r="A1002" t="str">
            <v>직접대출</v>
          </cell>
          <cell r="C1002" t="str">
            <v>은행</v>
          </cell>
          <cell r="E1002" t="str">
            <v>국민은행</v>
          </cell>
          <cell r="H1002">
            <v>406</v>
          </cell>
          <cell r="I1002">
            <v>4800</v>
          </cell>
        </row>
        <row r="1003">
          <cell r="A1003" t="str">
            <v>직접대출</v>
          </cell>
          <cell r="C1003" t="str">
            <v>은행</v>
          </cell>
          <cell r="E1003" t="str">
            <v>국민은행</v>
          </cell>
          <cell r="H1003">
            <v>22</v>
          </cell>
          <cell r="I1003">
            <v>20000</v>
          </cell>
        </row>
        <row r="1004">
          <cell r="A1004" t="str">
            <v>직접대출</v>
          </cell>
          <cell r="C1004" t="str">
            <v>은행</v>
          </cell>
          <cell r="E1004" t="str">
            <v>국민은행</v>
          </cell>
          <cell r="H1004">
            <v>10</v>
          </cell>
          <cell r="I1004">
            <v>15300</v>
          </cell>
        </row>
        <row r="1005">
          <cell r="A1005" t="str">
            <v>직접대출</v>
          </cell>
          <cell r="C1005" t="str">
            <v>은행</v>
          </cell>
          <cell r="E1005" t="str">
            <v>국민은행</v>
          </cell>
          <cell r="H1005">
            <v>1</v>
          </cell>
          <cell r="I1005">
            <v>54000</v>
          </cell>
        </row>
        <row r="1006">
          <cell r="A1006" t="str">
            <v>직접대출</v>
          </cell>
          <cell r="C1006" t="str">
            <v>은행</v>
          </cell>
          <cell r="E1006" t="str">
            <v>국민은행</v>
          </cell>
          <cell r="H1006">
            <v>7</v>
          </cell>
          <cell r="I1006">
            <v>122000</v>
          </cell>
        </row>
        <row r="1007">
          <cell r="A1007" t="str">
            <v>직접대출</v>
          </cell>
          <cell r="C1007" t="str">
            <v>은행</v>
          </cell>
          <cell r="E1007" t="str">
            <v>국민은행</v>
          </cell>
          <cell r="H1007">
            <v>7</v>
          </cell>
          <cell r="I1007">
            <v>23000</v>
          </cell>
        </row>
        <row r="1008">
          <cell r="A1008" t="str">
            <v>직접대출</v>
          </cell>
          <cell r="C1008" t="str">
            <v>은행</v>
          </cell>
          <cell r="E1008" t="str">
            <v>국민은행</v>
          </cell>
          <cell r="H1008">
            <v>7</v>
          </cell>
          <cell r="I1008">
            <v>4503.952405</v>
          </cell>
        </row>
        <row r="1009">
          <cell r="A1009" t="str">
            <v>직접대출</v>
          </cell>
          <cell r="C1009" t="str">
            <v>은행</v>
          </cell>
          <cell r="E1009" t="str">
            <v>국민은행</v>
          </cell>
          <cell r="H1009">
            <v>87</v>
          </cell>
          <cell r="I1009">
            <v>31000</v>
          </cell>
        </row>
        <row r="1010">
          <cell r="A1010" t="str">
            <v>직접대출</v>
          </cell>
          <cell r="C1010" t="str">
            <v>은행</v>
          </cell>
          <cell r="E1010" t="str">
            <v>국민은행</v>
          </cell>
          <cell r="H1010">
            <v>1000</v>
          </cell>
          <cell r="I1010">
            <v>0</v>
          </cell>
        </row>
        <row r="1011">
          <cell r="A1011" t="str">
            <v>직접대출</v>
          </cell>
          <cell r="C1011" t="str">
            <v>은행</v>
          </cell>
          <cell r="E1011" t="str">
            <v>국민은행</v>
          </cell>
          <cell r="H1011">
            <v>74</v>
          </cell>
          <cell r="I1011">
            <v>3000</v>
          </cell>
        </row>
        <row r="1012">
          <cell r="A1012" t="str">
            <v>직접대출</v>
          </cell>
          <cell r="C1012" t="str">
            <v>은행</v>
          </cell>
          <cell r="E1012" t="str">
            <v>국민은행</v>
          </cell>
          <cell r="H1012">
            <v>86</v>
          </cell>
          <cell r="I1012">
            <v>21671.25</v>
          </cell>
        </row>
        <row r="1013">
          <cell r="A1013" t="str">
            <v>직접대출</v>
          </cell>
          <cell r="C1013" t="str">
            <v>은행</v>
          </cell>
          <cell r="E1013" t="str">
            <v>국민은행</v>
          </cell>
          <cell r="H1013">
            <v>125</v>
          </cell>
          <cell r="I1013">
            <v>19000</v>
          </cell>
        </row>
        <row r="1014">
          <cell r="A1014" t="str">
            <v>직접대출</v>
          </cell>
          <cell r="C1014" t="str">
            <v>은행</v>
          </cell>
          <cell r="E1014" t="str">
            <v>국민은행</v>
          </cell>
          <cell r="H1014">
            <v>4</v>
          </cell>
          <cell r="I1014">
            <v>7376.0690299999997</v>
          </cell>
        </row>
        <row r="1015">
          <cell r="A1015" t="str">
            <v>직접대출</v>
          </cell>
          <cell r="C1015" t="str">
            <v>은행</v>
          </cell>
          <cell r="E1015" t="str">
            <v>국민은행</v>
          </cell>
          <cell r="H1015">
            <v>4</v>
          </cell>
          <cell r="I1015">
            <v>2837.9767400000001</v>
          </cell>
        </row>
        <row r="1016">
          <cell r="A1016" t="str">
            <v>직접대출</v>
          </cell>
          <cell r="C1016" t="str">
            <v>은행</v>
          </cell>
          <cell r="E1016" t="str">
            <v>국민은행</v>
          </cell>
          <cell r="H1016">
            <v>4</v>
          </cell>
          <cell r="I1016">
            <v>2497.56</v>
          </cell>
        </row>
        <row r="1017">
          <cell r="A1017" t="str">
            <v>직접대출</v>
          </cell>
          <cell r="C1017" t="str">
            <v>은행</v>
          </cell>
          <cell r="E1017" t="str">
            <v>국민은행</v>
          </cell>
          <cell r="H1017">
            <v>105</v>
          </cell>
          <cell r="I1017">
            <v>20500</v>
          </cell>
        </row>
        <row r="1018">
          <cell r="A1018" t="str">
            <v>직접대출</v>
          </cell>
          <cell r="C1018" t="str">
            <v>은행</v>
          </cell>
          <cell r="E1018" t="str">
            <v>국민은행</v>
          </cell>
          <cell r="H1018">
            <v>41</v>
          </cell>
          <cell r="I1018">
            <v>25000</v>
          </cell>
        </row>
        <row r="1019">
          <cell r="A1019" t="str">
            <v>직접대출</v>
          </cell>
          <cell r="C1019" t="str">
            <v>은행</v>
          </cell>
          <cell r="E1019" t="str">
            <v>국민은행</v>
          </cell>
          <cell r="H1019">
            <v>41</v>
          </cell>
          <cell r="I1019">
            <v>25000</v>
          </cell>
        </row>
        <row r="1020">
          <cell r="A1020" t="str">
            <v>직접대출</v>
          </cell>
          <cell r="C1020" t="str">
            <v>은행</v>
          </cell>
          <cell r="E1020" t="str">
            <v>국민은행</v>
          </cell>
          <cell r="H1020">
            <v>41</v>
          </cell>
          <cell r="I1020">
            <v>24000</v>
          </cell>
        </row>
        <row r="1021">
          <cell r="A1021" t="str">
            <v>직접대출</v>
          </cell>
          <cell r="C1021" t="str">
            <v>은행</v>
          </cell>
          <cell r="E1021" t="str">
            <v>국민은행</v>
          </cell>
          <cell r="H1021">
            <v>47</v>
          </cell>
          <cell r="I1021">
            <v>40000</v>
          </cell>
        </row>
        <row r="1022">
          <cell r="A1022" t="str">
            <v>직접대출</v>
          </cell>
          <cell r="C1022" t="str">
            <v>은행</v>
          </cell>
          <cell r="E1022" t="str">
            <v>국민은행</v>
          </cell>
          <cell r="H1022">
            <v>71</v>
          </cell>
          <cell r="I1022">
            <v>8400</v>
          </cell>
        </row>
        <row r="1023">
          <cell r="A1023" t="str">
            <v>직접대출</v>
          </cell>
          <cell r="C1023" t="str">
            <v>은행</v>
          </cell>
          <cell r="E1023" t="str">
            <v>국민은행</v>
          </cell>
          <cell r="H1023">
            <v>2</v>
          </cell>
          <cell r="I1023">
            <v>69000</v>
          </cell>
        </row>
        <row r="1024">
          <cell r="A1024" t="str">
            <v>직접대출</v>
          </cell>
          <cell r="C1024" t="str">
            <v>은행</v>
          </cell>
          <cell r="E1024" t="str">
            <v>국민은행</v>
          </cell>
          <cell r="H1024">
            <v>23</v>
          </cell>
          <cell r="I1024">
            <v>9172</v>
          </cell>
        </row>
        <row r="1025">
          <cell r="A1025" t="str">
            <v>직접대출</v>
          </cell>
          <cell r="C1025" t="str">
            <v>은행</v>
          </cell>
          <cell r="E1025" t="str">
            <v>국민은행</v>
          </cell>
          <cell r="H1025">
            <v>38</v>
          </cell>
          <cell r="I1025">
            <v>27000</v>
          </cell>
        </row>
        <row r="1026">
          <cell r="A1026" t="str">
            <v>직접대출</v>
          </cell>
          <cell r="C1026" t="str">
            <v>은행</v>
          </cell>
          <cell r="E1026" t="str">
            <v>국민은행</v>
          </cell>
          <cell r="H1026">
            <v>2</v>
          </cell>
          <cell r="I1026">
            <v>11202</v>
          </cell>
        </row>
        <row r="1027">
          <cell r="A1027" t="str">
            <v>직접대출</v>
          </cell>
          <cell r="C1027" t="str">
            <v>은행</v>
          </cell>
          <cell r="E1027" t="str">
            <v>국민은행</v>
          </cell>
          <cell r="H1027">
            <v>40</v>
          </cell>
          <cell r="I1027">
            <v>30000</v>
          </cell>
        </row>
        <row r="1028">
          <cell r="A1028" t="str">
            <v>직접대출</v>
          </cell>
          <cell r="C1028" t="str">
            <v>은행</v>
          </cell>
          <cell r="E1028" t="str">
            <v>국민은행</v>
          </cell>
          <cell r="H1028">
            <v>8</v>
          </cell>
          <cell r="I1028">
            <v>5971.3506299999999</v>
          </cell>
        </row>
        <row r="1029">
          <cell r="A1029" t="str">
            <v>직접대출</v>
          </cell>
          <cell r="C1029" t="str">
            <v>은행</v>
          </cell>
          <cell r="E1029" t="str">
            <v>국민은행</v>
          </cell>
          <cell r="H1029">
            <v>8</v>
          </cell>
          <cell r="I1029">
            <v>1376.9339</v>
          </cell>
        </row>
        <row r="1030">
          <cell r="A1030" t="str">
            <v>직접대출</v>
          </cell>
          <cell r="C1030" t="str">
            <v>은행</v>
          </cell>
          <cell r="E1030" t="str">
            <v>국민은행</v>
          </cell>
          <cell r="H1030">
            <v>175</v>
          </cell>
          <cell r="I1030">
            <v>46150</v>
          </cell>
        </row>
        <row r="1031">
          <cell r="A1031" t="str">
            <v>직접대출</v>
          </cell>
          <cell r="C1031" t="str">
            <v>은행</v>
          </cell>
          <cell r="E1031" t="str">
            <v>국민은행</v>
          </cell>
          <cell r="H1031">
            <v>4</v>
          </cell>
          <cell r="I1031">
            <v>22985.540968000001</v>
          </cell>
        </row>
        <row r="1032">
          <cell r="A1032" t="str">
            <v>직접대출</v>
          </cell>
          <cell r="C1032" t="str">
            <v>은행</v>
          </cell>
          <cell r="E1032" t="str">
            <v>국민은행</v>
          </cell>
          <cell r="H1032">
            <v>7</v>
          </cell>
          <cell r="I1032">
            <v>684.22061099999996</v>
          </cell>
        </row>
        <row r="1033">
          <cell r="A1033" t="str">
            <v>직접대출</v>
          </cell>
          <cell r="C1033" t="str">
            <v>은행</v>
          </cell>
          <cell r="E1033" t="str">
            <v>국민은행</v>
          </cell>
          <cell r="H1033">
            <v>5</v>
          </cell>
          <cell r="I1033">
            <v>35440.969511000003</v>
          </cell>
        </row>
        <row r="1034">
          <cell r="A1034" t="str">
            <v>직접대출</v>
          </cell>
          <cell r="C1034" t="str">
            <v>은행</v>
          </cell>
          <cell r="E1034" t="str">
            <v>국민은행</v>
          </cell>
          <cell r="H1034">
            <v>1000</v>
          </cell>
          <cell r="I1034">
            <v>2542.2869667000004</v>
          </cell>
        </row>
        <row r="1035">
          <cell r="A1035" t="str">
            <v>직접대출</v>
          </cell>
          <cell r="C1035" t="str">
            <v>은행</v>
          </cell>
          <cell r="E1035" t="str">
            <v>국민은행</v>
          </cell>
          <cell r="H1035">
            <v>5</v>
          </cell>
          <cell r="I1035">
            <v>56000</v>
          </cell>
        </row>
        <row r="1036">
          <cell r="A1036" t="str">
            <v>직접대출</v>
          </cell>
          <cell r="C1036" t="str">
            <v>은행</v>
          </cell>
          <cell r="E1036" t="str">
            <v>국민은행</v>
          </cell>
          <cell r="H1036">
            <v>138</v>
          </cell>
          <cell r="I1036">
            <v>50000</v>
          </cell>
        </row>
        <row r="1037">
          <cell r="A1037" t="str">
            <v>직접대출</v>
          </cell>
          <cell r="C1037" t="str">
            <v>은행</v>
          </cell>
          <cell r="E1037" t="str">
            <v>국민은행</v>
          </cell>
          <cell r="H1037">
            <v>138</v>
          </cell>
          <cell r="I1037">
            <v>35000</v>
          </cell>
        </row>
        <row r="1038">
          <cell r="A1038" t="str">
            <v>직접대출</v>
          </cell>
          <cell r="C1038" t="str">
            <v>은행</v>
          </cell>
          <cell r="E1038" t="str">
            <v>국민은행</v>
          </cell>
          <cell r="H1038">
            <v>1000</v>
          </cell>
          <cell r="I1038">
            <v>6500</v>
          </cell>
        </row>
        <row r="1039">
          <cell r="A1039" t="str">
            <v>직접대출</v>
          </cell>
          <cell r="C1039" t="str">
            <v>은행</v>
          </cell>
          <cell r="E1039" t="str">
            <v>국민은행</v>
          </cell>
          <cell r="H1039">
            <v>1000</v>
          </cell>
          <cell r="I1039">
            <v>6500</v>
          </cell>
        </row>
        <row r="1040">
          <cell r="A1040" t="str">
            <v>직접대출</v>
          </cell>
          <cell r="C1040" t="str">
            <v>은행</v>
          </cell>
          <cell r="E1040" t="str">
            <v>국민은행</v>
          </cell>
          <cell r="H1040">
            <v>68</v>
          </cell>
          <cell r="I1040">
            <v>3000</v>
          </cell>
        </row>
        <row r="1041">
          <cell r="A1041" t="str">
            <v>직접대출</v>
          </cell>
          <cell r="C1041" t="str">
            <v>은행</v>
          </cell>
          <cell r="E1041" t="str">
            <v>국민은행</v>
          </cell>
          <cell r="H1041">
            <v>40</v>
          </cell>
          <cell r="I1041">
            <v>4715.6000000000004</v>
          </cell>
        </row>
        <row r="1042">
          <cell r="A1042" t="str">
            <v>직접대출</v>
          </cell>
          <cell r="C1042" t="str">
            <v>은행</v>
          </cell>
          <cell r="E1042" t="str">
            <v>국민은행</v>
          </cell>
          <cell r="H1042">
            <v>3</v>
          </cell>
          <cell r="I1042">
            <v>0</v>
          </cell>
        </row>
        <row r="1043">
          <cell r="A1043" t="str">
            <v>직접대출</v>
          </cell>
          <cell r="C1043" t="str">
            <v>은행</v>
          </cell>
          <cell r="E1043" t="str">
            <v>국민은행</v>
          </cell>
          <cell r="H1043">
            <v>6</v>
          </cell>
          <cell r="I1043">
            <v>0</v>
          </cell>
        </row>
        <row r="1044">
          <cell r="A1044" t="str">
            <v>직접대출</v>
          </cell>
          <cell r="C1044" t="str">
            <v>은행</v>
          </cell>
          <cell r="E1044" t="str">
            <v>국민은행</v>
          </cell>
          <cell r="H1044">
            <v>3</v>
          </cell>
          <cell r="I1044">
            <v>0</v>
          </cell>
        </row>
        <row r="1045">
          <cell r="A1045" t="str">
            <v>직접대출</v>
          </cell>
          <cell r="C1045" t="str">
            <v>은행</v>
          </cell>
          <cell r="E1045" t="str">
            <v>국민은행</v>
          </cell>
          <cell r="H1045">
            <v>6</v>
          </cell>
          <cell r="I1045">
            <v>0</v>
          </cell>
        </row>
        <row r="1046">
          <cell r="A1046" t="str">
            <v>직접대출</v>
          </cell>
          <cell r="C1046" t="str">
            <v>은행</v>
          </cell>
          <cell r="E1046" t="str">
            <v>국민은행</v>
          </cell>
          <cell r="H1046">
            <v>3</v>
          </cell>
          <cell r="I1046">
            <v>0</v>
          </cell>
        </row>
        <row r="1047">
          <cell r="A1047" t="str">
            <v>직접대출</v>
          </cell>
          <cell r="C1047" t="str">
            <v>은행</v>
          </cell>
          <cell r="E1047" t="str">
            <v>국민은행</v>
          </cell>
          <cell r="H1047">
            <v>6</v>
          </cell>
          <cell r="I1047">
            <v>0</v>
          </cell>
        </row>
        <row r="1048">
          <cell r="A1048" t="str">
            <v>직접대출</v>
          </cell>
          <cell r="C1048" t="str">
            <v>은행</v>
          </cell>
          <cell r="E1048" t="str">
            <v>국민은행</v>
          </cell>
          <cell r="H1048">
            <v>3</v>
          </cell>
          <cell r="I1048">
            <v>0</v>
          </cell>
        </row>
        <row r="1049">
          <cell r="A1049" t="str">
            <v>직접대출</v>
          </cell>
          <cell r="C1049" t="str">
            <v>은행</v>
          </cell>
          <cell r="E1049" t="str">
            <v>국민은행</v>
          </cell>
          <cell r="H1049">
            <v>6</v>
          </cell>
          <cell r="I1049">
            <v>0</v>
          </cell>
        </row>
        <row r="1050">
          <cell r="A1050" t="str">
            <v>직접대출</v>
          </cell>
          <cell r="C1050" t="str">
            <v>은행</v>
          </cell>
          <cell r="E1050" t="str">
            <v>국민은행</v>
          </cell>
          <cell r="H1050">
            <v>3</v>
          </cell>
          <cell r="I1050">
            <v>0</v>
          </cell>
        </row>
        <row r="1051">
          <cell r="A1051" t="str">
            <v>직접대출</v>
          </cell>
          <cell r="C1051" t="str">
            <v>은행</v>
          </cell>
          <cell r="E1051" t="str">
            <v>국민은행</v>
          </cell>
          <cell r="H1051">
            <v>6</v>
          </cell>
          <cell r="I1051">
            <v>0</v>
          </cell>
        </row>
        <row r="1052">
          <cell r="A1052" t="str">
            <v>직접대출</v>
          </cell>
          <cell r="C1052" t="str">
            <v>은행</v>
          </cell>
          <cell r="E1052" t="str">
            <v>국민은행</v>
          </cell>
          <cell r="H1052">
            <v>3</v>
          </cell>
          <cell r="I1052">
            <v>0</v>
          </cell>
        </row>
        <row r="1053">
          <cell r="A1053" t="str">
            <v>직접대출</v>
          </cell>
          <cell r="C1053" t="str">
            <v>은행</v>
          </cell>
          <cell r="E1053" t="str">
            <v>국민은행</v>
          </cell>
          <cell r="H1053">
            <v>9</v>
          </cell>
          <cell r="I1053">
            <v>0</v>
          </cell>
        </row>
        <row r="1054">
          <cell r="A1054" t="str">
            <v>직접대출</v>
          </cell>
          <cell r="C1054" t="str">
            <v>은행</v>
          </cell>
          <cell r="E1054" t="str">
            <v>국민은행</v>
          </cell>
          <cell r="H1054">
            <v>34</v>
          </cell>
          <cell r="I1054">
            <v>0</v>
          </cell>
        </row>
        <row r="1055">
          <cell r="A1055" t="str">
            <v>직접대출</v>
          </cell>
          <cell r="C1055" t="str">
            <v>은행</v>
          </cell>
          <cell r="E1055" t="str">
            <v>국민은행</v>
          </cell>
          <cell r="H1055">
            <v>3</v>
          </cell>
          <cell r="I1055">
            <v>0</v>
          </cell>
        </row>
        <row r="1056">
          <cell r="A1056" t="str">
            <v>직접대출</v>
          </cell>
          <cell r="C1056" t="str">
            <v>은행</v>
          </cell>
          <cell r="E1056" t="str">
            <v>국민은행</v>
          </cell>
          <cell r="H1056">
            <v>9</v>
          </cell>
          <cell r="I1056">
            <v>0</v>
          </cell>
        </row>
        <row r="1057">
          <cell r="A1057" t="str">
            <v>직접대출</v>
          </cell>
          <cell r="C1057" t="str">
            <v>은행</v>
          </cell>
          <cell r="E1057" t="str">
            <v>국민은행</v>
          </cell>
          <cell r="H1057">
            <v>34</v>
          </cell>
          <cell r="I1057">
            <v>0</v>
          </cell>
        </row>
        <row r="1058">
          <cell r="A1058" t="str">
            <v>직접대출</v>
          </cell>
          <cell r="C1058" t="str">
            <v>은행</v>
          </cell>
          <cell r="E1058" t="str">
            <v>국민은행</v>
          </cell>
          <cell r="H1058">
            <v>3</v>
          </cell>
          <cell r="I1058">
            <v>0</v>
          </cell>
        </row>
        <row r="1059">
          <cell r="A1059" t="str">
            <v>직접대출</v>
          </cell>
          <cell r="C1059" t="str">
            <v>은행</v>
          </cell>
          <cell r="E1059" t="str">
            <v>국민은행</v>
          </cell>
          <cell r="H1059">
            <v>9</v>
          </cell>
          <cell r="I1059">
            <v>0</v>
          </cell>
        </row>
        <row r="1060">
          <cell r="A1060" t="str">
            <v>직접대출</v>
          </cell>
          <cell r="C1060" t="str">
            <v>은행</v>
          </cell>
          <cell r="E1060" t="str">
            <v>국민은행</v>
          </cell>
          <cell r="H1060">
            <v>34</v>
          </cell>
          <cell r="I1060">
            <v>0</v>
          </cell>
        </row>
        <row r="1061">
          <cell r="A1061" t="str">
            <v>직접대출</v>
          </cell>
          <cell r="C1061" t="str">
            <v>은행</v>
          </cell>
          <cell r="E1061" t="str">
            <v>국민은행</v>
          </cell>
          <cell r="H1061">
            <v>3</v>
          </cell>
          <cell r="I1061">
            <v>0</v>
          </cell>
        </row>
        <row r="1062">
          <cell r="A1062" t="str">
            <v>직접대출</v>
          </cell>
          <cell r="C1062" t="str">
            <v>은행</v>
          </cell>
          <cell r="E1062" t="str">
            <v>국민은행</v>
          </cell>
          <cell r="H1062">
            <v>6</v>
          </cell>
          <cell r="I1062">
            <v>0</v>
          </cell>
        </row>
        <row r="1063">
          <cell r="A1063" t="str">
            <v>직접대출</v>
          </cell>
          <cell r="C1063" t="str">
            <v>은행</v>
          </cell>
          <cell r="E1063" t="str">
            <v>국민은행</v>
          </cell>
          <cell r="H1063">
            <v>3</v>
          </cell>
          <cell r="I1063">
            <v>0</v>
          </cell>
        </row>
        <row r="1064">
          <cell r="A1064" t="str">
            <v>직접대출</v>
          </cell>
          <cell r="C1064" t="str">
            <v>은행</v>
          </cell>
          <cell r="E1064" t="str">
            <v>국민은행</v>
          </cell>
          <cell r="H1064">
            <v>6</v>
          </cell>
          <cell r="I1064">
            <v>0</v>
          </cell>
        </row>
        <row r="1065">
          <cell r="A1065" t="str">
            <v>직접대출</v>
          </cell>
          <cell r="C1065" t="str">
            <v>은행</v>
          </cell>
          <cell r="E1065" t="str">
            <v>국민은행</v>
          </cell>
          <cell r="H1065">
            <v>3</v>
          </cell>
          <cell r="I1065">
            <v>0</v>
          </cell>
        </row>
        <row r="1066">
          <cell r="A1066" t="str">
            <v>직접대출</v>
          </cell>
          <cell r="C1066" t="str">
            <v>은행</v>
          </cell>
          <cell r="E1066" t="str">
            <v>국민은행</v>
          </cell>
          <cell r="H1066">
            <v>6</v>
          </cell>
          <cell r="I1066">
            <v>0</v>
          </cell>
        </row>
        <row r="1067">
          <cell r="A1067" t="str">
            <v>직접대출</v>
          </cell>
          <cell r="C1067" t="str">
            <v>은행</v>
          </cell>
          <cell r="E1067" t="str">
            <v>국민은행</v>
          </cell>
          <cell r="H1067">
            <v>3</v>
          </cell>
          <cell r="I1067">
            <v>0</v>
          </cell>
        </row>
        <row r="1068">
          <cell r="A1068" t="str">
            <v>직접대출</v>
          </cell>
          <cell r="C1068" t="str">
            <v>은행</v>
          </cell>
          <cell r="E1068" t="str">
            <v>국민은행</v>
          </cell>
          <cell r="H1068">
            <v>6</v>
          </cell>
          <cell r="I1068">
            <v>0</v>
          </cell>
        </row>
        <row r="1069">
          <cell r="A1069" t="str">
            <v>직접대출</v>
          </cell>
          <cell r="C1069" t="str">
            <v>은행</v>
          </cell>
          <cell r="E1069" t="str">
            <v>국민은행</v>
          </cell>
          <cell r="H1069">
            <v>3</v>
          </cell>
          <cell r="I1069">
            <v>0</v>
          </cell>
        </row>
        <row r="1070">
          <cell r="A1070" t="str">
            <v>직접대출</v>
          </cell>
          <cell r="C1070" t="str">
            <v>은행</v>
          </cell>
          <cell r="E1070" t="str">
            <v>국민은행</v>
          </cell>
          <cell r="H1070">
            <v>6</v>
          </cell>
          <cell r="I1070">
            <v>0</v>
          </cell>
        </row>
        <row r="1071">
          <cell r="A1071" t="str">
            <v>직접대출</v>
          </cell>
          <cell r="C1071" t="str">
            <v>은행</v>
          </cell>
          <cell r="E1071" t="str">
            <v>국민은행</v>
          </cell>
          <cell r="H1071">
            <v>33</v>
          </cell>
          <cell r="I1071">
            <v>1366</v>
          </cell>
        </row>
        <row r="1072">
          <cell r="A1072" t="str">
            <v>직접대출</v>
          </cell>
          <cell r="C1072" t="str">
            <v>은행</v>
          </cell>
          <cell r="E1072" t="str">
            <v>국민은행</v>
          </cell>
          <cell r="H1072">
            <v>33</v>
          </cell>
          <cell r="I1072">
            <v>520</v>
          </cell>
        </row>
        <row r="1073">
          <cell r="A1073" t="str">
            <v>직접대출</v>
          </cell>
          <cell r="C1073" t="str">
            <v>은행</v>
          </cell>
          <cell r="E1073" t="str">
            <v>국민은행</v>
          </cell>
          <cell r="H1073">
            <v>3</v>
          </cell>
          <cell r="I1073">
            <v>0</v>
          </cell>
        </row>
        <row r="1074">
          <cell r="A1074" t="str">
            <v>직접대출</v>
          </cell>
          <cell r="C1074" t="str">
            <v>은행</v>
          </cell>
          <cell r="E1074" t="str">
            <v>국민은행</v>
          </cell>
          <cell r="H1074">
            <v>9</v>
          </cell>
          <cell r="I1074">
            <v>0</v>
          </cell>
        </row>
        <row r="1075">
          <cell r="A1075" t="str">
            <v>직접대출</v>
          </cell>
          <cell r="C1075" t="str">
            <v>은행</v>
          </cell>
          <cell r="E1075" t="str">
            <v>국민은행</v>
          </cell>
          <cell r="H1075">
            <v>34</v>
          </cell>
          <cell r="I1075">
            <v>0</v>
          </cell>
        </row>
        <row r="1076">
          <cell r="A1076" t="str">
            <v>직접대출</v>
          </cell>
          <cell r="C1076" t="str">
            <v>은행</v>
          </cell>
          <cell r="E1076" t="str">
            <v>국민은행</v>
          </cell>
          <cell r="H1076">
            <v>3</v>
          </cell>
          <cell r="I1076">
            <v>0</v>
          </cell>
        </row>
        <row r="1077">
          <cell r="A1077" t="str">
            <v>직접대출</v>
          </cell>
          <cell r="C1077" t="str">
            <v>은행</v>
          </cell>
          <cell r="E1077" t="str">
            <v>국민은행</v>
          </cell>
          <cell r="H1077">
            <v>6</v>
          </cell>
          <cell r="I1077">
            <v>0</v>
          </cell>
        </row>
        <row r="1078">
          <cell r="A1078" t="str">
            <v>직접대출</v>
          </cell>
          <cell r="C1078" t="str">
            <v>은행</v>
          </cell>
          <cell r="E1078" t="str">
            <v>국민은행</v>
          </cell>
          <cell r="H1078">
            <v>3</v>
          </cell>
          <cell r="I1078">
            <v>0</v>
          </cell>
        </row>
        <row r="1079">
          <cell r="A1079" t="str">
            <v>직접대출</v>
          </cell>
          <cell r="C1079" t="str">
            <v>은행</v>
          </cell>
          <cell r="E1079" t="str">
            <v>국민은행</v>
          </cell>
          <cell r="H1079">
            <v>6</v>
          </cell>
          <cell r="I1079">
            <v>0</v>
          </cell>
        </row>
        <row r="1080">
          <cell r="A1080" t="str">
            <v>직접대출</v>
          </cell>
          <cell r="C1080" t="str">
            <v>은행</v>
          </cell>
          <cell r="E1080" t="str">
            <v>국민은행</v>
          </cell>
          <cell r="H1080">
            <v>3</v>
          </cell>
          <cell r="I1080">
            <v>0</v>
          </cell>
        </row>
        <row r="1081">
          <cell r="A1081" t="str">
            <v>직접대출</v>
          </cell>
          <cell r="C1081" t="str">
            <v>은행</v>
          </cell>
          <cell r="E1081" t="str">
            <v>국민은행</v>
          </cell>
          <cell r="H1081">
            <v>9</v>
          </cell>
          <cell r="I1081">
            <v>0</v>
          </cell>
        </row>
        <row r="1082">
          <cell r="A1082" t="str">
            <v>직접대출</v>
          </cell>
          <cell r="C1082" t="str">
            <v>은행</v>
          </cell>
          <cell r="E1082" t="str">
            <v>국민은행</v>
          </cell>
          <cell r="H1082">
            <v>34</v>
          </cell>
          <cell r="I1082">
            <v>0</v>
          </cell>
        </row>
        <row r="1083">
          <cell r="A1083" t="str">
            <v>직접대출</v>
          </cell>
          <cell r="C1083" t="str">
            <v>은행</v>
          </cell>
          <cell r="E1083" t="str">
            <v>국민은행</v>
          </cell>
          <cell r="H1083">
            <v>3</v>
          </cell>
          <cell r="I1083">
            <v>0</v>
          </cell>
        </row>
        <row r="1084">
          <cell r="A1084" t="str">
            <v>직접대출</v>
          </cell>
          <cell r="C1084" t="str">
            <v>은행</v>
          </cell>
          <cell r="E1084" t="str">
            <v>국민은행</v>
          </cell>
          <cell r="H1084">
            <v>9</v>
          </cell>
          <cell r="I1084">
            <v>0</v>
          </cell>
        </row>
        <row r="1085">
          <cell r="A1085" t="str">
            <v>직접대출</v>
          </cell>
          <cell r="C1085" t="str">
            <v>은행</v>
          </cell>
          <cell r="E1085" t="str">
            <v>국민은행</v>
          </cell>
          <cell r="H1085">
            <v>34</v>
          </cell>
          <cell r="I1085">
            <v>0</v>
          </cell>
        </row>
        <row r="1086">
          <cell r="A1086" t="str">
            <v>직접대출</v>
          </cell>
          <cell r="C1086" t="str">
            <v>은행</v>
          </cell>
          <cell r="E1086" t="str">
            <v>국민은행</v>
          </cell>
          <cell r="H1086">
            <v>3</v>
          </cell>
          <cell r="I1086">
            <v>0</v>
          </cell>
        </row>
        <row r="1087">
          <cell r="A1087" t="str">
            <v>직접대출</v>
          </cell>
          <cell r="C1087" t="str">
            <v>은행</v>
          </cell>
          <cell r="E1087" t="str">
            <v>국민은행</v>
          </cell>
          <cell r="H1087">
            <v>9</v>
          </cell>
          <cell r="I1087">
            <v>0</v>
          </cell>
        </row>
        <row r="1088">
          <cell r="A1088" t="str">
            <v>직접대출</v>
          </cell>
          <cell r="C1088" t="str">
            <v>은행</v>
          </cell>
          <cell r="E1088" t="str">
            <v>국민은행</v>
          </cell>
          <cell r="H1088">
            <v>34</v>
          </cell>
          <cell r="I1088">
            <v>0</v>
          </cell>
        </row>
        <row r="1089">
          <cell r="A1089" t="str">
            <v>직접대출</v>
          </cell>
          <cell r="C1089" t="str">
            <v>은행</v>
          </cell>
          <cell r="E1089" t="str">
            <v>국민은행</v>
          </cell>
          <cell r="H1089">
            <v>3</v>
          </cell>
          <cell r="I1089">
            <v>0</v>
          </cell>
        </row>
        <row r="1090">
          <cell r="A1090" t="str">
            <v>직접대출</v>
          </cell>
          <cell r="C1090" t="str">
            <v>은행</v>
          </cell>
          <cell r="E1090" t="str">
            <v>국민은행</v>
          </cell>
          <cell r="H1090">
            <v>9</v>
          </cell>
          <cell r="I1090">
            <v>0</v>
          </cell>
        </row>
        <row r="1091">
          <cell r="A1091" t="str">
            <v>직접대출</v>
          </cell>
          <cell r="C1091" t="str">
            <v>은행</v>
          </cell>
          <cell r="E1091" t="str">
            <v>국민은행</v>
          </cell>
          <cell r="H1091">
            <v>34</v>
          </cell>
          <cell r="I1091">
            <v>0</v>
          </cell>
        </row>
        <row r="1092">
          <cell r="A1092" t="str">
            <v>직접대출</v>
          </cell>
          <cell r="C1092" t="str">
            <v>은행</v>
          </cell>
          <cell r="E1092" t="str">
            <v>국민은행</v>
          </cell>
          <cell r="H1092">
            <v>3</v>
          </cell>
          <cell r="I1092">
            <v>0</v>
          </cell>
        </row>
        <row r="1093">
          <cell r="A1093" t="str">
            <v>직접대출</v>
          </cell>
          <cell r="C1093" t="str">
            <v>은행</v>
          </cell>
          <cell r="E1093" t="str">
            <v>국민은행</v>
          </cell>
          <cell r="H1093">
            <v>6</v>
          </cell>
          <cell r="I1093">
            <v>0</v>
          </cell>
        </row>
        <row r="1094">
          <cell r="A1094" t="str">
            <v>직접대출</v>
          </cell>
          <cell r="C1094" t="str">
            <v>은행</v>
          </cell>
          <cell r="E1094" t="str">
            <v>국민은행</v>
          </cell>
          <cell r="H1094">
            <v>3</v>
          </cell>
          <cell r="I1094">
            <v>0</v>
          </cell>
        </row>
        <row r="1095">
          <cell r="A1095" t="str">
            <v>직접대출</v>
          </cell>
          <cell r="C1095" t="str">
            <v>은행</v>
          </cell>
          <cell r="E1095" t="str">
            <v>국민은행</v>
          </cell>
          <cell r="H1095">
            <v>6</v>
          </cell>
          <cell r="I1095">
            <v>0</v>
          </cell>
        </row>
        <row r="1096">
          <cell r="A1096" t="str">
            <v>직접대출</v>
          </cell>
          <cell r="C1096" t="str">
            <v>은행</v>
          </cell>
          <cell r="E1096" t="str">
            <v>국민은행</v>
          </cell>
          <cell r="H1096">
            <v>3</v>
          </cell>
          <cell r="I1096">
            <v>0</v>
          </cell>
        </row>
        <row r="1097">
          <cell r="A1097" t="str">
            <v>직접대출</v>
          </cell>
          <cell r="C1097" t="str">
            <v>은행</v>
          </cell>
          <cell r="E1097" t="str">
            <v>국민은행</v>
          </cell>
          <cell r="H1097">
            <v>6</v>
          </cell>
          <cell r="I1097">
            <v>0</v>
          </cell>
        </row>
        <row r="1098">
          <cell r="A1098" t="str">
            <v>직접대출</v>
          </cell>
          <cell r="C1098" t="str">
            <v>은행</v>
          </cell>
          <cell r="E1098" t="str">
            <v>국민은행</v>
          </cell>
          <cell r="H1098">
            <v>3</v>
          </cell>
          <cell r="I1098">
            <v>0</v>
          </cell>
        </row>
        <row r="1099">
          <cell r="A1099" t="str">
            <v>직접대출</v>
          </cell>
          <cell r="C1099" t="str">
            <v>은행</v>
          </cell>
          <cell r="E1099" t="str">
            <v>국민은행</v>
          </cell>
          <cell r="H1099">
            <v>3</v>
          </cell>
          <cell r="I1099">
            <v>0</v>
          </cell>
        </row>
        <row r="1100">
          <cell r="A1100" t="str">
            <v>직접대출</v>
          </cell>
          <cell r="C1100" t="str">
            <v>은행</v>
          </cell>
          <cell r="E1100" t="str">
            <v>국민은행</v>
          </cell>
          <cell r="H1100">
            <v>9</v>
          </cell>
          <cell r="I1100">
            <v>0</v>
          </cell>
        </row>
        <row r="1101">
          <cell r="A1101" t="str">
            <v>직접대출</v>
          </cell>
          <cell r="C1101" t="str">
            <v>은행</v>
          </cell>
          <cell r="E1101" t="str">
            <v>국민은행</v>
          </cell>
          <cell r="H1101">
            <v>34</v>
          </cell>
          <cell r="I1101">
            <v>0</v>
          </cell>
        </row>
        <row r="1102">
          <cell r="A1102" t="str">
            <v>직접대출</v>
          </cell>
          <cell r="C1102" t="str">
            <v>은행</v>
          </cell>
          <cell r="E1102" t="str">
            <v>국민은행</v>
          </cell>
          <cell r="H1102">
            <v>3</v>
          </cell>
          <cell r="I1102">
            <v>0</v>
          </cell>
        </row>
        <row r="1103">
          <cell r="A1103" t="str">
            <v>직접대출</v>
          </cell>
          <cell r="C1103" t="str">
            <v>은행</v>
          </cell>
          <cell r="E1103" t="str">
            <v>국민은행</v>
          </cell>
          <cell r="H1103">
            <v>9</v>
          </cell>
          <cell r="I1103">
            <v>0</v>
          </cell>
        </row>
        <row r="1104">
          <cell r="A1104" t="str">
            <v>직접대출</v>
          </cell>
          <cell r="C1104" t="str">
            <v>은행</v>
          </cell>
          <cell r="E1104" t="str">
            <v>국민은행</v>
          </cell>
          <cell r="H1104">
            <v>34</v>
          </cell>
          <cell r="I1104">
            <v>0</v>
          </cell>
        </row>
        <row r="1105">
          <cell r="A1105" t="str">
            <v>직접대출</v>
          </cell>
          <cell r="C1105" t="str">
            <v>은행</v>
          </cell>
          <cell r="E1105" t="str">
            <v>국민은행</v>
          </cell>
          <cell r="H1105">
            <v>33</v>
          </cell>
          <cell r="I1105">
            <v>400</v>
          </cell>
        </row>
        <row r="1106">
          <cell r="A1106" t="str">
            <v>직접대출</v>
          </cell>
          <cell r="C1106" t="str">
            <v>은행</v>
          </cell>
          <cell r="E1106" t="str">
            <v>국민은행</v>
          </cell>
          <cell r="H1106">
            <v>3</v>
          </cell>
          <cell r="I1106">
            <v>0</v>
          </cell>
        </row>
        <row r="1107">
          <cell r="A1107" t="str">
            <v>직접대출</v>
          </cell>
          <cell r="C1107" t="str">
            <v>은행</v>
          </cell>
          <cell r="E1107" t="str">
            <v>국민은행</v>
          </cell>
          <cell r="H1107">
            <v>9</v>
          </cell>
          <cell r="I1107">
            <v>0</v>
          </cell>
        </row>
        <row r="1108">
          <cell r="A1108" t="str">
            <v>직접대출</v>
          </cell>
          <cell r="C1108" t="str">
            <v>은행</v>
          </cell>
          <cell r="E1108" t="str">
            <v>국민은행</v>
          </cell>
          <cell r="H1108">
            <v>34</v>
          </cell>
          <cell r="I1108">
            <v>0</v>
          </cell>
        </row>
        <row r="1109">
          <cell r="A1109" t="str">
            <v>직접대출</v>
          </cell>
          <cell r="C1109" t="str">
            <v>은행</v>
          </cell>
          <cell r="E1109" t="str">
            <v>국민은행</v>
          </cell>
          <cell r="H1109">
            <v>122</v>
          </cell>
          <cell r="I1109">
            <v>1243</v>
          </cell>
        </row>
        <row r="1110">
          <cell r="A1110" t="str">
            <v>직접대출</v>
          </cell>
          <cell r="C1110" t="str">
            <v>은행</v>
          </cell>
          <cell r="E1110" t="str">
            <v>국민은행</v>
          </cell>
          <cell r="H1110">
            <v>34</v>
          </cell>
          <cell r="I1110">
            <v>10000</v>
          </cell>
        </row>
        <row r="1111">
          <cell r="A1111" t="str">
            <v>직접대출</v>
          </cell>
          <cell r="C1111" t="str">
            <v>은행</v>
          </cell>
          <cell r="E1111" t="str">
            <v>국민은행</v>
          </cell>
          <cell r="H1111">
            <v>6</v>
          </cell>
          <cell r="I1111">
            <v>9270</v>
          </cell>
        </row>
        <row r="1112">
          <cell r="A1112" t="str">
            <v>직접대출</v>
          </cell>
          <cell r="C1112" t="str">
            <v>은행</v>
          </cell>
          <cell r="E1112" t="str">
            <v>국민은행</v>
          </cell>
          <cell r="H1112">
            <v>16</v>
          </cell>
          <cell r="I1112">
            <v>16000</v>
          </cell>
        </row>
        <row r="1113">
          <cell r="A1113" t="str">
            <v>직접대출</v>
          </cell>
          <cell r="C1113" t="str">
            <v>은행</v>
          </cell>
          <cell r="E1113" t="str">
            <v>국민은행</v>
          </cell>
          <cell r="H1113">
            <v>8</v>
          </cell>
          <cell r="I1113">
            <v>18089.184464999998</v>
          </cell>
        </row>
        <row r="1114">
          <cell r="A1114" t="str">
            <v>직접대출</v>
          </cell>
          <cell r="C1114" t="str">
            <v>은행</v>
          </cell>
          <cell r="E1114" t="str">
            <v>국민은행</v>
          </cell>
          <cell r="H1114">
            <v>4</v>
          </cell>
          <cell r="I1114">
            <v>2224.3830699999999</v>
          </cell>
        </row>
        <row r="1115">
          <cell r="A1115" t="str">
            <v>직접대출</v>
          </cell>
          <cell r="C1115" t="str">
            <v>은행</v>
          </cell>
          <cell r="E1115" t="str">
            <v>국민은행</v>
          </cell>
          <cell r="H1115">
            <v>3</v>
          </cell>
          <cell r="I1115">
            <v>69180</v>
          </cell>
        </row>
        <row r="1116">
          <cell r="A1116" t="str">
            <v>직접대출</v>
          </cell>
          <cell r="C1116" t="str">
            <v>은행</v>
          </cell>
          <cell r="E1116" t="str">
            <v>국민은행</v>
          </cell>
          <cell r="H1116">
            <v>4</v>
          </cell>
          <cell r="I1116">
            <v>59200</v>
          </cell>
        </row>
        <row r="1117">
          <cell r="A1117" t="str">
            <v>직접대출</v>
          </cell>
          <cell r="C1117" t="str">
            <v>은행</v>
          </cell>
          <cell r="E1117" t="str">
            <v>국민은행</v>
          </cell>
          <cell r="H1117">
            <v>1000</v>
          </cell>
          <cell r="I1117">
            <v>0</v>
          </cell>
        </row>
        <row r="1118">
          <cell r="A1118" t="str">
            <v>직접대출</v>
          </cell>
          <cell r="C1118" t="str">
            <v>은행</v>
          </cell>
          <cell r="E1118" t="str">
            <v>국민은행</v>
          </cell>
          <cell r="H1118">
            <v>10</v>
          </cell>
          <cell r="I1118">
            <v>20000</v>
          </cell>
        </row>
        <row r="1119">
          <cell r="A1119" t="str">
            <v>직접대출</v>
          </cell>
          <cell r="C1119" t="str">
            <v>은행</v>
          </cell>
          <cell r="E1119" t="str">
            <v>국민은행</v>
          </cell>
          <cell r="H1119">
            <v>1</v>
          </cell>
          <cell r="I1119">
            <v>25000</v>
          </cell>
        </row>
        <row r="1120">
          <cell r="A1120" t="str">
            <v>직접대출</v>
          </cell>
          <cell r="C1120" t="str">
            <v>은행</v>
          </cell>
          <cell r="E1120" t="str">
            <v>국민은행</v>
          </cell>
          <cell r="H1120">
            <v>58</v>
          </cell>
          <cell r="I1120">
            <v>3770</v>
          </cell>
        </row>
        <row r="1121">
          <cell r="A1121" t="str">
            <v>직접대출</v>
          </cell>
          <cell r="C1121" t="str">
            <v>은행</v>
          </cell>
          <cell r="E1121" t="str">
            <v>국민은행</v>
          </cell>
          <cell r="H1121">
            <v>28</v>
          </cell>
          <cell r="I1121">
            <v>30000</v>
          </cell>
        </row>
        <row r="1122">
          <cell r="A1122" t="str">
            <v>직접대출</v>
          </cell>
          <cell r="C1122" t="str">
            <v>은행</v>
          </cell>
          <cell r="E1122" t="str">
            <v>국민은행</v>
          </cell>
          <cell r="H1122">
            <v>4</v>
          </cell>
          <cell r="I1122">
            <v>32148</v>
          </cell>
        </row>
        <row r="1123">
          <cell r="A1123" t="str">
            <v>직접대출</v>
          </cell>
          <cell r="C1123" t="str">
            <v>은행</v>
          </cell>
          <cell r="E1123" t="str">
            <v>국민은행</v>
          </cell>
          <cell r="H1123">
            <v>152</v>
          </cell>
          <cell r="I1123">
            <v>8000</v>
          </cell>
        </row>
        <row r="1124">
          <cell r="A1124" t="str">
            <v>직접대출</v>
          </cell>
          <cell r="C1124" t="str">
            <v>은행</v>
          </cell>
          <cell r="E1124" t="str">
            <v>국민은행</v>
          </cell>
          <cell r="H1124">
            <v>1</v>
          </cell>
          <cell r="I1124">
            <v>82500</v>
          </cell>
        </row>
        <row r="1125">
          <cell r="A1125" t="str">
            <v>직접대출</v>
          </cell>
          <cell r="C1125" t="str">
            <v>은행</v>
          </cell>
          <cell r="E1125" t="str">
            <v>국민은행</v>
          </cell>
          <cell r="H1125">
            <v>45</v>
          </cell>
          <cell r="I1125">
            <v>31000</v>
          </cell>
        </row>
        <row r="1126">
          <cell r="A1126" t="str">
            <v>직접대출</v>
          </cell>
          <cell r="C1126" t="str">
            <v>은행</v>
          </cell>
          <cell r="E1126" t="str">
            <v>국민은행</v>
          </cell>
          <cell r="H1126">
            <v>1</v>
          </cell>
          <cell r="I1126">
            <v>5489.7</v>
          </cell>
        </row>
        <row r="1127">
          <cell r="A1127" t="str">
            <v>직접대출</v>
          </cell>
          <cell r="C1127" t="str">
            <v>은행</v>
          </cell>
          <cell r="E1127" t="str">
            <v>국민은행</v>
          </cell>
          <cell r="H1127">
            <v>19</v>
          </cell>
          <cell r="I1127">
            <v>71500</v>
          </cell>
        </row>
        <row r="1128">
          <cell r="A1128" t="str">
            <v>직접대출</v>
          </cell>
          <cell r="C1128" t="str">
            <v>은행</v>
          </cell>
          <cell r="E1128" t="str">
            <v>국민은행</v>
          </cell>
          <cell r="H1128">
            <v>19</v>
          </cell>
          <cell r="I1128">
            <v>10000</v>
          </cell>
        </row>
        <row r="1129">
          <cell r="A1129" t="str">
            <v>직접대출</v>
          </cell>
          <cell r="C1129" t="str">
            <v>은행</v>
          </cell>
          <cell r="E1129" t="str">
            <v>국민은행</v>
          </cell>
          <cell r="H1129">
            <v>1000</v>
          </cell>
          <cell r="I1129">
            <v>0</v>
          </cell>
        </row>
        <row r="1130">
          <cell r="A1130" t="str">
            <v>직접대출</v>
          </cell>
          <cell r="C1130" t="str">
            <v>은행</v>
          </cell>
          <cell r="E1130" t="str">
            <v>국민은행</v>
          </cell>
          <cell r="H1130">
            <v>1000</v>
          </cell>
          <cell r="I1130">
            <v>8000</v>
          </cell>
        </row>
        <row r="1131">
          <cell r="A1131" t="str">
            <v>직접대출</v>
          </cell>
          <cell r="C1131" t="str">
            <v>은행</v>
          </cell>
          <cell r="E1131" t="str">
            <v>국민은행</v>
          </cell>
          <cell r="H1131">
            <v>35</v>
          </cell>
          <cell r="I1131">
            <v>20000</v>
          </cell>
        </row>
        <row r="1132">
          <cell r="A1132" t="str">
            <v>직접대출</v>
          </cell>
          <cell r="C1132" t="str">
            <v>은행</v>
          </cell>
          <cell r="E1132" t="str">
            <v>국민은행</v>
          </cell>
          <cell r="H1132">
            <v>322</v>
          </cell>
          <cell r="I1132">
            <v>1008.90047</v>
          </cell>
        </row>
        <row r="1133">
          <cell r="A1133" t="str">
            <v>직접대출</v>
          </cell>
          <cell r="C1133" t="str">
            <v>은행</v>
          </cell>
          <cell r="E1133" t="str">
            <v>국민은행</v>
          </cell>
          <cell r="H1133">
            <v>5</v>
          </cell>
          <cell r="I1133">
            <v>2349.7235500000002</v>
          </cell>
        </row>
        <row r="1134">
          <cell r="A1134" t="str">
            <v>직접대출</v>
          </cell>
          <cell r="C1134" t="str">
            <v>은행</v>
          </cell>
          <cell r="E1134" t="str">
            <v>국민은행</v>
          </cell>
          <cell r="H1134">
            <v>1000</v>
          </cell>
          <cell r="I1134">
            <v>26000</v>
          </cell>
        </row>
        <row r="1135">
          <cell r="A1135" t="str">
            <v>직접대출</v>
          </cell>
          <cell r="C1135" t="str">
            <v>은행</v>
          </cell>
          <cell r="E1135" t="str">
            <v>국민은행</v>
          </cell>
          <cell r="H1135">
            <v>1</v>
          </cell>
          <cell r="I1135">
            <v>3250</v>
          </cell>
        </row>
        <row r="1136">
          <cell r="A1136" t="str">
            <v>직접대출</v>
          </cell>
          <cell r="C1136" t="str">
            <v>은행</v>
          </cell>
          <cell r="E1136" t="str">
            <v>국민은행</v>
          </cell>
          <cell r="H1136">
            <v>194</v>
          </cell>
          <cell r="I1136">
            <v>12000</v>
          </cell>
        </row>
        <row r="1137">
          <cell r="A1137" t="str">
            <v>직접대출</v>
          </cell>
          <cell r="C1137" t="str">
            <v>은행</v>
          </cell>
          <cell r="E1137" t="str">
            <v>국민은행</v>
          </cell>
          <cell r="H1137">
            <v>43</v>
          </cell>
          <cell r="I1137">
            <v>10000</v>
          </cell>
        </row>
        <row r="1138">
          <cell r="A1138" t="str">
            <v>직접대출</v>
          </cell>
          <cell r="C1138" t="str">
            <v>은행</v>
          </cell>
          <cell r="E1138" t="str">
            <v>국민은행</v>
          </cell>
          <cell r="H1138">
            <v>38</v>
          </cell>
          <cell r="I1138">
            <v>8000</v>
          </cell>
        </row>
        <row r="1139">
          <cell r="A1139" t="str">
            <v>직접대출</v>
          </cell>
          <cell r="C1139" t="str">
            <v>은행</v>
          </cell>
          <cell r="E1139" t="str">
            <v>국민은행</v>
          </cell>
          <cell r="H1139">
            <v>2</v>
          </cell>
          <cell r="I1139">
            <v>190353</v>
          </cell>
        </row>
        <row r="1140">
          <cell r="A1140" t="str">
            <v>직접대출</v>
          </cell>
          <cell r="C1140" t="str">
            <v>은행</v>
          </cell>
          <cell r="E1140" t="str">
            <v>국민은행</v>
          </cell>
          <cell r="H1140">
            <v>1000</v>
          </cell>
          <cell r="I1140">
            <v>0</v>
          </cell>
        </row>
        <row r="1141">
          <cell r="A1141" t="str">
            <v>직접대출</v>
          </cell>
          <cell r="C1141" t="str">
            <v>은행</v>
          </cell>
          <cell r="E1141" t="str">
            <v>국민은행</v>
          </cell>
          <cell r="H1141">
            <v>60</v>
          </cell>
          <cell r="I1141">
            <v>35000</v>
          </cell>
        </row>
        <row r="1142">
          <cell r="A1142" t="str">
            <v>직접대출</v>
          </cell>
          <cell r="C1142" t="str">
            <v>은행</v>
          </cell>
          <cell r="E1142" t="str">
            <v>국민은행</v>
          </cell>
          <cell r="H1142">
            <v>80</v>
          </cell>
          <cell r="I1142">
            <v>35000</v>
          </cell>
        </row>
        <row r="1143">
          <cell r="A1143" t="str">
            <v>직접대출</v>
          </cell>
          <cell r="C1143" t="str">
            <v>은행</v>
          </cell>
          <cell r="E1143" t="str">
            <v>국민은행</v>
          </cell>
          <cell r="H1143">
            <v>12</v>
          </cell>
          <cell r="I1143">
            <v>71458</v>
          </cell>
        </row>
        <row r="1144">
          <cell r="A1144" t="str">
            <v>직접대출</v>
          </cell>
          <cell r="C1144" t="str">
            <v>은행</v>
          </cell>
          <cell r="E1144" t="str">
            <v>국민은행</v>
          </cell>
          <cell r="H1144">
            <v>12</v>
          </cell>
          <cell r="I1144">
            <v>17339.695112000001</v>
          </cell>
        </row>
        <row r="1145">
          <cell r="A1145" t="str">
            <v>직접대출</v>
          </cell>
          <cell r="C1145" t="str">
            <v>은행</v>
          </cell>
          <cell r="E1145" t="str">
            <v>국민은행</v>
          </cell>
          <cell r="H1145">
            <v>60</v>
          </cell>
          <cell r="I1145">
            <v>35200</v>
          </cell>
        </row>
        <row r="1146">
          <cell r="A1146" t="str">
            <v>직접대출</v>
          </cell>
          <cell r="C1146" t="str">
            <v>은행</v>
          </cell>
          <cell r="E1146" t="str">
            <v>국민은행</v>
          </cell>
          <cell r="H1146">
            <v>14</v>
          </cell>
          <cell r="I1146">
            <v>29295</v>
          </cell>
        </row>
        <row r="1147">
          <cell r="A1147" t="str">
            <v>직접대출</v>
          </cell>
          <cell r="C1147" t="str">
            <v>은행</v>
          </cell>
          <cell r="E1147" t="str">
            <v>국민은행</v>
          </cell>
          <cell r="H1147">
            <v>1000</v>
          </cell>
          <cell r="I1147">
            <v>0</v>
          </cell>
        </row>
        <row r="1148">
          <cell r="A1148" t="str">
            <v>직접대출</v>
          </cell>
          <cell r="C1148" t="str">
            <v>은행</v>
          </cell>
          <cell r="E1148" t="str">
            <v>국민은행</v>
          </cell>
          <cell r="H1148">
            <v>9</v>
          </cell>
          <cell r="I1148">
            <v>40000</v>
          </cell>
        </row>
        <row r="1149">
          <cell r="A1149" t="str">
            <v>직접대출</v>
          </cell>
          <cell r="C1149" t="str">
            <v>은행</v>
          </cell>
          <cell r="E1149" t="str">
            <v>국민은행</v>
          </cell>
          <cell r="H1149">
            <v>3</v>
          </cell>
          <cell r="I1149">
            <v>0</v>
          </cell>
        </row>
        <row r="1150">
          <cell r="A1150" t="str">
            <v>직접대출</v>
          </cell>
          <cell r="C1150" t="str">
            <v>은행</v>
          </cell>
          <cell r="E1150" t="str">
            <v>국민은행</v>
          </cell>
          <cell r="H1150">
            <v>6</v>
          </cell>
          <cell r="I1150">
            <v>0</v>
          </cell>
        </row>
        <row r="1151">
          <cell r="A1151" t="str">
            <v>직접대출</v>
          </cell>
          <cell r="C1151" t="str">
            <v>은행</v>
          </cell>
          <cell r="E1151" t="str">
            <v>국민은행</v>
          </cell>
          <cell r="H1151">
            <v>3</v>
          </cell>
          <cell r="I1151">
            <v>0</v>
          </cell>
        </row>
        <row r="1152">
          <cell r="A1152" t="str">
            <v>직접대출</v>
          </cell>
          <cell r="C1152" t="str">
            <v>은행</v>
          </cell>
          <cell r="E1152" t="str">
            <v>국민은행</v>
          </cell>
          <cell r="H1152">
            <v>6</v>
          </cell>
          <cell r="I1152">
            <v>0</v>
          </cell>
        </row>
        <row r="1153">
          <cell r="A1153" t="str">
            <v>직접대출</v>
          </cell>
          <cell r="C1153" t="str">
            <v>은행</v>
          </cell>
          <cell r="E1153" t="str">
            <v>국민은행</v>
          </cell>
          <cell r="H1153">
            <v>3</v>
          </cell>
          <cell r="I1153">
            <v>0</v>
          </cell>
        </row>
        <row r="1154">
          <cell r="A1154" t="str">
            <v>직접대출</v>
          </cell>
          <cell r="C1154" t="str">
            <v>은행</v>
          </cell>
          <cell r="E1154" t="str">
            <v>국민은행</v>
          </cell>
          <cell r="H1154">
            <v>6</v>
          </cell>
          <cell r="I1154">
            <v>0</v>
          </cell>
        </row>
        <row r="1155">
          <cell r="A1155" t="str">
            <v>직접대출</v>
          </cell>
          <cell r="C1155" t="str">
            <v>은행</v>
          </cell>
          <cell r="E1155" t="str">
            <v>국민은행</v>
          </cell>
          <cell r="H1155">
            <v>3</v>
          </cell>
          <cell r="I1155">
            <v>0</v>
          </cell>
        </row>
        <row r="1156">
          <cell r="A1156" t="str">
            <v>직접대출</v>
          </cell>
          <cell r="C1156" t="str">
            <v>은행</v>
          </cell>
          <cell r="E1156" t="str">
            <v>국민은행</v>
          </cell>
          <cell r="H1156">
            <v>6</v>
          </cell>
          <cell r="I1156">
            <v>0</v>
          </cell>
        </row>
        <row r="1157">
          <cell r="A1157" t="str">
            <v>직접대출</v>
          </cell>
          <cell r="C1157" t="str">
            <v>은행</v>
          </cell>
          <cell r="E1157" t="str">
            <v>국민은행</v>
          </cell>
          <cell r="H1157">
            <v>3</v>
          </cell>
          <cell r="I1157">
            <v>0</v>
          </cell>
        </row>
        <row r="1158">
          <cell r="A1158" t="str">
            <v>직접대출</v>
          </cell>
          <cell r="C1158" t="str">
            <v>은행</v>
          </cell>
          <cell r="E1158" t="str">
            <v>국민은행</v>
          </cell>
          <cell r="H1158">
            <v>6</v>
          </cell>
          <cell r="I1158">
            <v>0</v>
          </cell>
        </row>
        <row r="1159">
          <cell r="A1159" t="str">
            <v>직접대출</v>
          </cell>
          <cell r="C1159" t="str">
            <v>은행</v>
          </cell>
          <cell r="E1159" t="str">
            <v>국민은행</v>
          </cell>
          <cell r="H1159">
            <v>1000</v>
          </cell>
          <cell r="I1159">
            <v>15000</v>
          </cell>
        </row>
        <row r="1160">
          <cell r="A1160" t="str">
            <v>직접대출</v>
          </cell>
          <cell r="C1160" t="str">
            <v>은행</v>
          </cell>
          <cell r="E1160" t="str">
            <v>국민은행</v>
          </cell>
          <cell r="H1160">
            <v>34</v>
          </cell>
          <cell r="I1160">
            <v>15000</v>
          </cell>
        </row>
        <row r="1161">
          <cell r="A1161" t="str">
            <v>직접대출</v>
          </cell>
          <cell r="C1161" t="str">
            <v>은행</v>
          </cell>
          <cell r="E1161" t="str">
            <v>국민은행</v>
          </cell>
          <cell r="H1161">
            <v>3</v>
          </cell>
          <cell r="I1161">
            <v>0</v>
          </cell>
        </row>
        <row r="1162">
          <cell r="A1162" t="str">
            <v>직접대출</v>
          </cell>
          <cell r="C1162" t="str">
            <v>은행</v>
          </cell>
          <cell r="E1162" t="str">
            <v>국민은행</v>
          </cell>
          <cell r="H1162">
            <v>6</v>
          </cell>
          <cell r="I1162">
            <v>0</v>
          </cell>
        </row>
        <row r="1163">
          <cell r="A1163" t="str">
            <v>직접대출</v>
          </cell>
          <cell r="C1163" t="str">
            <v>은행</v>
          </cell>
          <cell r="E1163" t="str">
            <v>국민은행</v>
          </cell>
          <cell r="H1163">
            <v>3</v>
          </cell>
          <cell r="I1163">
            <v>0</v>
          </cell>
        </row>
        <row r="1164">
          <cell r="A1164" t="str">
            <v>직접대출</v>
          </cell>
          <cell r="C1164" t="str">
            <v>은행</v>
          </cell>
          <cell r="E1164" t="str">
            <v>국민은행</v>
          </cell>
          <cell r="H1164">
            <v>6</v>
          </cell>
          <cell r="I1164">
            <v>0</v>
          </cell>
        </row>
        <row r="1165">
          <cell r="A1165" t="str">
            <v>직접대출</v>
          </cell>
          <cell r="C1165" t="str">
            <v>은행</v>
          </cell>
          <cell r="E1165" t="str">
            <v>국민은행</v>
          </cell>
          <cell r="H1165">
            <v>3</v>
          </cell>
          <cell r="I1165">
            <v>0</v>
          </cell>
        </row>
        <row r="1166">
          <cell r="A1166" t="str">
            <v>직접대출</v>
          </cell>
          <cell r="C1166" t="str">
            <v>은행</v>
          </cell>
          <cell r="E1166" t="str">
            <v>국민은행</v>
          </cell>
          <cell r="H1166">
            <v>6</v>
          </cell>
          <cell r="I1166">
            <v>0</v>
          </cell>
        </row>
        <row r="1167">
          <cell r="A1167" t="str">
            <v>직접대출</v>
          </cell>
          <cell r="C1167" t="str">
            <v>은행</v>
          </cell>
          <cell r="E1167" t="str">
            <v>국민은행</v>
          </cell>
          <cell r="H1167">
            <v>3</v>
          </cell>
          <cell r="I1167">
            <v>0</v>
          </cell>
        </row>
        <row r="1168">
          <cell r="A1168" t="str">
            <v>직접대출</v>
          </cell>
          <cell r="C1168" t="str">
            <v>은행</v>
          </cell>
          <cell r="E1168" t="str">
            <v>국민은행</v>
          </cell>
          <cell r="H1168">
            <v>6</v>
          </cell>
          <cell r="I1168">
            <v>0</v>
          </cell>
        </row>
        <row r="1169">
          <cell r="A1169" t="str">
            <v>직접대출</v>
          </cell>
          <cell r="C1169" t="str">
            <v>은행</v>
          </cell>
          <cell r="E1169" t="str">
            <v>국민은행</v>
          </cell>
          <cell r="H1169">
            <v>3</v>
          </cell>
          <cell r="I1169">
            <v>0</v>
          </cell>
        </row>
        <row r="1170">
          <cell r="A1170" t="str">
            <v>직접대출</v>
          </cell>
          <cell r="C1170" t="str">
            <v>은행</v>
          </cell>
          <cell r="E1170" t="str">
            <v>국민은행</v>
          </cell>
          <cell r="H1170">
            <v>6</v>
          </cell>
          <cell r="I1170">
            <v>0</v>
          </cell>
        </row>
        <row r="1171">
          <cell r="A1171" t="str">
            <v>직접대출</v>
          </cell>
          <cell r="C1171" t="str">
            <v>은행</v>
          </cell>
          <cell r="E1171" t="str">
            <v>국민은행</v>
          </cell>
          <cell r="H1171">
            <v>272</v>
          </cell>
          <cell r="I1171">
            <v>5396</v>
          </cell>
        </row>
        <row r="1172">
          <cell r="A1172" t="str">
            <v>직접대출</v>
          </cell>
          <cell r="C1172" t="str">
            <v>은행</v>
          </cell>
          <cell r="E1172" t="str">
            <v>국민은행</v>
          </cell>
          <cell r="H1172">
            <v>1000</v>
          </cell>
          <cell r="I1172">
            <v>0</v>
          </cell>
        </row>
        <row r="1173">
          <cell r="A1173" t="str">
            <v>직접대출</v>
          </cell>
          <cell r="C1173" t="str">
            <v>은행</v>
          </cell>
          <cell r="E1173" t="str">
            <v>국민은행</v>
          </cell>
          <cell r="H1173">
            <v>272</v>
          </cell>
          <cell r="I1173">
            <v>6271</v>
          </cell>
        </row>
        <row r="1174">
          <cell r="A1174" t="str">
            <v>직접대출</v>
          </cell>
          <cell r="C1174" t="str">
            <v>은행</v>
          </cell>
          <cell r="E1174" t="str">
            <v>국민은행</v>
          </cell>
          <cell r="H1174">
            <v>138</v>
          </cell>
          <cell r="I1174">
            <v>0</v>
          </cell>
        </row>
        <row r="1175">
          <cell r="A1175" t="str">
            <v>직접대출</v>
          </cell>
          <cell r="C1175" t="str">
            <v>은행</v>
          </cell>
          <cell r="E1175" t="str">
            <v>국민은행</v>
          </cell>
          <cell r="H1175">
            <v>138</v>
          </cell>
          <cell r="I1175">
            <v>0</v>
          </cell>
        </row>
        <row r="1176">
          <cell r="A1176" t="str">
            <v>직접대출</v>
          </cell>
          <cell r="C1176" t="str">
            <v>은행</v>
          </cell>
          <cell r="E1176" t="str">
            <v>국민은행</v>
          </cell>
          <cell r="H1176">
            <v>3</v>
          </cell>
          <cell r="I1176">
            <v>0</v>
          </cell>
        </row>
        <row r="1177">
          <cell r="A1177" t="str">
            <v>직접대출</v>
          </cell>
          <cell r="C1177" t="str">
            <v>은행</v>
          </cell>
          <cell r="E1177" t="str">
            <v>국민은행</v>
          </cell>
          <cell r="H1177">
            <v>6</v>
          </cell>
          <cell r="I1177">
            <v>0</v>
          </cell>
        </row>
        <row r="1178">
          <cell r="A1178" t="str">
            <v>직접대출</v>
          </cell>
          <cell r="C1178" t="str">
            <v>은행</v>
          </cell>
          <cell r="E1178" t="str">
            <v>국민은행</v>
          </cell>
          <cell r="H1178">
            <v>3</v>
          </cell>
          <cell r="I1178">
            <v>0</v>
          </cell>
        </row>
        <row r="1179">
          <cell r="A1179" t="str">
            <v>직접대출</v>
          </cell>
          <cell r="C1179" t="str">
            <v>은행</v>
          </cell>
          <cell r="E1179" t="str">
            <v>국민은행</v>
          </cell>
          <cell r="H1179">
            <v>6</v>
          </cell>
          <cell r="I1179">
            <v>0</v>
          </cell>
        </row>
        <row r="1180">
          <cell r="A1180" t="str">
            <v>직접대출</v>
          </cell>
          <cell r="C1180" t="str">
            <v>은행</v>
          </cell>
          <cell r="E1180" t="str">
            <v>국민은행</v>
          </cell>
          <cell r="H1180">
            <v>10</v>
          </cell>
          <cell r="I1180">
            <v>126000</v>
          </cell>
        </row>
        <row r="1181">
          <cell r="A1181" t="str">
            <v>직접대출</v>
          </cell>
          <cell r="C1181" t="str">
            <v>은행</v>
          </cell>
          <cell r="E1181" t="str">
            <v>국민은행</v>
          </cell>
          <cell r="H1181">
            <v>32</v>
          </cell>
          <cell r="I1181">
            <v>41137</v>
          </cell>
        </row>
        <row r="1182">
          <cell r="A1182" t="str">
            <v>직접대출</v>
          </cell>
          <cell r="C1182" t="str">
            <v>은행</v>
          </cell>
          <cell r="E1182" t="str">
            <v>국민은행</v>
          </cell>
          <cell r="H1182">
            <v>1000</v>
          </cell>
          <cell r="I1182">
            <v>12000</v>
          </cell>
        </row>
        <row r="1183">
          <cell r="A1183" t="str">
            <v>직접대출</v>
          </cell>
          <cell r="C1183" t="str">
            <v>은행</v>
          </cell>
          <cell r="E1183" t="str">
            <v>국민은행</v>
          </cell>
          <cell r="H1183">
            <v>34</v>
          </cell>
          <cell r="I1183">
            <v>12000</v>
          </cell>
        </row>
        <row r="1184">
          <cell r="A1184" t="str">
            <v>직접대출</v>
          </cell>
          <cell r="C1184" t="str">
            <v>은행</v>
          </cell>
          <cell r="E1184" t="str">
            <v>국민은행</v>
          </cell>
          <cell r="H1184">
            <v>1000</v>
          </cell>
          <cell r="I1184">
            <v>0</v>
          </cell>
        </row>
        <row r="1185">
          <cell r="A1185" t="str">
            <v>직접대출</v>
          </cell>
          <cell r="C1185" t="str">
            <v>은행</v>
          </cell>
          <cell r="E1185" t="str">
            <v>국민은행</v>
          </cell>
          <cell r="H1185">
            <v>35</v>
          </cell>
          <cell r="I1185">
            <v>0</v>
          </cell>
        </row>
        <row r="1186">
          <cell r="A1186" t="str">
            <v>직접대출</v>
          </cell>
          <cell r="C1186" t="str">
            <v>은행</v>
          </cell>
          <cell r="E1186" t="str">
            <v>국민은행</v>
          </cell>
          <cell r="H1186">
            <v>79</v>
          </cell>
          <cell r="I1186">
            <v>19326</v>
          </cell>
        </row>
        <row r="1187">
          <cell r="A1187" t="str">
            <v>직접대출</v>
          </cell>
          <cell r="C1187" t="str">
            <v>은행</v>
          </cell>
          <cell r="E1187" t="str">
            <v>국민은행</v>
          </cell>
          <cell r="H1187">
            <v>10</v>
          </cell>
          <cell r="I1187">
            <v>60000</v>
          </cell>
        </row>
        <row r="1188">
          <cell r="A1188" t="str">
            <v>직접대출</v>
          </cell>
          <cell r="C1188" t="str">
            <v>은행</v>
          </cell>
          <cell r="E1188" t="str">
            <v>국민은행</v>
          </cell>
          <cell r="H1188">
            <v>108</v>
          </cell>
          <cell r="I1188">
            <v>12500</v>
          </cell>
        </row>
        <row r="1189">
          <cell r="A1189" t="str">
            <v>직접대출</v>
          </cell>
          <cell r="C1189" t="str">
            <v>은행</v>
          </cell>
          <cell r="E1189" t="str">
            <v>국민은행</v>
          </cell>
          <cell r="H1189">
            <v>36</v>
          </cell>
          <cell r="I1189">
            <v>26462</v>
          </cell>
        </row>
        <row r="1190">
          <cell r="A1190" t="str">
            <v>직접대출</v>
          </cell>
          <cell r="C1190" t="str">
            <v>은행</v>
          </cell>
          <cell r="E1190" t="str">
            <v>국민은행</v>
          </cell>
          <cell r="H1190">
            <v>32</v>
          </cell>
          <cell r="I1190">
            <v>60000</v>
          </cell>
        </row>
        <row r="1191">
          <cell r="A1191" t="str">
            <v>직접대출</v>
          </cell>
          <cell r="C1191" t="str">
            <v>은행</v>
          </cell>
          <cell r="E1191" t="str">
            <v>국민은행</v>
          </cell>
          <cell r="H1191">
            <v>22</v>
          </cell>
          <cell r="I1191">
            <v>26400</v>
          </cell>
        </row>
        <row r="1192">
          <cell r="A1192" t="str">
            <v>직접대출</v>
          </cell>
          <cell r="C1192" t="str">
            <v>은행</v>
          </cell>
          <cell r="E1192" t="str">
            <v>국민은행</v>
          </cell>
          <cell r="H1192">
            <v>3</v>
          </cell>
          <cell r="I1192">
            <v>0</v>
          </cell>
        </row>
        <row r="1193">
          <cell r="A1193" t="str">
            <v>직접대출</v>
          </cell>
          <cell r="C1193" t="str">
            <v>은행</v>
          </cell>
          <cell r="E1193" t="str">
            <v>국민은행</v>
          </cell>
          <cell r="H1193">
            <v>6</v>
          </cell>
          <cell r="I1193">
            <v>0</v>
          </cell>
        </row>
        <row r="1194">
          <cell r="A1194" t="str">
            <v>직접대출</v>
          </cell>
          <cell r="C1194" t="str">
            <v>은행</v>
          </cell>
          <cell r="E1194" t="str">
            <v>국민은행</v>
          </cell>
          <cell r="H1194">
            <v>3</v>
          </cell>
          <cell r="I1194">
            <v>0</v>
          </cell>
        </row>
        <row r="1195">
          <cell r="A1195" t="str">
            <v>직접대출</v>
          </cell>
          <cell r="C1195" t="str">
            <v>은행</v>
          </cell>
          <cell r="E1195" t="str">
            <v>국민은행</v>
          </cell>
          <cell r="H1195">
            <v>6</v>
          </cell>
          <cell r="I1195">
            <v>0</v>
          </cell>
        </row>
        <row r="1196">
          <cell r="A1196" t="str">
            <v>직접대출</v>
          </cell>
          <cell r="C1196" t="str">
            <v>은행</v>
          </cell>
          <cell r="E1196" t="str">
            <v>국민은행</v>
          </cell>
          <cell r="H1196">
            <v>3</v>
          </cell>
          <cell r="I1196">
            <v>0</v>
          </cell>
        </row>
        <row r="1197">
          <cell r="A1197" t="str">
            <v>직접대출</v>
          </cell>
          <cell r="C1197" t="str">
            <v>은행</v>
          </cell>
          <cell r="E1197" t="str">
            <v>국민은행</v>
          </cell>
          <cell r="H1197">
            <v>6</v>
          </cell>
          <cell r="I1197">
            <v>0</v>
          </cell>
        </row>
        <row r="1198">
          <cell r="A1198" t="str">
            <v>직접대출</v>
          </cell>
          <cell r="C1198" t="str">
            <v>은행</v>
          </cell>
          <cell r="E1198" t="str">
            <v>국민은행</v>
          </cell>
          <cell r="H1198">
            <v>3</v>
          </cell>
          <cell r="I1198">
            <v>0</v>
          </cell>
        </row>
        <row r="1199">
          <cell r="A1199" t="str">
            <v>직접대출</v>
          </cell>
          <cell r="C1199" t="str">
            <v>은행</v>
          </cell>
          <cell r="E1199" t="str">
            <v>국민은행</v>
          </cell>
          <cell r="H1199">
            <v>1000</v>
          </cell>
          <cell r="I1199">
            <v>0</v>
          </cell>
        </row>
        <row r="1200">
          <cell r="A1200" t="str">
            <v>직접대출</v>
          </cell>
          <cell r="C1200" t="str">
            <v>은행</v>
          </cell>
          <cell r="E1200" t="str">
            <v>국민은행</v>
          </cell>
          <cell r="H1200">
            <v>1000</v>
          </cell>
          <cell r="I1200">
            <v>23000</v>
          </cell>
        </row>
        <row r="1201">
          <cell r="A1201" t="str">
            <v>직접대출</v>
          </cell>
          <cell r="C1201" t="str">
            <v>은행</v>
          </cell>
          <cell r="E1201" t="str">
            <v>국민은행</v>
          </cell>
          <cell r="H1201">
            <v>14</v>
          </cell>
          <cell r="I1201">
            <v>41430</v>
          </cell>
        </row>
        <row r="1202">
          <cell r="A1202" t="str">
            <v>직접대출</v>
          </cell>
          <cell r="C1202" t="str">
            <v>은행</v>
          </cell>
          <cell r="E1202" t="str">
            <v>국민은행</v>
          </cell>
          <cell r="H1202">
            <v>8</v>
          </cell>
          <cell r="I1202">
            <v>15600</v>
          </cell>
        </row>
        <row r="1203">
          <cell r="A1203" t="str">
            <v>직접대출</v>
          </cell>
          <cell r="C1203" t="str">
            <v>은행</v>
          </cell>
          <cell r="E1203" t="str">
            <v>국민은행</v>
          </cell>
          <cell r="H1203">
            <v>1000</v>
          </cell>
          <cell r="I1203">
            <v>20000</v>
          </cell>
        </row>
        <row r="1204">
          <cell r="A1204" t="str">
            <v>직접대출</v>
          </cell>
          <cell r="C1204" t="str">
            <v>은행</v>
          </cell>
          <cell r="E1204" t="str">
            <v>국민은행</v>
          </cell>
          <cell r="H1204">
            <v>1000</v>
          </cell>
          <cell r="I1204">
            <v>0</v>
          </cell>
        </row>
        <row r="1205">
          <cell r="A1205" t="str">
            <v>직접대출</v>
          </cell>
          <cell r="C1205" t="str">
            <v>은행</v>
          </cell>
          <cell r="E1205" t="str">
            <v>국민은행</v>
          </cell>
          <cell r="H1205">
            <v>4</v>
          </cell>
          <cell r="I1205">
            <v>3282.4869020000001</v>
          </cell>
        </row>
        <row r="1206">
          <cell r="A1206" t="str">
            <v>직접대출</v>
          </cell>
          <cell r="C1206" t="str">
            <v>은행</v>
          </cell>
          <cell r="E1206" t="str">
            <v>국민은행</v>
          </cell>
          <cell r="H1206">
            <v>4</v>
          </cell>
          <cell r="I1206">
            <v>23609</v>
          </cell>
        </row>
        <row r="1207">
          <cell r="A1207" t="str">
            <v>직접대출</v>
          </cell>
          <cell r="C1207" t="str">
            <v>은행</v>
          </cell>
          <cell r="E1207" t="str">
            <v>국민은행</v>
          </cell>
          <cell r="H1207">
            <v>4</v>
          </cell>
          <cell r="I1207">
            <v>13651</v>
          </cell>
        </row>
        <row r="1208">
          <cell r="A1208" t="str">
            <v>직접대출</v>
          </cell>
          <cell r="C1208" t="str">
            <v>은행</v>
          </cell>
          <cell r="E1208" t="str">
            <v>국민은행</v>
          </cell>
          <cell r="H1208">
            <v>4</v>
          </cell>
          <cell r="I1208">
            <v>16615</v>
          </cell>
        </row>
        <row r="1209">
          <cell r="A1209" t="str">
            <v>직접대출</v>
          </cell>
          <cell r="C1209" t="str">
            <v>은행</v>
          </cell>
          <cell r="E1209" t="str">
            <v>국민은행</v>
          </cell>
          <cell r="H1209">
            <v>12</v>
          </cell>
          <cell r="I1209">
            <v>1847</v>
          </cell>
        </row>
        <row r="1210">
          <cell r="A1210" t="str">
            <v>직접대출</v>
          </cell>
          <cell r="C1210" t="str">
            <v>은행</v>
          </cell>
          <cell r="E1210" t="str">
            <v>국민은행</v>
          </cell>
          <cell r="H1210">
            <v>12</v>
          </cell>
          <cell r="I1210">
            <v>2570</v>
          </cell>
        </row>
        <row r="1211">
          <cell r="A1211" t="str">
            <v>직접대출</v>
          </cell>
          <cell r="C1211" t="str">
            <v>은행</v>
          </cell>
          <cell r="E1211" t="str">
            <v>국민은행</v>
          </cell>
          <cell r="H1211">
            <v>30</v>
          </cell>
          <cell r="I1211">
            <v>3914.2817389000006</v>
          </cell>
        </row>
        <row r="1212">
          <cell r="A1212" t="str">
            <v>직접대출</v>
          </cell>
          <cell r="C1212" t="str">
            <v>은행</v>
          </cell>
          <cell r="E1212" t="str">
            <v>국민은행</v>
          </cell>
          <cell r="H1212">
            <v>12</v>
          </cell>
          <cell r="I1212">
            <v>33602</v>
          </cell>
        </row>
        <row r="1213">
          <cell r="A1213" t="str">
            <v>직접대출</v>
          </cell>
          <cell r="C1213" t="str">
            <v>은행</v>
          </cell>
          <cell r="E1213" t="str">
            <v>국민은행</v>
          </cell>
          <cell r="H1213">
            <v>12</v>
          </cell>
          <cell r="I1213">
            <v>2982.1960350000004</v>
          </cell>
        </row>
        <row r="1214">
          <cell r="A1214" t="str">
            <v>직접대출</v>
          </cell>
          <cell r="C1214" t="str">
            <v>은행</v>
          </cell>
          <cell r="E1214" t="str">
            <v>국민은행</v>
          </cell>
          <cell r="H1214">
            <v>5</v>
          </cell>
          <cell r="I1214">
            <v>12103</v>
          </cell>
        </row>
        <row r="1215">
          <cell r="A1215" t="str">
            <v>직접대출</v>
          </cell>
          <cell r="C1215" t="str">
            <v>은행</v>
          </cell>
          <cell r="E1215" t="str">
            <v>국민은행</v>
          </cell>
          <cell r="H1215">
            <v>12</v>
          </cell>
          <cell r="I1215">
            <v>8132.6704739999996</v>
          </cell>
        </row>
        <row r="1216">
          <cell r="A1216" t="str">
            <v>직접대출</v>
          </cell>
          <cell r="C1216" t="str">
            <v>은행</v>
          </cell>
          <cell r="E1216" t="str">
            <v>국민은행</v>
          </cell>
          <cell r="H1216">
            <v>7</v>
          </cell>
          <cell r="I1216">
            <v>0</v>
          </cell>
        </row>
        <row r="1217">
          <cell r="A1217" t="str">
            <v>직접대출</v>
          </cell>
          <cell r="C1217" t="str">
            <v>은행</v>
          </cell>
          <cell r="E1217" t="str">
            <v>국민은행</v>
          </cell>
          <cell r="H1217">
            <v>8</v>
          </cell>
          <cell r="I1217">
            <v>7322.0601989999996</v>
          </cell>
        </row>
        <row r="1218">
          <cell r="A1218" t="str">
            <v>직접대출</v>
          </cell>
          <cell r="C1218" t="str">
            <v>은행</v>
          </cell>
          <cell r="E1218" t="str">
            <v>국민은행</v>
          </cell>
          <cell r="H1218">
            <v>13</v>
          </cell>
          <cell r="I1218">
            <v>11960</v>
          </cell>
        </row>
        <row r="1219">
          <cell r="A1219" t="str">
            <v>직접대출</v>
          </cell>
          <cell r="C1219" t="str">
            <v>은행</v>
          </cell>
          <cell r="E1219" t="str">
            <v>국민은행</v>
          </cell>
          <cell r="H1219">
            <v>226</v>
          </cell>
          <cell r="I1219">
            <v>1529.5</v>
          </cell>
        </row>
        <row r="1220">
          <cell r="A1220" t="str">
            <v>직접대출</v>
          </cell>
          <cell r="C1220" t="str">
            <v>은행</v>
          </cell>
          <cell r="E1220" t="str">
            <v>국민은행</v>
          </cell>
          <cell r="H1220">
            <v>2</v>
          </cell>
          <cell r="I1220">
            <v>22750</v>
          </cell>
        </row>
        <row r="1221">
          <cell r="A1221" t="str">
            <v>직접대출</v>
          </cell>
          <cell r="C1221" t="str">
            <v>은행</v>
          </cell>
          <cell r="E1221" t="str">
            <v>국민은행</v>
          </cell>
          <cell r="H1221">
            <v>12</v>
          </cell>
          <cell r="I1221">
            <v>11963.072015</v>
          </cell>
        </row>
        <row r="1222">
          <cell r="A1222" t="str">
            <v>직접대출</v>
          </cell>
          <cell r="C1222" t="str">
            <v>은행</v>
          </cell>
          <cell r="E1222" t="str">
            <v>국민은행</v>
          </cell>
          <cell r="H1222">
            <v>4</v>
          </cell>
          <cell r="I1222">
            <v>13533.823111</v>
          </cell>
        </row>
        <row r="1223">
          <cell r="A1223" t="str">
            <v>직접대출</v>
          </cell>
          <cell r="C1223" t="str">
            <v>은행</v>
          </cell>
          <cell r="E1223" t="str">
            <v>국민은행</v>
          </cell>
          <cell r="H1223">
            <v>4</v>
          </cell>
          <cell r="I1223">
            <v>25616</v>
          </cell>
        </row>
        <row r="1224">
          <cell r="A1224" t="str">
            <v>직접대출</v>
          </cell>
          <cell r="C1224" t="str">
            <v>은행</v>
          </cell>
          <cell r="E1224" t="str">
            <v>국민은행</v>
          </cell>
          <cell r="H1224">
            <v>18</v>
          </cell>
          <cell r="I1224">
            <v>1768.392767</v>
          </cell>
        </row>
        <row r="1225">
          <cell r="A1225" t="str">
            <v>직접대출</v>
          </cell>
          <cell r="C1225" t="str">
            <v>은행</v>
          </cell>
          <cell r="E1225" t="str">
            <v>국민은행</v>
          </cell>
          <cell r="H1225">
            <v>18</v>
          </cell>
          <cell r="I1225">
            <v>5000</v>
          </cell>
        </row>
        <row r="1226">
          <cell r="A1226" t="str">
            <v>직접대출</v>
          </cell>
          <cell r="C1226" t="str">
            <v>은행</v>
          </cell>
          <cell r="E1226" t="str">
            <v>국민은행</v>
          </cell>
          <cell r="H1226">
            <v>50</v>
          </cell>
          <cell r="I1226">
            <v>6500</v>
          </cell>
        </row>
        <row r="1227">
          <cell r="A1227" t="str">
            <v>직접대출</v>
          </cell>
          <cell r="C1227" t="str">
            <v>은행</v>
          </cell>
          <cell r="E1227" t="str">
            <v>국민은행</v>
          </cell>
          <cell r="H1227">
            <v>50</v>
          </cell>
          <cell r="I1227">
            <v>9000</v>
          </cell>
        </row>
        <row r="1228">
          <cell r="A1228" t="str">
            <v>직접대출</v>
          </cell>
          <cell r="C1228" t="str">
            <v>은행</v>
          </cell>
          <cell r="E1228" t="str">
            <v>국민은행</v>
          </cell>
          <cell r="H1228">
            <v>1</v>
          </cell>
          <cell r="I1228">
            <v>18800</v>
          </cell>
        </row>
        <row r="1229">
          <cell r="A1229" t="str">
            <v>직접대출</v>
          </cell>
          <cell r="C1229" t="str">
            <v>은행</v>
          </cell>
          <cell r="E1229" t="str">
            <v>국민은행</v>
          </cell>
          <cell r="H1229">
            <v>1</v>
          </cell>
          <cell r="I1229">
            <v>6200</v>
          </cell>
        </row>
        <row r="1230">
          <cell r="A1230" t="str">
            <v>직접대출</v>
          </cell>
          <cell r="C1230" t="str">
            <v>은행</v>
          </cell>
          <cell r="E1230" t="str">
            <v>국민은행</v>
          </cell>
          <cell r="H1230">
            <v>47</v>
          </cell>
          <cell r="I1230">
            <v>17500</v>
          </cell>
        </row>
        <row r="1231">
          <cell r="A1231" t="str">
            <v>직접대출</v>
          </cell>
          <cell r="C1231" t="str">
            <v>은행</v>
          </cell>
          <cell r="E1231" t="str">
            <v>국민은행</v>
          </cell>
          <cell r="H1231">
            <v>50</v>
          </cell>
          <cell r="I1231">
            <v>20000</v>
          </cell>
        </row>
        <row r="1232">
          <cell r="A1232" t="str">
            <v>직접대출</v>
          </cell>
          <cell r="C1232" t="str">
            <v>은행</v>
          </cell>
          <cell r="E1232" t="str">
            <v>국민은행</v>
          </cell>
          <cell r="H1232">
            <v>182</v>
          </cell>
          <cell r="I1232">
            <v>9000</v>
          </cell>
        </row>
        <row r="1233">
          <cell r="A1233" t="str">
            <v>직접대출</v>
          </cell>
          <cell r="C1233" t="str">
            <v>은행</v>
          </cell>
          <cell r="E1233" t="str">
            <v>국민은행</v>
          </cell>
          <cell r="H1233">
            <v>48</v>
          </cell>
          <cell r="I1233">
            <v>0</v>
          </cell>
        </row>
        <row r="1234">
          <cell r="A1234" t="str">
            <v>직접대출</v>
          </cell>
          <cell r="C1234" t="str">
            <v>은행</v>
          </cell>
          <cell r="E1234" t="str">
            <v>국민은행</v>
          </cell>
          <cell r="H1234">
            <v>48</v>
          </cell>
          <cell r="I1234">
            <v>17940</v>
          </cell>
        </row>
        <row r="1235">
          <cell r="A1235" t="str">
            <v>직접대출</v>
          </cell>
          <cell r="C1235" t="str">
            <v>은행</v>
          </cell>
          <cell r="E1235" t="str">
            <v>국민은행</v>
          </cell>
          <cell r="H1235">
            <v>51</v>
          </cell>
          <cell r="I1235">
            <v>90000</v>
          </cell>
        </row>
        <row r="1236">
          <cell r="A1236" t="str">
            <v>직접대출</v>
          </cell>
          <cell r="C1236" t="str">
            <v>은행</v>
          </cell>
          <cell r="E1236" t="str">
            <v>국민은행</v>
          </cell>
          <cell r="H1236">
            <v>47</v>
          </cell>
          <cell r="I1236">
            <v>40000</v>
          </cell>
        </row>
        <row r="1237">
          <cell r="A1237" t="str">
            <v>직접대출</v>
          </cell>
          <cell r="C1237" t="str">
            <v>은행</v>
          </cell>
          <cell r="E1237" t="str">
            <v>국민은행</v>
          </cell>
          <cell r="H1237">
            <v>50</v>
          </cell>
          <cell r="I1237">
            <v>65000</v>
          </cell>
        </row>
        <row r="1238">
          <cell r="A1238" t="str">
            <v>직접대출</v>
          </cell>
          <cell r="C1238" t="str">
            <v>은행</v>
          </cell>
          <cell r="E1238" t="str">
            <v>국민은행</v>
          </cell>
          <cell r="H1238">
            <v>340</v>
          </cell>
          <cell r="I1238">
            <v>7900</v>
          </cell>
        </row>
        <row r="1239">
          <cell r="A1239" t="str">
            <v>직접대출</v>
          </cell>
          <cell r="C1239" t="str">
            <v>은행</v>
          </cell>
          <cell r="E1239" t="str">
            <v>국민은행</v>
          </cell>
          <cell r="H1239">
            <v>86</v>
          </cell>
          <cell r="I1239">
            <v>0</v>
          </cell>
        </row>
        <row r="1240">
          <cell r="A1240" t="str">
            <v>직접대출</v>
          </cell>
          <cell r="C1240" t="str">
            <v>은행</v>
          </cell>
          <cell r="E1240" t="str">
            <v>국민은행</v>
          </cell>
          <cell r="H1240">
            <v>48</v>
          </cell>
          <cell r="I1240">
            <v>0</v>
          </cell>
        </row>
        <row r="1241">
          <cell r="A1241" t="str">
            <v>직접대출</v>
          </cell>
          <cell r="C1241" t="str">
            <v>은행</v>
          </cell>
          <cell r="E1241" t="str">
            <v>국민은행</v>
          </cell>
          <cell r="H1241">
            <v>50</v>
          </cell>
          <cell r="I1241">
            <v>28600</v>
          </cell>
        </row>
        <row r="1242">
          <cell r="A1242" t="str">
            <v>직접대출</v>
          </cell>
          <cell r="C1242" t="str">
            <v>은행</v>
          </cell>
          <cell r="E1242" t="str">
            <v>국민은행</v>
          </cell>
          <cell r="H1242">
            <v>165</v>
          </cell>
          <cell r="I1242">
            <v>49500</v>
          </cell>
        </row>
        <row r="1243">
          <cell r="A1243" t="str">
            <v>직접대출</v>
          </cell>
          <cell r="C1243" t="str">
            <v>은행</v>
          </cell>
          <cell r="E1243" t="str">
            <v>국민은행</v>
          </cell>
          <cell r="H1243">
            <v>50</v>
          </cell>
          <cell r="I1243">
            <v>80000</v>
          </cell>
        </row>
        <row r="1244">
          <cell r="A1244" t="str">
            <v>직접대출</v>
          </cell>
          <cell r="C1244" t="str">
            <v>은행</v>
          </cell>
          <cell r="E1244" t="str">
            <v>국민은행</v>
          </cell>
          <cell r="H1244">
            <v>34</v>
          </cell>
          <cell r="I1244">
            <v>160000</v>
          </cell>
        </row>
        <row r="1245">
          <cell r="A1245" t="str">
            <v>직접대출</v>
          </cell>
          <cell r="C1245" t="str">
            <v>은행</v>
          </cell>
          <cell r="E1245" t="str">
            <v>국민은행</v>
          </cell>
          <cell r="H1245">
            <v>86</v>
          </cell>
          <cell r="I1245">
            <v>0</v>
          </cell>
        </row>
        <row r="1246">
          <cell r="A1246" t="str">
            <v>직접대출</v>
          </cell>
          <cell r="C1246" t="str">
            <v>은행</v>
          </cell>
          <cell r="E1246" t="str">
            <v>국민은행</v>
          </cell>
          <cell r="H1246">
            <v>34</v>
          </cell>
          <cell r="I1246">
            <v>82000</v>
          </cell>
        </row>
        <row r="1247">
          <cell r="A1247" t="str">
            <v>직접대출</v>
          </cell>
          <cell r="C1247" t="str">
            <v>은행</v>
          </cell>
          <cell r="E1247" t="str">
            <v>국민은행</v>
          </cell>
          <cell r="H1247">
            <v>51</v>
          </cell>
          <cell r="I1247">
            <v>4745</v>
          </cell>
        </row>
        <row r="1248">
          <cell r="A1248" t="str">
            <v>직접대출</v>
          </cell>
          <cell r="C1248" t="str">
            <v>은행</v>
          </cell>
          <cell r="E1248" t="str">
            <v>국민은행</v>
          </cell>
          <cell r="H1248">
            <v>127</v>
          </cell>
          <cell r="I1248">
            <v>110000</v>
          </cell>
        </row>
        <row r="1249">
          <cell r="A1249" t="str">
            <v>직접대출</v>
          </cell>
          <cell r="C1249" t="str">
            <v>은행</v>
          </cell>
          <cell r="E1249" t="str">
            <v>국민은행</v>
          </cell>
          <cell r="H1249">
            <v>51</v>
          </cell>
          <cell r="I1249">
            <v>85000</v>
          </cell>
        </row>
        <row r="1250">
          <cell r="A1250" t="str">
            <v>직접대출</v>
          </cell>
          <cell r="C1250" t="str">
            <v>은행</v>
          </cell>
          <cell r="E1250" t="str">
            <v>국민은행</v>
          </cell>
          <cell r="H1250">
            <v>34</v>
          </cell>
          <cell r="I1250">
            <v>33300</v>
          </cell>
        </row>
        <row r="1251">
          <cell r="A1251" t="str">
            <v>직접대출</v>
          </cell>
          <cell r="C1251" t="str">
            <v>은행</v>
          </cell>
          <cell r="E1251" t="str">
            <v>국민은행</v>
          </cell>
          <cell r="H1251">
            <v>8</v>
          </cell>
          <cell r="I1251">
            <v>5000</v>
          </cell>
        </row>
        <row r="1252">
          <cell r="A1252" t="str">
            <v>직접대출</v>
          </cell>
          <cell r="C1252" t="str">
            <v>은행</v>
          </cell>
          <cell r="E1252" t="str">
            <v>국민은행</v>
          </cell>
          <cell r="H1252">
            <v>8</v>
          </cell>
          <cell r="I1252">
            <v>6472.0375329999997</v>
          </cell>
        </row>
        <row r="1253">
          <cell r="A1253" t="str">
            <v>직접대출</v>
          </cell>
          <cell r="C1253" t="str">
            <v>은행</v>
          </cell>
          <cell r="E1253" t="str">
            <v>국민은행</v>
          </cell>
          <cell r="H1253">
            <v>16</v>
          </cell>
          <cell r="I1253">
            <v>14865.069667</v>
          </cell>
        </row>
        <row r="1254">
          <cell r="A1254" t="str">
            <v>직접대출</v>
          </cell>
          <cell r="C1254" t="str">
            <v>은행</v>
          </cell>
          <cell r="E1254" t="str">
            <v>국민은행</v>
          </cell>
          <cell r="H1254">
            <v>12</v>
          </cell>
          <cell r="I1254">
            <v>14865.069667</v>
          </cell>
        </row>
        <row r="1255">
          <cell r="A1255" t="str">
            <v>직접대출</v>
          </cell>
          <cell r="C1255" t="str">
            <v>은행</v>
          </cell>
          <cell r="E1255" t="str">
            <v>국민은행</v>
          </cell>
          <cell r="H1255">
            <v>35</v>
          </cell>
          <cell r="I1255">
            <v>13.913563999999999</v>
          </cell>
        </row>
        <row r="1256">
          <cell r="A1256" t="str">
            <v>직접대출</v>
          </cell>
          <cell r="C1256" t="str">
            <v>은행</v>
          </cell>
          <cell r="E1256" t="str">
            <v>국민은행</v>
          </cell>
          <cell r="H1256">
            <v>1</v>
          </cell>
          <cell r="I1256">
            <v>874.35581000000002</v>
          </cell>
        </row>
        <row r="1257">
          <cell r="A1257" t="str">
            <v>직접대출</v>
          </cell>
          <cell r="C1257" t="str">
            <v>은행</v>
          </cell>
          <cell r="E1257" t="str">
            <v>국민은행</v>
          </cell>
          <cell r="H1257">
            <v>15</v>
          </cell>
          <cell r="I1257">
            <v>46160.186324200004</v>
          </cell>
        </row>
        <row r="1258">
          <cell r="A1258" t="str">
            <v>직접대출</v>
          </cell>
          <cell r="C1258" t="str">
            <v>은행</v>
          </cell>
          <cell r="E1258" t="str">
            <v>국민은행</v>
          </cell>
          <cell r="H1258">
            <v>18</v>
          </cell>
          <cell r="I1258">
            <v>5496.4338209999996</v>
          </cell>
        </row>
        <row r="1259">
          <cell r="A1259" t="str">
            <v>직접대출</v>
          </cell>
          <cell r="C1259" t="str">
            <v>은행</v>
          </cell>
          <cell r="E1259" t="str">
            <v>국민은행</v>
          </cell>
          <cell r="H1259">
            <v>1000</v>
          </cell>
          <cell r="I1259">
            <v>4645.6355400000002</v>
          </cell>
        </row>
        <row r="1260">
          <cell r="A1260" t="str">
            <v>직접대출</v>
          </cell>
          <cell r="C1260" t="str">
            <v>은행</v>
          </cell>
          <cell r="E1260" t="str">
            <v>국민은행</v>
          </cell>
          <cell r="H1260">
            <v>8</v>
          </cell>
          <cell r="I1260">
            <v>3287</v>
          </cell>
        </row>
        <row r="1261">
          <cell r="A1261" t="str">
            <v>직접대출</v>
          </cell>
          <cell r="C1261" t="str">
            <v>은행</v>
          </cell>
          <cell r="E1261" t="str">
            <v>국민은행</v>
          </cell>
          <cell r="H1261">
            <v>24</v>
          </cell>
          <cell r="I1261">
            <v>21612.184000000001</v>
          </cell>
        </row>
        <row r="1262">
          <cell r="A1262" t="str">
            <v>직접대출</v>
          </cell>
          <cell r="C1262" t="str">
            <v>은행</v>
          </cell>
          <cell r="E1262" t="str">
            <v>국민은행</v>
          </cell>
          <cell r="H1262">
            <v>161</v>
          </cell>
          <cell r="I1262">
            <v>12687.84</v>
          </cell>
        </row>
        <row r="1263">
          <cell r="A1263" t="str">
            <v>직접대출</v>
          </cell>
          <cell r="C1263" t="str">
            <v>은행</v>
          </cell>
          <cell r="E1263" t="str">
            <v>국민은행</v>
          </cell>
          <cell r="H1263">
            <v>35</v>
          </cell>
          <cell r="I1263">
            <v>3000</v>
          </cell>
        </row>
        <row r="1264">
          <cell r="A1264" t="str">
            <v>직접대출</v>
          </cell>
          <cell r="C1264" t="str">
            <v>은행</v>
          </cell>
          <cell r="E1264" t="str">
            <v>국민은행</v>
          </cell>
          <cell r="H1264">
            <v>24</v>
          </cell>
          <cell r="I1264">
            <v>32346</v>
          </cell>
        </row>
        <row r="1265">
          <cell r="A1265" t="str">
            <v>직접대출</v>
          </cell>
          <cell r="C1265" t="str">
            <v>은행</v>
          </cell>
          <cell r="E1265" t="str">
            <v>국민은행</v>
          </cell>
          <cell r="H1265">
            <v>8</v>
          </cell>
          <cell r="I1265">
            <v>0</v>
          </cell>
        </row>
        <row r="1266">
          <cell r="A1266" t="str">
            <v>직접대출</v>
          </cell>
          <cell r="C1266" t="str">
            <v>은행</v>
          </cell>
          <cell r="E1266" t="str">
            <v>국민은행</v>
          </cell>
          <cell r="H1266">
            <v>9</v>
          </cell>
          <cell r="I1266">
            <v>34560</v>
          </cell>
        </row>
        <row r="1267">
          <cell r="A1267" t="str">
            <v>직접대출</v>
          </cell>
          <cell r="C1267" t="str">
            <v>은행</v>
          </cell>
          <cell r="E1267" t="str">
            <v>국민은행</v>
          </cell>
          <cell r="H1267">
            <v>24</v>
          </cell>
          <cell r="I1267">
            <v>38000</v>
          </cell>
        </row>
        <row r="1268">
          <cell r="A1268" t="str">
            <v>직접대출</v>
          </cell>
          <cell r="C1268" t="str">
            <v>은행</v>
          </cell>
          <cell r="E1268" t="str">
            <v>국민은행</v>
          </cell>
          <cell r="H1268">
            <v>35</v>
          </cell>
          <cell r="I1268">
            <v>20000</v>
          </cell>
        </row>
        <row r="1269">
          <cell r="A1269" t="str">
            <v>직접대출</v>
          </cell>
          <cell r="C1269" t="str">
            <v>은행</v>
          </cell>
          <cell r="E1269" t="str">
            <v>국민은행</v>
          </cell>
          <cell r="H1269">
            <v>35</v>
          </cell>
          <cell r="I1269">
            <v>30000</v>
          </cell>
        </row>
        <row r="1270">
          <cell r="A1270" t="str">
            <v>직접대출</v>
          </cell>
          <cell r="C1270" t="str">
            <v>은행</v>
          </cell>
          <cell r="E1270" t="str">
            <v>국민은행</v>
          </cell>
          <cell r="H1270">
            <v>1</v>
          </cell>
          <cell r="I1270">
            <v>21100</v>
          </cell>
        </row>
        <row r="1271">
          <cell r="A1271" t="str">
            <v>직접대출</v>
          </cell>
          <cell r="C1271" t="str">
            <v>은행</v>
          </cell>
          <cell r="E1271" t="str">
            <v>국민은행</v>
          </cell>
          <cell r="H1271">
            <v>12</v>
          </cell>
          <cell r="I1271">
            <v>5000</v>
          </cell>
        </row>
        <row r="1272">
          <cell r="A1272" t="str">
            <v>직접대출</v>
          </cell>
          <cell r="C1272" t="str">
            <v>은행</v>
          </cell>
          <cell r="E1272" t="str">
            <v>국민은행</v>
          </cell>
          <cell r="H1272">
            <v>1000</v>
          </cell>
          <cell r="I1272">
            <v>1700</v>
          </cell>
        </row>
        <row r="1273">
          <cell r="A1273" t="str">
            <v>직접대출</v>
          </cell>
          <cell r="C1273" t="str">
            <v>은행</v>
          </cell>
          <cell r="E1273" t="str">
            <v>국민은행</v>
          </cell>
          <cell r="H1273">
            <v>2</v>
          </cell>
          <cell r="I1273">
            <v>35000</v>
          </cell>
        </row>
        <row r="1274">
          <cell r="A1274" t="str">
            <v>직접대출</v>
          </cell>
          <cell r="C1274" t="str">
            <v>은행</v>
          </cell>
          <cell r="E1274" t="str">
            <v>국민은행</v>
          </cell>
          <cell r="H1274">
            <v>2</v>
          </cell>
          <cell r="I1274">
            <v>39000</v>
          </cell>
        </row>
        <row r="1275">
          <cell r="A1275" t="str">
            <v>직접대출</v>
          </cell>
          <cell r="C1275" t="str">
            <v>은행</v>
          </cell>
          <cell r="E1275" t="str">
            <v>국민은행</v>
          </cell>
          <cell r="H1275">
            <v>45</v>
          </cell>
          <cell r="I1275">
            <v>8000</v>
          </cell>
        </row>
        <row r="1276">
          <cell r="A1276" t="str">
            <v>직접대출</v>
          </cell>
          <cell r="C1276" t="str">
            <v>은행</v>
          </cell>
          <cell r="E1276" t="str">
            <v>국민은행</v>
          </cell>
          <cell r="H1276">
            <v>45</v>
          </cell>
          <cell r="I1276">
            <v>10000</v>
          </cell>
        </row>
        <row r="1277">
          <cell r="A1277" t="str">
            <v>직접대출</v>
          </cell>
          <cell r="C1277" t="str">
            <v>은행</v>
          </cell>
          <cell r="E1277" t="str">
            <v>국민은행</v>
          </cell>
          <cell r="H1277">
            <v>35</v>
          </cell>
          <cell r="I1277">
            <v>0</v>
          </cell>
        </row>
        <row r="1278">
          <cell r="A1278" t="str">
            <v>직접대출</v>
          </cell>
          <cell r="C1278" t="str">
            <v>은행</v>
          </cell>
          <cell r="E1278" t="str">
            <v>국민은행</v>
          </cell>
          <cell r="H1278">
            <v>39</v>
          </cell>
          <cell r="I1278">
            <v>3900</v>
          </cell>
        </row>
        <row r="1279">
          <cell r="A1279" t="str">
            <v>직접대출</v>
          </cell>
          <cell r="C1279" t="str">
            <v>은행</v>
          </cell>
          <cell r="E1279" t="str">
            <v>국민은행</v>
          </cell>
          <cell r="H1279">
            <v>23</v>
          </cell>
          <cell r="I1279">
            <v>15000</v>
          </cell>
        </row>
        <row r="1280">
          <cell r="A1280" t="str">
            <v>직접대출</v>
          </cell>
          <cell r="C1280" t="str">
            <v>은행</v>
          </cell>
          <cell r="E1280" t="str">
            <v>국민은행</v>
          </cell>
          <cell r="H1280">
            <v>99</v>
          </cell>
          <cell r="I1280">
            <v>2000</v>
          </cell>
        </row>
        <row r="1281">
          <cell r="A1281" t="str">
            <v>직접대출</v>
          </cell>
          <cell r="C1281" t="str">
            <v>은행</v>
          </cell>
          <cell r="E1281" t="str">
            <v>국민은행</v>
          </cell>
          <cell r="H1281">
            <v>7</v>
          </cell>
          <cell r="I1281">
            <v>185000</v>
          </cell>
        </row>
        <row r="1282">
          <cell r="A1282" t="str">
            <v>직접대출</v>
          </cell>
          <cell r="C1282" t="str">
            <v>은행</v>
          </cell>
          <cell r="E1282" t="str">
            <v>국민은행</v>
          </cell>
          <cell r="H1282">
            <v>7</v>
          </cell>
          <cell r="I1282">
            <v>16500</v>
          </cell>
        </row>
        <row r="1283">
          <cell r="A1283" t="str">
            <v>직접대출</v>
          </cell>
          <cell r="C1283" t="str">
            <v>은행</v>
          </cell>
          <cell r="E1283" t="str">
            <v>국민은행</v>
          </cell>
          <cell r="H1283">
            <v>7</v>
          </cell>
          <cell r="I1283">
            <v>0</v>
          </cell>
        </row>
        <row r="1284">
          <cell r="A1284" t="str">
            <v>직접대출</v>
          </cell>
          <cell r="C1284" t="str">
            <v>은행</v>
          </cell>
          <cell r="E1284" t="str">
            <v>국민은행</v>
          </cell>
          <cell r="H1284">
            <v>7</v>
          </cell>
          <cell r="I1284">
            <v>59533.231414000002</v>
          </cell>
        </row>
        <row r="1285">
          <cell r="A1285" t="str">
            <v>직접대출</v>
          </cell>
          <cell r="C1285" t="str">
            <v>은행</v>
          </cell>
          <cell r="E1285" t="str">
            <v>국민은행</v>
          </cell>
          <cell r="H1285">
            <v>7</v>
          </cell>
          <cell r="I1285">
            <v>34687.007137000001</v>
          </cell>
        </row>
        <row r="1286">
          <cell r="A1286" t="str">
            <v>직접대출</v>
          </cell>
          <cell r="C1286" t="str">
            <v>은행</v>
          </cell>
          <cell r="E1286" t="str">
            <v>국민은행</v>
          </cell>
          <cell r="H1286">
            <v>4</v>
          </cell>
          <cell r="I1286">
            <v>52000</v>
          </cell>
        </row>
        <row r="1287">
          <cell r="A1287" t="str">
            <v>직접대출</v>
          </cell>
          <cell r="C1287" t="str">
            <v>은행</v>
          </cell>
          <cell r="E1287" t="str">
            <v>국민은행</v>
          </cell>
          <cell r="H1287">
            <v>8</v>
          </cell>
          <cell r="I1287">
            <v>49984.494796999999</v>
          </cell>
        </row>
        <row r="1288">
          <cell r="A1288" t="str">
            <v>직접대출</v>
          </cell>
          <cell r="C1288" t="str">
            <v>은행</v>
          </cell>
          <cell r="E1288" t="str">
            <v>국민은행</v>
          </cell>
          <cell r="H1288">
            <v>2</v>
          </cell>
          <cell r="I1288">
            <v>36700</v>
          </cell>
        </row>
        <row r="1289">
          <cell r="A1289" t="str">
            <v>직접대출</v>
          </cell>
          <cell r="C1289" t="str">
            <v>은행</v>
          </cell>
          <cell r="E1289" t="str">
            <v>국민은행</v>
          </cell>
          <cell r="H1289">
            <v>7</v>
          </cell>
          <cell r="I1289">
            <v>6581.4782279999999</v>
          </cell>
        </row>
        <row r="1290">
          <cell r="A1290" t="str">
            <v>직접대출</v>
          </cell>
          <cell r="C1290" t="str">
            <v>은행</v>
          </cell>
          <cell r="E1290" t="str">
            <v>국민은행</v>
          </cell>
          <cell r="H1290">
            <v>7</v>
          </cell>
          <cell r="I1290">
            <v>16000</v>
          </cell>
        </row>
        <row r="1291">
          <cell r="A1291" t="str">
            <v>직접대출</v>
          </cell>
          <cell r="C1291" t="str">
            <v>은행</v>
          </cell>
          <cell r="E1291" t="str">
            <v>국민은행</v>
          </cell>
          <cell r="H1291">
            <v>12</v>
          </cell>
          <cell r="I1291">
            <v>7270.7936390000004</v>
          </cell>
        </row>
        <row r="1292">
          <cell r="A1292" t="str">
            <v>직접대출</v>
          </cell>
          <cell r="C1292" t="str">
            <v>은행</v>
          </cell>
          <cell r="E1292" t="str">
            <v>국민은행</v>
          </cell>
          <cell r="H1292">
            <v>18</v>
          </cell>
          <cell r="I1292">
            <v>14966.804122</v>
          </cell>
        </row>
        <row r="1293">
          <cell r="A1293" t="str">
            <v>직접대출</v>
          </cell>
          <cell r="C1293" t="str">
            <v>은행</v>
          </cell>
          <cell r="E1293" t="str">
            <v>국민은행</v>
          </cell>
          <cell r="H1293">
            <v>12</v>
          </cell>
          <cell r="I1293">
            <v>22936.928892</v>
          </cell>
        </row>
        <row r="1294">
          <cell r="A1294" t="str">
            <v>직접대출</v>
          </cell>
          <cell r="C1294" t="str">
            <v>은행</v>
          </cell>
          <cell r="E1294" t="str">
            <v>국민은행</v>
          </cell>
          <cell r="H1294">
            <v>7</v>
          </cell>
          <cell r="I1294">
            <v>15</v>
          </cell>
        </row>
        <row r="1295">
          <cell r="A1295" t="str">
            <v>직접대출</v>
          </cell>
          <cell r="C1295" t="str">
            <v>은행</v>
          </cell>
          <cell r="E1295" t="str">
            <v>국민은행</v>
          </cell>
          <cell r="H1295">
            <v>7</v>
          </cell>
          <cell r="I1295">
            <v>23820.064374600002</v>
          </cell>
        </row>
        <row r="1296">
          <cell r="A1296" t="str">
            <v>직접대출</v>
          </cell>
          <cell r="C1296" t="str">
            <v>은행</v>
          </cell>
          <cell r="E1296" t="str">
            <v>국민은행</v>
          </cell>
          <cell r="H1296">
            <v>18</v>
          </cell>
          <cell r="I1296">
            <v>13560.740091</v>
          </cell>
        </row>
        <row r="1297">
          <cell r="A1297" t="str">
            <v>직접대출</v>
          </cell>
          <cell r="C1297" t="str">
            <v>은행</v>
          </cell>
          <cell r="E1297" t="str">
            <v>국민은행</v>
          </cell>
          <cell r="H1297">
            <v>7</v>
          </cell>
          <cell r="I1297">
            <v>103.66609499999998</v>
          </cell>
        </row>
        <row r="1298">
          <cell r="A1298" t="str">
            <v>직접대출</v>
          </cell>
          <cell r="C1298" t="str">
            <v>은행</v>
          </cell>
          <cell r="E1298" t="str">
            <v>국민은행</v>
          </cell>
          <cell r="H1298">
            <v>18</v>
          </cell>
          <cell r="I1298">
            <v>8461.9010610000005</v>
          </cell>
        </row>
        <row r="1299">
          <cell r="A1299" t="str">
            <v>직접대출</v>
          </cell>
          <cell r="C1299" t="str">
            <v>은행</v>
          </cell>
          <cell r="E1299" t="str">
            <v>국민은행</v>
          </cell>
          <cell r="H1299">
            <v>7</v>
          </cell>
          <cell r="I1299">
            <v>10205.690139</v>
          </cell>
        </row>
        <row r="1300">
          <cell r="A1300" t="str">
            <v>직접대출</v>
          </cell>
          <cell r="C1300" t="str">
            <v>은행</v>
          </cell>
          <cell r="E1300" t="str">
            <v>국민은행</v>
          </cell>
          <cell r="H1300">
            <v>56</v>
          </cell>
          <cell r="I1300">
            <v>24000</v>
          </cell>
        </row>
        <row r="1301">
          <cell r="A1301" t="str">
            <v>직접대출</v>
          </cell>
          <cell r="C1301" t="str">
            <v>은행</v>
          </cell>
          <cell r="E1301" t="str">
            <v>국민은행</v>
          </cell>
          <cell r="H1301">
            <v>56</v>
          </cell>
          <cell r="I1301">
            <v>56000</v>
          </cell>
        </row>
        <row r="1302">
          <cell r="A1302" t="str">
            <v>직접대출</v>
          </cell>
          <cell r="C1302" t="str">
            <v>은행</v>
          </cell>
          <cell r="E1302" t="str">
            <v>국민은행</v>
          </cell>
          <cell r="H1302">
            <v>338</v>
          </cell>
          <cell r="I1302">
            <v>2500</v>
          </cell>
        </row>
        <row r="1303">
          <cell r="A1303" t="str">
            <v>직접대출</v>
          </cell>
          <cell r="C1303" t="str">
            <v>은행</v>
          </cell>
          <cell r="E1303" t="str">
            <v>국민은행</v>
          </cell>
          <cell r="H1303">
            <v>56</v>
          </cell>
          <cell r="I1303">
            <v>23000</v>
          </cell>
        </row>
        <row r="1304">
          <cell r="A1304" t="str">
            <v>직접대출</v>
          </cell>
          <cell r="C1304" t="str">
            <v>은행</v>
          </cell>
          <cell r="E1304" t="str">
            <v>국민은행</v>
          </cell>
          <cell r="H1304">
            <v>133</v>
          </cell>
          <cell r="I1304">
            <v>13500</v>
          </cell>
        </row>
        <row r="1305">
          <cell r="A1305" t="str">
            <v>직접대출</v>
          </cell>
          <cell r="C1305" t="str">
            <v>은행</v>
          </cell>
          <cell r="E1305" t="str">
            <v>국민은행</v>
          </cell>
          <cell r="H1305">
            <v>1</v>
          </cell>
          <cell r="I1305">
            <v>48500</v>
          </cell>
        </row>
        <row r="1306">
          <cell r="A1306" t="str">
            <v>직접대출</v>
          </cell>
          <cell r="C1306" t="str">
            <v>은행</v>
          </cell>
          <cell r="E1306" t="str">
            <v>국민은행</v>
          </cell>
          <cell r="H1306">
            <v>108</v>
          </cell>
          <cell r="I1306">
            <v>7000</v>
          </cell>
        </row>
        <row r="1307">
          <cell r="A1307" t="str">
            <v>직접대출</v>
          </cell>
          <cell r="C1307" t="str">
            <v>은행</v>
          </cell>
          <cell r="E1307" t="str">
            <v>국민은행</v>
          </cell>
          <cell r="H1307">
            <v>133</v>
          </cell>
          <cell r="I1307">
            <v>28000</v>
          </cell>
        </row>
        <row r="1308">
          <cell r="A1308" t="str">
            <v>직접대출</v>
          </cell>
          <cell r="C1308" t="str">
            <v>은행</v>
          </cell>
          <cell r="E1308" t="str">
            <v>국민은행</v>
          </cell>
          <cell r="H1308">
            <v>133</v>
          </cell>
          <cell r="I1308">
            <v>4000</v>
          </cell>
        </row>
        <row r="1309">
          <cell r="A1309" t="str">
            <v>직접대출</v>
          </cell>
          <cell r="C1309" t="str">
            <v>은행</v>
          </cell>
          <cell r="E1309" t="str">
            <v>국민은행</v>
          </cell>
          <cell r="H1309">
            <v>23</v>
          </cell>
          <cell r="I1309">
            <v>39000</v>
          </cell>
        </row>
        <row r="1310">
          <cell r="A1310" t="str">
            <v>직접대출</v>
          </cell>
          <cell r="C1310" t="str">
            <v>은행</v>
          </cell>
          <cell r="E1310" t="str">
            <v>국민은행</v>
          </cell>
          <cell r="H1310">
            <v>32</v>
          </cell>
          <cell r="I1310">
            <v>39000</v>
          </cell>
        </row>
        <row r="1311">
          <cell r="A1311" t="str">
            <v>직접대출</v>
          </cell>
          <cell r="C1311" t="str">
            <v>은행</v>
          </cell>
          <cell r="E1311" t="str">
            <v>국민은행</v>
          </cell>
          <cell r="H1311">
            <v>23</v>
          </cell>
          <cell r="I1311">
            <v>10530</v>
          </cell>
        </row>
        <row r="1312">
          <cell r="A1312" t="str">
            <v>직접대출</v>
          </cell>
          <cell r="C1312" t="str">
            <v>은행</v>
          </cell>
          <cell r="E1312" t="str">
            <v>국민은행</v>
          </cell>
          <cell r="H1312">
            <v>38</v>
          </cell>
          <cell r="I1312">
            <v>4000</v>
          </cell>
        </row>
        <row r="1313">
          <cell r="A1313" t="str">
            <v>직접대출</v>
          </cell>
          <cell r="C1313" t="str">
            <v>은행</v>
          </cell>
          <cell r="E1313" t="str">
            <v>국민은행</v>
          </cell>
          <cell r="H1313">
            <v>151</v>
          </cell>
          <cell r="I1313">
            <v>3000</v>
          </cell>
        </row>
        <row r="1314">
          <cell r="A1314" t="str">
            <v>직접대출</v>
          </cell>
          <cell r="C1314" t="str">
            <v>은행</v>
          </cell>
          <cell r="E1314" t="str">
            <v>국민은행</v>
          </cell>
          <cell r="H1314">
            <v>151</v>
          </cell>
          <cell r="I1314">
            <v>2500</v>
          </cell>
        </row>
        <row r="1315">
          <cell r="A1315" t="str">
            <v>직접대출</v>
          </cell>
          <cell r="C1315" t="str">
            <v>은행</v>
          </cell>
          <cell r="E1315" t="str">
            <v>국민은행</v>
          </cell>
          <cell r="H1315">
            <v>28</v>
          </cell>
          <cell r="I1315">
            <v>9800</v>
          </cell>
        </row>
        <row r="1316">
          <cell r="A1316" t="str">
            <v>직접대출</v>
          </cell>
          <cell r="C1316" t="str">
            <v>은행</v>
          </cell>
          <cell r="E1316" t="str">
            <v>국민은행</v>
          </cell>
          <cell r="H1316">
            <v>171</v>
          </cell>
          <cell r="I1316">
            <v>7000</v>
          </cell>
        </row>
        <row r="1317">
          <cell r="A1317" t="str">
            <v>직접대출</v>
          </cell>
          <cell r="C1317" t="str">
            <v>은행</v>
          </cell>
          <cell r="E1317" t="str">
            <v>국민은행</v>
          </cell>
          <cell r="H1317">
            <v>151</v>
          </cell>
          <cell r="I1317">
            <v>2000</v>
          </cell>
        </row>
        <row r="1318">
          <cell r="A1318" t="str">
            <v>직접대출</v>
          </cell>
          <cell r="C1318" t="str">
            <v>은행</v>
          </cell>
          <cell r="E1318" t="str">
            <v>국민은행</v>
          </cell>
          <cell r="H1318">
            <v>8</v>
          </cell>
          <cell r="I1318">
            <v>1921.2</v>
          </cell>
        </row>
        <row r="1319">
          <cell r="A1319" t="str">
            <v>직접대출</v>
          </cell>
          <cell r="C1319" t="str">
            <v>은행</v>
          </cell>
          <cell r="E1319" t="str">
            <v>국민은행</v>
          </cell>
          <cell r="H1319">
            <v>8</v>
          </cell>
          <cell r="I1319">
            <v>18307.5660131</v>
          </cell>
        </row>
        <row r="1320">
          <cell r="A1320" t="str">
            <v>직접대출</v>
          </cell>
          <cell r="C1320" t="str">
            <v>은행</v>
          </cell>
          <cell r="E1320" t="str">
            <v>국민은행</v>
          </cell>
          <cell r="H1320">
            <v>8</v>
          </cell>
          <cell r="I1320">
            <v>2600</v>
          </cell>
        </row>
        <row r="1321">
          <cell r="A1321" t="str">
            <v>직접대출</v>
          </cell>
          <cell r="C1321" t="str">
            <v>은행</v>
          </cell>
          <cell r="E1321" t="str">
            <v>국민은행</v>
          </cell>
          <cell r="H1321">
            <v>23</v>
          </cell>
          <cell r="I1321">
            <v>60000</v>
          </cell>
        </row>
        <row r="1322">
          <cell r="A1322" t="str">
            <v>직접대출</v>
          </cell>
          <cell r="C1322" t="str">
            <v>은행</v>
          </cell>
          <cell r="E1322" t="str">
            <v>국민은행</v>
          </cell>
          <cell r="H1322">
            <v>8</v>
          </cell>
          <cell r="I1322">
            <v>3616.6083749999998</v>
          </cell>
        </row>
        <row r="1323">
          <cell r="A1323" t="str">
            <v>직접대출</v>
          </cell>
          <cell r="C1323" t="str">
            <v>은행</v>
          </cell>
          <cell r="E1323" t="str">
            <v>국민은행</v>
          </cell>
          <cell r="H1323">
            <v>8</v>
          </cell>
          <cell r="I1323">
            <v>3172.0709660000002</v>
          </cell>
        </row>
        <row r="1324">
          <cell r="A1324" t="str">
            <v>직접대출</v>
          </cell>
          <cell r="C1324" t="str">
            <v>은행</v>
          </cell>
          <cell r="E1324" t="str">
            <v>국민은행</v>
          </cell>
          <cell r="H1324">
            <v>8</v>
          </cell>
          <cell r="I1324">
            <v>9033.1937080000007</v>
          </cell>
        </row>
        <row r="1325">
          <cell r="A1325" t="str">
            <v>직접대출</v>
          </cell>
          <cell r="C1325" t="str">
            <v>은행</v>
          </cell>
          <cell r="E1325" t="str">
            <v>국민은행</v>
          </cell>
          <cell r="H1325">
            <v>23</v>
          </cell>
          <cell r="I1325">
            <v>3900</v>
          </cell>
        </row>
        <row r="1326">
          <cell r="A1326" t="str">
            <v>직접대출</v>
          </cell>
          <cell r="C1326" t="str">
            <v>은행</v>
          </cell>
          <cell r="E1326" t="str">
            <v>국민은행</v>
          </cell>
          <cell r="H1326">
            <v>58</v>
          </cell>
          <cell r="I1326">
            <v>40159.073013000001</v>
          </cell>
        </row>
        <row r="1327">
          <cell r="A1327" t="str">
            <v>직접대출</v>
          </cell>
          <cell r="C1327" t="str">
            <v>은행</v>
          </cell>
          <cell r="E1327" t="str">
            <v>국민은행</v>
          </cell>
          <cell r="H1327">
            <v>79</v>
          </cell>
          <cell r="I1327">
            <v>8000</v>
          </cell>
        </row>
        <row r="1328">
          <cell r="A1328" t="str">
            <v>직접대출</v>
          </cell>
          <cell r="C1328" t="str">
            <v>은행</v>
          </cell>
          <cell r="E1328" t="str">
            <v>국민은행</v>
          </cell>
          <cell r="H1328">
            <v>36</v>
          </cell>
          <cell r="I1328">
            <v>27000</v>
          </cell>
        </row>
        <row r="1329">
          <cell r="A1329" t="str">
            <v>직접대출</v>
          </cell>
          <cell r="C1329" t="str">
            <v>은행</v>
          </cell>
          <cell r="E1329" t="str">
            <v>국민은행</v>
          </cell>
          <cell r="H1329">
            <v>343</v>
          </cell>
          <cell r="I1329">
            <v>9000</v>
          </cell>
        </row>
        <row r="1330">
          <cell r="A1330" t="str">
            <v>직접대출</v>
          </cell>
          <cell r="C1330" t="str">
            <v>은행</v>
          </cell>
          <cell r="E1330" t="str">
            <v>국민은행</v>
          </cell>
          <cell r="H1330">
            <v>1000</v>
          </cell>
          <cell r="I1330">
            <v>9000</v>
          </cell>
        </row>
        <row r="1331">
          <cell r="A1331" t="str">
            <v>직접대출</v>
          </cell>
          <cell r="C1331" t="str">
            <v>은행</v>
          </cell>
          <cell r="E1331" t="str">
            <v>국민은행</v>
          </cell>
          <cell r="H1331">
            <v>98</v>
          </cell>
          <cell r="I1331">
            <v>22900.589424000002</v>
          </cell>
        </row>
        <row r="1332">
          <cell r="A1332" t="str">
            <v>직접대출</v>
          </cell>
          <cell r="C1332" t="str">
            <v>은행</v>
          </cell>
          <cell r="E1332" t="str">
            <v>국민은행</v>
          </cell>
          <cell r="H1332">
            <v>108</v>
          </cell>
          <cell r="I1332">
            <v>35004</v>
          </cell>
        </row>
        <row r="1333">
          <cell r="A1333" t="str">
            <v>직접대출</v>
          </cell>
          <cell r="C1333" t="str">
            <v>은행</v>
          </cell>
          <cell r="E1333" t="str">
            <v>국민은행</v>
          </cell>
          <cell r="H1333">
            <v>1000</v>
          </cell>
          <cell r="I1333">
            <v>35004</v>
          </cell>
        </row>
        <row r="1334">
          <cell r="A1334" t="str">
            <v>직접대출</v>
          </cell>
          <cell r="C1334" t="str">
            <v>은행</v>
          </cell>
          <cell r="E1334" t="str">
            <v>국민은행</v>
          </cell>
          <cell r="H1334">
            <v>1000</v>
          </cell>
          <cell r="I1334">
            <v>8000</v>
          </cell>
        </row>
        <row r="1335">
          <cell r="A1335" t="str">
            <v>직접대출</v>
          </cell>
          <cell r="C1335" t="str">
            <v>은행</v>
          </cell>
          <cell r="E1335" t="str">
            <v>국민은행</v>
          </cell>
          <cell r="H1335">
            <v>51</v>
          </cell>
          <cell r="I1335">
            <v>6601</v>
          </cell>
        </row>
        <row r="1336">
          <cell r="A1336" t="str">
            <v>직접대출</v>
          </cell>
          <cell r="C1336" t="str">
            <v>은행</v>
          </cell>
          <cell r="E1336" t="str">
            <v>국민은행</v>
          </cell>
          <cell r="H1336">
            <v>51</v>
          </cell>
          <cell r="I1336">
            <v>656</v>
          </cell>
        </row>
        <row r="1337">
          <cell r="A1337" t="str">
            <v>직접대출</v>
          </cell>
          <cell r="C1337" t="str">
            <v>은행</v>
          </cell>
          <cell r="E1337" t="str">
            <v>국민은행</v>
          </cell>
          <cell r="H1337">
            <v>19</v>
          </cell>
          <cell r="I1337">
            <v>8500</v>
          </cell>
        </row>
        <row r="1338">
          <cell r="A1338" t="str">
            <v>직접대출</v>
          </cell>
          <cell r="C1338" t="str">
            <v>은행</v>
          </cell>
          <cell r="E1338" t="str">
            <v>국민은행</v>
          </cell>
          <cell r="H1338">
            <v>10</v>
          </cell>
          <cell r="I1338">
            <v>84400</v>
          </cell>
        </row>
        <row r="1339">
          <cell r="A1339" t="str">
            <v>직접대출</v>
          </cell>
          <cell r="C1339" t="str">
            <v>은행</v>
          </cell>
          <cell r="E1339" t="str">
            <v>국민은행</v>
          </cell>
          <cell r="H1339">
            <v>1</v>
          </cell>
          <cell r="I1339">
            <v>17802.328609000004</v>
          </cell>
        </row>
        <row r="1340">
          <cell r="A1340" t="str">
            <v>직접대출</v>
          </cell>
          <cell r="C1340" t="str">
            <v>은행</v>
          </cell>
          <cell r="E1340" t="str">
            <v>산업은행</v>
          </cell>
          <cell r="H1340">
            <v>9</v>
          </cell>
          <cell r="I1340">
            <v>20620</v>
          </cell>
        </row>
        <row r="1341">
          <cell r="A1341" t="str">
            <v>직접대출</v>
          </cell>
          <cell r="C1341" t="str">
            <v>은행</v>
          </cell>
          <cell r="E1341" t="str">
            <v>수협중앙회</v>
          </cell>
          <cell r="H1341">
            <v>6</v>
          </cell>
          <cell r="I1341">
            <v>7730</v>
          </cell>
        </row>
        <row r="1342">
          <cell r="A1342" t="str">
            <v>직접대출</v>
          </cell>
          <cell r="C1342" t="str">
            <v>은행</v>
          </cell>
          <cell r="E1342" t="str">
            <v>수협중앙회</v>
          </cell>
          <cell r="H1342">
            <v>13</v>
          </cell>
          <cell r="I1342">
            <v>24000</v>
          </cell>
        </row>
        <row r="1343">
          <cell r="A1343" t="str">
            <v>직접대출</v>
          </cell>
          <cell r="C1343" t="str">
            <v>은행</v>
          </cell>
          <cell r="E1343" t="str">
            <v>수협중앙회</v>
          </cell>
          <cell r="H1343">
            <v>6</v>
          </cell>
          <cell r="I1343">
            <v>28000</v>
          </cell>
        </row>
        <row r="1344">
          <cell r="A1344" t="str">
            <v>직접대출</v>
          </cell>
          <cell r="C1344" t="str">
            <v>은행</v>
          </cell>
          <cell r="E1344" t="str">
            <v>수협중앙회</v>
          </cell>
          <cell r="H1344">
            <v>9</v>
          </cell>
          <cell r="I1344">
            <v>20000</v>
          </cell>
        </row>
        <row r="1345">
          <cell r="A1345" t="str">
            <v>직접대출</v>
          </cell>
          <cell r="C1345" t="str">
            <v>은행</v>
          </cell>
          <cell r="E1345" t="str">
            <v>수협중앙회</v>
          </cell>
          <cell r="H1345">
            <v>6</v>
          </cell>
          <cell r="I1345">
            <v>20000</v>
          </cell>
        </row>
        <row r="1346">
          <cell r="A1346" t="str">
            <v>직접대출</v>
          </cell>
          <cell r="C1346" t="str">
            <v>은행</v>
          </cell>
          <cell r="E1346" t="str">
            <v>수협중앙회</v>
          </cell>
          <cell r="H1346">
            <v>27</v>
          </cell>
          <cell r="I1346">
            <v>9000</v>
          </cell>
        </row>
        <row r="1347">
          <cell r="A1347" t="str">
            <v>직접대출</v>
          </cell>
          <cell r="C1347" t="str">
            <v>은행</v>
          </cell>
          <cell r="E1347" t="str">
            <v>수협중앙회</v>
          </cell>
          <cell r="H1347">
            <v>27</v>
          </cell>
          <cell r="I1347">
            <v>50</v>
          </cell>
        </row>
        <row r="1348">
          <cell r="A1348" t="str">
            <v>직접대출</v>
          </cell>
          <cell r="C1348" t="str">
            <v>은행</v>
          </cell>
          <cell r="E1348" t="str">
            <v>수협중앙회</v>
          </cell>
          <cell r="H1348">
            <v>194</v>
          </cell>
          <cell r="I1348">
            <v>36000</v>
          </cell>
        </row>
        <row r="1349">
          <cell r="A1349" t="str">
            <v>직접대출</v>
          </cell>
          <cell r="C1349" t="str">
            <v>은행</v>
          </cell>
          <cell r="E1349" t="str">
            <v>수협중앙회</v>
          </cell>
          <cell r="H1349">
            <v>35</v>
          </cell>
          <cell r="I1349">
            <v>3000</v>
          </cell>
        </row>
        <row r="1350">
          <cell r="A1350" t="str">
            <v>직접대출</v>
          </cell>
          <cell r="C1350" t="str">
            <v>은행</v>
          </cell>
          <cell r="E1350" t="str">
            <v>수협중앙회</v>
          </cell>
          <cell r="H1350">
            <v>24</v>
          </cell>
          <cell r="I1350">
            <v>0</v>
          </cell>
        </row>
        <row r="1351">
          <cell r="A1351" t="str">
            <v>직접대출</v>
          </cell>
          <cell r="C1351" t="str">
            <v>은행</v>
          </cell>
          <cell r="E1351" t="str">
            <v>수협중앙회</v>
          </cell>
          <cell r="H1351">
            <v>24</v>
          </cell>
          <cell r="I1351">
            <v>7118</v>
          </cell>
        </row>
        <row r="1352">
          <cell r="A1352" t="str">
            <v>직접대출</v>
          </cell>
          <cell r="C1352" t="str">
            <v>은행</v>
          </cell>
          <cell r="E1352" t="str">
            <v>수협중앙회</v>
          </cell>
          <cell r="H1352">
            <v>1000</v>
          </cell>
          <cell r="I1352">
            <v>15325</v>
          </cell>
        </row>
        <row r="1353">
          <cell r="A1353" t="str">
            <v>직접대출</v>
          </cell>
          <cell r="C1353" t="str">
            <v>은행</v>
          </cell>
          <cell r="E1353" t="str">
            <v>수협중앙회</v>
          </cell>
          <cell r="H1353">
            <v>194</v>
          </cell>
          <cell r="I1353">
            <v>15325</v>
          </cell>
        </row>
        <row r="1354">
          <cell r="A1354" t="str">
            <v>직접대출</v>
          </cell>
          <cell r="C1354" t="str">
            <v>은행</v>
          </cell>
          <cell r="E1354" t="str">
            <v>수협중앙회</v>
          </cell>
          <cell r="H1354">
            <v>85</v>
          </cell>
          <cell r="I1354">
            <v>1400</v>
          </cell>
        </row>
        <row r="1355">
          <cell r="A1355" t="str">
            <v>직접대출</v>
          </cell>
          <cell r="C1355" t="str">
            <v>은행</v>
          </cell>
          <cell r="E1355" t="str">
            <v>수협중앙회</v>
          </cell>
          <cell r="H1355">
            <v>13</v>
          </cell>
          <cell r="I1355">
            <v>57533</v>
          </cell>
        </row>
        <row r="1356">
          <cell r="A1356" t="str">
            <v>직접대출</v>
          </cell>
          <cell r="C1356" t="str">
            <v>은행</v>
          </cell>
          <cell r="E1356" t="str">
            <v>수협중앙회</v>
          </cell>
          <cell r="H1356">
            <v>60</v>
          </cell>
          <cell r="I1356">
            <v>13000</v>
          </cell>
        </row>
        <row r="1357">
          <cell r="A1357" t="str">
            <v>직접대출</v>
          </cell>
          <cell r="C1357" t="str">
            <v>은행</v>
          </cell>
          <cell r="E1357" t="str">
            <v>수협중앙회</v>
          </cell>
          <cell r="H1357">
            <v>23</v>
          </cell>
          <cell r="I1357">
            <v>19200</v>
          </cell>
        </row>
        <row r="1358">
          <cell r="A1358" t="str">
            <v>직접대출</v>
          </cell>
          <cell r="C1358" t="str">
            <v>은행</v>
          </cell>
          <cell r="E1358" t="str">
            <v>수협중앙회</v>
          </cell>
          <cell r="H1358">
            <v>12</v>
          </cell>
          <cell r="I1358">
            <v>13063</v>
          </cell>
        </row>
        <row r="1359">
          <cell r="A1359" t="str">
            <v>직접대출</v>
          </cell>
          <cell r="C1359" t="str">
            <v>은행</v>
          </cell>
          <cell r="E1359" t="str">
            <v>수협중앙회</v>
          </cell>
          <cell r="H1359">
            <v>2</v>
          </cell>
          <cell r="I1359">
            <v>53433</v>
          </cell>
        </row>
        <row r="1360">
          <cell r="A1360" t="str">
            <v>직접대출</v>
          </cell>
          <cell r="C1360" t="str">
            <v>은행</v>
          </cell>
          <cell r="E1360" t="str">
            <v>수협중앙회</v>
          </cell>
          <cell r="H1360">
            <v>123</v>
          </cell>
          <cell r="I1360">
            <v>8571.4285710000004</v>
          </cell>
        </row>
        <row r="1361">
          <cell r="A1361" t="str">
            <v>직접대출</v>
          </cell>
          <cell r="C1361" t="str">
            <v>은행</v>
          </cell>
          <cell r="E1361" t="str">
            <v>수협중앙회</v>
          </cell>
          <cell r="H1361">
            <v>23</v>
          </cell>
          <cell r="I1361">
            <v>9375</v>
          </cell>
        </row>
        <row r="1362">
          <cell r="A1362" t="str">
            <v>직접대출</v>
          </cell>
          <cell r="C1362" t="str">
            <v>은행</v>
          </cell>
          <cell r="E1362" t="str">
            <v>수협중앙회</v>
          </cell>
          <cell r="H1362">
            <v>23</v>
          </cell>
          <cell r="I1362">
            <v>2250</v>
          </cell>
        </row>
        <row r="1363">
          <cell r="A1363" t="str">
            <v>직접대출</v>
          </cell>
          <cell r="C1363" t="str">
            <v>은행</v>
          </cell>
          <cell r="E1363" t="str">
            <v>수협중앙회</v>
          </cell>
          <cell r="H1363">
            <v>45</v>
          </cell>
          <cell r="I1363">
            <v>6428</v>
          </cell>
        </row>
        <row r="1364">
          <cell r="A1364" t="str">
            <v>직접대출</v>
          </cell>
          <cell r="C1364" t="str">
            <v>은행</v>
          </cell>
          <cell r="E1364" t="str">
            <v>수협중앙회</v>
          </cell>
          <cell r="H1364">
            <v>66</v>
          </cell>
          <cell r="I1364">
            <v>15000</v>
          </cell>
        </row>
        <row r="1365">
          <cell r="A1365" t="str">
            <v>직접대출</v>
          </cell>
          <cell r="C1365" t="str">
            <v>은행</v>
          </cell>
          <cell r="E1365" t="str">
            <v>수협중앙회</v>
          </cell>
          <cell r="H1365">
            <v>179</v>
          </cell>
          <cell r="I1365">
            <v>0</v>
          </cell>
        </row>
        <row r="1366">
          <cell r="A1366" t="str">
            <v>직접대출</v>
          </cell>
          <cell r="C1366" t="str">
            <v>은행</v>
          </cell>
          <cell r="E1366" t="str">
            <v>수협중앙회</v>
          </cell>
          <cell r="H1366">
            <v>179</v>
          </cell>
          <cell r="I1366">
            <v>0</v>
          </cell>
        </row>
        <row r="1367">
          <cell r="A1367" t="str">
            <v>직접대출</v>
          </cell>
          <cell r="C1367" t="str">
            <v>은행</v>
          </cell>
          <cell r="E1367" t="str">
            <v>수협중앙회</v>
          </cell>
          <cell r="H1367">
            <v>78</v>
          </cell>
          <cell r="I1367">
            <v>22000</v>
          </cell>
        </row>
        <row r="1368">
          <cell r="A1368" t="str">
            <v>직접대출</v>
          </cell>
          <cell r="C1368" t="str">
            <v>은행</v>
          </cell>
          <cell r="E1368" t="str">
            <v>수협중앙회</v>
          </cell>
          <cell r="H1368">
            <v>8</v>
          </cell>
          <cell r="I1368">
            <v>10000</v>
          </cell>
        </row>
        <row r="1369">
          <cell r="A1369" t="str">
            <v>직접대출</v>
          </cell>
          <cell r="C1369" t="str">
            <v>은행</v>
          </cell>
          <cell r="E1369" t="str">
            <v>수협중앙회</v>
          </cell>
          <cell r="H1369">
            <v>21</v>
          </cell>
          <cell r="I1369">
            <v>30000</v>
          </cell>
        </row>
        <row r="1370">
          <cell r="A1370" t="str">
            <v>직접대출</v>
          </cell>
          <cell r="C1370" t="str">
            <v>은행</v>
          </cell>
          <cell r="E1370" t="str">
            <v>수협중앙회</v>
          </cell>
          <cell r="H1370">
            <v>54</v>
          </cell>
          <cell r="I1370">
            <v>10000</v>
          </cell>
        </row>
        <row r="1371">
          <cell r="A1371" t="str">
            <v>직접대출</v>
          </cell>
          <cell r="C1371" t="str">
            <v>은행</v>
          </cell>
          <cell r="E1371" t="str">
            <v>수협중앙회</v>
          </cell>
          <cell r="H1371">
            <v>17</v>
          </cell>
          <cell r="I1371">
            <v>20000</v>
          </cell>
        </row>
        <row r="1372">
          <cell r="A1372" t="str">
            <v>직접대출</v>
          </cell>
          <cell r="C1372" t="str">
            <v>은행</v>
          </cell>
          <cell r="E1372" t="str">
            <v>수협중앙회</v>
          </cell>
          <cell r="H1372">
            <v>153</v>
          </cell>
          <cell r="I1372">
            <v>13300</v>
          </cell>
        </row>
        <row r="1373">
          <cell r="A1373" t="str">
            <v>직접대출</v>
          </cell>
          <cell r="C1373" t="str">
            <v>은행</v>
          </cell>
          <cell r="E1373" t="str">
            <v>수협중앙회</v>
          </cell>
          <cell r="H1373">
            <v>21</v>
          </cell>
          <cell r="I1373">
            <v>0</v>
          </cell>
        </row>
        <row r="1374">
          <cell r="A1374" t="str">
            <v>직접대출</v>
          </cell>
          <cell r="C1374" t="str">
            <v>은행</v>
          </cell>
          <cell r="E1374" t="str">
            <v>수협중앙회</v>
          </cell>
          <cell r="H1374">
            <v>21</v>
          </cell>
          <cell r="I1374">
            <v>0</v>
          </cell>
        </row>
        <row r="1375">
          <cell r="A1375" t="str">
            <v>직접대출</v>
          </cell>
          <cell r="C1375" t="str">
            <v>은행</v>
          </cell>
          <cell r="E1375" t="str">
            <v>수협중앙회</v>
          </cell>
          <cell r="H1375">
            <v>41</v>
          </cell>
          <cell r="I1375">
            <v>5000</v>
          </cell>
        </row>
        <row r="1376">
          <cell r="A1376" t="str">
            <v>직접대출</v>
          </cell>
          <cell r="C1376" t="str">
            <v>은행</v>
          </cell>
          <cell r="E1376" t="str">
            <v>수협중앙회</v>
          </cell>
          <cell r="H1376">
            <v>41</v>
          </cell>
          <cell r="I1376">
            <v>5000</v>
          </cell>
        </row>
        <row r="1377">
          <cell r="A1377" t="str">
            <v>직접대출</v>
          </cell>
          <cell r="C1377" t="str">
            <v>은행</v>
          </cell>
          <cell r="E1377" t="str">
            <v>수협중앙회</v>
          </cell>
          <cell r="H1377">
            <v>41</v>
          </cell>
          <cell r="I1377">
            <v>15000</v>
          </cell>
        </row>
        <row r="1378">
          <cell r="A1378" t="str">
            <v>직접대출</v>
          </cell>
          <cell r="C1378" t="str">
            <v>은행</v>
          </cell>
          <cell r="E1378" t="str">
            <v>수협중앙회</v>
          </cell>
          <cell r="H1378">
            <v>40</v>
          </cell>
          <cell r="I1378">
            <v>12000</v>
          </cell>
        </row>
        <row r="1379">
          <cell r="A1379" t="str">
            <v>직접대출</v>
          </cell>
          <cell r="C1379" t="str">
            <v>은행</v>
          </cell>
          <cell r="E1379" t="str">
            <v>수협중앙회</v>
          </cell>
          <cell r="H1379">
            <v>45</v>
          </cell>
          <cell r="I1379">
            <v>4000</v>
          </cell>
        </row>
        <row r="1380">
          <cell r="A1380" t="str">
            <v>직접대출</v>
          </cell>
          <cell r="C1380" t="str">
            <v>은행</v>
          </cell>
          <cell r="E1380" t="str">
            <v>수협중앙회</v>
          </cell>
          <cell r="H1380">
            <v>35</v>
          </cell>
          <cell r="I1380">
            <v>50000</v>
          </cell>
        </row>
        <row r="1381">
          <cell r="A1381" t="str">
            <v>직접대출</v>
          </cell>
          <cell r="C1381" t="str">
            <v>은행</v>
          </cell>
          <cell r="E1381" t="str">
            <v>수협중앙회</v>
          </cell>
          <cell r="H1381">
            <v>40</v>
          </cell>
          <cell r="I1381">
            <v>50000</v>
          </cell>
        </row>
        <row r="1382">
          <cell r="A1382" t="str">
            <v>직접대출</v>
          </cell>
          <cell r="C1382" t="str">
            <v>은행</v>
          </cell>
          <cell r="E1382" t="str">
            <v>수협중앙회</v>
          </cell>
          <cell r="H1382">
            <v>9</v>
          </cell>
          <cell r="I1382">
            <v>63980</v>
          </cell>
        </row>
        <row r="1383">
          <cell r="A1383" t="str">
            <v>직접대출</v>
          </cell>
          <cell r="C1383" t="str">
            <v>은행</v>
          </cell>
          <cell r="E1383" t="str">
            <v>수협중앙회</v>
          </cell>
          <cell r="H1383">
            <v>77</v>
          </cell>
          <cell r="I1383">
            <v>19255.923459000001</v>
          </cell>
        </row>
        <row r="1384">
          <cell r="A1384" t="str">
            <v>직접대출</v>
          </cell>
          <cell r="C1384" t="str">
            <v>은행</v>
          </cell>
          <cell r="E1384" t="str">
            <v>수협중앙회</v>
          </cell>
          <cell r="H1384">
            <v>47</v>
          </cell>
          <cell r="I1384">
            <v>24000</v>
          </cell>
        </row>
        <row r="1385">
          <cell r="A1385" t="str">
            <v>직접대출</v>
          </cell>
          <cell r="C1385" t="str">
            <v>은행</v>
          </cell>
          <cell r="E1385" t="str">
            <v>수협중앙회</v>
          </cell>
          <cell r="H1385">
            <v>10</v>
          </cell>
          <cell r="I1385">
            <v>20000</v>
          </cell>
        </row>
        <row r="1386">
          <cell r="A1386" t="str">
            <v>직접대출</v>
          </cell>
          <cell r="C1386" t="str">
            <v>은행</v>
          </cell>
          <cell r="E1386" t="str">
            <v>수협중앙회</v>
          </cell>
          <cell r="H1386">
            <v>16</v>
          </cell>
          <cell r="I1386">
            <v>20000</v>
          </cell>
        </row>
        <row r="1387">
          <cell r="A1387" t="str">
            <v>직접대출</v>
          </cell>
          <cell r="C1387" t="str">
            <v>은행</v>
          </cell>
          <cell r="E1387" t="str">
            <v>수협중앙회</v>
          </cell>
          <cell r="H1387">
            <v>280</v>
          </cell>
          <cell r="I1387">
            <v>7000</v>
          </cell>
        </row>
        <row r="1388">
          <cell r="A1388" t="str">
            <v>직접대출</v>
          </cell>
          <cell r="C1388" t="str">
            <v>은행</v>
          </cell>
          <cell r="E1388" t="str">
            <v>수협중앙회</v>
          </cell>
          <cell r="H1388">
            <v>9</v>
          </cell>
          <cell r="I1388">
            <v>15000</v>
          </cell>
        </row>
        <row r="1389">
          <cell r="A1389" t="str">
            <v>직접대출</v>
          </cell>
          <cell r="C1389" t="str">
            <v>은행</v>
          </cell>
          <cell r="E1389" t="str">
            <v>수협중앙회</v>
          </cell>
          <cell r="H1389">
            <v>50</v>
          </cell>
          <cell r="I1389">
            <v>50000</v>
          </cell>
        </row>
        <row r="1390">
          <cell r="A1390" t="str">
            <v>직접대출</v>
          </cell>
          <cell r="C1390" t="str">
            <v>은행</v>
          </cell>
          <cell r="E1390" t="str">
            <v>수협중앙회</v>
          </cell>
          <cell r="H1390">
            <v>10</v>
          </cell>
          <cell r="I1390">
            <v>15000</v>
          </cell>
        </row>
        <row r="1391">
          <cell r="A1391" t="str">
            <v>직접대출</v>
          </cell>
          <cell r="C1391" t="str">
            <v>은행</v>
          </cell>
          <cell r="E1391" t="str">
            <v>수협중앙회</v>
          </cell>
          <cell r="H1391">
            <v>34</v>
          </cell>
          <cell r="I1391">
            <v>18000</v>
          </cell>
        </row>
        <row r="1392">
          <cell r="A1392" t="str">
            <v>직접대출</v>
          </cell>
          <cell r="C1392" t="str">
            <v>은행</v>
          </cell>
          <cell r="E1392" t="str">
            <v>수협중앙회</v>
          </cell>
          <cell r="H1392">
            <v>172</v>
          </cell>
          <cell r="I1392">
            <v>10000</v>
          </cell>
        </row>
        <row r="1393">
          <cell r="A1393" t="str">
            <v>직접대출</v>
          </cell>
          <cell r="C1393" t="str">
            <v>은행</v>
          </cell>
          <cell r="E1393" t="str">
            <v>수협중앙회</v>
          </cell>
          <cell r="H1393">
            <v>441</v>
          </cell>
          <cell r="I1393">
            <v>29333</v>
          </cell>
        </row>
        <row r="1394">
          <cell r="A1394" t="str">
            <v>직접대출</v>
          </cell>
          <cell r="C1394" t="str">
            <v>은행</v>
          </cell>
          <cell r="E1394" t="str">
            <v>수협중앙회</v>
          </cell>
          <cell r="H1394">
            <v>1000</v>
          </cell>
          <cell r="I1394">
            <v>40000</v>
          </cell>
        </row>
        <row r="1395">
          <cell r="A1395" t="str">
            <v>직접대출</v>
          </cell>
          <cell r="C1395" t="str">
            <v>은행</v>
          </cell>
          <cell r="E1395" t="str">
            <v>수협중앙회</v>
          </cell>
          <cell r="H1395">
            <v>1000</v>
          </cell>
          <cell r="I1395">
            <v>40000</v>
          </cell>
        </row>
        <row r="1396">
          <cell r="A1396" t="str">
            <v>직접대출</v>
          </cell>
          <cell r="C1396" t="str">
            <v>은행</v>
          </cell>
          <cell r="E1396" t="str">
            <v>수협중앙회</v>
          </cell>
          <cell r="H1396">
            <v>38</v>
          </cell>
          <cell r="I1396">
            <v>25000</v>
          </cell>
        </row>
        <row r="1397">
          <cell r="A1397" t="str">
            <v>직접대출</v>
          </cell>
          <cell r="C1397" t="str">
            <v>은행</v>
          </cell>
          <cell r="E1397" t="str">
            <v>수협중앙회</v>
          </cell>
          <cell r="H1397">
            <v>2</v>
          </cell>
          <cell r="I1397">
            <v>14364</v>
          </cell>
        </row>
        <row r="1398">
          <cell r="A1398" t="str">
            <v>직접대출</v>
          </cell>
          <cell r="C1398" t="str">
            <v>은행</v>
          </cell>
          <cell r="E1398" t="str">
            <v>수협중앙회</v>
          </cell>
          <cell r="H1398">
            <v>56</v>
          </cell>
          <cell r="I1398">
            <v>35000</v>
          </cell>
        </row>
        <row r="1399">
          <cell r="A1399" t="str">
            <v>직접대출</v>
          </cell>
          <cell r="C1399" t="str">
            <v>은행</v>
          </cell>
          <cell r="E1399" t="str">
            <v>수협중앙회</v>
          </cell>
          <cell r="H1399">
            <v>27</v>
          </cell>
          <cell r="I1399">
            <v>20000</v>
          </cell>
        </row>
        <row r="1400">
          <cell r="A1400" t="str">
            <v>직접대출</v>
          </cell>
          <cell r="C1400" t="str">
            <v>은행</v>
          </cell>
          <cell r="E1400" t="str">
            <v>수협중앙회</v>
          </cell>
          <cell r="H1400">
            <v>41</v>
          </cell>
          <cell r="I1400">
            <v>18000</v>
          </cell>
        </row>
        <row r="1401">
          <cell r="A1401" t="str">
            <v>직접대출</v>
          </cell>
          <cell r="C1401" t="str">
            <v>은행</v>
          </cell>
          <cell r="E1401" t="str">
            <v>수협중앙회</v>
          </cell>
          <cell r="H1401">
            <v>41</v>
          </cell>
          <cell r="I1401">
            <v>22000</v>
          </cell>
        </row>
        <row r="1402">
          <cell r="A1402" t="str">
            <v>직접대출</v>
          </cell>
          <cell r="C1402" t="str">
            <v>은행</v>
          </cell>
          <cell r="E1402" t="str">
            <v>수협중앙회</v>
          </cell>
          <cell r="H1402">
            <v>33</v>
          </cell>
          <cell r="I1402">
            <v>31590</v>
          </cell>
        </row>
        <row r="1403">
          <cell r="A1403" t="str">
            <v>직접대출</v>
          </cell>
          <cell r="C1403" t="str">
            <v>은행</v>
          </cell>
          <cell r="E1403" t="str">
            <v>수협중앙회</v>
          </cell>
          <cell r="H1403">
            <v>3</v>
          </cell>
          <cell r="I1403">
            <v>0</v>
          </cell>
        </row>
        <row r="1404">
          <cell r="A1404" t="str">
            <v>직접대출</v>
          </cell>
          <cell r="C1404" t="str">
            <v>은행</v>
          </cell>
          <cell r="E1404" t="str">
            <v>수협중앙회</v>
          </cell>
          <cell r="H1404">
            <v>6</v>
          </cell>
          <cell r="I1404">
            <v>0</v>
          </cell>
        </row>
        <row r="1405">
          <cell r="A1405" t="str">
            <v>직접대출</v>
          </cell>
          <cell r="C1405" t="str">
            <v>은행</v>
          </cell>
          <cell r="E1405" t="str">
            <v>수협중앙회</v>
          </cell>
          <cell r="H1405">
            <v>9</v>
          </cell>
          <cell r="I1405">
            <v>0</v>
          </cell>
        </row>
        <row r="1406">
          <cell r="A1406" t="str">
            <v>직접대출</v>
          </cell>
          <cell r="C1406" t="str">
            <v>은행</v>
          </cell>
          <cell r="E1406" t="str">
            <v>수협중앙회</v>
          </cell>
          <cell r="H1406">
            <v>34</v>
          </cell>
          <cell r="I1406">
            <v>0</v>
          </cell>
        </row>
        <row r="1407">
          <cell r="A1407" t="str">
            <v>직접대출</v>
          </cell>
          <cell r="C1407" t="str">
            <v>은행</v>
          </cell>
          <cell r="E1407" t="str">
            <v>수협중앙회</v>
          </cell>
          <cell r="H1407">
            <v>40</v>
          </cell>
          <cell r="I1407">
            <v>4360</v>
          </cell>
        </row>
        <row r="1408">
          <cell r="A1408" t="str">
            <v>직접대출</v>
          </cell>
          <cell r="C1408" t="str">
            <v>은행</v>
          </cell>
          <cell r="E1408" t="str">
            <v>수협중앙회</v>
          </cell>
          <cell r="H1408">
            <v>13</v>
          </cell>
          <cell r="I1408">
            <v>10000</v>
          </cell>
        </row>
        <row r="1409">
          <cell r="A1409" t="str">
            <v>직접대출</v>
          </cell>
          <cell r="C1409" t="str">
            <v>은행</v>
          </cell>
          <cell r="E1409" t="str">
            <v>수협중앙회</v>
          </cell>
          <cell r="H1409">
            <v>13</v>
          </cell>
          <cell r="I1409">
            <v>10000</v>
          </cell>
        </row>
        <row r="1410">
          <cell r="A1410" t="str">
            <v>직접대출</v>
          </cell>
          <cell r="C1410" t="str">
            <v>은행</v>
          </cell>
          <cell r="E1410" t="str">
            <v>수협중앙회</v>
          </cell>
          <cell r="H1410">
            <v>89</v>
          </cell>
          <cell r="I1410">
            <v>0</v>
          </cell>
        </row>
        <row r="1411">
          <cell r="A1411" t="str">
            <v>직접대출</v>
          </cell>
          <cell r="C1411" t="str">
            <v>은행</v>
          </cell>
          <cell r="E1411" t="str">
            <v>수협중앙회</v>
          </cell>
          <cell r="H1411">
            <v>34</v>
          </cell>
          <cell r="I1411">
            <v>40000</v>
          </cell>
        </row>
        <row r="1412">
          <cell r="A1412" t="str">
            <v>직접대출</v>
          </cell>
          <cell r="C1412" t="str">
            <v>은행</v>
          </cell>
          <cell r="E1412" t="str">
            <v>수협중앙회</v>
          </cell>
          <cell r="H1412">
            <v>86</v>
          </cell>
          <cell r="I1412">
            <v>0</v>
          </cell>
        </row>
        <row r="1413">
          <cell r="A1413" t="str">
            <v>직접대출</v>
          </cell>
          <cell r="C1413" t="str">
            <v>은행</v>
          </cell>
          <cell r="E1413" t="str">
            <v>수협중앙회</v>
          </cell>
          <cell r="H1413">
            <v>16</v>
          </cell>
          <cell r="I1413">
            <v>11050.914736999999</v>
          </cell>
        </row>
        <row r="1414">
          <cell r="A1414" t="str">
            <v>직접대출</v>
          </cell>
          <cell r="C1414" t="str">
            <v>은행</v>
          </cell>
          <cell r="E1414" t="str">
            <v>수협중앙회</v>
          </cell>
          <cell r="H1414">
            <v>52</v>
          </cell>
          <cell r="I1414">
            <v>45000</v>
          </cell>
        </row>
        <row r="1415">
          <cell r="A1415" t="str">
            <v>직접대출</v>
          </cell>
          <cell r="C1415" t="str">
            <v>은행</v>
          </cell>
          <cell r="E1415" t="str">
            <v>수협중앙회</v>
          </cell>
          <cell r="H1415">
            <v>51</v>
          </cell>
          <cell r="I1415">
            <v>55000</v>
          </cell>
        </row>
        <row r="1416">
          <cell r="A1416" t="str">
            <v>직접대출</v>
          </cell>
          <cell r="C1416" t="str">
            <v>은행</v>
          </cell>
          <cell r="E1416" t="str">
            <v>수협중앙회</v>
          </cell>
          <cell r="H1416">
            <v>58</v>
          </cell>
          <cell r="I1416">
            <v>9900</v>
          </cell>
        </row>
        <row r="1417">
          <cell r="A1417" t="str">
            <v>직접대출</v>
          </cell>
          <cell r="C1417" t="str">
            <v>은행</v>
          </cell>
          <cell r="E1417" t="str">
            <v>수협중앙회</v>
          </cell>
          <cell r="H1417">
            <v>35</v>
          </cell>
          <cell r="I1417">
            <v>50000</v>
          </cell>
        </row>
        <row r="1418">
          <cell r="A1418" t="str">
            <v>직접대출</v>
          </cell>
          <cell r="C1418" t="str">
            <v>은행</v>
          </cell>
          <cell r="E1418" t="str">
            <v>기업은행</v>
          </cell>
          <cell r="H1418">
            <v>1</v>
          </cell>
          <cell r="I1418">
            <v>0</v>
          </cell>
        </row>
        <row r="1419">
          <cell r="A1419" t="str">
            <v>직접대출</v>
          </cell>
          <cell r="C1419" t="str">
            <v>은행</v>
          </cell>
          <cell r="E1419" t="str">
            <v>기업은행</v>
          </cell>
          <cell r="H1419">
            <v>1000</v>
          </cell>
          <cell r="I1419">
            <v>0</v>
          </cell>
        </row>
        <row r="1420">
          <cell r="A1420" t="str">
            <v>직접대출</v>
          </cell>
          <cell r="C1420" t="str">
            <v>은행</v>
          </cell>
          <cell r="E1420" t="str">
            <v>기업은행</v>
          </cell>
          <cell r="H1420">
            <v>432</v>
          </cell>
          <cell r="I1420">
            <v>6000</v>
          </cell>
        </row>
        <row r="1421">
          <cell r="A1421" t="str">
            <v>직접대출</v>
          </cell>
          <cell r="C1421" t="str">
            <v>은행</v>
          </cell>
          <cell r="E1421" t="str">
            <v>기업은행</v>
          </cell>
          <cell r="H1421">
            <v>22</v>
          </cell>
          <cell r="I1421">
            <v>180000</v>
          </cell>
        </row>
        <row r="1422">
          <cell r="A1422" t="str">
            <v>직접대출</v>
          </cell>
          <cell r="C1422" t="str">
            <v>은행</v>
          </cell>
          <cell r="E1422" t="str">
            <v>기업은행</v>
          </cell>
          <cell r="H1422">
            <v>54</v>
          </cell>
          <cell r="I1422">
            <v>29893</v>
          </cell>
        </row>
        <row r="1423">
          <cell r="A1423" t="str">
            <v>직접대출</v>
          </cell>
          <cell r="C1423" t="str">
            <v>은행</v>
          </cell>
          <cell r="E1423" t="str">
            <v>기업은행</v>
          </cell>
          <cell r="H1423">
            <v>45</v>
          </cell>
          <cell r="I1423">
            <v>10000</v>
          </cell>
        </row>
        <row r="1424">
          <cell r="A1424" t="str">
            <v>직접대출</v>
          </cell>
          <cell r="C1424" t="str">
            <v>은행</v>
          </cell>
          <cell r="E1424" t="str">
            <v>기업은행</v>
          </cell>
          <cell r="H1424">
            <v>4</v>
          </cell>
          <cell r="I1424">
            <v>28500</v>
          </cell>
        </row>
        <row r="1425">
          <cell r="A1425" t="str">
            <v>직접대출</v>
          </cell>
          <cell r="C1425" t="str">
            <v>은행</v>
          </cell>
          <cell r="E1425" t="str">
            <v>기업은행</v>
          </cell>
          <cell r="H1425">
            <v>120</v>
          </cell>
          <cell r="I1425">
            <v>8000</v>
          </cell>
        </row>
        <row r="1426">
          <cell r="A1426" t="str">
            <v>직접대출</v>
          </cell>
          <cell r="C1426" t="str">
            <v>은행</v>
          </cell>
          <cell r="E1426" t="str">
            <v>기업은행</v>
          </cell>
          <cell r="H1426">
            <v>60</v>
          </cell>
          <cell r="I1426">
            <v>17350</v>
          </cell>
        </row>
        <row r="1427">
          <cell r="A1427" t="str">
            <v>직접대출</v>
          </cell>
          <cell r="C1427" t="str">
            <v>은행</v>
          </cell>
          <cell r="E1427" t="str">
            <v>기업은행</v>
          </cell>
          <cell r="H1427">
            <v>60</v>
          </cell>
          <cell r="I1427">
            <v>20000</v>
          </cell>
        </row>
        <row r="1428">
          <cell r="A1428" t="str">
            <v>직접대출</v>
          </cell>
          <cell r="C1428" t="str">
            <v>은행</v>
          </cell>
          <cell r="E1428" t="str">
            <v>기업은행</v>
          </cell>
          <cell r="H1428">
            <v>45</v>
          </cell>
          <cell r="I1428">
            <v>20000</v>
          </cell>
        </row>
        <row r="1429">
          <cell r="A1429" t="str">
            <v>직접대출</v>
          </cell>
          <cell r="C1429" t="str">
            <v>은행</v>
          </cell>
          <cell r="E1429" t="str">
            <v>기업은행</v>
          </cell>
          <cell r="H1429">
            <v>23</v>
          </cell>
          <cell r="I1429">
            <v>16075</v>
          </cell>
        </row>
        <row r="1430">
          <cell r="A1430" t="str">
            <v>직접대출</v>
          </cell>
          <cell r="C1430" t="str">
            <v>은행</v>
          </cell>
          <cell r="E1430" t="str">
            <v>기업은행</v>
          </cell>
          <cell r="H1430">
            <v>1000</v>
          </cell>
          <cell r="I1430">
            <v>11000</v>
          </cell>
        </row>
        <row r="1431">
          <cell r="A1431" t="str">
            <v>직접대출</v>
          </cell>
          <cell r="C1431" t="str">
            <v>은행</v>
          </cell>
          <cell r="E1431" t="str">
            <v>기업은행</v>
          </cell>
          <cell r="H1431">
            <v>40</v>
          </cell>
          <cell r="I1431">
            <v>25500</v>
          </cell>
        </row>
        <row r="1432">
          <cell r="A1432" t="str">
            <v>직접대출</v>
          </cell>
          <cell r="C1432" t="str">
            <v>은행</v>
          </cell>
          <cell r="E1432" t="str">
            <v>기업은행</v>
          </cell>
          <cell r="H1432">
            <v>53</v>
          </cell>
          <cell r="I1432">
            <v>50250</v>
          </cell>
        </row>
        <row r="1433">
          <cell r="A1433" t="str">
            <v>직접대출</v>
          </cell>
          <cell r="C1433" t="str">
            <v>은행</v>
          </cell>
          <cell r="E1433" t="str">
            <v>기업은행</v>
          </cell>
          <cell r="H1433">
            <v>55</v>
          </cell>
          <cell r="I1433">
            <v>60106</v>
          </cell>
        </row>
        <row r="1434">
          <cell r="A1434" t="str">
            <v>직접대출</v>
          </cell>
          <cell r="C1434" t="str">
            <v>은행</v>
          </cell>
          <cell r="E1434" t="str">
            <v>기업은행</v>
          </cell>
          <cell r="H1434">
            <v>54</v>
          </cell>
          <cell r="I1434">
            <v>50000</v>
          </cell>
        </row>
        <row r="1435">
          <cell r="A1435" t="str">
            <v>직접대출</v>
          </cell>
          <cell r="C1435" t="str">
            <v>은행</v>
          </cell>
          <cell r="E1435" t="str">
            <v>기업은행</v>
          </cell>
          <cell r="H1435">
            <v>199</v>
          </cell>
          <cell r="I1435">
            <v>7400</v>
          </cell>
        </row>
        <row r="1436">
          <cell r="A1436" t="str">
            <v>직접대출</v>
          </cell>
          <cell r="C1436" t="str">
            <v>은행</v>
          </cell>
          <cell r="E1436" t="str">
            <v>기업은행</v>
          </cell>
          <cell r="H1436">
            <v>45</v>
          </cell>
          <cell r="I1436">
            <v>50000</v>
          </cell>
        </row>
        <row r="1437">
          <cell r="A1437" t="str">
            <v>직접대출</v>
          </cell>
          <cell r="C1437" t="str">
            <v>은행</v>
          </cell>
          <cell r="E1437" t="str">
            <v>기업은행</v>
          </cell>
          <cell r="H1437">
            <v>169</v>
          </cell>
          <cell r="I1437">
            <v>25000</v>
          </cell>
        </row>
        <row r="1438">
          <cell r="A1438" t="str">
            <v>직접대출</v>
          </cell>
          <cell r="C1438" t="str">
            <v>은행</v>
          </cell>
          <cell r="E1438" t="str">
            <v>기업은행</v>
          </cell>
          <cell r="H1438">
            <v>169</v>
          </cell>
          <cell r="I1438">
            <v>25000</v>
          </cell>
        </row>
        <row r="1439">
          <cell r="A1439" t="str">
            <v>직접대출</v>
          </cell>
          <cell r="C1439" t="str">
            <v>은행</v>
          </cell>
          <cell r="E1439" t="str">
            <v>기업은행</v>
          </cell>
          <cell r="H1439">
            <v>100</v>
          </cell>
          <cell r="I1439">
            <v>23000</v>
          </cell>
        </row>
        <row r="1440">
          <cell r="A1440" t="str">
            <v>직접대출</v>
          </cell>
          <cell r="C1440" t="str">
            <v>은행</v>
          </cell>
          <cell r="E1440" t="str">
            <v>기업은행</v>
          </cell>
          <cell r="H1440">
            <v>80</v>
          </cell>
          <cell r="I1440">
            <v>12099</v>
          </cell>
        </row>
        <row r="1441">
          <cell r="A1441" t="str">
            <v>직접대출</v>
          </cell>
          <cell r="C1441" t="str">
            <v>은행</v>
          </cell>
          <cell r="E1441" t="str">
            <v>기업은행</v>
          </cell>
          <cell r="H1441">
            <v>61</v>
          </cell>
          <cell r="I1441">
            <v>55000</v>
          </cell>
        </row>
        <row r="1442">
          <cell r="A1442" t="str">
            <v>직접대출</v>
          </cell>
          <cell r="C1442" t="str">
            <v>은행</v>
          </cell>
          <cell r="E1442" t="str">
            <v>기업은행</v>
          </cell>
          <cell r="H1442">
            <v>40</v>
          </cell>
          <cell r="I1442">
            <v>8000</v>
          </cell>
        </row>
        <row r="1443">
          <cell r="A1443" t="str">
            <v>직접대출</v>
          </cell>
          <cell r="C1443" t="str">
            <v>은행</v>
          </cell>
          <cell r="E1443" t="str">
            <v>기업은행</v>
          </cell>
          <cell r="H1443">
            <v>35</v>
          </cell>
          <cell r="I1443">
            <v>100000</v>
          </cell>
        </row>
        <row r="1444">
          <cell r="A1444" t="str">
            <v>직접대출</v>
          </cell>
          <cell r="C1444" t="str">
            <v>은행</v>
          </cell>
          <cell r="E1444" t="str">
            <v>기업은행</v>
          </cell>
          <cell r="H1444">
            <v>40</v>
          </cell>
          <cell r="I1444">
            <v>100000</v>
          </cell>
        </row>
        <row r="1445">
          <cell r="A1445" t="str">
            <v>직접대출</v>
          </cell>
          <cell r="C1445" t="str">
            <v>은행</v>
          </cell>
          <cell r="E1445" t="str">
            <v>기업은행</v>
          </cell>
          <cell r="H1445">
            <v>50</v>
          </cell>
          <cell r="I1445">
            <v>70000</v>
          </cell>
        </row>
        <row r="1446">
          <cell r="A1446" t="str">
            <v>직접대출</v>
          </cell>
          <cell r="C1446" t="str">
            <v>은행</v>
          </cell>
          <cell r="E1446" t="str">
            <v>기업은행</v>
          </cell>
          <cell r="H1446">
            <v>53</v>
          </cell>
          <cell r="I1446">
            <v>31400</v>
          </cell>
        </row>
        <row r="1447">
          <cell r="A1447" t="str">
            <v>직접대출</v>
          </cell>
          <cell r="C1447" t="str">
            <v>은행</v>
          </cell>
          <cell r="E1447" t="str">
            <v>기업은행</v>
          </cell>
          <cell r="H1447">
            <v>1000</v>
          </cell>
          <cell r="I1447">
            <v>108000</v>
          </cell>
        </row>
        <row r="1448">
          <cell r="A1448" t="str">
            <v>직접대출</v>
          </cell>
          <cell r="C1448" t="str">
            <v>은행</v>
          </cell>
          <cell r="E1448" t="str">
            <v>기업은행</v>
          </cell>
          <cell r="H1448">
            <v>235</v>
          </cell>
          <cell r="I1448">
            <v>32000</v>
          </cell>
        </row>
        <row r="1449">
          <cell r="A1449" t="str">
            <v>직접대출</v>
          </cell>
          <cell r="C1449" t="str">
            <v>은행</v>
          </cell>
          <cell r="E1449" t="str">
            <v>기업은행</v>
          </cell>
          <cell r="H1449">
            <v>38</v>
          </cell>
          <cell r="I1449">
            <v>50000</v>
          </cell>
        </row>
        <row r="1450">
          <cell r="A1450" t="str">
            <v>직접대출</v>
          </cell>
          <cell r="C1450" t="str">
            <v>은행</v>
          </cell>
          <cell r="E1450" t="str">
            <v>기업은행</v>
          </cell>
          <cell r="H1450">
            <v>45</v>
          </cell>
          <cell r="I1450">
            <v>17700</v>
          </cell>
        </row>
        <row r="1451">
          <cell r="A1451" t="str">
            <v>직접대출</v>
          </cell>
          <cell r="C1451" t="str">
            <v>은행</v>
          </cell>
          <cell r="E1451" t="str">
            <v>기업은행</v>
          </cell>
          <cell r="H1451">
            <v>50</v>
          </cell>
          <cell r="I1451">
            <v>120000</v>
          </cell>
        </row>
        <row r="1452">
          <cell r="A1452" t="str">
            <v>직접대출</v>
          </cell>
          <cell r="C1452" t="str">
            <v>은행</v>
          </cell>
          <cell r="E1452" t="str">
            <v>기업은행</v>
          </cell>
          <cell r="H1452">
            <v>40</v>
          </cell>
          <cell r="I1452">
            <v>35000</v>
          </cell>
        </row>
        <row r="1453">
          <cell r="A1453" t="str">
            <v>직접대출</v>
          </cell>
          <cell r="C1453" t="str">
            <v>은행</v>
          </cell>
          <cell r="E1453" t="str">
            <v>기업은행</v>
          </cell>
          <cell r="H1453">
            <v>94</v>
          </cell>
          <cell r="I1453">
            <v>10000</v>
          </cell>
        </row>
        <row r="1454">
          <cell r="A1454" t="str">
            <v>직접대출</v>
          </cell>
          <cell r="C1454" t="str">
            <v>은행</v>
          </cell>
          <cell r="E1454" t="str">
            <v>기업은행</v>
          </cell>
          <cell r="H1454">
            <v>273</v>
          </cell>
          <cell r="I1454">
            <v>13000</v>
          </cell>
        </row>
        <row r="1455">
          <cell r="A1455" t="str">
            <v>직접대출</v>
          </cell>
          <cell r="C1455" t="str">
            <v>은행</v>
          </cell>
          <cell r="E1455" t="str">
            <v>기업은행</v>
          </cell>
          <cell r="H1455">
            <v>99</v>
          </cell>
          <cell r="I1455">
            <v>40000</v>
          </cell>
        </row>
        <row r="1456">
          <cell r="A1456" t="str">
            <v>직접대출</v>
          </cell>
          <cell r="C1456" t="str">
            <v>은행</v>
          </cell>
          <cell r="E1456" t="str">
            <v>기업은행</v>
          </cell>
          <cell r="H1456">
            <v>1000</v>
          </cell>
          <cell r="I1456">
            <v>5000</v>
          </cell>
        </row>
        <row r="1457">
          <cell r="A1457" t="str">
            <v>직접대출</v>
          </cell>
          <cell r="C1457" t="str">
            <v>은행</v>
          </cell>
          <cell r="E1457" t="str">
            <v>기업은행</v>
          </cell>
          <cell r="H1457">
            <v>169</v>
          </cell>
          <cell r="I1457">
            <v>60000</v>
          </cell>
        </row>
        <row r="1458">
          <cell r="A1458" t="str">
            <v>직접대출</v>
          </cell>
          <cell r="C1458" t="str">
            <v>은행</v>
          </cell>
          <cell r="E1458" t="str">
            <v>기업은행</v>
          </cell>
          <cell r="H1458">
            <v>23</v>
          </cell>
          <cell r="I1458">
            <v>14000</v>
          </cell>
        </row>
        <row r="1459">
          <cell r="A1459" t="str">
            <v>직접대출</v>
          </cell>
          <cell r="C1459" t="str">
            <v>은행</v>
          </cell>
          <cell r="E1459" t="str">
            <v>기업은행</v>
          </cell>
          <cell r="H1459">
            <v>23</v>
          </cell>
          <cell r="I1459">
            <v>20000</v>
          </cell>
        </row>
        <row r="1460">
          <cell r="A1460" t="str">
            <v>직접대출</v>
          </cell>
          <cell r="C1460" t="str">
            <v>은행</v>
          </cell>
          <cell r="E1460" t="str">
            <v>기업은행</v>
          </cell>
          <cell r="H1460">
            <v>235</v>
          </cell>
          <cell r="I1460">
            <v>22000</v>
          </cell>
        </row>
        <row r="1461">
          <cell r="A1461" t="str">
            <v>직접대출</v>
          </cell>
          <cell r="C1461" t="str">
            <v>은행</v>
          </cell>
          <cell r="E1461" t="str">
            <v>기업은행</v>
          </cell>
          <cell r="H1461">
            <v>34</v>
          </cell>
          <cell r="I1461">
            <v>13000</v>
          </cell>
        </row>
        <row r="1462">
          <cell r="A1462" t="str">
            <v>직접대출</v>
          </cell>
          <cell r="C1462" t="str">
            <v>은행</v>
          </cell>
          <cell r="E1462" t="str">
            <v>기업은행</v>
          </cell>
          <cell r="H1462">
            <v>1000</v>
          </cell>
          <cell r="I1462">
            <v>12000</v>
          </cell>
        </row>
        <row r="1463">
          <cell r="A1463" t="str">
            <v>직접대출</v>
          </cell>
          <cell r="C1463" t="str">
            <v>은행</v>
          </cell>
          <cell r="E1463" t="str">
            <v>기업은행</v>
          </cell>
          <cell r="H1463">
            <v>1000</v>
          </cell>
          <cell r="I1463">
            <v>3800</v>
          </cell>
        </row>
        <row r="1464">
          <cell r="A1464" t="str">
            <v>직접대출</v>
          </cell>
          <cell r="C1464" t="str">
            <v>은행</v>
          </cell>
          <cell r="E1464" t="str">
            <v>기업은행</v>
          </cell>
          <cell r="H1464">
            <v>6</v>
          </cell>
          <cell r="I1464">
            <v>124496</v>
          </cell>
        </row>
        <row r="1465">
          <cell r="A1465" t="str">
            <v>직접대출</v>
          </cell>
          <cell r="C1465" t="str">
            <v>은행</v>
          </cell>
          <cell r="E1465" t="str">
            <v>기업은행</v>
          </cell>
          <cell r="H1465">
            <v>8</v>
          </cell>
          <cell r="I1465">
            <v>21500</v>
          </cell>
        </row>
        <row r="1466">
          <cell r="A1466" t="str">
            <v>직접대출</v>
          </cell>
          <cell r="C1466" t="str">
            <v>은행</v>
          </cell>
          <cell r="E1466" t="str">
            <v>기업은행</v>
          </cell>
          <cell r="H1466">
            <v>28</v>
          </cell>
          <cell r="I1466">
            <v>21500</v>
          </cell>
        </row>
        <row r="1467">
          <cell r="A1467" t="str">
            <v>직접대출</v>
          </cell>
          <cell r="C1467" t="str">
            <v>은행</v>
          </cell>
          <cell r="E1467" t="str">
            <v>기업은행</v>
          </cell>
          <cell r="H1467">
            <v>71</v>
          </cell>
          <cell r="I1467">
            <v>11929</v>
          </cell>
        </row>
        <row r="1468">
          <cell r="A1468" t="str">
            <v>직접대출</v>
          </cell>
          <cell r="C1468" t="str">
            <v>은행</v>
          </cell>
          <cell r="E1468" t="str">
            <v>기업은행</v>
          </cell>
          <cell r="H1468">
            <v>1000</v>
          </cell>
          <cell r="I1468">
            <v>0</v>
          </cell>
        </row>
        <row r="1469">
          <cell r="A1469" t="str">
            <v>직접대출</v>
          </cell>
          <cell r="C1469" t="str">
            <v>은행</v>
          </cell>
          <cell r="E1469" t="str">
            <v>기업은행</v>
          </cell>
          <cell r="H1469">
            <v>1000</v>
          </cell>
          <cell r="I1469">
            <v>0</v>
          </cell>
        </row>
        <row r="1470">
          <cell r="A1470" t="str">
            <v>직접대출</v>
          </cell>
          <cell r="C1470" t="str">
            <v>은행</v>
          </cell>
          <cell r="E1470" t="str">
            <v>농협중앙회</v>
          </cell>
          <cell r="H1470">
            <v>77</v>
          </cell>
          <cell r="I1470">
            <v>0</v>
          </cell>
        </row>
        <row r="1471">
          <cell r="A1471" t="str">
            <v>직접대출</v>
          </cell>
          <cell r="C1471" t="str">
            <v>은행</v>
          </cell>
          <cell r="E1471" t="str">
            <v>농협중앙회</v>
          </cell>
          <cell r="H1471">
            <v>293</v>
          </cell>
          <cell r="I1471">
            <v>0</v>
          </cell>
        </row>
        <row r="1472">
          <cell r="A1472" t="str">
            <v>직접대출</v>
          </cell>
          <cell r="C1472" t="str">
            <v>은행</v>
          </cell>
          <cell r="E1472" t="str">
            <v>농협중앙회</v>
          </cell>
          <cell r="H1472">
            <v>1000</v>
          </cell>
          <cell r="I1472">
            <v>0</v>
          </cell>
        </row>
        <row r="1473">
          <cell r="A1473" t="str">
            <v>직접대출</v>
          </cell>
          <cell r="C1473" t="str">
            <v>은행</v>
          </cell>
          <cell r="E1473" t="str">
            <v>농협중앙회</v>
          </cell>
          <cell r="H1473">
            <v>159</v>
          </cell>
          <cell r="I1473">
            <v>0</v>
          </cell>
        </row>
        <row r="1474">
          <cell r="A1474" t="str">
            <v>직접대출</v>
          </cell>
          <cell r="C1474" t="str">
            <v>은행</v>
          </cell>
          <cell r="E1474" t="str">
            <v>농협중앙회</v>
          </cell>
          <cell r="H1474">
            <v>1000</v>
          </cell>
          <cell r="I1474">
            <v>0</v>
          </cell>
        </row>
        <row r="1475">
          <cell r="A1475" t="str">
            <v>직접대출</v>
          </cell>
          <cell r="C1475" t="str">
            <v>은행</v>
          </cell>
          <cell r="E1475" t="str">
            <v>농협중앙회</v>
          </cell>
          <cell r="H1475">
            <v>200</v>
          </cell>
          <cell r="I1475">
            <v>0</v>
          </cell>
        </row>
        <row r="1476">
          <cell r="A1476" t="str">
            <v>직접대출</v>
          </cell>
          <cell r="C1476" t="str">
            <v>은행</v>
          </cell>
          <cell r="E1476" t="str">
            <v>농협중앙회</v>
          </cell>
          <cell r="H1476">
            <v>112</v>
          </cell>
          <cell r="I1476">
            <v>28300</v>
          </cell>
        </row>
        <row r="1477">
          <cell r="A1477" t="str">
            <v>직접대출</v>
          </cell>
          <cell r="C1477" t="str">
            <v>은행</v>
          </cell>
          <cell r="E1477" t="str">
            <v>농협중앙회</v>
          </cell>
          <cell r="H1477">
            <v>65</v>
          </cell>
          <cell r="I1477">
            <v>0</v>
          </cell>
        </row>
        <row r="1478">
          <cell r="A1478" t="str">
            <v>직접대출</v>
          </cell>
          <cell r="C1478" t="str">
            <v>은행</v>
          </cell>
          <cell r="E1478" t="str">
            <v>농협중앙회</v>
          </cell>
          <cell r="H1478">
            <v>8</v>
          </cell>
          <cell r="I1478">
            <v>0</v>
          </cell>
        </row>
        <row r="1479">
          <cell r="A1479" t="str">
            <v>직접대출</v>
          </cell>
          <cell r="C1479" t="str">
            <v>은행</v>
          </cell>
          <cell r="E1479" t="str">
            <v>농협중앙회</v>
          </cell>
          <cell r="H1479">
            <v>28</v>
          </cell>
          <cell r="I1479">
            <v>0</v>
          </cell>
        </row>
        <row r="1480">
          <cell r="A1480" t="str">
            <v>직접대출</v>
          </cell>
          <cell r="C1480" t="str">
            <v>은행</v>
          </cell>
          <cell r="E1480" t="str">
            <v>농협중앙회</v>
          </cell>
          <cell r="H1480">
            <v>62</v>
          </cell>
          <cell r="I1480">
            <v>0</v>
          </cell>
        </row>
        <row r="1481">
          <cell r="A1481" t="str">
            <v>직접대출</v>
          </cell>
          <cell r="C1481" t="str">
            <v>은행</v>
          </cell>
          <cell r="E1481" t="str">
            <v>농협중앙회</v>
          </cell>
          <cell r="H1481">
            <v>1000</v>
          </cell>
          <cell r="I1481">
            <v>0</v>
          </cell>
        </row>
        <row r="1482">
          <cell r="A1482" t="str">
            <v>직접대출</v>
          </cell>
          <cell r="C1482" t="str">
            <v>은행</v>
          </cell>
          <cell r="E1482" t="str">
            <v>농협중앙회</v>
          </cell>
          <cell r="H1482">
            <v>33</v>
          </cell>
          <cell r="I1482">
            <v>0</v>
          </cell>
        </row>
        <row r="1483">
          <cell r="A1483" t="str">
            <v>직접대출</v>
          </cell>
          <cell r="C1483" t="str">
            <v>은행</v>
          </cell>
          <cell r="E1483" t="str">
            <v>농협중앙회</v>
          </cell>
          <cell r="H1483">
            <v>1000</v>
          </cell>
          <cell r="I1483">
            <v>0</v>
          </cell>
        </row>
        <row r="1484">
          <cell r="A1484" t="str">
            <v>직접대출</v>
          </cell>
          <cell r="C1484" t="str">
            <v>은행</v>
          </cell>
          <cell r="E1484" t="str">
            <v>농협중앙회</v>
          </cell>
          <cell r="H1484">
            <v>4</v>
          </cell>
          <cell r="I1484">
            <v>17400</v>
          </cell>
        </row>
        <row r="1485">
          <cell r="A1485" t="str">
            <v>직접대출</v>
          </cell>
          <cell r="C1485" t="str">
            <v>은행</v>
          </cell>
          <cell r="E1485" t="str">
            <v>농협중앙회</v>
          </cell>
          <cell r="H1485">
            <v>19</v>
          </cell>
          <cell r="I1485">
            <v>3300</v>
          </cell>
        </row>
        <row r="1486">
          <cell r="A1486" t="str">
            <v>직접대출</v>
          </cell>
          <cell r="C1486" t="str">
            <v>은행</v>
          </cell>
          <cell r="E1486" t="str">
            <v>농협중앙회</v>
          </cell>
          <cell r="H1486">
            <v>345</v>
          </cell>
          <cell r="I1486">
            <v>1100</v>
          </cell>
        </row>
        <row r="1487">
          <cell r="A1487" t="str">
            <v>직접대출</v>
          </cell>
          <cell r="C1487" t="str">
            <v>은행</v>
          </cell>
          <cell r="E1487" t="str">
            <v>농협중앙회</v>
          </cell>
          <cell r="H1487">
            <v>6</v>
          </cell>
          <cell r="I1487">
            <v>30000</v>
          </cell>
        </row>
        <row r="1488">
          <cell r="A1488" t="str">
            <v>직접대출</v>
          </cell>
          <cell r="C1488" t="str">
            <v>은행</v>
          </cell>
          <cell r="E1488" t="str">
            <v>농협중앙회</v>
          </cell>
          <cell r="H1488">
            <v>50</v>
          </cell>
          <cell r="I1488">
            <v>0</v>
          </cell>
        </row>
        <row r="1489">
          <cell r="A1489" t="str">
            <v>직접대출</v>
          </cell>
          <cell r="C1489" t="str">
            <v>은행</v>
          </cell>
          <cell r="E1489" t="str">
            <v>농협중앙회</v>
          </cell>
          <cell r="H1489">
            <v>52</v>
          </cell>
          <cell r="I1489">
            <v>0</v>
          </cell>
        </row>
        <row r="1490">
          <cell r="A1490" t="str">
            <v>직접대출</v>
          </cell>
          <cell r="C1490" t="str">
            <v>은행</v>
          </cell>
          <cell r="E1490" t="str">
            <v>농협중앙회</v>
          </cell>
          <cell r="H1490">
            <v>62</v>
          </cell>
          <cell r="I1490">
            <v>0</v>
          </cell>
        </row>
        <row r="1491">
          <cell r="A1491" t="str">
            <v>직접대출</v>
          </cell>
          <cell r="C1491" t="str">
            <v>은행</v>
          </cell>
          <cell r="E1491" t="str">
            <v>농협중앙회</v>
          </cell>
          <cell r="H1491">
            <v>34</v>
          </cell>
          <cell r="I1491">
            <v>22000</v>
          </cell>
        </row>
        <row r="1492">
          <cell r="A1492" t="str">
            <v>직접대출</v>
          </cell>
          <cell r="C1492" t="str">
            <v>은행</v>
          </cell>
          <cell r="E1492" t="str">
            <v>농협중앙회</v>
          </cell>
          <cell r="H1492">
            <v>16</v>
          </cell>
          <cell r="I1492">
            <v>18000</v>
          </cell>
        </row>
        <row r="1493">
          <cell r="A1493" t="str">
            <v>직접대출</v>
          </cell>
          <cell r="C1493" t="str">
            <v>은행</v>
          </cell>
          <cell r="E1493" t="str">
            <v>농협중앙회</v>
          </cell>
          <cell r="H1493">
            <v>32</v>
          </cell>
          <cell r="I1493">
            <v>3500</v>
          </cell>
        </row>
        <row r="1494">
          <cell r="A1494" t="str">
            <v>직접대출</v>
          </cell>
          <cell r="C1494" t="str">
            <v>은행</v>
          </cell>
          <cell r="E1494" t="str">
            <v>농협중앙회</v>
          </cell>
          <cell r="H1494">
            <v>54</v>
          </cell>
          <cell r="I1494">
            <v>17200</v>
          </cell>
        </row>
        <row r="1495">
          <cell r="A1495" t="str">
            <v>직접대출</v>
          </cell>
          <cell r="C1495" t="str">
            <v>은행</v>
          </cell>
          <cell r="E1495" t="str">
            <v>농협중앙회</v>
          </cell>
          <cell r="H1495">
            <v>46</v>
          </cell>
          <cell r="I1495">
            <v>16800</v>
          </cell>
        </row>
        <row r="1496">
          <cell r="A1496" t="str">
            <v>직접대출</v>
          </cell>
          <cell r="C1496" t="str">
            <v>은행</v>
          </cell>
          <cell r="E1496" t="str">
            <v>농협중앙회</v>
          </cell>
          <cell r="H1496">
            <v>345</v>
          </cell>
          <cell r="I1496">
            <v>4800</v>
          </cell>
        </row>
        <row r="1497">
          <cell r="A1497" t="str">
            <v>직접대출</v>
          </cell>
          <cell r="C1497" t="str">
            <v>은행</v>
          </cell>
          <cell r="E1497" t="str">
            <v>농협중앙회</v>
          </cell>
          <cell r="H1497">
            <v>49</v>
          </cell>
          <cell r="I1497">
            <v>8000</v>
          </cell>
        </row>
        <row r="1498">
          <cell r="A1498" t="str">
            <v>직접대출</v>
          </cell>
          <cell r="C1498" t="str">
            <v>은행</v>
          </cell>
          <cell r="E1498" t="str">
            <v>농협중앙회</v>
          </cell>
          <cell r="H1498">
            <v>54</v>
          </cell>
          <cell r="I1498">
            <v>46800</v>
          </cell>
        </row>
        <row r="1499">
          <cell r="A1499" t="str">
            <v>직접대출</v>
          </cell>
          <cell r="C1499" t="str">
            <v>은행</v>
          </cell>
          <cell r="E1499" t="str">
            <v>농협중앙회</v>
          </cell>
          <cell r="H1499">
            <v>12</v>
          </cell>
          <cell r="I1499">
            <v>20000</v>
          </cell>
        </row>
        <row r="1500">
          <cell r="A1500" t="str">
            <v>직접대출</v>
          </cell>
          <cell r="C1500" t="str">
            <v>은행</v>
          </cell>
          <cell r="E1500" t="str">
            <v>농협중앙회</v>
          </cell>
          <cell r="H1500">
            <v>205</v>
          </cell>
          <cell r="I1500">
            <v>41000</v>
          </cell>
        </row>
        <row r="1501">
          <cell r="A1501" t="str">
            <v>직접대출</v>
          </cell>
          <cell r="C1501" t="str">
            <v>은행</v>
          </cell>
          <cell r="E1501" t="str">
            <v>농협중앙회</v>
          </cell>
          <cell r="H1501">
            <v>122</v>
          </cell>
          <cell r="I1501">
            <v>35000</v>
          </cell>
        </row>
        <row r="1502">
          <cell r="A1502" t="str">
            <v>직접대출</v>
          </cell>
          <cell r="C1502" t="str">
            <v>은행</v>
          </cell>
          <cell r="E1502" t="str">
            <v>농협중앙회</v>
          </cell>
          <cell r="H1502">
            <v>194</v>
          </cell>
          <cell r="I1502">
            <v>50000</v>
          </cell>
        </row>
        <row r="1503">
          <cell r="A1503" t="str">
            <v>직접대출</v>
          </cell>
          <cell r="C1503" t="str">
            <v>은행</v>
          </cell>
          <cell r="E1503" t="str">
            <v>농협중앙회</v>
          </cell>
          <cell r="H1503">
            <v>54</v>
          </cell>
          <cell r="I1503">
            <v>25200</v>
          </cell>
        </row>
        <row r="1504">
          <cell r="A1504" t="str">
            <v>직접대출</v>
          </cell>
          <cell r="C1504" t="str">
            <v>은행</v>
          </cell>
          <cell r="E1504" t="str">
            <v>농협중앙회</v>
          </cell>
          <cell r="H1504">
            <v>54</v>
          </cell>
          <cell r="I1504">
            <v>57700</v>
          </cell>
        </row>
        <row r="1505">
          <cell r="A1505" t="str">
            <v>직접대출</v>
          </cell>
          <cell r="C1505" t="str">
            <v>은행</v>
          </cell>
          <cell r="E1505" t="str">
            <v>농협중앙회</v>
          </cell>
          <cell r="H1505">
            <v>54</v>
          </cell>
          <cell r="I1505">
            <v>34300</v>
          </cell>
        </row>
        <row r="1506">
          <cell r="A1506" t="str">
            <v>직접대출</v>
          </cell>
          <cell r="C1506" t="str">
            <v>은행</v>
          </cell>
          <cell r="E1506" t="str">
            <v>농협중앙회</v>
          </cell>
          <cell r="H1506">
            <v>17</v>
          </cell>
          <cell r="I1506">
            <v>7500</v>
          </cell>
        </row>
        <row r="1507">
          <cell r="A1507" t="str">
            <v>직접대출</v>
          </cell>
          <cell r="C1507" t="str">
            <v>은행</v>
          </cell>
          <cell r="E1507" t="str">
            <v>농협중앙회</v>
          </cell>
          <cell r="H1507">
            <v>54</v>
          </cell>
          <cell r="I1507">
            <v>24600</v>
          </cell>
        </row>
        <row r="1508">
          <cell r="A1508" t="str">
            <v>직접대출</v>
          </cell>
          <cell r="C1508" t="str">
            <v>은행</v>
          </cell>
          <cell r="E1508" t="str">
            <v>농협중앙회</v>
          </cell>
          <cell r="H1508">
            <v>47</v>
          </cell>
          <cell r="I1508">
            <v>8800</v>
          </cell>
        </row>
        <row r="1509">
          <cell r="A1509" t="str">
            <v>직접대출</v>
          </cell>
          <cell r="C1509" t="str">
            <v>은행</v>
          </cell>
          <cell r="E1509" t="str">
            <v>농협중앙회</v>
          </cell>
          <cell r="H1509">
            <v>10</v>
          </cell>
          <cell r="I1509">
            <v>12000</v>
          </cell>
        </row>
        <row r="1510">
          <cell r="A1510" t="str">
            <v>직접대출</v>
          </cell>
          <cell r="C1510" t="str">
            <v>은행</v>
          </cell>
          <cell r="E1510" t="str">
            <v>농협중앙회</v>
          </cell>
          <cell r="H1510">
            <v>140</v>
          </cell>
          <cell r="I1510">
            <v>11900</v>
          </cell>
        </row>
        <row r="1511">
          <cell r="A1511" t="str">
            <v>직접대출</v>
          </cell>
          <cell r="C1511" t="str">
            <v>은행</v>
          </cell>
          <cell r="E1511" t="str">
            <v>농협중앙회</v>
          </cell>
          <cell r="H1511">
            <v>43</v>
          </cell>
          <cell r="I1511">
            <v>20000</v>
          </cell>
        </row>
        <row r="1512">
          <cell r="A1512" t="str">
            <v>직접대출</v>
          </cell>
          <cell r="C1512" t="str">
            <v>은행</v>
          </cell>
          <cell r="E1512" t="str">
            <v>농협중앙회</v>
          </cell>
          <cell r="H1512">
            <v>34</v>
          </cell>
          <cell r="I1512">
            <v>50000</v>
          </cell>
        </row>
        <row r="1513">
          <cell r="A1513" t="str">
            <v>직접대출</v>
          </cell>
          <cell r="C1513" t="str">
            <v>은행</v>
          </cell>
          <cell r="E1513" t="str">
            <v>농협중앙회</v>
          </cell>
          <cell r="H1513">
            <v>1000</v>
          </cell>
          <cell r="I1513">
            <v>25000</v>
          </cell>
        </row>
        <row r="1514">
          <cell r="A1514" t="str">
            <v>직접대출</v>
          </cell>
          <cell r="C1514" t="str">
            <v>은행</v>
          </cell>
          <cell r="E1514" t="str">
            <v>농협중앙회</v>
          </cell>
          <cell r="H1514">
            <v>145</v>
          </cell>
          <cell r="I1514">
            <v>3200</v>
          </cell>
        </row>
        <row r="1515">
          <cell r="A1515" t="str">
            <v>직접대출</v>
          </cell>
          <cell r="C1515" t="str">
            <v>은행</v>
          </cell>
          <cell r="E1515" t="str">
            <v>농협중앙회</v>
          </cell>
          <cell r="H1515">
            <v>86</v>
          </cell>
          <cell r="I1515">
            <v>35000</v>
          </cell>
        </row>
        <row r="1516">
          <cell r="A1516" t="str">
            <v>직접대출</v>
          </cell>
          <cell r="C1516" t="str">
            <v>은행</v>
          </cell>
          <cell r="E1516" t="str">
            <v>농협중앙회</v>
          </cell>
          <cell r="H1516">
            <v>122</v>
          </cell>
          <cell r="I1516">
            <v>38000</v>
          </cell>
        </row>
        <row r="1517">
          <cell r="A1517" t="str">
            <v>직접대출</v>
          </cell>
          <cell r="C1517" t="str">
            <v>은행</v>
          </cell>
          <cell r="E1517" t="str">
            <v>농협중앙회</v>
          </cell>
          <cell r="H1517">
            <v>123</v>
          </cell>
          <cell r="I1517">
            <v>8600</v>
          </cell>
        </row>
        <row r="1518">
          <cell r="A1518" t="str">
            <v>직접대출</v>
          </cell>
          <cell r="C1518" t="str">
            <v>은행</v>
          </cell>
          <cell r="E1518" t="str">
            <v>농협중앙회</v>
          </cell>
          <cell r="H1518">
            <v>32</v>
          </cell>
          <cell r="I1518">
            <v>9000</v>
          </cell>
        </row>
        <row r="1519">
          <cell r="A1519" t="str">
            <v>직접대출</v>
          </cell>
          <cell r="C1519" t="str">
            <v>은행</v>
          </cell>
          <cell r="E1519" t="str">
            <v>농협중앙회</v>
          </cell>
          <cell r="H1519">
            <v>49</v>
          </cell>
          <cell r="I1519">
            <v>36000</v>
          </cell>
        </row>
        <row r="1520">
          <cell r="A1520" t="str">
            <v>직접대출</v>
          </cell>
          <cell r="C1520" t="str">
            <v>은행</v>
          </cell>
          <cell r="E1520" t="str">
            <v>농협중앙회</v>
          </cell>
          <cell r="H1520">
            <v>68</v>
          </cell>
          <cell r="I1520">
            <v>14400</v>
          </cell>
        </row>
        <row r="1521">
          <cell r="A1521" t="str">
            <v>직접대출</v>
          </cell>
          <cell r="C1521" t="str">
            <v>은행</v>
          </cell>
          <cell r="E1521" t="str">
            <v>농협중앙회</v>
          </cell>
          <cell r="H1521">
            <v>86</v>
          </cell>
          <cell r="I1521">
            <v>55000</v>
          </cell>
        </row>
        <row r="1522">
          <cell r="A1522" t="str">
            <v>직접대출</v>
          </cell>
          <cell r="C1522" t="str">
            <v>은행</v>
          </cell>
          <cell r="E1522" t="str">
            <v>농협중앙회</v>
          </cell>
          <cell r="H1522">
            <v>201</v>
          </cell>
          <cell r="I1522">
            <v>9000</v>
          </cell>
        </row>
        <row r="1523">
          <cell r="A1523" t="str">
            <v>직접대출</v>
          </cell>
          <cell r="C1523" t="str">
            <v>은행</v>
          </cell>
          <cell r="E1523" t="str">
            <v>농협중앙회</v>
          </cell>
          <cell r="H1523">
            <v>1000</v>
          </cell>
          <cell r="I1523">
            <v>19500</v>
          </cell>
        </row>
        <row r="1524">
          <cell r="A1524" t="str">
            <v>직접대출</v>
          </cell>
          <cell r="C1524" t="str">
            <v>은행</v>
          </cell>
          <cell r="E1524" t="str">
            <v>농협중앙회</v>
          </cell>
          <cell r="H1524">
            <v>1</v>
          </cell>
          <cell r="I1524">
            <v>34000</v>
          </cell>
        </row>
        <row r="1525">
          <cell r="A1525" t="str">
            <v>직접대출</v>
          </cell>
          <cell r="C1525" t="str">
            <v>은행</v>
          </cell>
          <cell r="E1525" t="str">
            <v>농협중앙회</v>
          </cell>
          <cell r="H1525">
            <v>66</v>
          </cell>
          <cell r="I1525">
            <v>40000</v>
          </cell>
        </row>
        <row r="1526">
          <cell r="A1526" t="str">
            <v>직접대출</v>
          </cell>
          <cell r="C1526" t="str">
            <v>은행</v>
          </cell>
          <cell r="E1526" t="str">
            <v>농협중앙회</v>
          </cell>
          <cell r="H1526">
            <v>16</v>
          </cell>
          <cell r="I1526">
            <v>7000</v>
          </cell>
        </row>
        <row r="1527">
          <cell r="A1527" t="str">
            <v>직접대출</v>
          </cell>
          <cell r="C1527" t="str">
            <v>은행</v>
          </cell>
          <cell r="E1527" t="str">
            <v>농협중앙회</v>
          </cell>
          <cell r="H1527">
            <v>68</v>
          </cell>
          <cell r="I1527">
            <v>7000</v>
          </cell>
        </row>
        <row r="1528">
          <cell r="A1528" t="str">
            <v>직접대출</v>
          </cell>
          <cell r="C1528" t="str">
            <v>은행</v>
          </cell>
          <cell r="E1528" t="str">
            <v>농협중앙회</v>
          </cell>
          <cell r="H1528">
            <v>1</v>
          </cell>
          <cell r="I1528">
            <v>59700</v>
          </cell>
        </row>
        <row r="1529">
          <cell r="A1529" t="str">
            <v>직접대출</v>
          </cell>
          <cell r="C1529" t="str">
            <v>은행</v>
          </cell>
          <cell r="E1529" t="str">
            <v>농협중앙회</v>
          </cell>
          <cell r="H1529">
            <v>68</v>
          </cell>
          <cell r="I1529">
            <v>3500</v>
          </cell>
        </row>
        <row r="1530">
          <cell r="A1530" t="str">
            <v>직접대출</v>
          </cell>
          <cell r="C1530" t="str">
            <v>은행</v>
          </cell>
          <cell r="E1530" t="str">
            <v>농협중앙회</v>
          </cell>
          <cell r="H1530">
            <v>120</v>
          </cell>
          <cell r="I1530">
            <v>20300</v>
          </cell>
        </row>
        <row r="1531">
          <cell r="A1531" t="str">
            <v>직접대출</v>
          </cell>
          <cell r="C1531" t="str">
            <v>은행</v>
          </cell>
          <cell r="E1531" t="str">
            <v>농협중앙회</v>
          </cell>
          <cell r="H1531">
            <v>68</v>
          </cell>
          <cell r="I1531">
            <v>38000</v>
          </cell>
        </row>
        <row r="1532">
          <cell r="A1532" t="str">
            <v>직접대출</v>
          </cell>
          <cell r="C1532" t="str">
            <v>은행</v>
          </cell>
          <cell r="E1532" t="str">
            <v>농협중앙회</v>
          </cell>
          <cell r="H1532">
            <v>14</v>
          </cell>
          <cell r="I1532">
            <v>75000</v>
          </cell>
        </row>
        <row r="1533">
          <cell r="A1533" t="str">
            <v>직접대출</v>
          </cell>
          <cell r="C1533" t="str">
            <v>은행</v>
          </cell>
          <cell r="E1533" t="str">
            <v>농협중앙회</v>
          </cell>
          <cell r="H1533">
            <v>63</v>
          </cell>
          <cell r="I1533">
            <v>110000</v>
          </cell>
        </row>
        <row r="1534">
          <cell r="A1534" t="str">
            <v>직접대출</v>
          </cell>
          <cell r="C1534" t="str">
            <v>은행</v>
          </cell>
          <cell r="E1534" t="str">
            <v>농협중앙회</v>
          </cell>
          <cell r="H1534">
            <v>12</v>
          </cell>
          <cell r="I1534">
            <v>44500</v>
          </cell>
        </row>
        <row r="1535">
          <cell r="A1535" t="str">
            <v>직접대출</v>
          </cell>
          <cell r="C1535" t="str">
            <v>은행</v>
          </cell>
          <cell r="E1535" t="str">
            <v>농협중앙회</v>
          </cell>
          <cell r="H1535">
            <v>98</v>
          </cell>
          <cell r="I1535">
            <v>62800</v>
          </cell>
        </row>
        <row r="1536">
          <cell r="A1536" t="str">
            <v>직접대출</v>
          </cell>
          <cell r="C1536" t="str">
            <v>은행</v>
          </cell>
          <cell r="E1536" t="str">
            <v>농협중앙회</v>
          </cell>
          <cell r="H1536">
            <v>120</v>
          </cell>
          <cell r="I1536">
            <v>7100</v>
          </cell>
        </row>
        <row r="1537">
          <cell r="A1537" t="str">
            <v>직접대출</v>
          </cell>
          <cell r="C1537" t="str">
            <v>은행</v>
          </cell>
          <cell r="E1537" t="str">
            <v>농협중앙회</v>
          </cell>
          <cell r="H1537">
            <v>200</v>
          </cell>
          <cell r="I1537">
            <v>32700</v>
          </cell>
        </row>
        <row r="1538">
          <cell r="A1538" t="str">
            <v>직접대출</v>
          </cell>
          <cell r="C1538" t="str">
            <v>은행</v>
          </cell>
          <cell r="E1538" t="str">
            <v>농협중앙회</v>
          </cell>
          <cell r="H1538">
            <v>1000</v>
          </cell>
          <cell r="I1538">
            <v>18000</v>
          </cell>
        </row>
        <row r="1539">
          <cell r="A1539" t="str">
            <v>직접대출</v>
          </cell>
          <cell r="C1539" t="str">
            <v>은행</v>
          </cell>
          <cell r="E1539" t="str">
            <v>농협중앙회</v>
          </cell>
          <cell r="H1539">
            <v>29</v>
          </cell>
          <cell r="I1539">
            <v>24700</v>
          </cell>
        </row>
        <row r="1540">
          <cell r="A1540" t="str">
            <v>직접대출</v>
          </cell>
          <cell r="C1540" t="str">
            <v>은행</v>
          </cell>
          <cell r="E1540" t="str">
            <v>농협중앙회</v>
          </cell>
          <cell r="H1540">
            <v>153</v>
          </cell>
          <cell r="I1540">
            <v>21000</v>
          </cell>
        </row>
        <row r="1541">
          <cell r="A1541" t="str">
            <v>직접대출</v>
          </cell>
          <cell r="C1541" t="str">
            <v>은행</v>
          </cell>
          <cell r="E1541" t="str">
            <v>농협중앙회</v>
          </cell>
          <cell r="H1541">
            <v>47</v>
          </cell>
          <cell r="I1541">
            <v>13000</v>
          </cell>
        </row>
        <row r="1542">
          <cell r="A1542" t="str">
            <v>직접대출</v>
          </cell>
          <cell r="C1542" t="str">
            <v>은행</v>
          </cell>
          <cell r="E1542" t="str">
            <v>농협중앙회</v>
          </cell>
          <cell r="H1542">
            <v>1</v>
          </cell>
          <cell r="I1542">
            <v>10200</v>
          </cell>
        </row>
        <row r="1543">
          <cell r="A1543" t="str">
            <v>직접대출</v>
          </cell>
          <cell r="C1543" t="str">
            <v>은행</v>
          </cell>
          <cell r="E1543" t="str">
            <v>농협중앙회</v>
          </cell>
          <cell r="H1543">
            <v>61</v>
          </cell>
          <cell r="I1543">
            <v>3000</v>
          </cell>
        </row>
        <row r="1544">
          <cell r="A1544" t="str">
            <v>직접대출</v>
          </cell>
          <cell r="C1544" t="str">
            <v>은행</v>
          </cell>
          <cell r="E1544" t="str">
            <v>농협중앙회</v>
          </cell>
          <cell r="H1544">
            <v>61</v>
          </cell>
          <cell r="I1544">
            <v>5400</v>
          </cell>
        </row>
        <row r="1545">
          <cell r="A1545" t="str">
            <v>직접대출</v>
          </cell>
          <cell r="C1545" t="str">
            <v>은행</v>
          </cell>
          <cell r="E1545" t="str">
            <v>농협중앙회</v>
          </cell>
          <cell r="H1545">
            <v>16</v>
          </cell>
          <cell r="I1545">
            <v>12600</v>
          </cell>
        </row>
        <row r="1546">
          <cell r="A1546" t="str">
            <v>직접대출</v>
          </cell>
          <cell r="C1546" t="str">
            <v>은행</v>
          </cell>
          <cell r="E1546" t="str">
            <v>농협중앙회</v>
          </cell>
          <cell r="H1546">
            <v>34</v>
          </cell>
          <cell r="I1546">
            <v>30000</v>
          </cell>
        </row>
        <row r="1547">
          <cell r="A1547" t="str">
            <v>직접대출</v>
          </cell>
          <cell r="C1547" t="str">
            <v>은행</v>
          </cell>
          <cell r="E1547" t="str">
            <v>농협중앙회</v>
          </cell>
          <cell r="H1547">
            <v>86</v>
          </cell>
          <cell r="I1547">
            <v>30000</v>
          </cell>
        </row>
        <row r="1548">
          <cell r="A1548" t="str">
            <v>직접대출</v>
          </cell>
          <cell r="C1548" t="str">
            <v>은행</v>
          </cell>
          <cell r="E1548" t="str">
            <v>농협중앙회</v>
          </cell>
          <cell r="H1548">
            <v>200</v>
          </cell>
          <cell r="I1548">
            <v>83100</v>
          </cell>
        </row>
        <row r="1549">
          <cell r="A1549" t="str">
            <v>직접대출</v>
          </cell>
          <cell r="C1549" t="str">
            <v>은행</v>
          </cell>
          <cell r="E1549" t="str">
            <v>농협중앙회</v>
          </cell>
          <cell r="H1549">
            <v>68</v>
          </cell>
          <cell r="I1549">
            <v>10300</v>
          </cell>
        </row>
        <row r="1550">
          <cell r="A1550" t="str">
            <v>직접대출</v>
          </cell>
          <cell r="C1550" t="str">
            <v>은행</v>
          </cell>
          <cell r="E1550" t="str">
            <v>농협중앙회</v>
          </cell>
          <cell r="H1550">
            <v>1000</v>
          </cell>
          <cell r="I1550">
            <v>28000</v>
          </cell>
        </row>
        <row r="1551">
          <cell r="A1551" t="str">
            <v>직접대출</v>
          </cell>
          <cell r="C1551" t="str">
            <v>은행</v>
          </cell>
          <cell r="E1551" t="str">
            <v>농협중앙회</v>
          </cell>
          <cell r="H1551">
            <v>54</v>
          </cell>
          <cell r="I1551">
            <v>23100</v>
          </cell>
        </row>
        <row r="1552">
          <cell r="A1552" t="str">
            <v>직접대출</v>
          </cell>
          <cell r="C1552" t="str">
            <v>은행</v>
          </cell>
          <cell r="E1552" t="str">
            <v>농협중앙회</v>
          </cell>
          <cell r="H1552">
            <v>86</v>
          </cell>
          <cell r="I1552">
            <v>56000</v>
          </cell>
        </row>
        <row r="1553">
          <cell r="A1553" t="str">
            <v>직접대출</v>
          </cell>
          <cell r="C1553" t="str">
            <v>은행</v>
          </cell>
          <cell r="E1553" t="str">
            <v>농협중앙회</v>
          </cell>
          <cell r="H1553">
            <v>35</v>
          </cell>
          <cell r="I1553">
            <v>180000</v>
          </cell>
        </row>
        <row r="1554">
          <cell r="A1554" t="str">
            <v>직접대출</v>
          </cell>
          <cell r="C1554" t="str">
            <v>은행</v>
          </cell>
          <cell r="E1554" t="str">
            <v>농협중앙회</v>
          </cell>
          <cell r="H1554">
            <v>40</v>
          </cell>
          <cell r="I1554">
            <v>180000</v>
          </cell>
        </row>
        <row r="1555">
          <cell r="A1555" t="str">
            <v>직접대출</v>
          </cell>
          <cell r="C1555" t="str">
            <v>은행</v>
          </cell>
          <cell r="E1555" t="str">
            <v>농협중앙회</v>
          </cell>
          <cell r="H1555">
            <v>9</v>
          </cell>
          <cell r="I1555">
            <v>91400</v>
          </cell>
        </row>
        <row r="1556">
          <cell r="A1556" t="str">
            <v>직접대출</v>
          </cell>
          <cell r="C1556" t="str">
            <v>은행</v>
          </cell>
          <cell r="E1556" t="str">
            <v>농협중앙회</v>
          </cell>
          <cell r="H1556">
            <v>45</v>
          </cell>
          <cell r="I1556">
            <v>18000</v>
          </cell>
        </row>
        <row r="1557">
          <cell r="A1557" t="str">
            <v>직접대출</v>
          </cell>
          <cell r="C1557" t="str">
            <v>은행</v>
          </cell>
          <cell r="E1557" t="str">
            <v>농협중앙회</v>
          </cell>
          <cell r="H1557">
            <v>68</v>
          </cell>
          <cell r="I1557">
            <v>14000</v>
          </cell>
        </row>
        <row r="1558">
          <cell r="A1558" t="str">
            <v>직접대출</v>
          </cell>
          <cell r="C1558" t="str">
            <v>은행</v>
          </cell>
          <cell r="E1558" t="str">
            <v>농협중앙회</v>
          </cell>
          <cell r="H1558">
            <v>4</v>
          </cell>
          <cell r="I1558">
            <v>37100</v>
          </cell>
        </row>
        <row r="1559">
          <cell r="A1559" t="str">
            <v>직접대출</v>
          </cell>
          <cell r="C1559" t="str">
            <v>은행</v>
          </cell>
          <cell r="E1559" t="str">
            <v>농협중앙회</v>
          </cell>
          <cell r="H1559">
            <v>21</v>
          </cell>
          <cell r="I1559">
            <v>15000</v>
          </cell>
        </row>
        <row r="1560">
          <cell r="A1560" t="str">
            <v>직접대출</v>
          </cell>
          <cell r="C1560" t="str">
            <v>은행</v>
          </cell>
          <cell r="E1560" t="str">
            <v>농협중앙회</v>
          </cell>
          <cell r="H1560">
            <v>154</v>
          </cell>
          <cell r="I1560">
            <v>30000</v>
          </cell>
        </row>
        <row r="1561">
          <cell r="A1561" t="str">
            <v>직접대출</v>
          </cell>
          <cell r="C1561" t="str">
            <v>은행</v>
          </cell>
          <cell r="E1561" t="str">
            <v>농협중앙회</v>
          </cell>
          <cell r="H1561">
            <v>1000</v>
          </cell>
          <cell r="I1561">
            <v>0</v>
          </cell>
        </row>
        <row r="1562">
          <cell r="A1562" t="str">
            <v>직접대출</v>
          </cell>
          <cell r="C1562" t="str">
            <v>은행</v>
          </cell>
          <cell r="E1562" t="str">
            <v>농협중앙회</v>
          </cell>
          <cell r="H1562">
            <v>1</v>
          </cell>
          <cell r="I1562">
            <v>61000</v>
          </cell>
        </row>
        <row r="1563">
          <cell r="A1563" t="str">
            <v>직접대출</v>
          </cell>
          <cell r="C1563" t="str">
            <v>은행</v>
          </cell>
          <cell r="E1563" t="str">
            <v>농협중앙회</v>
          </cell>
          <cell r="H1563">
            <v>10</v>
          </cell>
          <cell r="I1563">
            <v>61000</v>
          </cell>
        </row>
        <row r="1564">
          <cell r="A1564" t="str">
            <v>직접대출</v>
          </cell>
          <cell r="C1564" t="str">
            <v>은행</v>
          </cell>
          <cell r="E1564" t="str">
            <v>농협중앙회</v>
          </cell>
          <cell r="H1564">
            <v>23</v>
          </cell>
          <cell r="I1564">
            <v>61000</v>
          </cell>
        </row>
        <row r="1565">
          <cell r="A1565" t="str">
            <v>직접대출</v>
          </cell>
          <cell r="C1565" t="str">
            <v>은행</v>
          </cell>
          <cell r="E1565" t="str">
            <v>농협중앙회</v>
          </cell>
          <cell r="H1565">
            <v>40</v>
          </cell>
          <cell r="I1565">
            <v>55000</v>
          </cell>
        </row>
        <row r="1566">
          <cell r="A1566" t="str">
            <v>직접대출</v>
          </cell>
          <cell r="C1566" t="str">
            <v>은행</v>
          </cell>
          <cell r="E1566" t="str">
            <v>농협중앙회</v>
          </cell>
          <cell r="H1566">
            <v>12</v>
          </cell>
          <cell r="I1566">
            <v>35100</v>
          </cell>
        </row>
        <row r="1567">
          <cell r="A1567" t="str">
            <v>직접대출</v>
          </cell>
          <cell r="C1567" t="str">
            <v>은행</v>
          </cell>
          <cell r="E1567" t="str">
            <v>농협중앙회</v>
          </cell>
          <cell r="H1567">
            <v>105</v>
          </cell>
          <cell r="I1567">
            <v>45000</v>
          </cell>
        </row>
        <row r="1568">
          <cell r="A1568" t="str">
            <v>직접대출</v>
          </cell>
          <cell r="C1568" t="str">
            <v>은행</v>
          </cell>
          <cell r="E1568" t="str">
            <v>농협중앙회</v>
          </cell>
          <cell r="H1568">
            <v>47</v>
          </cell>
          <cell r="I1568">
            <v>52500</v>
          </cell>
        </row>
        <row r="1569">
          <cell r="A1569" t="str">
            <v>직접대출</v>
          </cell>
          <cell r="C1569" t="str">
            <v>은행</v>
          </cell>
          <cell r="E1569" t="str">
            <v>농협중앙회</v>
          </cell>
          <cell r="H1569">
            <v>14</v>
          </cell>
          <cell r="I1569">
            <v>32200</v>
          </cell>
        </row>
        <row r="1570">
          <cell r="A1570" t="str">
            <v>직접대출</v>
          </cell>
          <cell r="C1570" t="str">
            <v>은행</v>
          </cell>
          <cell r="E1570" t="str">
            <v>농협중앙회</v>
          </cell>
          <cell r="H1570">
            <v>54</v>
          </cell>
          <cell r="I1570">
            <v>19800</v>
          </cell>
        </row>
        <row r="1571">
          <cell r="A1571" t="str">
            <v>직접대출</v>
          </cell>
          <cell r="C1571" t="str">
            <v>은행</v>
          </cell>
          <cell r="E1571" t="str">
            <v>농협중앙회</v>
          </cell>
          <cell r="H1571">
            <v>47</v>
          </cell>
          <cell r="I1571">
            <v>30000</v>
          </cell>
        </row>
        <row r="1572">
          <cell r="A1572" t="str">
            <v>직접대출</v>
          </cell>
          <cell r="C1572" t="str">
            <v>은행</v>
          </cell>
          <cell r="E1572" t="str">
            <v>농협중앙회</v>
          </cell>
          <cell r="H1572">
            <v>123</v>
          </cell>
          <cell r="I1572">
            <v>50000</v>
          </cell>
        </row>
        <row r="1573">
          <cell r="A1573" t="str">
            <v>직접대출</v>
          </cell>
          <cell r="C1573" t="str">
            <v>은행</v>
          </cell>
          <cell r="E1573" t="str">
            <v>농협중앙회</v>
          </cell>
          <cell r="H1573">
            <v>86</v>
          </cell>
          <cell r="I1573">
            <v>30000</v>
          </cell>
        </row>
        <row r="1574">
          <cell r="A1574" t="str">
            <v>직접대출</v>
          </cell>
          <cell r="C1574" t="str">
            <v>은행</v>
          </cell>
          <cell r="E1574" t="str">
            <v>농협중앙회</v>
          </cell>
          <cell r="H1574">
            <v>86</v>
          </cell>
          <cell r="I1574">
            <v>15000</v>
          </cell>
        </row>
        <row r="1575">
          <cell r="A1575" t="str">
            <v>직접대출</v>
          </cell>
          <cell r="C1575" t="str">
            <v>은행</v>
          </cell>
          <cell r="E1575" t="str">
            <v>농협중앙회</v>
          </cell>
          <cell r="H1575">
            <v>61</v>
          </cell>
          <cell r="I1575">
            <v>65000</v>
          </cell>
        </row>
        <row r="1576">
          <cell r="A1576" t="str">
            <v>직접대출</v>
          </cell>
          <cell r="C1576" t="str">
            <v>은행</v>
          </cell>
          <cell r="E1576" t="str">
            <v>농협중앙회</v>
          </cell>
          <cell r="H1576">
            <v>10</v>
          </cell>
          <cell r="I1576">
            <v>46000</v>
          </cell>
        </row>
        <row r="1577">
          <cell r="A1577" t="str">
            <v>직접대출</v>
          </cell>
          <cell r="C1577" t="str">
            <v>은행</v>
          </cell>
          <cell r="E1577" t="str">
            <v>농협중앙회</v>
          </cell>
          <cell r="H1577">
            <v>16</v>
          </cell>
          <cell r="I1577">
            <v>46000</v>
          </cell>
        </row>
        <row r="1578">
          <cell r="A1578" t="str">
            <v>직접대출</v>
          </cell>
          <cell r="C1578" t="str">
            <v>은행</v>
          </cell>
          <cell r="E1578" t="str">
            <v>농협중앙회</v>
          </cell>
          <cell r="H1578">
            <v>99</v>
          </cell>
          <cell r="I1578">
            <v>35000</v>
          </cell>
        </row>
        <row r="1579">
          <cell r="A1579" t="str">
            <v>직접대출</v>
          </cell>
          <cell r="C1579" t="str">
            <v>은행</v>
          </cell>
          <cell r="E1579" t="str">
            <v>농협중앙회</v>
          </cell>
          <cell r="H1579">
            <v>12</v>
          </cell>
          <cell r="I1579">
            <v>56600</v>
          </cell>
        </row>
        <row r="1580">
          <cell r="A1580" t="str">
            <v>직접대출</v>
          </cell>
          <cell r="C1580" t="str">
            <v>은행</v>
          </cell>
          <cell r="E1580" t="str">
            <v>농협중앙회</v>
          </cell>
          <cell r="H1580">
            <v>1000</v>
          </cell>
          <cell r="I1580">
            <v>9800</v>
          </cell>
        </row>
        <row r="1581">
          <cell r="A1581" t="str">
            <v>직접대출</v>
          </cell>
          <cell r="C1581" t="str">
            <v>은행</v>
          </cell>
          <cell r="E1581" t="str">
            <v>농협중앙회</v>
          </cell>
          <cell r="H1581">
            <v>1000</v>
          </cell>
          <cell r="I1581">
            <v>50000</v>
          </cell>
        </row>
        <row r="1582">
          <cell r="A1582" t="str">
            <v>직접대출</v>
          </cell>
          <cell r="C1582" t="str">
            <v>은행</v>
          </cell>
          <cell r="E1582" t="str">
            <v>농협중앙회</v>
          </cell>
          <cell r="H1582">
            <v>150</v>
          </cell>
          <cell r="I1582">
            <v>40000</v>
          </cell>
        </row>
        <row r="1583">
          <cell r="A1583" t="str">
            <v>직접대출</v>
          </cell>
          <cell r="C1583" t="str">
            <v>은행</v>
          </cell>
          <cell r="E1583" t="str">
            <v>농협중앙회</v>
          </cell>
          <cell r="H1583">
            <v>68</v>
          </cell>
          <cell r="I1583">
            <v>29100</v>
          </cell>
        </row>
        <row r="1584">
          <cell r="A1584" t="str">
            <v>직접대출</v>
          </cell>
          <cell r="C1584" t="str">
            <v>은행</v>
          </cell>
          <cell r="E1584" t="str">
            <v>농협중앙회</v>
          </cell>
          <cell r="H1584">
            <v>1</v>
          </cell>
          <cell r="I1584">
            <v>84000</v>
          </cell>
        </row>
        <row r="1585">
          <cell r="A1585" t="str">
            <v>직접대출</v>
          </cell>
          <cell r="C1585" t="str">
            <v>은행</v>
          </cell>
          <cell r="E1585" t="str">
            <v>농협중앙회</v>
          </cell>
          <cell r="H1585">
            <v>50</v>
          </cell>
          <cell r="I1585">
            <v>120000</v>
          </cell>
        </row>
        <row r="1586">
          <cell r="A1586" t="str">
            <v>직접대출</v>
          </cell>
          <cell r="C1586" t="str">
            <v>은행</v>
          </cell>
          <cell r="E1586" t="str">
            <v>농협중앙회</v>
          </cell>
          <cell r="H1586">
            <v>45</v>
          </cell>
          <cell r="I1586">
            <v>45000</v>
          </cell>
        </row>
        <row r="1587">
          <cell r="A1587" t="str">
            <v>직접대출</v>
          </cell>
          <cell r="C1587" t="str">
            <v>은행</v>
          </cell>
          <cell r="E1587" t="str">
            <v>농협중앙회</v>
          </cell>
          <cell r="H1587">
            <v>169</v>
          </cell>
          <cell r="I1587">
            <v>36100</v>
          </cell>
        </row>
        <row r="1588">
          <cell r="A1588" t="str">
            <v>직접대출</v>
          </cell>
          <cell r="C1588" t="str">
            <v>은행</v>
          </cell>
          <cell r="E1588" t="str">
            <v>농협중앙회</v>
          </cell>
          <cell r="H1588">
            <v>63</v>
          </cell>
          <cell r="I1588">
            <v>12600</v>
          </cell>
        </row>
        <row r="1589">
          <cell r="A1589" t="str">
            <v>직접대출</v>
          </cell>
          <cell r="C1589" t="str">
            <v>은행</v>
          </cell>
          <cell r="E1589" t="str">
            <v>농협중앙회</v>
          </cell>
          <cell r="H1589">
            <v>51</v>
          </cell>
          <cell r="I1589">
            <v>40000</v>
          </cell>
        </row>
        <row r="1590">
          <cell r="A1590" t="str">
            <v>직접대출</v>
          </cell>
          <cell r="C1590" t="str">
            <v>은행</v>
          </cell>
          <cell r="E1590" t="str">
            <v>농협중앙회</v>
          </cell>
          <cell r="H1590">
            <v>201</v>
          </cell>
          <cell r="I1590">
            <v>28000</v>
          </cell>
        </row>
        <row r="1591">
          <cell r="A1591" t="str">
            <v>직접대출</v>
          </cell>
          <cell r="C1591" t="str">
            <v>은행</v>
          </cell>
          <cell r="E1591" t="str">
            <v>농협중앙회</v>
          </cell>
          <cell r="H1591">
            <v>3</v>
          </cell>
          <cell r="I1591">
            <v>3900</v>
          </cell>
        </row>
        <row r="1592">
          <cell r="A1592" t="str">
            <v>직접대출</v>
          </cell>
          <cell r="C1592" t="str">
            <v>은행</v>
          </cell>
          <cell r="E1592" t="str">
            <v>농협중앙회</v>
          </cell>
          <cell r="H1592">
            <v>6</v>
          </cell>
          <cell r="I1592">
            <v>3900</v>
          </cell>
        </row>
        <row r="1593">
          <cell r="A1593" t="str">
            <v>직접대출</v>
          </cell>
          <cell r="C1593" t="str">
            <v>은행</v>
          </cell>
          <cell r="E1593" t="str">
            <v>농협중앙회</v>
          </cell>
          <cell r="H1593">
            <v>1000</v>
          </cell>
          <cell r="I1593">
            <v>70000</v>
          </cell>
        </row>
        <row r="1594">
          <cell r="A1594" t="str">
            <v>직접대출</v>
          </cell>
          <cell r="C1594" t="str">
            <v>은행</v>
          </cell>
          <cell r="E1594" t="str">
            <v>농협중앙회</v>
          </cell>
          <cell r="H1594">
            <v>139</v>
          </cell>
          <cell r="I1594">
            <v>29000</v>
          </cell>
        </row>
        <row r="1595">
          <cell r="A1595" t="str">
            <v>직접대출</v>
          </cell>
          <cell r="C1595" t="str">
            <v>은행</v>
          </cell>
          <cell r="E1595" t="str">
            <v>농협중앙회</v>
          </cell>
          <cell r="H1595">
            <v>4</v>
          </cell>
          <cell r="I1595">
            <v>41200</v>
          </cell>
        </row>
        <row r="1596">
          <cell r="A1596" t="str">
            <v>직접대출</v>
          </cell>
          <cell r="C1596" t="str">
            <v>은행</v>
          </cell>
          <cell r="E1596" t="str">
            <v>농협중앙회</v>
          </cell>
          <cell r="H1596">
            <v>154</v>
          </cell>
          <cell r="I1596">
            <v>0</v>
          </cell>
        </row>
        <row r="1597">
          <cell r="A1597" t="str">
            <v>직접대출</v>
          </cell>
          <cell r="C1597" t="str">
            <v>은행</v>
          </cell>
          <cell r="E1597" t="str">
            <v>농협중앙회</v>
          </cell>
          <cell r="H1597">
            <v>153</v>
          </cell>
          <cell r="I1597">
            <v>19000</v>
          </cell>
        </row>
        <row r="1598">
          <cell r="A1598" t="str">
            <v>직접대출</v>
          </cell>
          <cell r="C1598" t="str">
            <v>은행</v>
          </cell>
          <cell r="E1598" t="str">
            <v>농협중앙회</v>
          </cell>
          <cell r="H1598">
            <v>23</v>
          </cell>
          <cell r="I1598">
            <v>12000</v>
          </cell>
        </row>
        <row r="1599">
          <cell r="A1599" t="str">
            <v>직접대출</v>
          </cell>
          <cell r="C1599" t="str">
            <v>은행</v>
          </cell>
          <cell r="E1599" t="str">
            <v>농협중앙회</v>
          </cell>
          <cell r="H1599">
            <v>99</v>
          </cell>
          <cell r="I1599">
            <v>35000</v>
          </cell>
        </row>
        <row r="1600">
          <cell r="A1600" t="str">
            <v>직접대출</v>
          </cell>
          <cell r="C1600" t="str">
            <v>은행</v>
          </cell>
          <cell r="E1600" t="str">
            <v>농협중앙회</v>
          </cell>
          <cell r="H1600">
            <v>56</v>
          </cell>
          <cell r="I1600">
            <v>50000</v>
          </cell>
        </row>
        <row r="1601">
          <cell r="A1601" t="str">
            <v>직접대출</v>
          </cell>
          <cell r="C1601" t="str">
            <v>은행</v>
          </cell>
          <cell r="E1601" t="str">
            <v>농협중앙회</v>
          </cell>
          <cell r="H1601">
            <v>68</v>
          </cell>
          <cell r="I1601">
            <v>5500</v>
          </cell>
        </row>
        <row r="1602">
          <cell r="A1602" t="str">
            <v>직접대출</v>
          </cell>
          <cell r="C1602" t="str">
            <v>은행</v>
          </cell>
          <cell r="E1602" t="str">
            <v>농협중앙회</v>
          </cell>
          <cell r="H1602">
            <v>221</v>
          </cell>
          <cell r="I1602">
            <v>31800</v>
          </cell>
        </row>
        <row r="1603">
          <cell r="A1603" t="str">
            <v>직접대출</v>
          </cell>
          <cell r="C1603" t="str">
            <v>은행</v>
          </cell>
          <cell r="E1603" t="str">
            <v>농협중앙회</v>
          </cell>
          <cell r="H1603">
            <v>99</v>
          </cell>
          <cell r="I1603">
            <v>70000</v>
          </cell>
        </row>
        <row r="1604">
          <cell r="A1604" t="str">
            <v>직접대출</v>
          </cell>
          <cell r="C1604" t="str">
            <v>은행</v>
          </cell>
          <cell r="E1604" t="str">
            <v>농협중앙회</v>
          </cell>
          <cell r="H1604">
            <v>50</v>
          </cell>
          <cell r="I1604">
            <v>50000</v>
          </cell>
        </row>
        <row r="1605">
          <cell r="A1605" t="str">
            <v>직접대출</v>
          </cell>
          <cell r="C1605" t="str">
            <v>은행</v>
          </cell>
          <cell r="E1605" t="str">
            <v>농협중앙회</v>
          </cell>
          <cell r="H1605">
            <v>99</v>
          </cell>
          <cell r="I1605">
            <v>23600</v>
          </cell>
        </row>
        <row r="1606">
          <cell r="A1606" t="str">
            <v>직접대출</v>
          </cell>
          <cell r="C1606" t="str">
            <v>은행</v>
          </cell>
          <cell r="E1606" t="str">
            <v>농협중앙회</v>
          </cell>
          <cell r="H1606">
            <v>50</v>
          </cell>
          <cell r="I1606">
            <v>64800</v>
          </cell>
        </row>
        <row r="1607">
          <cell r="A1607" t="str">
            <v>직접대출</v>
          </cell>
          <cell r="C1607" t="str">
            <v>은행</v>
          </cell>
          <cell r="E1607" t="str">
            <v>농협중앙회</v>
          </cell>
          <cell r="H1607">
            <v>1000</v>
          </cell>
          <cell r="I1607">
            <v>0</v>
          </cell>
        </row>
        <row r="1608">
          <cell r="A1608" t="str">
            <v>직접대출</v>
          </cell>
          <cell r="C1608" t="str">
            <v>은행</v>
          </cell>
          <cell r="E1608" t="str">
            <v>농협중앙회</v>
          </cell>
          <cell r="H1608">
            <v>40</v>
          </cell>
          <cell r="I1608">
            <v>50000</v>
          </cell>
        </row>
        <row r="1609">
          <cell r="A1609" t="str">
            <v>직접대출</v>
          </cell>
          <cell r="C1609" t="str">
            <v>은행</v>
          </cell>
          <cell r="E1609" t="str">
            <v>농협중앙회</v>
          </cell>
          <cell r="H1609">
            <v>99</v>
          </cell>
          <cell r="I1609">
            <v>30000</v>
          </cell>
        </row>
        <row r="1610">
          <cell r="A1610" t="str">
            <v>직접대출</v>
          </cell>
          <cell r="C1610" t="str">
            <v>은행</v>
          </cell>
          <cell r="E1610" t="str">
            <v>농협중앙회</v>
          </cell>
          <cell r="H1610">
            <v>34</v>
          </cell>
          <cell r="I1610">
            <v>30000</v>
          </cell>
        </row>
        <row r="1611">
          <cell r="A1611" t="str">
            <v>직접대출</v>
          </cell>
          <cell r="C1611" t="str">
            <v>은행</v>
          </cell>
          <cell r="E1611" t="str">
            <v>농협중앙회</v>
          </cell>
          <cell r="H1611">
            <v>80</v>
          </cell>
          <cell r="I1611">
            <v>66500</v>
          </cell>
        </row>
        <row r="1612">
          <cell r="A1612" t="str">
            <v>직접대출</v>
          </cell>
          <cell r="C1612" t="str">
            <v>은행</v>
          </cell>
          <cell r="E1612" t="str">
            <v>농협중앙회</v>
          </cell>
          <cell r="H1612">
            <v>82</v>
          </cell>
          <cell r="I1612">
            <v>18500</v>
          </cell>
        </row>
        <row r="1613">
          <cell r="A1613" t="str">
            <v>직접대출</v>
          </cell>
          <cell r="C1613" t="str">
            <v>은행</v>
          </cell>
          <cell r="E1613" t="str">
            <v>농협중앙회</v>
          </cell>
          <cell r="H1613">
            <v>86</v>
          </cell>
          <cell r="I1613">
            <v>46000</v>
          </cell>
        </row>
        <row r="1614">
          <cell r="A1614" t="str">
            <v>직접대출</v>
          </cell>
          <cell r="C1614" t="str">
            <v>은행</v>
          </cell>
          <cell r="E1614" t="str">
            <v>농협중앙회</v>
          </cell>
          <cell r="H1614">
            <v>86</v>
          </cell>
          <cell r="I1614">
            <v>23900</v>
          </cell>
        </row>
        <row r="1615">
          <cell r="A1615" t="str">
            <v>직접대출</v>
          </cell>
          <cell r="C1615" t="str">
            <v>은행</v>
          </cell>
          <cell r="E1615" t="str">
            <v>농협중앙회</v>
          </cell>
          <cell r="H1615">
            <v>86</v>
          </cell>
          <cell r="I1615">
            <v>36100</v>
          </cell>
        </row>
        <row r="1616">
          <cell r="A1616" t="str">
            <v>직접대출</v>
          </cell>
          <cell r="C1616" t="str">
            <v>은행</v>
          </cell>
          <cell r="E1616" t="str">
            <v>농협중앙회</v>
          </cell>
          <cell r="H1616">
            <v>63</v>
          </cell>
          <cell r="I1616">
            <v>77800</v>
          </cell>
        </row>
        <row r="1617">
          <cell r="A1617" t="str">
            <v>직접대출</v>
          </cell>
          <cell r="C1617" t="str">
            <v>은행</v>
          </cell>
          <cell r="E1617" t="str">
            <v>농협중앙회</v>
          </cell>
          <cell r="H1617">
            <v>63</v>
          </cell>
          <cell r="I1617">
            <v>43700</v>
          </cell>
        </row>
        <row r="1618">
          <cell r="A1618" t="str">
            <v>직접대출</v>
          </cell>
          <cell r="C1618" t="str">
            <v>은행</v>
          </cell>
          <cell r="E1618" t="str">
            <v>농협중앙회</v>
          </cell>
          <cell r="H1618">
            <v>48</v>
          </cell>
          <cell r="I1618">
            <v>28000</v>
          </cell>
        </row>
        <row r="1619">
          <cell r="A1619" t="str">
            <v>직접대출</v>
          </cell>
          <cell r="C1619" t="str">
            <v>은행</v>
          </cell>
          <cell r="E1619" t="str">
            <v>농협중앙회</v>
          </cell>
          <cell r="H1619">
            <v>48</v>
          </cell>
          <cell r="I1619">
            <v>29800</v>
          </cell>
        </row>
        <row r="1620">
          <cell r="A1620" t="str">
            <v>직접대출</v>
          </cell>
          <cell r="C1620" t="str">
            <v>은행</v>
          </cell>
          <cell r="E1620" t="str">
            <v>농협중앙회</v>
          </cell>
          <cell r="H1620">
            <v>10</v>
          </cell>
          <cell r="I1620">
            <v>82000</v>
          </cell>
        </row>
        <row r="1621">
          <cell r="A1621" t="str">
            <v>직접대출</v>
          </cell>
          <cell r="C1621" t="str">
            <v>은행</v>
          </cell>
          <cell r="E1621" t="str">
            <v>농협중앙회</v>
          </cell>
          <cell r="H1621">
            <v>50</v>
          </cell>
          <cell r="I1621">
            <v>45000</v>
          </cell>
        </row>
        <row r="1622">
          <cell r="A1622" t="str">
            <v>직접대출</v>
          </cell>
          <cell r="C1622" t="str">
            <v>은행</v>
          </cell>
          <cell r="E1622" t="str">
            <v>농협중앙회</v>
          </cell>
          <cell r="H1622">
            <v>272</v>
          </cell>
          <cell r="I1622">
            <v>8400</v>
          </cell>
        </row>
        <row r="1623">
          <cell r="A1623" t="str">
            <v>직접대출</v>
          </cell>
          <cell r="C1623" t="str">
            <v>은행</v>
          </cell>
          <cell r="E1623" t="str">
            <v>농협중앙회</v>
          </cell>
          <cell r="H1623">
            <v>6</v>
          </cell>
          <cell r="I1623">
            <v>0</v>
          </cell>
        </row>
        <row r="1624">
          <cell r="A1624" t="str">
            <v>직접대출</v>
          </cell>
          <cell r="C1624" t="str">
            <v>은행</v>
          </cell>
          <cell r="E1624" t="str">
            <v>농협중앙회</v>
          </cell>
          <cell r="H1624">
            <v>1000</v>
          </cell>
          <cell r="I1624">
            <v>21000</v>
          </cell>
        </row>
        <row r="1625">
          <cell r="A1625" t="str">
            <v>직접대출</v>
          </cell>
          <cell r="C1625" t="str">
            <v>은행</v>
          </cell>
          <cell r="E1625" t="str">
            <v>농협중앙회</v>
          </cell>
          <cell r="H1625">
            <v>35</v>
          </cell>
          <cell r="I1625">
            <v>110000</v>
          </cell>
        </row>
        <row r="1626">
          <cell r="A1626" t="str">
            <v>직접대출</v>
          </cell>
          <cell r="C1626" t="str">
            <v>은행</v>
          </cell>
          <cell r="E1626" t="str">
            <v>농협중앙회</v>
          </cell>
          <cell r="H1626">
            <v>50</v>
          </cell>
          <cell r="I1626">
            <v>14900</v>
          </cell>
        </row>
        <row r="1627">
          <cell r="A1627" t="str">
            <v>직접대출</v>
          </cell>
          <cell r="C1627" t="str">
            <v>은행</v>
          </cell>
          <cell r="E1627" t="str">
            <v>농협중앙회</v>
          </cell>
          <cell r="H1627">
            <v>10</v>
          </cell>
          <cell r="I1627">
            <v>50000</v>
          </cell>
        </row>
        <row r="1628">
          <cell r="A1628" t="str">
            <v>직접대출</v>
          </cell>
          <cell r="C1628" t="str">
            <v>은행</v>
          </cell>
          <cell r="E1628" t="str">
            <v>농협중앙회</v>
          </cell>
          <cell r="H1628">
            <v>25</v>
          </cell>
          <cell r="I1628">
            <v>140000</v>
          </cell>
        </row>
        <row r="1629">
          <cell r="A1629" t="str">
            <v>직접대출</v>
          </cell>
          <cell r="C1629" t="str">
            <v>은행</v>
          </cell>
          <cell r="E1629" t="str">
            <v>농협중앙회</v>
          </cell>
          <cell r="H1629">
            <v>68</v>
          </cell>
          <cell r="I1629">
            <v>76000</v>
          </cell>
        </row>
        <row r="1630">
          <cell r="A1630" t="str">
            <v>직접대출</v>
          </cell>
          <cell r="C1630" t="str">
            <v>은행</v>
          </cell>
          <cell r="E1630" t="str">
            <v>농협중앙회</v>
          </cell>
          <cell r="H1630">
            <v>40</v>
          </cell>
          <cell r="I1630">
            <v>49000</v>
          </cell>
        </row>
        <row r="1631">
          <cell r="A1631" t="str">
            <v>직접대출</v>
          </cell>
          <cell r="C1631" t="str">
            <v>은행</v>
          </cell>
          <cell r="E1631" t="str">
            <v>농협중앙회</v>
          </cell>
          <cell r="H1631">
            <v>76</v>
          </cell>
          <cell r="I1631">
            <v>0</v>
          </cell>
        </row>
        <row r="1632">
          <cell r="A1632" t="str">
            <v>직접대출</v>
          </cell>
          <cell r="C1632" t="str">
            <v>은행</v>
          </cell>
          <cell r="E1632" t="str">
            <v>농협중앙회</v>
          </cell>
          <cell r="H1632">
            <v>176</v>
          </cell>
          <cell r="I1632">
            <v>0</v>
          </cell>
        </row>
        <row r="1633">
          <cell r="A1633" t="str">
            <v>직접대출</v>
          </cell>
          <cell r="C1633" t="str">
            <v>은행</v>
          </cell>
          <cell r="E1633" t="str">
            <v>농협중앙회</v>
          </cell>
          <cell r="H1633">
            <v>85</v>
          </cell>
          <cell r="I1633">
            <v>35000</v>
          </cell>
        </row>
        <row r="1634">
          <cell r="A1634" t="str">
            <v>직접대출</v>
          </cell>
          <cell r="C1634" t="str">
            <v>은행</v>
          </cell>
          <cell r="E1634" t="str">
            <v>농협중앙회</v>
          </cell>
          <cell r="H1634">
            <v>63</v>
          </cell>
          <cell r="I1634">
            <v>10300</v>
          </cell>
        </row>
        <row r="1635">
          <cell r="A1635" t="str">
            <v>직접대출</v>
          </cell>
          <cell r="C1635" t="str">
            <v>은행</v>
          </cell>
          <cell r="E1635" t="str">
            <v>농협중앙회</v>
          </cell>
          <cell r="H1635">
            <v>98</v>
          </cell>
          <cell r="I1635">
            <v>46800</v>
          </cell>
        </row>
        <row r="1636">
          <cell r="A1636" t="str">
            <v>직접대출</v>
          </cell>
          <cell r="C1636" t="str">
            <v>은행</v>
          </cell>
          <cell r="E1636" t="str">
            <v>농협중앙회</v>
          </cell>
          <cell r="H1636">
            <v>79</v>
          </cell>
          <cell r="I1636">
            <v>34000</v>
          </cell>
        </row>
        <row r="1637">
          <cell r="A1637" t="str">
            <v>직접대출</v>
          </cell>
          <cell r="C1637" t="str">
            <v>은행</v>
          </cell>
          <cell r="E1637" t="str">
            <v>농협중앙회</v>
          </cell>
          <cell r="H1637">
            <v>65</v>
          </cell>
          <cell r="I1637">
            <v>22000</v>
          </cell>
        </row>
        <row r="1638">
          <cell r="A1638" t="str">
            <v>직접대출</v>
          </cell>
          <cell r="C1638" t="str">
            <v>은행</v>
          </cell>
          <cell r="E1638" t="str">
            <v>농협중앙회</v>
          </cell>
          <cell r="H1638">
            <v>98</v>
          </cell>
          <cell r="I1638">
            <v>19000</v>
          </cell>
        </row>
        <row r="1639">
          <cell r="A1639" t="str">
            <v>직접대출</v>
          </cell>
          <cell r="C1639" t="str">
            <v>은행</v>
          </cell>
          <cell r="E1639" t="str">
            <v>농협중앙회</v>
          </cell>
          <cell r="H1639">
            <v>105</v>
          </cell>
          <cell r="I1639">
            <v>5000</v>
          </cell>
        </row>
        <row r="1640">
          <cell r="A1640" t="str">
            <v>직접대출</v>
          </cell>
          <cell r="C1640" t="str">
            <v>은행</v>
          </cell>
          <cell r="E1640" t="str">
            <v>농협중앙회</v>
          </cell>
          <cell r="H1640">
            <v>25</v>
          </cell>
          <cell r="I1640">
            <v>120000</v>
          </cell>
        </row>
        <row r="1641">
          <cell r="A1641" t="str">
            <v>직접대출</v>
          </cell>
          <cell r="C1641" t="str">
            <v>은행</v>
          </cell>
          <cell r="E1641" t="str">
            <v>농협중앙회</v>
          </cell>
          <cell r="H1641">
            <v>35</v>
          </cell>
          <cell r="I1641">
            <v>150000</v>
          </cell>
        </row>
        <row r="1642">
          <cell r="A1642" t="str">
            <v>직접대출</v>
          </cell>
          <cell r="C1642" t="str">
            <v>은행</v>
          </cell>
          <cell r="E1642" t="str">
            <v>농협중앙회</v>
          </cell>
          <cell r="H1642">
            <v>35</v>
          </cell>
          <cell r="I1642">
            <v>50000</v>
          </cell>
        </row>
        <row r="1643">
          <cell r="A1643" t="str">
            <v>직접대출</v>
          </cell>
          <cell r="C1643" t="str">
            <v>은행</v>
          </cell>
          <cell r="E1643" t="str">
            <v>농협중앙회</v>
          </cell>
          <cell r="H1643">
            <v>6</v>
          </cell>
          <cell r="I1643">
            <v>50000</v>
          </cell>
        </row>
        <row r="1644">
          <cell r="A1644" t="str">
            <v>직접대출</v>
          </cell>
          <cell r="C1644" t="str">
            <v>은행</v>
          </cell>
          <cell r="E1644" t="str">
            <v>농협중앙회</v>
          </cell>
          <cell r="H1644">
            <v>120</v>
          </cell>
          <cell r="I1644">
            <v>23000</v>
          </cell>
        </row>
        <row r="1645">
          <cell r="A1645" t="str">
            <v>직접대출</v>
          </cell>
          <cell r="C1645" t="str">
            <v>은행</v>
          </cell>
          <cell r="E1645" t="str">
            <v>농협중앙회</v>
          </cell>
          <cell r="H1645">
            <v>120</v>
          </cell>
          <cell r="I1645">
            <v>44000</v>
          </cell>
        </row>
        <row r="1646">
          <cell r="A1646" t="str">
            <v>직접대출</v>
          </cell>
          <cell r="C1646" t="str">
            <v>은행</v>
          </cell>
          <cell r="E1646" t="str">
            <v>농협중앙회</v>
          </cell>
          <cell r="H1646">
            <v>169</v>
          </cell>
          <cell r="I1646">
            <v>60000</v>
          </cell>
        </row>
        <row r="1647">
          <cell r="A1647" t="str">
            <v>직접대출</v>
          </cell>
          <cell r="C1647" t="str">
            <v>은행</v>
          </cell>
          <cell r="E1647" t="str">
            <v>농협중앙회</v>
          </cell>
          <cell r="H1647">
            <v>32</v>
          </cell>
          <cell r="I1647">
            <v>31300</v>
          </cell>
        </row>
        <row r="1648">
          <cell r="A1648" t="str">
            <v>직접대출</v>
          </cell>
          <cell r="C1648" t="str">
            <v>은행</v>
          </cell>
          <cell r="E1648" t="str">
            <v>농협중앙회</v>
          </cell>
          <cell r="H1648">
            <v>14</v>
          </cell>
          <cell r="I1648">
            <v>35000</v>
          </cell>
        </row>
        <row r="1649">
          <cell r="A1649" t="str">
            <v>직접대출</v>
          </cell>
          <cell r="C1649" t="str">
            <v>은행</v>
          </cell>
          <cell r="E1649" t="str">
            <v>농협중앙회</v>
          </cell>
          <cell r="H1649">
            <v>63</v>
          </cell>
          <cell r="I1649">
            <v>42300</v>
          </cell>
        </row>
        <row r="1650">
          <cell r="A1650" t="str">
            <v>직접대출</v>
          </cell>
          <cell r="C1650" t="str">
            <v>은행</v>
          </cell>
          <cell r="E1650" t="str">
            <v>농협중앙회</v>
          </cell>
          <cell r="H1650">
            <v>52</v>
          </cell>
          <cell r="I1650">
            <v>140000</v>
          </cell>
        </row>
        <row r="1651">
          <cell r="A1651" t="str">
            <v>직접대출</v>
          </cell>
          <cell r="C1651" t="str">
            <v>은행</v>
          </cell>
          <cell r="E1651" t="str">
            <v>농협중앙회</v>
          </cell>
          <cell r="H1651">
            <v>86</v>
          </cell>
          <cell r="I1651">
            <v>9000</v>
          </cell>
        </row>
        <row r="1652">
          <cell r="A1652" t="str">
            <v>직접대출</v>
          </cell>
          <cell r="C1652" t="str">
            <v>은행</v>
          </cell>
          <cell r="E1652" t="str">
            <v>농협중앙회</v>
          </cell>
          <cell r="H1652">
            <v>21</v>
          </cell>
          <cell r="I1652">
            <v>18000</v>
          </cell>
        </row>
        <row r="1653">
          <cell r="A1653" t="str">
            <v>직접대출</v>
          </cell>
          <cell r="C1653" t="str">
            <v>은행</v>
          </cell>
          <cell r="E1653" t="str">
            <v>농협중앙회</v>
          </cell>
          <cell r="H1653">
            <v>44</v>
          </cell>
          <cell r="I1653">
            <v>50000</v>
          </cell>
        </row>
        <row r="1654">
          <cell r="A1654" t="str">
            <v>직접대출</v>
          </cell>
          <cell r="C1654" t="str">
            <v>은행</v>
          </cell>
          <cell r="E1654" t="str">
            <v>농협중앙회</v>
          </cell>
          <cell r="H1654">
            <v>1</v>
          </cell>
          <cell r="I1654">
            <v>68000</v>
          </cell>
        </row>
        <row r="1655">
          <cell r="A1655" t="str">
            <v>직접대출</v>
          </cell>
          <cell r="C1655" t="str">
            <v>은행</v>
          </cell>
          <cell r="E1655" t="str">
            <v>농협중앙회</v>
          </cell>
          <cell r="H1655">
            <v>49</v>
          </cell>
          <cell r="I1655">
            <v>7800</v>
          </cell>
        </row>
        <row r="1656">
          <cell r="A1656" t="str">
            <v>직접대출</v>
          </cell>
          <cell r="C1656" t="str">
            <v>은행</v>
          </cell>
          <cell r="E1656" t="str">
            <v>농협중앙회</v>
          </cell>
          <cell r="H1656">
            <v>49</v>
          </cell>
          <cell r="I1656">
            <v>21500</v>
          </cell>
        </row>
        <row r="1657">
          <cell r="A1657" t="str">
            <v>직접대출</v>
          </cell>
          <cell r="C1657" t="str">
            <v>은행</v>
          </cell>
          <cell r="E1657" t="str">
            <v>농협중앙회</v>
          </cell>
          <cell r="H1657">
            <v>49</v>
          </cell>
          <cell r="I1657">
            <v>25800</v>
          </cell>
        </row>
        <row r="1658">
          <cell r="A1658" t="str">
            <v>직접대출</v>
          </cell>
          <cell r="C1658" t="str">
            <v>은행</v>
          </cell>
          <cell r="E1658" t="str">
            <v>농협중앙회</v>
          </cell>
          <cell r="H1658">
            <v>56</v>
          </cell>
          <cell r="I1658">
            <v>20000</v>
          </cell>
        </row>
        <row r="1659">
          <cell r="A1659" t="str">
            <v>직접대출</v>
          </cell>
          <cell r="C1659" t="str">
            <v>은행</v>
          </cell>
          <cell r="E1659" t="str">
            <v>농협중앙회</v>
          </cell>
          <cell r="H1659">
            <v>1000</v>
          </cell>
          <cell r="I1659">
            <v>29000</v>
          </cell>
        </row>
        <row r="1660">
          <cell r="A1660" t="str">
            <v>직접대출</v>
          </cell>
          <cell r="C1660" t="str">
            <v>은행</v>
          </cell>
          <cell r="E1660" t="str">
            <v>농협중앙회</v>
          </cell>
          <cell r="H1660">
            <v>63</v>
          </cell>
          <cell r="I1660">
            <v>9400</v>
          </cell>
        </row>
        <row r="1661">
          <cell r="A1661" t="str">
            <v>직접대출</v>
          </cell>
          <cell r="C1661" t="str">
            <v>은행</v>
          </cell>
          <cell r="E1661" t="str">
            <v>농협중앙회</v>
          </cell>
          <cell r="H1661">
            <v>140</v>
          </cell>
          <cell r="I1661">
            <v>20000</v>
          </cell>
        </row>
        <row r="1662">
          <cell r="A1662" t="str">
            <v>직접대출</v>
          </cell>
          <cell r="C1662" t="str">
            <v>은행</v>
          </cell>
          <cell r="E1662" t="str">
            <v>농협중앙회</v>
          </cell>
          <cell r="H1662">
            <v>63</v>
          </cell>
          <cell r="I1662">
            <v>10900</v>
          </cell>
        </row>
        <row r="1663">
          <cell r="A1663" t="str">
            <v>직접대출</v>
          </cell>
          <cell r="C1663" t="str">
            <v>은행</v>
          </cell>
          <cell r="E1663" t="str">
            <v>농협중앙회</v>
          </cell>
          <cell r="H1663">
            <v>63</v>
          </cell>
          <cell r="I1663">
            <v>27100</v>
          </cell>
        </row>
        <row r="1664">
          <cell r="A1664" t="str">
            <v>직접대출</v>
          </cell>
          <cell r="C1664" t="str">
            <v>은행</v>
          </cell>
          <cell r="E1664" t="str">
            <v>농협중앙회</v>
          </cell>
          <cell r="H1664">
            <v>63</v>
          </cell>
          <cell r="I1664">
            <v>33600</v>
          </cell>
        </row>
        <row r="1665">
          <cell r="A1665" t="str">
            <v>직접대출</v>
          </cell>
          <cell r="C1665" t="str">
            <v>은행</v>
          </cell>
          <cell r="E1665" t="str">
            <v>농협중앙회</v>
          </cell>
          <cell r="H1665">
            <v>1000</v>
          </cell>
          <cell r="I1665">
            <v>0</v>
          </cell>
        </row>
        <row r="1666">
          <cell r="A1666" t="str">
            <v>직접대출</v>
          </cell>
          <cell r="C1666" t="str">
            <v>은행</v>
          </cell>
          <cell r="E1666" t="str">
            <v>농협중앙회</v>
          </cell>
          <cell r="H1666">
            <v>21</v>
          </cell>
          <cell r="I1666">
            <v>16000</v>
          </cell>
        </row>
        <row r="1667">
          <cell r="A1667" t="str">
            <v>직접대출</v>
          </cell>
          <cell r="C1667" t="str">
            <v>은행</v>
          </cell>
          <cell r="E1667" t="str">
            <v>농협중앙회</v>
          </cell>
          <cell r="H1667">
            <v>34</v>
          </cell>
          <cell r="I1667">
            <v>32000</v>
          </cell>
        </row>
        <row r="1668">
          <cell r="A1668" t="str">
            <v>직접대출</v>
          </cell>
          <cell r="C1668" t="str">
            <v>은행</v>
          </cell>
          <cell r="E1668" t="str">
            <v>농협중앙회</v>
          </cell>
          <cell r="H1668">
            <v>36</v>
          </cell>
          <cell r="I1668">
            <v>14900</v>
          </cell>
        </row>
        <row r="1669">
          <cell r="A1669" t="str">
            <v>직접대출</v>
          </cell>
          <cell r="C1669" t="str">
            <v>은행</v>
          </cell>
          <cell r="E1669" t="str">
            <v>농협중앙회</v>
          </cell>
          <cell r="H1669">
            <v>103</v>
          </cell>
          <cell r="I1669">
            <v>10000</v>
          </cell>
        </row>
        <row r="1670">
          <cell r="A1670" t="str">
            <v>직접대출</v>
          </cell>
          <cell r="C1670" t="str">
            <v>은행</v>
          </cell>
          <cell r="E1670" t="str">
            <v>농협중앙회</v>
          </cell>
          <cell r="H1670">
            <v>1000</v>
          </cell>
          <cell r="I1670">
            <v>0</v>
          </cell>
        </row>
        <row r="1671">
          <cell r="A1671" t="str">
            <v>직접대출</v>
          </cell>
          <cell r="C1671" t="str">
            <v>은행</v>
          </cell>
          <cell r="E1671" t="str">
            <v>농협중앙회</v>
          </cell>
          <cell r="H1671">
            <v>112</v>
          </cell>
          <cell r="I1671">
            <v>9500</v>
          </cell>
        </row>
        <row r="1672">
          <cell r="A1672" t="str">
            <v>직접대출</v>
          </cell>
          <cell r="C1672" t="str">
            <v>은행</v>
          </cell>
          <cell r="E1672" t="str">
            <v>농협중앙회</v>
          </cell>
          <cell r="H1672">
            <v>13</v>
          </cell>
          <cell r="I1672">
            <v>30000</v>
          </cell>
        </row>
        <row r="1673">
          <cell r="A1673" t="str">
            <v>직접대출</v>
          </cell>
          <cell r="C1673" t="str">
            <v>은행</v>
          </cell>
          <cell r="E1673" t="str">
            <v>농협중앙회</v>
          </cell>
          <cell r="H1673">
            <v>79</v>
          </cell>
          <cell r="I1673">
            <v>30000</v>
          </cell>
        </row>
        <row r="1674">
          <cell r="A1674" t="str">
            <v>직접대출</v>
          </cell>
          <cell r="C1674" t="str">
            <v>은행</v>
          </cell>
          <cell r="E1674" t="str">
            <v>농협중앙회</v>
          </cell>
          <cell r="H1674">
            <v>52</v>
          </cell>
          <cell r="I1674">
            <v>65000</v>
          </cell>
        </row>
        <row r="1675">
          <cell r="A1675" t="str">
            <v>직접대출</v>
          </cell>
          <cell r="C1675" t="str">
            <v>은행</v>
          </cell>
          <cell r="E1675" t="str">
            <v>농협중앙회</v>
          </cell>
          <cell r="H1675">
            <v>24</v>
          </cell>
          <cell r="I1675">
            <v>23000</v>
          </cell>
        </row>
        <row r="1676">
          <cell r="A1676" t="str">
            <v>직접대출</v>
          </cell>
          <cell r="C1676" t="str">
            <v>은행</v>
          </cell>
          <cell r="E1676" t="str">
            <v>농협중앙회</v>
          </cell>
          <cell r="H1676">
            <v>1</v>
          </cell>
          <cell r="I1676">
            <v>17400</v>
          </cell>
        </row>
        <row r="1677">
          <cell r="A1677" t="str">
            <v>직접대출</v>
          </cell>
          <cell r="C1677" t="str">
            <v>은행</v>
          </cell>
          <cell r="E1677" t="str">
            <v>농협중앙회</v>
          </cell>
          <cell r="H1677">
            <v>1</v>
          </cell>
          <cell r="I1677">
            <v>15800</v>
          </cell>
        </row>
        <row r="1678">
          <cell r="A1678" t="str">
            <v>직접대출</v>
          </cell>
          <cell r="C1678" t="str">
            <v>은행</v>
          </cell>
          <cell r="E1678" t="str">
            <v>농협중앙회</v>
          </cell>
          <cell r="H1678">
            <v>35</v>
          </cell>
          <cell r="I1678">
            <v>0</v>
          </cell>
        </row>
        <row r="1679">
          <cell r="A1679" t="str">
            <v>직접대출</v>
          </cell>
          <cell r="C1679" t="str">
            <v>은행</v>
          </cell>
          <cell r="E1679" t="str">
            <v>농협중앙회</v>
          </cell>
          <cell r="H1679">
            <v>24</v>
          </cell>
          <cell r="I1679">
            <v>9900</v>
          </cell>
        </row>
        <row r="1680">
          <cell r="A1680" t="str">
            <v>직접대출</v>
          </cell>
          <cell r="C1680" t="str">
            <v>은행</v>
          </cell>
          <cell r="E1680" t="str">
            <v>농협중앙회</v>
          </cell>
          <cell r="H1680">
            <v>14</v>
          </cell>
          <cell r="I1680">
            <v>32500</v>
          </cell>
        </row>
        <row r="1681">
          <cell r="A1681" t="str">
            <v>직접대출</v>
          </cell>
          <cell r="C1681" t="str">
            <v>은행</v>
          </cell>
          <cell r="E1681" t="str">
            <v>농협중앙회</v>
          </cell>
          <cell r="H1681">
            <v>52</v>
          </cell>
          <cell r="I1681">
            <v>49000</v>
          </cell>
        </row>
        <row r="1682">
          <cell r="A1682" t="str">
            <v>직접대출</v>
          </cell>
          <cell r="C1682" t="str">
            <v>은행</v>
          </cell>
          <cell r="E1682" t="str">
            <v>농협중앙회</v>
          </cell>
          <cell r="H1682">
            <v>33</v>
          </cell>
          <cell r="I1682">
            <v>14000</v>
          </cell>
        </row>
        <row r="1683">
          <cell r="A1683" t="str">
            <v>직접대출</v>
          </cell>
          <cell r="C1683" t="str">
            <v>은행</v>
          </cell>
          <cell r="E1683" t="str">
            <v>농협중앙회</v>
          </cell>
          <cell r="H1683">
            <v>34</v>
          </cell>
          <cell r="I1683">
            <v>27500</v>
          </cell>
        </row>
        <row r="1684">
          <cell r="A1684" t="str">
            <v>직접대출</v>
          </cell>
          <cell r="C1684" t="str">
            <v>은행</v>
          </cell>
          <cell r="E1684" t="str">
            <v>농협중앙회</v>
          </cell>
          <cell r="H1684">
            <v>1</v>
          </cell>
          <cell r="I1684">
            <v>40200</v>
          </cell>
        </row>
        <row r="1685">
          <cell r="A1685" t="str">
            <v>직접대출</v>
          </cell>
          <cell r="C1685" t="str">
            <v>은행</v>
          </cell>
          <cell r="E1685" t="str">
            <v>농협중앙회</v>
          </cell>
          <cell r="H1685">
            <v>12</v>
          </cell>
          <cell r="I1685">
            <v>63000</v>
          </cell>
        </row>
        <row r="1686">
          <cell r="A1686" t="str">
            <v>직접대출</v>
          </cell>
          <cell r="C1686" t="str">
            <v>은행</v>
          </cell>
          <cell r="E1686" t="str">
            <v>농협중앙회</v>
          </cell>
          <cell r="H1686">
            <v>1000</v>
          </cell>
          <cell r="I1686">
            <v>300</v>
          </cell>
        </row>
        <row r="1687">
          <cell r="A1687" t="str">
            <v>직접대출</v>
          </cell>
          <cell r="C1687" t="str">
            <v>은행</v>
          </cell>
          <cell r="E1687" t="str">
            <v>농협중앙회</v>
          </cell>
          <cell r="H1687">
            <v>260</v>
          </cell>
          <cell r="I1687">
            <v>4500</v>
          </cell>
        </row>
        <row r="1688">
          <cell r="A1688" t="str">
            <v>직접대출</v>
          </cell>
          <cell r="C1688" t="str">
            <v>은행</v>
          </cell>
          <cell r="E1688" t="str">
            <v>농협중앙회</v>
          </cell>
          <cell r="H1688">
            <v>260</v>
          </cell>
          <cell r="I1688">
            <v>2400</v>
          </cell>
        </row>
        <row r="1689">
          <cell r="A1689" t="str">
            <v>직접대출</v>
          </cell>
          <cell r="C1689" t="str">
            <v>은행</v>
          </cell>
          <cell r="E1689" t="str">
            <v>농협중앙회</v>
          </cell>
          <cell r="H1689">
            <v>260</v>
          </cell>
          <cell r="I1689">
            <v>4400</v>
          </cell>
        </row>
        <row r="1690">
          <cell r="A1690" t="str">
            <v>직접대출</v>
          </cell>
          <cell r="C1690" t="str">
            <v>은행</v>
          </cell>
          <cell r="E1690" t="str">
            <v>농협중앙회</v>
          </cell>
          <cell r="H1690">
            <v>1000</v>
          </cell>
          <cell r="I1690">
            <v>4200</v>
          </cell>
        </row>
        <row r="1691">
          <cell r="A1691" t="str">
            <v>직접대출</v>
          </cell>
          <cell r="C1691" t="str">
            <v>은행</v>
          </cell>
          <cell r="E1691" t="str">
            <v>농협중앙회</v>
          </cell>
          <cell r="H1691">
            <v>98</v>
          </cell>
          <cell r="I1691">
            <v>2700</v>
          </cell>
        </row>
        <row r="1692">
          <cell r="A1692" t="str">
            <v>직접대출</v>
          </cell>
          <cell r="C1692" t="str">
            <v>은행</v>
          </cell>
          <cell r="E1692" t="str">
            <v>농협중앙회</v>
          </cell>
          <cell r="H1692">
            <v>260</v>
          </cell>
          <cell r="I1692">
            <v>300</v>
          </cell>
        </row>
        <row r="1693">
          <cell r="A1693" t="str">
            <v>직접대출</v>
          </cell>
          <cell r="C1693" t="str">
            <v>은행</v>
          </cell>
          <cell r="E1693" t="str">
            <v>농협중앙회</v>
          </cell>
          <cell r="H1693">
            <v>1000</v>
          </cell>
          <cell r="I1693">
            <v>2800</v>
          </cell>
        </row>
        <row r="1694">
          <cell r="A1694" t="str">
            <v>직접대출</v>
          </cell>
          <cell r="C1694" t="str">
            <v>은행</v>
          </cell>
          <cell r="E1694" t="str">
            <v>농협중앙회</v>
          </cell>
          <cell r="H1694">
            <v>260</v>
          </cell>
          <cell r="I1694">
            <v>5700</v>
          </cell>
        </row>
        <row r="1695">
          <cell r="A1695" t="str">
            <v>직접대출</v>
          </cell>
          <cell r="C1695" t="str">
            <v>은행</v>
          </cell>
          <cell r="E1695" t="str">
            <v>농협중앙회</v>
          </cell>
          <cell r="H1695">
            <v>1000</v>
          </cell>
          <cell r="I1695">
            <v>3000</v>
          </cell>
        </row>
        <row r="1696">
          <cell r="A1696" t="str">
            <v>직접대출</v>
          </cell>
          <cell r="C1696" t="str">
            <v>은행</v>
          </cell>
          <cell r="E1696" t="str">
            <v>농협중앙회</v>
          </cell>
          <cell r="H1696">
            <v>12</v>
          </cell>
          <cell r="I1696">
            <v>3400</v>
          </cell>
        </row>
        <row r="1697">
          <cell r="A1697" t="str">
            <v>직접대출</v>
          </cell>
          <cell r="C1697" t="str">
            <v>은행</v>
          </cell>
          <cell r="E1697" t="str">
            <v>농협중앙회</v>
          </cell>
          <cell r="H1697">
            <v>60</v>
          </cell>
          <cell r="I1697">
            <v>4400</v>
          </cell>
        </row>
        <row r="1698">
          <cell r="A1698" t="str">
            <v>직접대출</v>
          </cell>
          <cell r="C1698" t="str">
            <v>은행</v>
          </cell>
          <cell r="E1698" t="str">
            <v>농협중앙회</v>
          </cell>
          <cell r="H1698">
            <v>152</v>
          </cell>
          <cell r="I1698">
            <v>8000</v>
          </cell>
        </row>
        <row r="1699">
          <cell r="A1699" t="str">
            <v>직접대출</v>
          </cell>
          <cell r="C1699" t="str">
            <v>은행</v>
          </cell>
          <cell r="E1699" t="str">
            <v>농협중앙회</v>
          </cell>
          <cell r="H1699">
            <v>1000</v>
          </cell>
          <cell r="I1699">
            <v>6000</v>
          </cell>
        </row>
        <row r="1700">
          <cell r="A1700" t="str">
            <v>직접대출</v>
          </cell>
          <cell r="C1700" t="str">
            <v>은행</v>
          </cell>
          <cell r="E1700" t="str">
            <v>농협중앙회</v>
          </cell>
          <cell r="H1700">
            <v>345</v>
          </cell>
          <cell r="I1700">
            <v>4400</v>
          </cell>
        </row>
        <row r="1701">
          <cell r="A1701" t="str">
            <v>직접대출</v>
          </cell>
          <cell r="C1701" t="str">
            <v>은행</v>
          </cell>
          <cell r="E1701" t="str">
            <v>농협중앙회</v>
          </cell>
          <cell r="H1701">
            <v>182</v>
          </cell>
          <cell r="I1701">
            <v>3100</v>
          </cell>
        </row>
        <row r="1702">
          <cell r="A1702" t="str">
            <v>직접대출</v>
          </cell>
          <cell r="C1702" t="str">
            <v>은행</v>
          </cell>
          <cell r="E1702" t="str">
            <v>농협중앙회</v>
          </cell>
          <cell r="H1702">
            <v>144</v>
          </cell>
          <cell r="I1702">
            <v>5000</v>
          </cell>
        </row>
        <row r="1703">
          <cell r="A1703" t="str">
            <v>직접대출</v>
          </cell>
          <cell r="C1703" t="str">
            <v>은행</v>
          </cell>
          <cell r="E1703" t="str">
            <v>부산은행</v>
          </cell>
          <cell r="H1703">
            <v>6</v>
          </cell>
          <cell r="I1703">
            <v>31124</v>
          </cell>
        </row>
        <row r="1704">
          <cell r="A1704" t="str">
            <v>직접대출</v>
          </cell>
          <cell r="C1704" t="str">
            <v>은행</v>
          </cell>
          <cell r="E1704" t="str">
            <v>부산은행</v>
          </cell>
          <cell r="H1704">
            <v>2</v>
          </cell>
          <cell r="I1704">
            <v>33395</v>
          </cell>
        </row>
        <row r="1705">
          <cell r="A1705" t="str">
            <v>직접대출</v>
          </cell>
          <cell r="C1705" t="str">
            <v>은행</v>
          </cell>
          <cell r="E1705" t="str">
            <v>부산은행</v>
          </cell>
          <cell r="H1705">
            <v>14</v>
          </cell>
          <cell r="I1705">
            <v>0</v>
          </cell>
        </row>
        <row r="1706">
          <cell r="A1706" t="str">
            <v>직접대출</v>
          </cell>
          <cell r="C1706" t="str">
            <v>은행</v>
          </cell>
          <cell r="E1706" t="str">
            <v>부산은행</v>
          </cell>
          <cell r="H1706">
            <v>62</v>
          </cell>
          <cell r="I1706">
            <v>0</v>
          </cell>
        </row>
        <row r="1707">
          <cell r="A1707" t="str">
            <v>직접대출</v>
          </cell>
          <cell r="C1707" t="str">
            <v>은행</v>
          </cell>
          <cell r="E1707" t="str">
            <v>부산은행</v>
          </cell>
          <cell r="H1707">
            <v>1000</v>
          </cell>
          <cell r="I1707">
            <v>17560</v>
          </cell>
        </row>
        <row r="1708">
          <cell r="A1708" t="str">
            <v>직접대출</v>
          </cell>
          <cell r="C1708" t="str">
            <v>은행</v>
          </cell>
          <cell r="E1708" t="str">
            <v>부산은행</v>
          </cell>
          <cell r="H1708">
            <v>12</v>
          </cell>
          <cell r="I1708">
            <v>44520</v>
          </cell>
        </row>
        <row r="1709">
          <cell r="A1709" t="str">
            <v>직접대출</v>
          </cell>
          <cell r="C1709" t="str">
            <v>은행</v>
          </cell>
          <cell r="E1709" t="str">
            <v>부산은행</v>
          </cell>
          <cell r="H1709">
            <v>29</v>
          </cell>
          <cell r="I1709">
            <v>30000</v>
          </cell>
        </row>
        <row r="1710">
          <cell r="A1710" t="str">
            <v>직접대출</v>
          </cell>
          <cell r="C1710" t="str">
            <v>은행</v>
          </cell>
          <cell r="E1710" t="str">
            <v>부산은행</v>
          </cell>
          <cell r="H1710">
            <v>39</v>
          </cell>
          <cell r="I1710">
            <v>30000</v>
          </cell>
        </row>
        <row r="1711">
          <cell r="A1711" t="str">
            <v>직접대출</v>
          </cell>
          <cell r="C1711" t="str">
            <v>은행</v>
          </cell>
          <cell r="E1711" t="str">
            <v>부산은행</v>
          </cell>
          <cell r="H1711">
            <v>3</v>
          </cell>
          <cell r="I1711">
            <v>0</v>
          </cell>
        </row>
        <row r="1712">
          <cell r="A1712" t="str">
            <v>직접대출</v>
          </cell>
          <cell r="C1712" t="str">
            <v>은행</v>
          </cell>
          <cell r="E1712" t="str">
            <v>부산은행</v>
          </cell>
          <cell r="H1712">
            <v>6</v>
          </cell>
          <cell r="I1712">
            <v>0</v>
          </cell>
        </row>
        <row r="1713">
          <cell r="A1713" t="str">
            <v>직접대출</v>
          </cell>
          <cell r="C1713" t="str">
            <v>은행</v>
          </cell>
          <cell r="E1713" t="str">
            <v>부산은행</v>
          </cell>
          <cell r="H1713">
            <v>1000</v>
          </cell>
          <cell r="I1713">
            <v>30000</v>
          </cell>
        </row>
        <row r="1714">
          <cell r="A1714" t="str">
            <v>직접대출</v>
          </cell>
          <cell r="C1714" t="str">
            <v>은행</v>
          </cell>
          <cell r="E1714" t="str">
            <v>부산은행</v>
          </cell>
          <cell r="H1714">
            <v>1000</v>
          </cell>
          <cell r="I1714">
            <v>30000</v>
          </cell>
        </row>
        <row r="1715">
          <cell r="A1715" t="str">
            <v>직접대출</v>
          </cell>
          <cell r="C1715" t="str">
            <v>은행</v>
          </cell>
          <cell r="E1715" t="str">
            <v>부산은행</v>
          </cell>
          <cell r="H1715">
            <v>13</v>
          </cell>
          <cell r="I1715">
            <v>122524</v>
          </cell>
        </row>
        <row r="1716">
          <cell r="A1716" t="str">
            <v>직접대출</v>
          </cell>
          <cell r="C1716" t="str">
            <v>은행</v>
          </cell>
          <cell r="E1716" t="str">
            <v>부산은행</v>
          </cell>
          <cell r="H1716">
            <v>1000</v>
          </cell>
          <cell r="I1716">
            <v>0</v>
          </cell>
        </row>
        <row r="1717">
          <cell r="A1717" t="str">
            <v>직접대출</v>
          </cell>
          <cell r="C1717" t="str">
            <v>은행</v>
          </cell>
          <cell r="E1717" t="str">
            <v>부산은행</v>
          </cell>
          <cell r="H1717">
            <v>12</v>
          </cell>
          <cell r="I1717">
            <v>57041</v>
          </cell>
        </row>
        <row r="1718">
          <cell r="A1718" t="str">
            <v>직접대출</v>
          </cell>
          <cell r="C1718" t="str">
            <v>은행</v>
          </cell>
          <cell r="E1718" t="str">
            <v>부산은행</v>
          </cell>
          <cell r="H1718">
            <v>3</v>
          </cell>
          <cell r="I1718">
            <v>0</v>
          </cell>
        </row>
        <row r="1719">
          <cell r="A1719" t="str">
            <v>직접대출</v>
          </cell>
          <cell r="C1719" t="str">
            <v>은행</v>
          </cell>
          <cell r="E1719" t="str">
            <v>부산은행</v>
          </cell>
          <cell r="H1719">
            <v>6</v>
          </cell>
          <cell r="I1719">
            <v>0</v>
          </cell>
        </row>
        <row r="1720">
          <cell r="A1720" t="str">
            <v>직접대출</v>
          </cell>
          <cell r="C1720" t="str">
            <v>은행</v>
          </cell>
          <cell r="E1720" t="str">
            <v>부산은행</v>
          </cell>
          <cell r="H1720">
            <v>9</v>
          </cell>
          <cell r="I1720">
            <v>0</v>
          </cell>
        </row>
        <row r="1721">
          <cell r="A1721" t="str">
            <v>직접대출</v>
          </cell>
          <cell r="C1721" t="str">
            <v>은행</v>
          </cell>
          <cell r="E1721" t="str">
            <v>부산은행</v>
          </cell>
          <cell r="H1721">
            <v>34</v>
          </cell>
          <cell r="I1721">
            <v>0</v>
          </cell>
        </row>
        <row r="1722">
          <cell r="A1722" t="str">
            <v>직접대출</v>
          </cell>
          <cell r="C1722" t="str">
            <v>은행</v>
          </cell>
          <cell r="E1722" t="str">
            <v>부산은행</v>
          </cell>
          <cell r="H1722">
            <v>56</v>
          </cell>
          <cell r="I1722">
            <v>21700</v>
          </cell>
        </row>
        <row r="1723">
          <cell r="A1723" t="str">
            <v>직접대출</v>
          </cell>
          <cell r="C1723" t="str">
            <v>은행</v>
          </cell>
          <cell r="E1723" t="str">
            <v>부산은행</v>
          </cell>
          <cell r="H1723">
            <v>1000</v>
          </cell>
          <cell r="I1723">
            <v>0</v>
          </cell>
        </row>
        <row r="1724">
          <cell r="A1724" t="str">
            <v>직접대출</v>
          </cell>
          <cell r="C1724" t="str">
            <v>은행</v>
          </cell>
          <cell r="E1724" t="str">
            <v>부산은행</v>
          </cell>
          <cell r="H1724">
            <v>1</v>
          </cell>
          <cell r="I1724">
            <v>8000</v>
          </cell>
        </row>
        <row r="1725">
          <cell r="A1725" t="str">
            <v>직접대출</v>
          </cell>
          <cell r="C1725" t="str">
            <v>은행</v>
          </cell>
          <cell r="E1725" t="str">
            <v>부산은행</v>
          </cell>
          <cell r="H1725">
            <v>4</v>
          </cell>
          <cell r="I1725">
            <v>0</v>
          </cell>
        </row>
        <row r="1726">
          <cell r="A1726" t="str">
            <v>직접대출</v>
          </cell>
          <cell r="C1726" t="str">
            <v>은행</v>
          </cell>
          <cell r="E1726" t="str">
            <v>부산은행</v>
          </cell>
          <cell r="H1726">
            <v>4</v>
          </cell>
          <cell r="I1726">
            <v>0</v>
          </cell>
        </row>
        <row r="1727">
          <cell r="A1727" t="str">
            <v>직접대출</v>
          </cell>
          <cell r="C1727" t="str">
            <v>은행</v>
          </cell>
          <cell r="E1727" t="str">
            <v>부산은행</v>
          </cell>
          <cell r="H1727">
            <v>1000</v>
          </cell>
          <cell r="I1727">
            <v>0</v>
          </cell>
        </row>
        <row r="1728">
          <cell r="A1728" t="str">
            <v>직접대출</v>
          </cell>
          <cell r="C1728" t="str">
            <v>은행</v>
          </cell>
          <cell r="E1728" t="str">
            <v>부산은행</v>
          </cell>
          <cell r="H1728">
            <v>272</v>
          </cell>
          <cell r="I1728">
            <v>3334</v>
          </cell>
        </row>
        <row r="1729">
          <cell r="A1729" t="str">
            <v>직접대출</v>
          </cell>
          <cell r="C1729" t="str">
            <v>은행</v>
          </cell>
          <cell r="E1729" t="str">
            <v>부산은행</v>
          </cell>
          <cell r="H1729">
            <v>1000</v>
          </cell>
          <cell r="I1729">
            <v>0</v>
          </cell>
        </row>
        <row r="1730">
          <cell r="A1730" t="str">
            <v>직접대출</v>
          </cell>
          <cell r="C1730" t="str">
            <v>은행</v>
          </cell>
          <cell r="E1730" t="str">
            <v>외환은행</v>
          </cell>
          <cell r="H1730">
            <v>53</v>
          </cell>
          <cell r="I1730">
            <v>8600</v>
          </cell>
        </row>
        <row r="1731">
          <cell r="A1731" t="str">
            <v>직접대출</v>
          </cell>
          <cell r="C1731" t="str">
            <v>은행</v>
          </cell>
          <cell r="E1731" t="str">
            <v>외환은행</v>
          </cell>
          <cell r="H1731">
            <v>76</v>
          </cell>
          <cell r="I1731">
            <v>10000</v>
          </cell>
        </row>
        <row r="1732">
          <cell r="A1732" t="str">
            <v>직접대출</v>
          </cell>
          <cell r="C1732" t="str">
            <v>은행</v>
          </cell>
          <cell r="E1732" t="str">
            <v>외환은행</v>
          </cell>
          <cell r="H1732">
            <v>23</v>
          </cell>
          <cell r="I1732">
            <v>7000</v>
          </cell>
        </row>
        <row r="1733">
          <cell r="A1733" t="str">
            <v>직접대출</v>
          </cell>
          <cell r="C1733" t="str">
            <v>은행</v>
          </cell>
          <cell r="E1733" t="str">
            <v>외환은행</v>
          </cell>
          <cell r="H1733">
            <v>110</v>
          </cell>
          <cell r="I1733">
            <v>13000</v>
          </cell>
        </row>
        <row r="1734">
          <cell r="A1734" t="str">
            <v>직접대출</v>
          </cell>
          <cell r="C1734" t="str">
            <v>은행</v>
          </cell>
          <cell r="E1734" t="str">
            <v>외환은행</v>
          </cell>
          <cell r="H1734">
            <v>98</v>
          </cell>
          <cell r="I1734">
            <v>38000</v>
          </cell>
        </row>
        <row r="1735">
          <cell r="A1735" t="str">
            <v>직접대출</v>
          </cell>
          <cell r="C1735" t="str">
            <v>은행</v>
          </cell>
          <cell r="E1735" t="str">
            <v>외환은행</v>
          </cell>
          <cell r="H1735">
            <v>28</v>
          </cell>
          <cell r="I1735">
            <v>32000</v>
          </cell>
        </row>
        <row r="1736">
          <cell r="A1736" t="str">
            <v>직접대출</v>
          </cell>
          <cell r="C1736" t="str">
            <v>은행</v>
          </cell>
          <cell r="E1736" t="str">
            <v>외환은행</v>
          </cell>
          <cell r="H1736">
            <v>28</v>
          </cell>
          <cell r="I1736">
            <v>35000</v>
          </cell>
        </row>
        <row r="1737">
          <cell r="A1737" t="str">
            <v>직접대출</v>
          </cell>
          <cell r="C1737" t="str">
            <v>은행</v>
          </cell>
          <cell r="E1737" t="str">
            <v>외환은행</v>
          </cell>
          <cell r="H1737">
            <v>34</v>
          </cell>
          <cell r="I1737">
            <v>40000</v>
          </cell>
        </row>
        <row r="1738">
          <cell r="A1738" t="str">
            <v>직접대출</v>
          </cell>
          <cell r="C1738" t="str">
            <v>은행</v>
          </cell>
          <cell r="E1738" t="str">
            <v>외환은행</v>
          </cell>
          <cell r="H1738">
            <v>40</v>
          </cell>
          <cell r="I1738">
            <v>9800</v>
          </cell>
        </row>
        <row r="1739">
          <cell r="A1739" t="str">
            <v>직접대출</v>
          </cell>
          <cell r="C1739" t="str">
            <v>은행</v>
          </cell>
          <cell r="E1739" t="str">
            <v>외환은행</v>
          </cell>
          <cell r="H1739">
            <v>36</v>
          </cell>
          <cell r="I1739">
            <v>4000</v>
          </cell>
        </row>
        <row r="1740">
          <cell r="A1740" t="str">
            <v>직접대출</v>
          </cell>
          <cell r="C1740" t="str">
            <v>은행</v>
          </cell>
          <cell r="E1740" t="str">
            <v>외환은행</v>
          </cell>
          <cell r="H1740">
            <v>36</v>
          </cell>
          <cell r="I1740">
            <v>2500</v>
          </cell>
        </row>
        <row r="1741">
          <cell r="A1741" t="str">
            <v>직접대출</v>
          </cell>
          <cell r="C1741" t="str">
            <v>은행</v>
          </cell>
          <cell r="E1741" t="str">
            <v>외환은행</v>
          </cell>
          <cell r="H1741">
            <v>16</v>
          </cell>
          <cell r="I1741">
            <v>40000</v>
          </cell>
        </row>
        <row r="1742">
          <cell r="A1742" t="str">
            <v>직접대출</v>
          </cell>
          <cell r="C1742" t="str">
            <v>은행</v>
          </cell>
          <cell r="E1742" t="str">
            <v>외환은행</v>
          </cell>
          <cell r="H1742">
            <v>106</v>
          </cell>
          <cell r="I1742">
            <v>8263</v>
          </cell>
        </row>
        <row r="1743">
          <cell r="A1743" t="str">
            <v>직접대출</v>
          </cell>
          <cell r="C1743" t="str">
            <v>은행</v>
          </cell>
          <cell r="E1743" t="str">
            <v>외환은행</v>
          </cell>
          <cell r="H1743">
            <v>12</v>
          </cell>
          <cell r="I1743">
            <v>35102</v>
          </cell>
        </row>
        <row r="1744">
          <cell r="A1744" t="str">
            <v>직접대출</v>
          </cell>
          <cell r="C1744" t="str">
            <v>은행</v>
          </cell>
          <cell r="E1744" t="str">
            <v>외환은행</v>
          </cell>
          <cell r="H1744">
            <v>61</v>
          </cell>
          <cell r="I1744">
            <v>9600</v>
          </cell>
        </row>
        <row r="1745">
          <cell r="A1745" t="str">
            <v>직접대출</v>
          </cell>
          <cell r="C1745" t="str">
            <v>은행</v>
          </cell>
          <cell r="E1745" t="str">
            <v>외환은행</v>
          </cell>
          <cell r="H1745">
            <v>23</v>
          </cell>
          <cell r="I1745">
            <v>18700</v>
          </cell>
        </row>
        <row r="1746">
          <cell r="A1746" t="str">
            <v>직접대출</v>
          </cell>
          <cell r="C1746" t="str">
            <v>은행</v>
          </cell>
          <cell r="E1746" t="str">
            <v>외환은행</v>
          </cell>
          <cell r="H1746">
            <v>86</v>
          </cell>
          <cell r="I1746">
            <v>27000</v>
          </cell>
        </row>
        <row r="1747">
          <cell r="A1747" t="str">
            <v>직접대출</v>
          </cell>
          <cell r="C1747" t="str">
            <v>은행</v>
          </cell>
          <cell r="E1747" t="str">
            <v>외환은행</v>
          </cell>
          <cell r="H1747">
            <v>127</v>
          </cell>
          <cell r="I1747">
            <v>60000</v>
          </cell>
        </row>
        <row r="1748">
          <cell r="A1748" t="str">
            <v>직접대출</v>
          </cell>
          <cell r="C1748" t="str">
            <v>은행</v>
          </cell>
          <cell r="E1748" t="str">
            <v>외환은행</v>
          </cell>
          <cell r="H1748">
            <v>70</v>
          </cell>
          <cell r="I1748">
            <v>20000</v>
          </cell>
        </row>
        <row r="1749">
          <cell r="A1749" t="str">
            <v>직접대출</v>
          </cell>
          <cell r="C1749" t="str">
            <v>은행</v>
          </cell>
          <cell r="E1749" t="str">
            <v>외환은행</v>
          </cell>
          <cell r="H1749">
            <v>34</v>
          </cell>
          <cell r="I1749">
            <v>12500</v>
          </cell>
        </row>
        <row r="1750">
          <cell r="A1750" t="str">
            <v>직접대출</v>
          </cell>
          <cell r="C1750" t="str">
            <v>은행</v>
          </cell>
          <cell r="E1750" t="str">
            <v>외환은행</v>
          </cell>
          <cell r="H1750">
            <v>56</v>
          </cell>
          <cell r="I1750">
            <v>8000</v>
          </cell>
        </row>
        <row r="1751">
          <cell r="A1751" t="str">
            <v>직접대출</v>
          </cell>
          <cell r="C1751" t="str">
            <v>은행</v>
          </cell>
          <cell r="E1751" t="str">
            <v>외환은행</v>
          </cell>
          <cell r="H1751">
            <v>1000</v>
          </cell>
          <cell r="I1751">
            <v>0</v>
          </cell>
        </row>
        <row r="1752">
          <cell r="A1752" t="str">
            <v>직접대출</v>
          </cell>
          <cell r="C1752" t="str">
            <v>은행</v>
          </cell>
          <cell r="E1752" t="str">
            <v>외환은행</v>
          </cell>
          <cell r="H1752">
            <v>61</v>
          </cell>
          <cell r="I1752">
            <v>3000</v>
          </cell>
        </row>
        <row r="1753">
          <cell r="A1753" t="str">
            <v>직접대출</v>
          </cell>
          <cell r="C1753" t="str">
            <v>은행</v>
          </cell>
          <cell r="E1753" t="str">
            <v>외환은행</v>
          </cell>
          <cell r="H1753">
            <v>61</v>
          </cell>
          <cell r="I1753">
            <v>3000</v>
          </cell>
        </row>
        <row r="1754">
          <cell r="A1754" t="str">
            <v>직접대출</v>
          </cell>
          <cell r="C1754" t="str">
            <v>은행</v>
          </cell>
          <cell r="E1754" t="str">
            <v>외환은행</v>
          </cell>
          <cell r="H1754">
            <v>38</v>
          </cell>
          <cell r="I1754">
            <v>1290</v>
          </cell>
        </row>
        <row r="1755">
          <cell r="A1755" t="str">
            <v>직접대출</v>
          </cell>
          <cell r="C1755" t="str">
            <v>은행</v>
          </cell>
          <cell r="E1755" t="str">
            <v>외환은행</v>
          </cell>
          <cell r="H1755">
            <v>56</v>
          </cell>
          <cell r="I1755">
            <v>7750</v>
          </cell>
        </row>
        <row r="1756">
          <cell r="A1756" t="str">
            <v>직접대출</v>
          </cell>
          <cell r="C1756" t="str">
            <v>은행</v>
          </cell>
          <cell r="E1756" t="str">
            <v>외환은행</v>
          </cell>
          <cell r="H1756">
            <v>33</v>
          </cell>
          <cell r="I1756">
            <v>10000</v>
          </cell>
        </row>
        <row r="1757">
          <cell r="A1757" t="str">
            <v>직접대출</v>
          </cell>
          <cell r="C1757" t="str">
            <v>은행</v>
          </cell>
          <cell r="E1757" t="str">
            <v>외환은행</v>
          </cell>
          <cell r="H1757">
            <v>41</v>
          </cell>
          <cell r="I1757">
            <v>10960</v>
          </cell>
        </row>
        <row r="1758">
          <cell r="A1758" t="str">
            <v>직접대출</v>
          </cell>
          <cell r="C1758" t="str">
            <v>은행</v>
          </cell>
          <cell r="E1758" t="str">
            <v>외환은행</v>
          </cell>
          <cell r="H1758">
            <v>23</v>
          </cell>
          <cell r="I1758">
            <v>8000</v>
          </cell>
        </row>
        <row r="1759">
          <cell r="A1759" t="str">
            <v>직접대출</v>
          </cell>
          <cell r="C1759" t="str">
            <v>은행</v>
          </cell>
          <cell r="E1759" t="str">
            <v>외환은행</v>
          </cell>
          <cell r="H1759">
            <v>10</v>
          </cell>
          <cell r="I1759">
            <v>15300</v>
          </cell>
        </row>
        <row r="1760">
          <cell r="A1760" t="str">
            <v>직접대출</v>
          </cell>
          <cell r="C1760" t="str">
            <v>은행</v>
          </cell>
          <cell r="E1760" t="str">
            <v>외환은행</v>
          </cell>
          <cell r="H1760">
            <v>44</v>
          </cell>
          <cell r="I1760">
            <v>47000</v>
          </cell>
        </row>
        <row r="1761">
          <cell r="A1761" t="str">
            <v>직접대출</v>
          </cell>
          <cell r="C1761" t="str">
            <v>은행</v>
          </cell>
          <cell r="E1761" t="str">
            <v>외환은행</v>
          </cell>
          <cell r="H1761">
            <v>5</v>
          </cell>
          <cell r="I1761">
            <v>84300</v>
          </cell>
        </row>
        <row r="1762">
          <cell r="A1762" t="str">
            <v>직접대출</v>
          </cell>
          <cell r="C1762" t="str">
            <v>은행</v>
          </cell>
          <cell r="E1762" t="str">
            <v>외환은행</v>
          </cell>
          <cell r="H1762">
            <v>86</v>
          </cell>
          <cell r="I1762">
            <v>11400</v>
          </cell>
        </row>
        <row r="1763">
          <cell r="A1763" t="str">
            <v>직접대출</v>
          </cell>
          <cell r="C1763" t="str">
            <v>은행</v>
          </cell>
          <cell r="E1763" t="str">
            <v>외환은행</v>
          </cell>
          <cell r="H1763">
            <v>61</v>
          </cell>
          <cell r="I1763">
            <v>9000</v>
          </cell>
        </row>
        <row r="1764">
          <cell r="A1764" t="str">
            <v>직접대출</v>
          </cell>
          <cell r="C1764" t="str">
            <v>은행</v>
          </cell>
          <cell r="E1764" t="str">
            <v>외환은행</v>
          </cell>
          <cell r="H1764">
            <v>9</v>
          </cell>
          <cell r="I1764">
            <v>10000</v>
          </cell>
        </row>
        <row r="1765">
          <cell r="A1765" t="str">
            <v>직접대출</v>
          </cell>
          <cell r="C1765" t="str">
            <v>은행</v>
          </cell>
          <cell r="E1765" t="str">
            <v>외환은행</v>
          </cell>
          <cell r="H1765">
            <v>58</v>
          </cell>
          <cell r="I1765">
            <v>13000</v>
          </cell>
        </row>
        <row r="1766">
          <cell r="A1766" t="str">
            <v>직접대출</v>
          </cell>
          <cell r="C1766" t="str">
            <v>은행</v>
          </cell>
          <cell r="E1766" t="str">
            <v>외환은행</v>
          </cell>
          <cell r="H1766">
            <v>12</v>
          </cell>
          <cell r="I1766">
            <v>44520</v>
          </cell>
        </row>
        <row r="1767">
          <cell r="A1767" t="str">
            <v>직접대출</v>
          </cell>
          <cell r="C1767" t="str">
            <v>은행</v>
          </cell>
          <cell r="E1767" t="str">
            <v>외환은행</v>
          </cell>
          <cell r="H1767">
            <v>23</v>
          </cell>
          <cell r="I1767">
            <v>25000</v>
          </cell>
        </row>
        <row r="1768">
          <cell r="A1768" t="str">
            <v>직접대출</v>
          </cell>
          <cell r="C1768" t="str">
            <v>은행</v>
          </cell>
          <cell r="E1768" t="str">
            <v>외환은행</v>
          </cell>
          <cell r="H1768">
            <v>29</v>
          </cell>
          <cell r="I1768">
            <v>9431</v>
          </cell>
        </row>
        <row r="1769">
          <cell r="A1769" t="str">
            <v>직접대출</v>
          </cell>
          <cell r="C1769" t="str">
            <v>은행</v>
          </cell>
          <cell r="E1769" t="str">
            <v>외환은행</v>
          </cell>
          <cell r="H1769">
            <v>4</v>
          </cell>
          <cell r="I1769">
            <v>17850</v>
          </cell>
        </row>
        <row r="1770">
          <cell r="A1770" t="str">
            <v>직접대출</v>
          </cell>
          <cell r="C1770" t="str">
            <v>은행</v>
          </cell>
          <cell r="E1770" t="str">
            <v>외환은행</v>
          </cell>
          <cell r="H1770">
            <v>4</v>
          </cell>
          <cell r="I1770">
            <v>55000</v>
          </cell>
        </row>
        <row r="1771">
          <cell r="A1771" t="str">
            <v>직접대출</v>
          </cell>
          <cell r="C1771" t="str">
            <v>은행</v>
          </cell>
          <cell r="E1771" t="str">
            <v>외환은행</v>
          </cell>
          <cell r="H1771">
            <v>98</v>
          </cell>
          <cell r="I1771">
            <v>5000</v>
          </cell>
        </row>
        <row r="1772">
          <cell r="A1772" t="str">
            <v>직접대출</v>
          </cell>
          <cell r="C1772" t="str">
            <v>은행</v>
          </cell>
          <cell r="E1772" t="str">
            <v>외환은행</v>
          </cell>
          <cell r="H1772">
            <v>1</v>
          </cell>
          <cell r="I1772">
            <v>38000</v>
          </cell>
        </row>
        <row r="1773">
          <cell r="A1773" t="str">
            <v>직접대출</v>
          </cell>
          <cell r="C1773" t="str">
            <v>은행</v>
          </cell>
          <cell r="E1773" t="str">
            <v>외환은행</v>
          </cell>
          <cell r="H1773">
            <v>55</v>
          </cell>
          <cell r="I1773">
            <v>11408</v>
          </cell>
        </row>
        <row r="1774">
          <cell r="C1774" t="str">
            <v>은행</v>
          </cell>
          <cell r="E1774" t="str">
            <v>외환은행</v>
          </cell>
          <cell r="H1774">
            <v>61</v>
          </cell>
          <cell r="I1774">
            <v>50000</v>
          </cell>
        </row>
        <row r="1775">
          <cell r="C1775" t="str">
            <v>은행</v>
          </cell>
          <cell r="E1775" t="str">
            <v>외환은행</v>
          </cell>
          <cell r="H1775">
            <v>32</v>
          </cell>
          <cell r="I1775">
            <v>46500</v>
          </cell>
        </row>
        <row r="1776">
          <cell r="C1776" t="str">
            <v>은행</v>
          </cell>
          <cell r="E1776" t="str">
            <v>외환은행</v>
          </cell>
          <cell r="H1776">
            <v>61</v>
          </cell>
          <cell r="I1776">
            <v>2000</v>
          </cell>
        </row>
        <row r="1777">
          <cell r="C1777" t="str">
            <v>은행</v>
          </cell>
          <cell r="E1777" t="str">
            <v>외환은행</v>
          </cell>
          <cell r="H1777">
            <v>103</v>
          </cell>
          <cell r="I1777">
            <v>30000</v>
          </cell>
        </row>
        <row r="1778">
          <cell r="C1778" t="str">
            <v>은행</v>
          </cell>
          <cell r="E1778" t="str">
            <v>외환은행</v>
          </cell>
          <cell r="H1778">
            <v>29</v>
          </cell>
          <cell r="I1778">
            <v>13300</v>
          </cell>
        </row>
        <row r="1779">
          <cell r="C1779" t="str">
            <v>은행</v>
          </cell>
          <cell r="E1779" t="str">
            <v>외환은행</v>
          </cell>
          <cell r="H1779">
            <v>1000</v>
          </cell>
          <cell r="I1779">
            <v>7000</v>
          </cell>
        </row>
        <row r="1780">
          <cell r="C1780" t="str">
            <v>은행</v>
          </cell>
          <cell r="E1780" t="str">
            <v>외환은행</v>
          </cell>
          <cell r="H1780">
            <v>9</v>
          </cell>
          <cell r="I1780">
            <v>22500</v>
          </cell>
        </row>
        <row r="1781">
          <cell r="C1781" t="str">
            <v>은행</v>
          </cell>
          <cell r="E1781" t="str">
            <v>외환은행</v>
          </cell>
          <cell r="H1781">
            <v>51</v>
          </cell>
          <cell r="I1781">
            <v>8000</v>
          </cell>
        </row>
        <row r="1782">
          <cell r="C1782" t="str">
            <v>은행</v>
          </cell>
          <cell r="E1782" t="str">
            <v>외환은행</v>
          </cell>
          <cell r="H1782">
            <v>10</v>
          </cell>
          <cell r="I1782">
            <v>15000</v>
          </cell>
        </row>
        <row r="1783">
          <cell r="C1783" t="str">
            <v>은행</v>
          </cell>
          <cell r="E1783" t="str">
            <v>외환은행</v>
          </cell>
          <cell r="H1783">
            <v>133</v>
          </cell>
          <cell r="I1783">
            <v>31000</v>
          </cell>
        </row>
        <row r="1784">
          <cell r="C1784" t="str">
            <v>은행</v>
          </cell>
          <cell r="E1784" t="str">
            <v>외환은행</v>
          </cell>
          <cell r="H1784">
            <v>138</v>
          </cell>
          <cell r="I1784">
            <v>8000</v>
          </cell>
        </row>
        <row r="1785">
          <cell r="C1785" t="str">
            <v>은행</v>
          </cell>
          <cell r="E1785" t="str">
            <v>외환은행</v>
          </cell>
          <cell r="H1785">
            <v>9</v>
          </cell>
          <cell r="I1785">
            <v>25000</v>
          </cell>
        </row>
        <row r="1786">
          <cell r="C1786" t="str">
            <v>은행</v>
          </cell>
          <cell r="E1786" t="str">
            <v>외환은행</v>
          </cell>
          <cell r="H1786">
            <v>85</v>
          </cell>
          <cell r="I1786">
            <v>600</v>
          </cell>
        </row>
        <row r="1787">
          <cell r="C1787" t="str">
            <v>은행</v>
          </cell>
          <cell r="E1787" t="str">
            <v>외환은행</v>
          </cell>
          <cell r="H1787">
            <v>155</v>
          </cell>
          <cell r="I1787">
            <v>6400</v>
          </cell>
        </row>
        <row r="1788">
          <cell r="C1788" t="str">
            <v>은행</v>
          </cell>
          <cell r="E1788" t="str">
            <v>외환은행</v>
          </cell>
          <cell r="H1788">
            <v>9</v>
          </cell>
          <cell r="I1788">
            <v>66000</v>
          </cell>
        </row>
        <row r="1789">
          <cell r="C1789" t="str">
            <v>은행</v>
          </cell>
          <cell r="E1789" t="str">
            <v>외환은행</v>
          </cell>
          <cell r="H1789">
            <v>98</v>
          </cell>
          <cell r="I1789">
            <v>35000</v>
          </cell>
        </row>
        <row r="1790">
          <cell r="C1790" t="str">
            <v>은행</v>
          </cell>
          <cell r="E1790" t="str">
            <v>외환은행</v>
          </cell>
          <cell r="H1790">
            <v>23</v>
          </cell>
          <cell r="I1790">
            <v>13000</v>
          </cell>
        </row>
        <row r="1791">
          <cell r="C1791" t="str">
            <v>은행</v>
          </cell>
          <cell r="E1791" t="str">
            <v>외환은행</v>
          </cell>
          <cell r="H1791">
            <v>34</v>
          </cell>
          <cell r="I1791">
            <v>18000</v>
          </cell>
        </row>
        <row r="1792">
          <cell r="C1792" t="str">
            <v>은행</v>
          </cell>
          <cell r="E1792" t="str">
            <v>외환은행</v>
          </cell>
          <cell r="H1792">
            <v>65</v>
          </cell>
          <cell r="I1792">
            <v>30000</v>
          </cell>
        </row>
        <row r="1793">
          <cell r="C1793" t="str">
            <v>은행</v>
          </cell>
          <cell r="E1793" t="str">
            <v>외환은행</v>
          </cell>
          <cell r="H1793">
            <v>17</v>
          </cell>
          <cell r="I1793">
            <v>6600</v>
          </cell>
        </row>
        <row r="1794">
          <cell r="C1794" t="str">
            <v>은행</v>
          </cell>
          <cell r="E1794" t="str">
            <v>외환은행</v>
          </cell>
          <cell r="H1794">
            <v>60</v>
          </cell>
          <cell r="I1794">
            <v>17350</v>
          </cell>
        </row>
        <row r="1795">
          <cell r="C1795" t="str">
            <v>은행</v>
          </cell>
          <cell r="E1795" t="str">
            <v>외환은행</v>
          </cell>
          <cell r="H1795">
            <v>46</v>
          </cell>
          <cell r="I1795">
            <v>60000</v>
          </cell>
        </row>
        <row r="1796">
          <cell r="C1796" t="str">
            <v>은행</v>
          </cell>
          <cell r="E1796" t="str">
            <v>외환은행</v>
          </cell>
          <cell r="H1796">
            <v>9</v>
          </cell>
          <cell r="I1796">
            <v>22000</v>
          </cell>
        </row>
        <row r="1797">
          <cell r="C1797" t="str">
            <v>은행</v>
          </cell>
          <cell r="E1797" t="str">
            <v>외환은행</v>
          </cell>
          <cell r="H1797">
            <v>60</v>
          </cell>
          <cell r="I1797">
            <v>20300</v>
          </cell>
        </row>
        <row r="1798">
          <cell r="C1798" t="str">
            <v>은행</v>
          </cell>
          <cell r="E1798" t="str">
            <v>외환은행</v>
          </cell>
          <cell r="H1798">
            <v>86</v>
          </cell>
          <cell r="I1798">
            <v>37000</v>
          </cell>
        </row>
        <row r="1799">
          <cell r="C1799" t="str">
            <v>은행</v>
          </cell>
          <cell r="E1799" t="str">
            <v>외환은행</v>
          </cell>
          <cell r="H1799">
            <v>71</v>
          </cell>
          <cell r="I1799">
            <v>5554</v>
          </cell>
        </row>
        <row r="1800">
          <cell r="C1800" t="str">
            <v>은행</v>
          </cell>
          <cell r="E1800" t="str">
            <v>외환은행</v>
          </cell>
          <cell r="H1800">
            <v>71</v>
          </cell>
          <cell r="I1800">
            <v>8062</v>
          </cell>
        </row>
        <row r="1801">
          <cell r="C1801" t="str">
            <v>은행</v>
          </cell>
          <cell r="E1801" t="str">
            <v>외환은행</v>
          </cell>
          <cell r="H1801">
            <v>35</v>
          </cell>
          <cell r="I1801">
            <v>50000</v>
          </cell>
        </row>
        <row r="1802">
          <cell r="C1802" t="str">
            <v>은행</v>
          </cell>
          <cell r="E1802" t="str">
            <v>외환은행</v>
          </cell>
          <cell r="H1802">
            <v>76</v>
          </cell>
          <cell r="I1802">
            <v>65000</v>
          </cell>
        </row>
        <row r="1803">
          <cell r="C1803" t="str">
            <v>은행</v>
          </cell>
          <cell r="E1803" t="str">
            <v>외환은행</v>
          </cell>
          <cell r="H1803">
            <v>25</v>
          </cell>
          <cell r="I1803">
            <v>40000</v>
          </cell>
        </row>
        <row r="1804">
          <cell r="C1804" t="str">
            <v>은행</v>
          </cell>
          <cell r="E1804" t="str">
            <v>외환은행</v>
          </cell>
          <cell r="H1804">
            <v>10</v>
          </cell>
          <cell r="I1804">
            <v>29611</v>
          </cell>
        </row>
        <row r="1805">
          <cell r="C1805" t="str">
            <v>은행</v>
          </cell>
          <cell r="E1805" t="str">
            <v>외환은행</v>
          </cell>
          <cell r="H1805">
            <v>12</v>
          </cell>
          <cell r="I1805">
            <v>29611</v>
          </cell>
        </row>
        <row r="1806">
          <cell r="C1806" t="str">
            <v>은행</v>
          </cell>
          <cell r="E1806" t="str">
            <v>외환은행</v>
          </cell>
          <cell r="H1806">
            <v>25</v>
          </cell>
          <cell r="I1806">
            <v>48000</v>
          </cell>
        </row>
        <row r="1807">
          <cell r="C1807" t="str">
            <v>은행</v>
          </cell>
          <cell r="E1807" t="str">
            <v>외환은행</v>
          </cell>
          <cell r="H1807">
            <v>12</v>
          </cell>
          <cell r="I1807">
            <v>4300</v>
          </cell>
        </row>
        <row r="1808">
          <cell r="C1808" t="str">
            <v>은행</v>
          </cell>
          <cell r="E1808" t="str">
            <v>외환은행</v>
          </cell>
          <cell r="H1808">
            <v>28</v>
          </cell>
          <cell r="I1808">
            <v>30000</v>
          </cell>
        </row>
        <row r="1809">
          <cell r="C1809" t="str">
            <v>은행</v>
          </cell>
          <cell r="E1809" t="str">
            <v>외환은행</v>
          </cell>
          <cell r="H1809">
            <v>28</v>
          </cell>
          <cell r="I1809">
            <v>10000</v>
          </cell>
        </row>
        <row r="1810">
          <cell r="C1810" t="str">
            <v>은행</v>
          </cell>
          <cell r="E1810" t="str">
            <v>외환은행</v>
          </cell>
          <cell r="H1810">
            <v>22</v>
          </cell>
          <cell r="I1810">
            <v>24000</v>
          </cell>
        </row>
        <row r="1811">
          <cell r="C1811" t="str">
            <v>은행</v>
          </cell>
          <cell r="E1811" t="str">
            <v>외환은행</v>
          </cell>
          <cell r="H1811">
            <v>52</v>
          </cell>
          <cell r="I1811">
            <v>35000</v>
          </cell>
        </row>
        <row r="1812">
          <cell r="C1812" t="str">
            <v>은행</v>
          </cell>
          <cell r="E1812" t="str">
            <v>외환은행</v>
          </cell>
          <cell r="H1812">
            <v>4</v>
          </cell>
          <cell r="I1812">
            <v>2393</v>
          </cell>
        </row>
        <row r="1813">
          <cell r="C1813" t="str">
            <v>은행</v>
          </cell>
          <cell r="E1813" t="str">
            <v>외환은행</v>
          </cell>
          <cell r="H1813">
            <v>27</v>
          </cell>
          <cell r="I1813">
            <v>0</v>
          </cell>
        </row>
        <row r="1814">
          <cell r="C1814" t="str">
            <v>은행</v>
          </cell>
          <cell r="E1814" t="str">
            <v>외환은행</v>
          </cell>
          <cell r="H1814">
            <v>27</v>
          </cell>
          <cell r="I1814">
            <v>0</v>
          </cell>
        </row>
        <row r="1815">
          <cell r="C1815" t="str">
            <v>은행</v>
          </cell>
          <cell r="E1815" t="str">
            <v>외환은행</v>
          </cell>
          <cell r="H1815">
            <v>1000</v>
          </cell>
          <cell r="I1815">
            <v>0</v>
          </cell>
        </row>
        <row r="1816">
          <cell r="C1816" t="str">
            <v>은행</v>
          </cell>
          <cell r="E1816" t="str">
            <v>외환은행</v>
          </cell>
          <cell r="H1816">
            <v>29</v>
          </cell>
          <cell r="I1816">
            <v>15000</v>
          </cell>
        </row>
        <row r="1817">
          <cell r="C1817" t="str">
            <v>은행</v>
          </cell>
          <cell r="E1817" t="str">
            <v>외환은행</v>
          </cell>
          <cell r="H1817">
            <v>1000</v>
          </cell>
          <cell r="I1817">
            <v>0</v>
          </cell>
        </row>
        <row r="1818">
          <cell r="C1818" t="str">
            <v>은행</v>
          </cell>
          <cell r="E1818" t="str">
            <v>외환은행</v>
          </cell>
          <cell r="H1818">
            <v>138</v>
          </cell>
          <cell r="I1818">
            <v>45000</v>
          </cell>
        </row>
        <row r="1819">
          <cell r="C1819" t="str">
            <v>은행</v>
          </cell>
          <cell r="E1819" t="str">
            <v>외환은행</v>
          </cell>
          <cell r="H1819">
            <v>14</v>
          </cell>
          <cell r="I1819">
            <v>0</v>
          </cell>
        </row>
        <row r="1820">
          <cell r="C1820" t="str">
            <v>종금</v>
          </cell>
          <cell r="E1820" t="str">
            <v>금호종금</v>
          </cell>
          <cell r="H1820">
            <v>32</v>
          </cell>
          <cell r="I1820">
            <v>4690</v>
          </cell>
        </row>
        <row r="1821">
          <cell r="C1821" t="str">
            <v>종금</v>
          </cell>
          <cell r="E1821" t="str">
            <v>금호종금</v>
          </cell>
          <cell r="H1821">
            <v>10</v>
          </cell>
          <cell r="I1821">
            <v>10000</v>
          </cell>
        </row>
        <row r="1822">
          <cell r="C1822" t="str">
            <v>종금</v>
          </cell>
          <cell r="E1822" t="str">
            <v>금호종금</v>
          </cell>
          <cell r="H1822">
            <v>17</v>
          </cell>
          <cell r="I1822">
            <v>1100</v>
          </cell>
        </row>
        <row r="1823">
          <cell r="C1823" t="str">
            <v>종금</v>
          </cell>
          <cell r="E1823" t="str">
            <v>금호종금</v>
          </cell>
          <cell r="H1823">
            <v>10</v>
          </cell>
          <cell r="I1823">
            <v>8900</v>
          </cell>
        </row>
        <row r="1824">
          <cell r="C1824" t="str">
            <v>종금</v>
          </cell>
          <cell r="E1824" t="str">
            <v>금호종금</v>
          </cell>
          <cell r="H1824">
            <v>45</v>
          </cell>
          <cell r="I1824">
            <v>5000</v>
          </cell>
        </row>
        <row r="1825">
          <cell r="C1825" t="str">
            <v>종금</v>
          </cell>
          <cell r="E1825" t="str">
            <v>금호종금</v>
          </cell>
          <cell r="H1825">
            <v>38</v>
          </cell>
          <cell r="I1825">
            <v>500</v>
          </cell>
        </row>
        <row r="1826">
          <cell r="C1826" t="str">
            <v>종금</v>
          </cell>
          <cell r="E1826" t="str">
            <v>금호종금</v>
          </cell>
          <cell r="H1826">
            <v>10</v>
          </cell>
          <cell r="I1826">
            <v>3734</v>
          </cell>
        </row>
        <row r="1827">
          <cell r="C1827" t="str">
            <v>종금</v>
          </cell>
          <cell r="E1827" t="str">
            <v>금호종금</v>
          </cell>
          <cell r="H1827">
            <v>10</v>
          </cell>
          <cell r="I1827">
            <v>8050</v>
          </cell>
        </row>
        <row r="1828">
          <cell r="C1828" t="str">
            <v>종금</v>
          </cell>
          <cell r="E1828" t="str">
            <v>금호종금</v>
          </cell>
          <cell r="H1828">
            <v>1000</v>
          </cell>
          <cell r="I1828">
            <v>4000</v>
          </cell>
        </row>
        <row r="1829">
          <cell r="C1829" t="str">
            <v>종금</v>
          </cell>
          <cell r="E1829" t="str">
            <v>금호종금</v>
          </cell>
          <cell r="H1829">
            <v>10</v>
          </cell>
          <cell r="I1829">
            <v>10000</v>
          </cell>
        </row>
        <row r="1830">
          <cell r="C1830" t="str">
            <v>종금</v>
          </cell>
          <cell r="E1830" t="str">
            <v>금호종금</v>
          </cell>
          <cell r="H1830">
            <v>17</v>
          </cell>
          <cell r="I1830">
            <v>5600</v>
          </cell>
        </row>
        <row r="1831">
          <cell r="C1831" t="str">
            <v>종금</v>
          </cell>
          <cell r="E1831" t="str">
            <v>금호종금</v>
          </cell>
          <cell r="H1831">
            <v>29</v>
          </cell>
          <cell r="I1831">
            <v>10288</v>
          </cell>
        </row>
        <row r="1832">
          <cell r="C1832" t="str">
            <v>종금</v>
          </cell>
          <cell r="E1832" t="str">
            <v>금호종금</v>
          </cell>
          <cell r="H1832">
            <v>10</v>
          </cell>
          <cell r="I1832">
            <v>11400</v>
          </cell>
        </row>
        <row r="1833">
          <cell r="C1833" t="str">
            <v>종금</v>
          </cell>
          <cell r="E1833" t="str">
            <v>금호종금</v>
          </cell>
          <cell r="H1833">
            <v>97</v>
          </cell>
          <cell r="I1833">
            <v>5000</v>
          </cell>
        </row>
        <row r="1834">
          <cell r="C1834" t="str">
            <v>종금</v>
          </cell>
          <cell r="E1834" t="str">
            <v>금호종금</v>
          </cell>
          <cell r="H1834">
            <v>35</v>
          </cell>
          <cell r="I1834">
            <v>10000</v>
          </cell>
        </row>
        <row r="1835">
          <cell r="C1835" t="str">
            <v>종금</v>
          </cell>
          <cell r="E1835" t="str">
            <v>금호종금</v>
          </cell>
          <cell r="H1835">
            <v>40</v>
          </cell>
          <cell r="I1835">
            <v>10000</v>
          </cell>
        </row>
        <row r="1836">
          <cell r="C1836" t="str">
            <v>종금</v>
          </cell>
          <cell r="E1836" t="str">
            <v>금호종금</v>
          </cell>
          <cell r="H1836">
            <v>10</v>
          </cell>
          <cell r="I1836">
            <v>6570</v>
          </cell>
        </row>
        <row r="1837">
          <cell r="C1837" t="str">
            <v>종금</v>
          </cell>
          <cell r="E1837" t="str">
            <v>금호종금</v>
          </cell>
          <cell r="H1837">
            <v>45</v>
          </cell>
          <cell r="I1837">
            <v>5000</v>
          </cell>
        </row>
        <row r="1838">
          <cell r="C1838" t="str">
            <v>종금</v>
          </cell>
          <cell r="E1838" t="str">
            <v>금호종금</v>
          </cell>
          <cell r="H1838">
            <v>10</v>
          </cell>
          <cell r="I1838">
            <v>10000</v>
          </cell>
        </row>
        <row r="1839">
          <cell r="C1839" t="str">
            <v>종금</v>
          </cell>
          <cell r="E1839" t="str">
            <v>금호종금</v>
          </cell>
          <cell r="H1839">
            <v>140</v>
          </cell>
          <cell r="I1839">
            <v>0</v>
          </cell>
        </row>
        <row r="1840">
          <cell r="C1840" t="str">
            <v>종금</v>
          </cell>
          <cell r="E1840" t="str">
            <v>금호종금</v>
          </cell>
          <cell r="H1840">
            <v>10</v>
          </cell>
          <cell r="I1840">
            <v>7500</v>
          </cell>
        </row>
        <row r="1841">
          <cell r="C1841" t="str">
            <v>종금</v>
          </cell>
          <cell r="E1841" t="str">
            <v>금호종금</v>
          </cell>
          <cell r="H1841">
            <v>10</v>
          </cell>
          <cell r="I1841">
            <v>10000</v>
          </cell>
        </row>
        <row r="1842">
          <cell r="C1842" t="str">
            <v>종금</v>
          </cell>
          <cell r="E1842" t="str">
            <v>금호종금</v>
          </cell>
          <cell r="H1842">
            <v>56</v>
          </cell>
          <cell r="I1842">
            <v>7150</v>
          </cell>
        </row>
        <row r="1843">
          <cell r="C1843" t="str">
            <v>종금</v>
          </cell>
          <cell r="E1843" t="str">
            <v>금호종금</v>
          </cell>
          <cell r="H1843">
            <v>32</v>
          </cell>
          <cell r="I1843">
            <v>0</v>
          </cell>
        </row>
        <row r="1844">
          <cell r="C1844" t="str">
            <v>종금</v>
          </cell>
          <cell r="E1844" t="str">
            <v>금호종금</v>
          </cell>
          <cell r="H1844">
            <v>44</v>
          </cell>
          <cell r="I1844">
            <v>10000</v>
          </cell>
        </row>
        <row r="1845">
          <cell r="C1845" t="str">
            <v>종금</v>
          </cell>
          <cell r="E1845" t="str">
            <v>금호종금</v>
          </cell>
          <cell r="H1845">
            <v>10</v>
          </cell>
          <cell r="I1845">
            <v>8000</v>
          </cell>
        </row>
        <row r="1846">
          <cell r="C1846" t="str">
            <v>종금</v>
          </cell>
          <cell r="E1846" t="str">
            <v>금호종금</v>
          </cell>
          <cell r="H1846">
            <v>122</v>
          </cell>
          <cell r="I1846">
            <v>1790</v>
          </cell>
        </row>
        <row r="1847">
          <cell r="C1847" t="str">
            <v>종금</v>
          </cell>
          <cell r="E1847" t="str">
            <v>금호종금</v>
          </cell>
          <cell r="H1847">
            <v>18</v>
          </cell>
          <cell r="I1847">
            <v>3000</v>
          </cell>
        </row>
        <row r="1848">
          <cell r="C1848" t="str">
            <v>종금</v>
          </cell>
          <cell r="E1848" t="str">
            <v>금호종금</v>
          </cell>
          <cell r="H1848">
            <v>23</v>
          </cell>
          <cell r="I1848">
            <v>6000</v>
          </cell>
        </row>
        <row r="1849">
          <cell r="C1849" t="str">
            <v>종금</v>
          </cell>
          <cell r="E1849" t="str">
            <v>금호종금</v>
          </cell>
          <cell r="H1849">
            <v>23</v>
          </cell>
          <cell r="I1849">
            <v>7000</v>
          </cell>
        </row>
        <row r="1850">
          <cell r="C1850" t="str">
            <v>종금</v>
          </cell>
          <cell r="E1850" t="str">
            <v>금호종금</v>
          </cell>
          <cell r="H1850">
            <v>44</v>
          </cell>
          <cell r="I1850">
            <v>2900</v>
          </cell>
        </row>
        <row r="1851">
          <cell r="C1851" t="str">
            <v>종금</v>
          </cell>
          <cell r="E1851" t="str">
            <v>금호종금</v>
          </cell>
          <cell r="H1851">
            <v>10</v>
          </cell>
          <cell r="I1851">
            <v>0</v>
          </cell>
        </row>
        <row r="1852">
          <cell r="C1852" t="str">
            <v>종금</v>
          </cell>
          <cell r="E1852" t="str">
            <v>금호종금</v>
          </cell>
          <cell r="H1852">
            <v>34</v>
          </cell>
          <cell r="I1852">
            <v>26000</v>
          </cell>
        </row>
        <row r="1853">
          <cell r="C1853" t="str">
            <v>종금</v>
          </cell>
          <cell r="E1853" t="str">
            <v>금호종금</v>
          </cell>
          <cell r="H1853">
            <v>23</v>
          </cell>
          <cell r="I1853">
            <v>5000</v>
          </cell>
        </row>
        <row r="1854">
          <cell r="C1854" t="str">
            <v>종금</v>
          </cell>
          <cell r="E1854" t="str">
            <v>금호종금</v>
          </cell>
          <cell r="H1854">
            <v>29</v>
          </cell>
          <cell r="I1854">
            <v>5000</v>
          </cell>
        </row>
        <row r="1855">
          <cell r="C1855" t="str">
            <v>종금</v>
          </cell>
          <cell r="E1855" t="str">
            <v>메리츠종금</v>
          </cell>
          <cell r="H1855">
            <v>76</v>
          </cell>
          <cell r="I1855">
            <v>15000</v>
          </cell>
        </row>
        <row r="1856">
          <cell r="C1856" t="str">
            <v>종금</v>
          </cell>
          <cell r="E1856" t="str">
            <v>메리츠종금</v>
          </cell>
          <cell r="H1856">
            <v>44</v>
          </cell>
          <cell r="I1856">
            <v>10000</v>
          </cell>
        </row>
        <row r="1857">
          <cell r="C1857" t="str">
            <v>종금</v>
          </cell>
          <cell r="E1857" t="str">
            <v>메리츠종금</v>
          </cell>
          <cell r="H1857">
            <v>44</v>
          </cell>
          <cell r="I1857">
            <v>10000</v>
          </cell>
        </row>
        <row r="1858">
          <cell r="C1858" t="str">
            <v>종금</v>
          </cell>
          <cell r="E1858" t="str">
            <v>메리츠종금</v>
          </cell>
          <cell r="H1858">
            <v>36</v>
          </cell>
          <cell r="I1858">
            <v>10000</v>
          </cell>
        </row>
        <row r="1859">
          <cell r="C1859" t="str">
            <v>종금</v>
          </cell>
          <cell r="E1859" t="str">
            <v>메리츠종금</v>
          </cell>
          <cell r="H1859">
            <v>1000</v>
          </cell>
          <cell r="I1859">
            <v>0</v>
          </cell>
        </row>
        <row r="1860">
          <cell r="C1860" t="str">
            <v>종금</v>
          </cell>
          <cell r="E1860" t="str">
            <v>메리츠종금</v>
          </cell>
          <cell r="H1860">
            <v>1000</v>
          </cell>
          <cell r="I1860">
            <v>0</v>
          </cell>
        </row>
        <row r="1861">
          <cell r="C1861" t="str">
            <v>종금</v>
          </cell>
          <cell r="E1861" t="str">
            <v>메리츠종금</v>
          </cell>
          <cell r="H1861">
            <v>29</v>
          </cell>
          <cell r="I1861">
            <v>19000</v>
          </cell>
        </row>
        <row r="1862">
          <cell r="C1862" t="str">
            <v>종금</v>
          </cell>
          <cell r="E1862" t="str">
            <v>메리츠종금</v>
          </cell>
          <cell r="H1862">
            <v>43</v>
          </cell>
          <cell r="I1862">
            <v>12000</v>
          </cell>
        </row>
        <row r="1863">
          <cell r="C1863" t="str">
            <v>종금</v>
          </cell>
          <cell r="E1863" t="str">
            <v>메리츠종금</v>
          </cell>
          <cell r="H1863">
            <v>76</v>
          </cell>
          <cell r="I1863">
            <v>0</v>
          </cell>
        </row>
        <row r="1864">
          <cell r="C1864" t="str">
            <v>보험</v>
          </cell>
          <cell r="E1864" t="str">
            <v>대한생명</v>
          </cell>
          <cell r="H1864">
            <v>1</v>
          </cell>
          <cell r="I1864">
            <v>150000</v>
          </cell>
        </row>
        <row r="1865">
          <cell r="C1865" t="str">
            <v>보험</v>
          </cell>
          <cell r="E1865" t="str">
            <v>대한생명</v>
          </cell>
          <cell r="H1865">
            <v>9</v>
          </cell>
          <cell r="I1865">
            <v>4560</v>
          </cell>
        </row>
        <row r="1866">
          <cell r="C1866" t="str">
            <v>보험</v>
          </cell>
          <cell r="E1866" t="str">
            <v>대한생명</v>
          </cell>
          <cell r="H1866">
            <v>6</v>
          </cell>
          <cell r="I1866">
            <v>0</v>
          </cell>
        </row>
        <row r="1867">
          <cell r="C1867" t="str">
            <v>보험</v>
          </cell>
          <cell r="E1867" t="str">
            <v>대한생명</v>
          </cell>
          <cell r="H1867">
            <v>52</v>
          </cell>
          <cell r="I1867">
            <v>0</v>
          </cell>
        </row>
        <row r="1868">
          <cell r="C1868" t="str">
            <v>보험</v>
          </cell>
          <cell r="E1868" t="str">
            <v>대한생명</v>
          </cell>
          <cell r="H1868">
            <v>6</v>
          </cell>
          <cell r="I1868">
            <v>0</v>
          </cell>
        </row>
        <row r="1869">
          <cell r="C1869" t="str">
            <v>보험</v>
          </cell>
          <cell r="E1869" t="str">
            <v>대한생명</v>
          </cell>
          <cell r="H1869">
            <v>1</v>
          </cell>
          <cell r="I1869">
            <v>23000</v>
          </cell>
        </row>
        <row r="1870">
          <cell r="C1870" t="str">
            <v>보험</v>
          </cell>
          <cell r="E1870" t="str">
            <v>대한생명</v>
          </cell>
          <cell r="H1870">
            <v>1</v>
          </cell>
          <cell r="I1870">
            <v>50000</v>
          </cell>
        </row>
        <row r="1871">
          <cell r="C1871" t="str">
            <v>보험</v>
          </cell>
          <cell r="E1871" t="str">
            <v>대한생명</v>
          </cell>
          <cell r="H1871">
            <v>14</v>
          </cell>
          <cell r="I1871">
            <v>7800</v>
          </cell>
        </row>
        <row r="1872">
          <cell r="C1872" t="str">
            <v>보험</v>
          </cell>
          <cell r="E1872" t="str">
            <v>대한생명</v>
          </cell>
          <cell r="H1872">
            <v>1000</v>
          </cell>
          <cell r="I1872">
            <v>0</v>
          </cell>
        </row>
        <row r="1873">
          <cell r="C1873" t="str">
            <v>보험</v>
          </cell>
          <cell r="E1873" t="str">
            <v>대한생명</v>
          </cell>
          <cell r="H1873">
            <v>150</v>
          </cell>
          <cell r="I1873">
            <v>22000</v>
          </cell>
        </row>
        <row r="1874">
          <cell r="C1874" t="str">
            <v>보험</v>
          </cell>
          <cell r="E1874" t="str">
            <v>대한생명</v>
          </cell>
          <cell r="H1874">
            <v>28</v>
          </cell>
          <cell r="I1874">
            <v>39500</v>
          </cell>
        </row>
        <row r="1875">
          <cell r="C1875" t="str">
            <v>보험</v>
          </cell>
          <cell r="E1875" t="str">
            <v>대한생명</v>
          </cell>
          <cell r="H1875">
            <v>44</v>
          </cell>
          <cell r="I1875">
            <v>5000</v>
          </cell>
        </row>
        <row r="1876">
          <cell r="C1876" t="str">
            <v>보험</v>
          </cell>
          <cell r="E1876" t="str">
            <v>대한생명</v>
          </cell>
          <cell r="H1876">
            <v>14</v>
          </cell>
          <cell r="I1876">
            <v>25000</v>
          </cell>
        </row>
        <row r="1877">
          <cell r="C1877" t="str">
            <v>보험</v>
          </cell>
          <cell r="E1877" t="str">
            <v>대한생명</v>
          </cell>
          <cell r="H1877">
            <v>29</v>
          </cell>
          <cell r="I1877">
            <v>25000</v>
          </cell>
        </row>
        <row r="1878">
          <cell r="C1878" t="str">
            <v>보험</v>
          </cell>
          <cell r="E1878" t="str">
            <v>대한생명</v>
          </cell>
          <cell r="H1878">
            <v>1000</v>
          </cell>
          <cell r="I1878">
            <v>0</v>
          </cell>
        </row>
        <row r="1879">
          <cell r="C1879" t="str">
            <v>보험</v>
          </cell>
          <cell r="E1879" t="str">
            <v>대한생명</v>
          </cell>
          <cell r="H1879">
            <v>3</v>
          </cell>
          <cell r="I1879">
            <v>20000</v>
          </cell>
        </row>
        <row r="1880">
          <cell r="C1880" t="str">
            <v>보험</v>
          </cell>
          <cell r="E1880" t="str">
            <v>대한생명</v>
          </cell>
          <cell r="H1880">
            <v>22</v>
          </cell>
          <cell r="I1880">
            <v>0</v>
          </cell>
        </row>
        <row r="1881">
          <cell r="C1881" t="str">
            <v>보험</v>
          </cell>
          <cell r="E1881" t="str">
            <v>대한생명</v>
          </cell>
          <cell r="H1881">
            <v>3</v>
          </cell>
          <cell r="I1881">
            <v>50000</v>
          </cell>
        </row>
        <row r="1882">
          <cell r="C1882" t="str">
            <v>보험</v>
          </cell>
          <cell r="E1882" t="str">
            <v>대한생명</v>
          </cell>
          <cell r="H1882">
            <v>8</v>
          </cell>
          <cell r="I1882">
            <v>0</v>
          </cell>
        </row>
        <row r="1883">
          <cell r="C1883" t="str">
            <v>보험</v>
          </cell>
          <cell r="E1883" t="str">
            <v>삼성생명</v>
          </cell>
          <cell r="H1883">
            <v>3</v>
          </cell>
          <cell r="I1883">
            <v>110000</v>
          </cell>
        </row>
        <row r="1884">
          <cell r="C1884" t="str">
            <v>보험</v>
          </cell>
          <cell r="E1884" t="str">
            <v>삼성생명</v>
          </cell>
          <cell r="H1884">
            <v>3</v>
          </cell>
          <cell r="I1884">
            <v>27000</v>
          </cell>
        </row>
        <row r="1885">
          <cell r="C1885" t="str">
            <v>보험</v>
          </cell>
          <cell r="E1885" t="str">
            <v>삼성생명</v>
          </cell>
          <cell r="H1885">
            <v>28</v>
          </cell>
          <cell r="I1885">
            <v>30000</v>
          </cell>
        </row>
        <row r="1886">
          <cell r="C1886" t="str">
            <v>보험</v>
          </cell>
          <cell r="E1886" t="str">
            <v>삼성생명</v>
          </cell>
          <cell r="H1886">
            <v>5</v>
          </cell>
          <cell r="I1886">
            <v>5000</v>
          </cell>
        </row>
        <row r="1887">
          <cell r="C1887" t="str">
            <v>보험</v>
          </cell>
          <cell r="E1887" t="str">
            <v>삼성생명</v>
          </cell>
          <cell r="H1887">
            <v>5</v>
          </cell>
          <cell r="I1887">
            <v>5000</v>
          </cell>
        </row>
        <row r="1888">
          <cell r="C1888" t="str">
            <v>보험</v>
          </cell>
          <cell r="E1888" t="str">
            <v>삼성생명</v>
          </cell>
          <cell r="H1888">
            <v>5</v>
          </cell>
          <cell r="I1888">
            <v>10000</v>
          </cell>
        </row>
        <row r="1889">
          <cell r="C1889" t="str">
            <v>보험</v>
          </cell>
          <cell r="E1889" t="str">
            <v>삼성생명</v>
          </cell>
          <cell r="H1889">
            <v>5</v>
          </cell>
          <cell r="I1889">
            <v>19600</v>
          </cell>
        </row>
        <row r="1890">
          <cell r="C1890" t="str">
            <v>보험</v>
          </cell>
          <cell r="E1890" t="str">
            <v>삼성생명</v>
          </cell>
          <cell r="H1890">
            <v>3</v>
          </cell>
          <cell r="I1890">
            <v>5960</v>
          </cell>
        </row>
        <row r="1891">
          <cell r="C1891" t="str">
            <v>보험</v>
          </cell>
          <cell r="E1891" t="str">
            <v>삼성생명</v>
          </cell>
          <cell r="H1891">
            <v>3</v>
          </cell>
          <cell r="I1891">
            <v>150000</v>
          </cell>
        </row>
        <row r="1892">
          <cell r="C1892" t="str">
            <v>보험</v>
          </cell>
          <cell r="E1892" t="str">
            <v>삼성생명</v>
          </cell>
          <cell r="H1892">
            <v>5</v>
          </cell>
          <cell r="I1892">
            <v>56300</v>
          </cell>
        </row>
        <row r="1893">
          <cell r="C1893" t="str">
            <v>보험</v>
          </cell>
          <cell r="E1893" t="str">
            <v>삼성생명</v>
          </cell>
          <cell r="H1893">
            <v>5</v>
          </cell>
          <cell r="I1893">
            <v>8000</v>
          </cell>
        </row>
        <row r="1894">
          <cell r="C1894" t="str">
            <v>보험</v>
          </cell>
          <cell r="E1894" t="str">
            <v>삼성생명</v>
          </cell>
          <cell r="H1894">
            <v>5</v>
          </cell>
          <cell r="I1894">
            <v>18500</v>
          </cell>
        </row>
        <row r="1895">
          <cell r="C1895" t="str">
            <v>보험</v>
          </cell>
          <cell r="E1895" t="str">
            <v>삼성생명</v>
          </cell>
          <cell r="H1895">
            <v>5</v>
          </cell>
          <cell r="I1895">
            <v>5000</v>
          </cell>
        </row>
        <row r="1896">
          <cell r="C1896" t="str">
            <v>보험</v>
          </cell>
          <cell r="E1896" t="str">
            <v>삼성생명</v>
          </cell>
          <cell r="H1896">
            <v>5</v>
          </cell>
          <cell r="I1896">
            <v>20000</v>
          </cell>
        </row>
        <row r="1897">
          <cell r="C1897" t="str">
            <v>보험</v>
          </cell>
          <cell r="E1897" t="str">
            <v>삼성생명</v>
          </cell>
          <cell r="H1897">
            <v>5</v>
          </cell>
          <cell r="I1897">
            <v>10000</v>
          </cell>
        </row>
        <row r="1898">
          <cell r="C1898" t="str">
            <v>보험</v>
          </cell>
          <cell r="E1898" t="str">
            <v>삼성생명</v>
          </cell>
          <cell r="H1898">
            <v>5</v>
          </cell>
          <cell r="I1898">
            <v>37000</v>
          </cell>
        </row>
        <row r="1899">
          <cell r="C1899" t="str">
            <v>보험</v>
          </cell>
          <cell r="E1899" t="str">
            <v>삼성생명</v>
          </cell>
          <cell r="H1899">
            <v>94</v>
          </cell>
          <cell r="I1899">
            <v>16000</v>
          </cell>
        </row>
        <row r="1900">
          <cell r="C1900" t="str">
            <v>보험</v>
          </cell>
          <cell r="E1900" t="str">
            <v>삼성생명</v>
          </cell>
          <cell r="H1900">
            <v>1000</v>
          </cell>
          <cell r="I1900">
            <v>0</v>
          </cell>
        </row>
        <row r="1901">
          <cell r="C1901" t="str">
            <v>보험</v>
          </cell>
          <cell r="E1901" t="str">
            <v>삼성생명</v>
          </cell>
          <cell r="H1901">
            <v>70</v>
          </cell>
          <cell r="I1901">
            <v>55000</v>
          </cell>
        </row>
        <row r="1902">
          <cell r="C1902" t="str">
            <v>보험</v>
          </cell>
          <cell r="E1902" t="str">
            <v>삼성생명</v>
          </cell>
          <cell r="H1902">
            <v>70</v>
          </cell>
          <cell r="I1902">
            <v>110000</v>
          </cell>
        </row>
        <row r="1903">
          <cell r="C1903" t="str">
            <v>보험</v>
          </cell>
          <cell r="E1903" t="str">
            <v>삼성생명</v>
          </cell>
          <cell r="H1903">
            <v>70</v>
          </cell>
          <cell r="I1903">
            <v>100000</v>
          </cell>
        </row>
        <row r="1904">
          <cell r="C1904" t="str">
            <v>보험</v>
          </cell>
          <cell r="E1904" t="str">
            <v>삼성생명</v>
          </cell>
          <cell r="H1904">
            <v>32</v>
          </cell>
          <cell r="I1904">
            <v>0</v>
          </cell>
        </row>
        <row r="1905">
          <cell r="C1905" t="str">
            <v>보험</v>
          </cell>
          <cell r="E1905" t="str">
            <v>삼성생명</v>
          </cell>
          <cell r="H1905">
            <v>32</v>
          </cell>
          <cell r="I1905">
            <v>20000</v>
          </cell>
        </row>
        <row r="1906">
          <cell r="C1906" t="str">
            <v>보험</v>
          </cell>
          <cell r="E1906" t="str">
            <v>삼성생명</v>
          </cell>
          <cell r="H1906">
            <v>1</v>
          </cell>
          <cell r="I1906">
            <v>0</v>
          </cell>
        </row>
        <row r="1907">
          <cell r="C1907" t="str">
            <v>보험</v>
          </cell>
          <cell r="E1907" t="str">
            <v>삼성생명</v>
          </cell>
          <cell r="H1907">
            <v>40</v>
          </cell>
          <cell r="I1907">
            <v>25000</v>
          </cell>
        </row>
        <row r="1908">
          <cell r="C1908" t="str">
            <v>보험</v>
          </cell>
          <cell r="E1908" t="str">
            <v>삼성생명</v>
          </cell>
          <cell r="H1908">
            <v>34</v>
          </cell>
          <cell r="I1908">
            <v>26000</v>
          </cell>
        </row>
        <row r="1909">
          <cell r="C1909" t="str">
            <v>보험</v>
          </cell>
          <cell r="E1909" t="str">
            <v>삼성생명</v>
          </cell>
          <cell r="H1909">
            <v>34</v>
          </cell>
          <cell r="I1909">
            <v>25000</v>
          </cell>
        </row>
        <row r="1910">
          <cell r="C1910" t="str">
            <v>보험</v>
          </cell>
          <cell r="E1910" t="str">
            <v>삼성생명</v>
          </cell>
          <cell r="H1910">
            <v>1</v>
          </cell>
          <cell r="I1910">
            <v>138000</v>
          </cell>
        </row>
        <row r="1911">
          <cell r="C1911" t="str">
            <v>보험</v>
          </cell>
          <cell r="E1911" t="str">
            <v>삼성생명</v>
          </cell>
          <cell r="H1911">
            <v>61</v>
          </cell>
          <cell r="I1911">
            <v>7580</v>
          </cell>
        </row>
        <row r="1912">
          <cell r="C1912" t="str">
            <v>보험</v>
          </cell>
          <cell r="E1912" t="str">
            <v>삼성생명</v>
          </cell>
          <cell r="H1912">
            <v>61</v>
          </cell>
          <cell r="I1912">
            <v>250000</v>
          </cell>
        </row>
        <row r="1913">
          <cell r="C1913" t="str">
            <v>보험</v>
          </cell>
          <cell r="E1913" t="str">
            <v>삼성생명</v>
          </cell>
          <cell r="H1913">
            <v>17</v>
          </cell>
          <cell r="I1913">
            <v>0</v>
          </cell>
        </row>
        <row r="1914">
          <cell r="C1914" t="str">
            <v>보험</v>
          </cell>
          <cell r="E1914" t="str">
            <v>삼성생명</v>
          </cell>
          <cell r="H1914">
            <v>34</v>
          </cell>
          <cell r="I1914">
            <v>17000</v>
          </cell>
        </row>
        <row r="1915">
          <cell r="C1915" t="str">
            <v>보험</v>
          </cell>
          <cell r="E1915" t="str">
            <v>삼성생명</v>
          </cell>
          <cell r="H1915">
            <v>52</v>
          </cell>
          <cell r="I1915">
            <v>170000</v>
          </cell>
        </row>
        <row r="1916">
          <cell r="C1916" t="str">
            <v>보험</v>
          </cell>
          <cell r="E1916" t="str">
            <v>삼성생명</v>
          </cell>
          <cell r="H1916">
            <v>34</v>
          </cell>
          <cell r="I1916">
            <v>27500</v>
          </cell>
        </row>
        <row r="1917">
          <cell r="C1917" t="str">
            <v>보험</v>
          </cell>
          <cell r="E1917" t="str">
            <v>삼성생명</v>
          </cell>
          <cell r="H1917">
            <v>1</v>
          </cell>
          <cell r="I1917">
            <v>16800</v>
          </cell>
        </row>
        <row r="1918">
          <cell r="C1918" t="str">
            <v>보험</v>
          </cell>
          <cell r="E1918" t="str">
            <v>삼성생명</v>
          </cell>
          <cell r="H1918">
            <v>1</v>
          </cell>
          <cell r="I1918">
            <v>7700</v>
          </cell>
        </row>
        <row r="1919">
          <cell r="C1919" t="str">
            <v>보험</v>
          </cell>
          <cell r="E1919" t="str">
            <v>삼성생명</v>
          </cell>
          <cell r="H1919">
            <v>6</v>
          </cell>
          <cell r="I1919">
            <v>0</v>
          </cell>
        </row>
        <row r="1920">
          <cell r="C1920" t="str">
            <v>보험</v>
          </cell>
          <cell r="E1920" t="str">
            <v>삼성생명</v>
          </cell>
          <cell r="H1920">
            <v>15</v>
          </cell>
          <cell r="I1920">
            <v>35941.122600000002</v>
          </cell>
        </row>
        <row r="1921">
          <cell r="C1921" t="str">
            <v>보험</v>
          </cell>
          <cell r="E1921" t="str">
            <v>삼성생명</v>
          </cell>
          <cell r="H1921">
            <v>6</v>
          </cell>
          <cell r="I1921">
            <v>0</v>
          </cell>
        </row>
        <row r="1922">
          <cell r="C1922" t="str">
            <v>보험</v>
          </cell>
          <cell r="E1922" t="str">
            <v>삼성생명</v>
          </cell>
          <cell r="H1922">
            <v>5</v>
          </cell>
          <cell r="I1922">
            <v>0</v>
          </cell>
        </row>
        <row r="1923">
          <cell r="C1923" t="str">
            <v>보험</v>
          </cell>
          <cell r="E1923" t="str">
            <v>삼성생명</v>
          </cell>
          <cell r="H1923">
            <v>8</v>
          </cell>
          <cell r="I1923">
            <v>0</v>
          </cell>
        </row>
        <row r="1924">
          <cell r="C1924" t="str">
            <v>보험</v>
          </cell>
          <cell r="E1924" t="str">
            <v>흥국생명</v>
          </cell>
          <cell r="H1924">
            <v>10</v>
          </cell>
          <cell r="I1924">
            <v>0</v>
          </cell>
        </row>
        <row r="1925">
          <cell r="C1925" t="str">
            <v>보험</v>
          </cell>
          <cell r="E1925" t="str">
            <v>흥국생명</v>
          </cell>
          <cell r="H1925">
            <v>39</v>
          </cell>
          <cell r="I1925">
            <v>8571</v>
          </cell>
        </row>
        <row r="1926">
          <cell r="C1926" t="str">
            <v>보험</v>
          </cell>
          <cell r="E1926" t="str">
            <v>흥국생명</v>
          </cell>
          <cell r="H1926">
            <v>1</v>
          </cell>
          <cell r="I1926">
            <v>20000</v>
          </cell>
        </row>
        <row r="1927">
          <cell r="C1927" t="str">
            <v>보험</v>
          </cell>
          <cell r="E1927" t="str">
            <v>흥국생명</v>
          </cell>
          <cell r="H1927">
            <v>10</v>
          </cell>
          <cell r="I1927">
            <v>5900</v>
          </cell>
        </row>
        <row r="1928">
          <cell r="C1928" t="str">
            <v>보험</v>
          </cell>
          <cell r="E1928" t="str">
            <v>흥국생명</v>
          </cell>
          <cell r="H1928">
            <v>27</v>
          </cell>
          <cell r="I1928">
            <v>12500</v>
          </cell>
        </row>
        <row r="1929">
          <cell r="C1929" t="str">
            <v>보험</v>
          </cell>
          <cell r="E1929" t="str">
            <v>흥국생명</v>
          </cell>
          <cell r="H1929">
            <v>19</v>
          </cell>
          <cell r="I1929">
            <v>10000</v>
          </cell>
        </row>
        <row r="1930">
          <cell r="C1930" t="str">
            <v>보험</v>
          </cell>
          <cell r="E1930" t="str">
            <v>교보생명</v>
          </cell>
          <cell r="H1930">
            <v>1</v>
          </cell>
          <cell r="I1930">
            <v>16103.685559</v>
          </cell>
        </row>
        <row r="1931">
          <cell r="C1931" t="str">
            <v>보험</v>
          </cell>
          <cell r="E1931" t="str">
            <v>교보생명</v>
          </cell>
          <cell r="H1931">
            <v>1000</v>
          </cell>
          <cell r="I1931">
            <v>0</v>
          </cell>
        </row>
        <row r="1932">
          <cell r="C1932" t="str">
            <v>보험</v>
          </cell>
          <cell r="E1932" t="str">
            <v>교보생명</v>
          </cell>
          <cell r="H1932">
            <v>10</v>
          </cell>
          <cell r="I1932">
            <v>25000</v>
          </cell>
        </row>
        <row r="1933">
          <cell r="C1933" t="str">
            <v>보험</v>
          </cell>
          <cell r="E1933" t="str">
            <v>금호생명</v>
          </cell>
          <cell r="H1933">
            <v>46</v>
          </cell>
          <cell r="I1933">
            <v>20000</v>
          </cell>
        </row>
        <row r="1934">
          <cell r="C1934" t="str">
            <v>보험</v>
          </cell>
          <cell r="E1934" t="str">
            <v>금호생명</v>
          </cell>
          <cell r="H1934">
            <v>194</v>
          </cell>
          <cell r="I1934">
            <v>30000</v>
          </cell>
        </row>
        <row r="1935">
          <cell r="C1935" t="str">
            <v>보험</v>
          </cell>
          <cell r="E1935" t="str">
            <v>금호생명</v>
          </cell>
          <cell r="H1935">
            <v>56</v>
          </cell>
          <cell r="I1935">
            <v>13500</v>
          </cell>
        </row>
        <row r="1936">
          <cell r="C1936" t="str">
            <v>보험</v>
          </cell>
          <cell r="E1936" t="str">
            <v>금호생명</v>
          </cell>
          <cell r="H1936">
            <v>3</v>
          </cell>
          <cell r="I1936">
            <v>0</v>
          </cell>
        </row>
        <row r="1937">
          <cell r="C1937" t="str">
            <v>보험</v>
          </cell>
          <cell r="E1937" t="str">
            <v>금호생명</v>
          </cell>
          <cell r="H1937">
            <v>35</v>
          </cell>
          <cell r="I1937">
            <v>30000</v>
          </cell>
        </row>
        <row r="1938">
          <cell r="C1938" t="str">
            <v>보험</v>
          </cell>
          <cell r="E1938" t="str">
            <v>금호생명</v>
          </cell>
          <cell r="H1938">
            <v>40</v>
          </cell>
          <cell r="I1938">
            <v>0</v>
          </cell>
        </row>
        <row r="1939">
          <cell r="C1939" t="str">
            <v>보험</v>
          </cell>
          <cell r="E1939" t="str">
            <v>금호생명</v>
          </cell>
          <cell r="H1939">
            <v>10</v>
          </cell>
          <cell r="I1939">
            <v>0</v>
          </cell>
        </row>
        <row r="1940">
          <cell r="C1940" t="str">
            <v>보험</v>
          </cell>
          <cell r="E1940" t="str">
            <v>금호생명</v>
          </cell>
          <cell r="H1940">
            <v>6</v>
          </cell>
          <cell r="I1940">
            <v>0</v>
          </cell>
        </row>
        <row r="1941">
          <cell r="C1941" t="str">
            <v>보험</v>
          </cell>
          <cell r="E1941" t="str">
            <v>금호생명</v>
          </cell>
          <cell r="H1941">
            <v>13</v>
          </cell>
          <cell r="I1941">
            <v>10000</v>
          </cell>
        </row>
        <row r="1942">
          <cell r="C1942" t="str">
            <v>보험</v>
          </cell>
          <cell r="E1942" t="str">
            <v>금호생명</v>
          </cell>
          <cell r="H1942">
            <v>28</v>
          </cell>
          <cell r="I1942">
            <v>30000</v>
          </cell>
        </row>
        <row r="1943">
          <cell r="C1943" t="str">
            <v>보험</v>
          </cell>
          <cell r="E1943" t="str">
            <v>금호생명</v>
          </cell>
          <cell r="H1943">
            <v>12</v>
          </cell>
          <cell r="I1943">
            <v>88919.156570000006</v>
          </cell>
        </row>
        <row r="1944">
          <cell r="C1944" t="str">
            <v>보험</v>
          </cell>
          <cell r="E1944" t="str">
            <v>금호생명</v>
          </cell>
          <cell r="H1944">
            <v>3</v>
          </cell>
          <cell r="I1944">
            <v>0</v>
          </cell>
        </row>
        <row r="1945">
          <cell r="C1945" t="str">
            <v>보험</v>
          </cell>
          <cell r="E1945" t="str">
            <v>금호생명</v>
          </cell>
          <cell r="H1945">
            <v>29</v>
          </cell>
          <cell r="I1945">
            <v>20575</v>
          </cell>
        </row>
        <row r="1946">
          <cell r="C1946" t="str">
            <v>보험</v>
          </cell>
          <cell r="E1946" t="str">
            <v>금호생명</v>
          </cell>
          <cell r="H1946">
            <v>1</v>
          </cell>
          <cell r="I1946">
            <v>17000</v>
          </cell>
        </row>
        <row r="1947">
          <cell r="C1947" t="str">
            <v>보험</v>
          </cell>
          <cell r="E1947" t="str">
            <v>금호생명</v>
          </cell>
          <cell r="H1947">
            <v>39</v>
          </cell>
          <cell r="I1947">
            <v>15000</v>
          </cell>
        </row>
        <row r="1948">
          <cell r="C1948" t="str">
            <v>보험</v>
          </cell>
          <cell r="E1948" t="str">
            <v>금호생명</v>
          </cell>
          <cell r="H1948">
            <v>29</v>
          </cell>
          <cell r="I1948">
            <v>0</v>
          </cell>
        </row>
        <row r="1949">
          <cell r="C1949" t="str">
            <v>보험</v>
          </cell>
          <cell r="E1949" t="str">
            <v>금호생명</v>
          </cell>
          <cell r="H1949">
            <v>10</v>
          </cell>
          <cell r="I1949">
            <v>20000</v>
          </cell>
        </row>
        <row r="1950">
          <cell r="C1950" t="str">
            <v>보험</v>
          </cell>
          <cell r="E1950" t="str">
            <v>금호생명</v>
          </cell>
          <cell r="H1950">
            <v>16</v>
          </cell>
          <cell r="I1950">
            <v>0</v>
          </cell>
        </row>
        <row r="1951">
          <cell r="C1951" t="str">
            <v>보험</v>
          </cell>
          <cell r="E1951" t="str">
            <v>금호생명</v>
          </cell>
          <cell r="H1951">
            <v>14</v>
          </cell>
          <cell r="I1951">
            <v>19500</v>
          </cell>
        </row>
        <row r="1952">
          <cell r="C1952" t="str">
            <v>보험</v>
          </cell>
          <cell r="E1952" t="str">
            <v>금호생명</v>
          </cell>
          <cell r="H1952">
            <v>10</v>
          </cell>
          <cell r="I1952">
            <v>0</v>
          </cell>
        </row>
        <row r="1953">
          <cell r="C1953" t="str">
            <v>보험</v>
          </cell>
          <cell r="E1953" t="str">
            <v>금호생명</v>
          </cell>
          <cell r="H1953">
            <v>34</v>
          </cell>
          <cell r="I1953">
            <v>20000</v>
          </cell>
        </row>
        <row r="1954">
          <cell r="C1954" t="str">
            <v>보험</v>
          </cell>
          <cell r="E1954" t="str">
            <v>금호생명</v>
          </cell>
          <cell r="H1954">
            <v>10</v>
          </cell>
          <cell r="I1954">
            <v>20000</v>
          </cell>
        </row>
        <row r="1955">
          <cell r="C1955" t="str">
            <v>보험</v>
          </cell>
          <cell r="E1955" t="str">
            <v>금호생명</v>
          </cell>
          <cell r="H1955">
            <v>10</v>
          </cell>
          <cell r="I1955">
            <v>0</v>
          </cell>
        </row>
        <row r="1956">
          <cell r="C1956" t="str">
            <v>보험</v>
          </cell>
          <cell r="E1956" t="str">
            <v>금호생명</v>
          </cell>
          <cell r="H1956">
            <v>10</v>
          </cell>
          <cell r="I1956">
            <v>70000</v>
          </cell>
        </row>
        <row r="1957">
          <cell r="C1957" t="str">
            <v>보험</v>
          </cell>
          <cell r="E1957" t="str">
            <v>금호생명</v>
          </cell>
          <cell r="H1957">
            <v>12</v>
          </cell>
          <cell r="I1957">
            <v>0</v>
          </cell>
        </row>
        <row r="1958">
          <cell r="C1958" t="str">
            <v>보험</v>
          </cell>
          <cell r="E1958" t="str">
            <v>금호생명</v>
          </cell>
          <cell r="H1958">
            <v>8</v>
          </cell>
          <cell r="I1958">
            <v>3000</v>
          </cell>
        </row>
        <row r="1959">
          <cell r="C1959" t="str">
            <v>보험</v>
          </cell>
          <cell r="E1959" t="str">
            <v>녹십자생명</v>
          </cell>
          <cell r="H1959">
            <v>194</v>
          </cell>
          <cell r="I1959">
            <v>12000</v>
          </cell>
        </row>
        <row r="1960">
          <cell r="C1960" t="str">
            <v>보험</v>
          </cell>
          <cell r="E1960" t="str">
            <v>녹십자생명</v>
          </cell>
          <cell r="H1960">
            <v>60</v>
          </cell>
          <cell r="I1960">
            <v>13012</v>
          </cell>
        </row>
        <row r="1961">
          <cell r="C1961" t="str">
            <v>보험</v>
          </cell>
          <cell r="E1961" t="str">
            <v>녹십자생명</v>
          </cell>
          <cell r="H1961">
            <v>53</v>
          </cell>
          <cell r="I1961">
            <v>16750</v>
          </cell>
        </row>
        <row r="1962">
          <cell r="C1962" t="str">
            <v>보험</v>
          </cell>
          <cell r="E1962" t="str">
            <v>녹십자생명</v>
          </cell>
          <cell r="H1962">
            <v>14</v>
          </cell>
          <cell r="I1962">
            <v>15000</v>
          </cell>
        </row>
        <row r="1963">
          <cell r="C1963" t="str">
            <v>보험</v>
          </cell>
          <cell r="E1963" t="str">
            <v>녹십자생명</v>
          </cell>
          <cell r="H1963">
            <v>44</v>
          </cell>
          <cell r="I1963">
            <v>13000</v>
          </cell>
        </row>
        <row r="1964">
          <cell r="C1964" t="str">
            <v>보험</v>
          </cell>
          <cell r="E1964" t="str">
            <v>녹십자생명</v>
          </cell>
          <cell r="H1964">
            <v>35</v>
          </cell>
          <cell r="I1964">
            <v>20000</v>
          </cell>
        </row>
        <row r="1965">
          <cell r="C1965" t="str">
            <v>보험</v>
          </cell>
          <cell r="E1965" t="str">
            <v>녹십자생명</v>
          </cell>
          <cell r="H1965">
            <v>40</v>
          </cell>
          <cell r="I1965">
            <v>20000</v>
          </cell>
        </row>
        <row r="1966">
          <cell r="C1966" t="str">
            <v>보험</v>
          </cell>
          <cell r="E1966" t="str">
            <v>녹십자생명</v>
          </cell>
          <cell r="H1966">
            <v>10</v>
          </cell>
          <cell r="I1966">
            <v>0</v>
          </cell>
        </row>
        <row r="1967">
          <cell r="C1967" t="str">
            <v>보험</v>
          </cell>
          <cell r="E1967" t="str">
            <v>녹십자생명</v>
          </cell>
          <cell r="H1967">
            <v>30</v>
          </cell>
          <cell r="I1967">
            <v>15000</v>
          </cell>
        </row>
        <row r="1968">
          <cell r="C1968" t="str">
            <v>보험</v>
          </cell>
          <cell r="E1968" t="str">
            <v>녹십자생명</v>
          </cell>
          <cell r="H1968">
            <v>41</v>
          </cell>
          <cell r="I1968">
            <v>15000</v>
          </cell>
        </row>
        <row r="1969">
          <cell r="C1969" t="str">
            <v>보험</v>
          </cell>
          <cell r="E1969" t="str">
            <v>녹십자생명</v>
          </cell>
          <cell r="H1969">
            <v>27</v>
          </cell>
          <cell r="I1969">
            <v>0</v>
          </cell>
        </row>
        <row r="1970">
          <cell r="C1970" t="str">
            <v>보험</v>
          </cell>
          <cell r="E1970" t="str">
            <v>녹십자생명</v>
          </cell>
          <cell r="H1970">
            <v>10</v>
          </cell>
          <cell r="I1970">
            <v>2000</v>
          </cell>
        </row>
        <row r="1971">
          <cell r="C1971" t="str">
            <v>보험</v>
          </cell>
          <cell r="E1971" t="str">
            <v>녹십자생명</v>
          </cell>
          <cell r="H1971">
            <v>18</v>
          </cell>
          <cell r="I1971">
            <v>0</v>
          </cell>
        </row>
        <row r="1972">
          <cell r="C1972" t="str">
            <v>보험</v>
          </cell>
          <cell r="E1972" t="str">
            <v>녹십자생명</v>
          </cell>
          <cell r="H1972">
            <v>18</v>
          </cell>
          <cell r="I1972">
            <v>3300</v>
          </cell>
        </row>
        <row r="1973">
          <cell r="C1973" t="str">
            <v>보험</v>
          </cell>
          <cell r="E1973" t="str">
            <v>녹십자생명</v>
          </cell>
          <cell r="H1973">
            <v>17</v>
          </cell>
          <cell r="I1973">
            <v>2000</v>
          </cell>
        </row>
        <row r="1974">
          <cell r="C1974" t="str">
            <v>보험</v>
          </cell>
          <cell r="E1974" t="str">
            <v>녹십자생명</v>
          </cell>
          <cell r="H1974">
            <v>46</v>
          </cell>
          <cell r="I1974">
            <v>15000</v>
          </cell>
        </row>
        <row r="1975">
          <cell r="C1975" t="str">
            <v>보험</v>
          </cell>
          <cell r="E1975" t="str">
            <v>녹십자생명</v>
          </cell>
          <cell r="H1975">
            <v>8</v>
          </cell>
          <cell r="I1975">
            <v>0</v>
          </cell>
        </row>
        <row r="1976">
          <cell r="C1976" t="str">
            <v>보험</v>
          </cell>
          <cell r="E1976" t="str">
            <v>신한생명</v>
          </cell>
          <cell r="H1976">
            <v>7</v>
          </cell>
          <cell r="I1976">
            <v>0</v>
          </cell>
        </row>
        <row r="1977">
          <cell r="C1977" t="str">
            <v>보험</v>
          </cell>
          <cell r="E1977" t="str">
            <v>신한생명</v>
          </cell>
          <cell r="H1977">
            <v>12</v>
          </cell>
          <cell r="I1977">
            <v>0</v>
          </cell>
        </row>
        <row r="1978">
          <cell r="C1978" t="str">
            <v>보험</v>
          </cell>
          <cell r="E1978" t="str">
            <v>신한생명</v>
          </cell>
          <cell r="H1978">
            <v>32</v>
          </cell>
          <cell r="I1978">
            <v>0</v>
          </cell>
        </row>
        <row r="1979">
          <cell r="C1979" t="str">
            <v>보험</v>
          </cell>
          <cell r="E1979" t="str">
            <v>신한생명</v>
          </cell>
          <cell r="H1979">
            <v>14</v>
          </cell>
          <cell r="I1979">
            <v>20000</v>
          </cell>
        </row>
        <row r="1980">
          <cell r="C1980" t="str">
            <v>보험</v>
          </cell>
          <cell r="E1980" t="str">
            <v>신한생명</v>
          </cell>
          <cell r="H1980">
            <v>46</v>
          </cell>
          <cell r="I1980">
            <v>3840</v>
          </cell>
        </row>
        <row r="1981">
          <cell r="C1981" t="str">
            <v>보험</v>
          </cell>
          <cell r="E1981" t="str">
            <v>신한생명</v>
          </cell>
          <cell r="H1981">
            <v>4</v>
          </cell>
          <cell r="I1981">
            <v>16510</v>
          </cell>
        </row>
        <row r="1982">
          <cell r="C1982" t="str">
            <v>보험</v>
          </cell>
          <cell r="E1982" t="str">
            <v>신한생명</v>
          </cell>
          <cell r="H1982">
            <v>105</v>
          </cell>
          <cell r="I1982">
            <v>9180</v>
          </cell>
        </row>
        <row r="1983">
          <cell r="C1983" t="str">
            <v>보험</v>
          </cell>
          <cell r="E1983" t="str">
            <v>신한생명</v>
          </cell>
          <cell r="H1983">
            <v>41</v>
          </cell>
          <cell r="I1983">
            <v>10000</v>
          </cell>
        </row>
        <row r="1984">
          <cell r="C1984" t="str">
            <v>보험</v>
          </cell>
          <cell r="E1984" t="str">
            <v>신한생명</v>
          </cell>
          <cell r="H1984">
            <v>41</v>
          </cell>
          <cell r="I1984">
            <v>360</v>
          </cell>
        </row>
        <row r="1985">
          <cell r="C1985" t="str">
            <v>보험</v>
          </cell>
          <cell r="E1985" t="str">
            <v>신한생명</v>
          </cell>
          <cell r="H1985">
            <v>1</v>
          </cell>
          <cell r="I1985">
            <v>5000</v>
          </cell>
        </row>
        <row r="1986">
          <cell r="C1986" t="str">
            <v>보험</v>
          </cell>
          <cell r="E1986" t="str">
            <v>신한생명</v>
          </cell>
          <cell r="H1986">
            <v>3</v>
          </cell>
          <cell r="I1986">
            <v>0</v>
          </cell>
        </row>
        <row r="1987">
          <cell r="C1987" t="str">
            <v>보험</v>
          </cell>
          <cell r="E1987" t="str">
            <v>신한생명</v>
          </cell>
          <cell r="H1987">
            <v>6</v>
          </cell>
          <cell r="I1987">
            <v>0</v>
          </cell>
        </row>
        <row r="1988">
          <cell r="C1988" t="str">
            <v>보험</v>
          </cell>
          <cell r="E1988" t="str">
            <v>신한생명</v>
          </cell>
          <cell r="H1988">
            <v>3</v>
          </cell>
          <cell r="I1988">
            <v>0</v>
          </cell>
        </row>
        <row r="1989">
          <cell r="C1989" t="str">
            <v>보험</v>
          </cell>
          <cell r="E1989" t="str">
            <v>신한생명</v>
          </cell>
          <cell r="H1989">
            <v>6</v>
          </cell>
          <cell r="I1989">
            <v>0</v>
          </cell>
        </row>
        <row r="1990">
          <cell r="C1990" t="str">
            <v>보험</v>
          </cell>
          <cell r="E1990" t="str">
            <v>신한생명</v>
          </cell>
          <cell r="H1990">
            <v>3</v>
          </cell>
          <cell r="I1990">
            <v>0</v>
          </cell>
        </row>
        <row r="1991">
          <cell r="C1991" t="str">
            <v>보험</v>
          </cell>
          <cell r="E1991" t="str">
            <v>신한생명</v>
          </cell>
          <cell r="H1991">
            <v>6</v>
          </cell>
          <cell r="I1991">
            <v>0</v>
          </cell>
        </row>
        <row r="1992">
          <cell r="C1992" t="str">
            <v>보험</v>
          </cell>
          <cell r="E1992" t="str">
            <v>신한생명</v>
          </cell>
          <cell r="H1992">
            <v>3</v>
          </cell>
          <cell r="I1992">
            <v>0</v>
          </cell>
        </row>
        <row r="1993">
          <cell r="C1993" t="str">
            <v>보험</v>
          </cell>
          <cell r="E1993" t="str">
            <v>신한생명</v>
          </cell>
          <cell r="H1993">
            <v>6</v>
          </cell>
          <cell r="I1993">
            <v>0</v>
          </cell>
        </row>
        <row r="1994">
          <cell r="C1994" t="str">
            <v>보험</v>
          </cell>
          <cell r="E1994" t="str">
            <v>신한생명</v>
          </cell>
          <cell r="H1994">
            <v>3</v>
          </cell>
          <cell r="I1994">
            <v>0</v>
          </cell>
        </row>
        <row r="1995">
          <cell r="C1995" t="str">
            <v>보험</v>
          </cell>
          <cell r="E1995" t="str">
            <v>신한생명</v>
          </cell>
          <cell r="H1995">
            <v>6</v>
          </cell>
          <cell r="I1995">
            <v>0</v>
          </cell>
        </row>
        <row r="1996">
          <cell r="C1996" t="str">
            <v>보험</v>
          </cell>
          <cell r="E1996" t="str">
            <v>신한생명</v>
          </cell>
          <cell r="H1996">
            <v>23</v>
          </cell>
          <cell r="I1996">
            <v>8000</v>
          </cell>
        </row>
        <row r="1997">
          <cell r="C1997" t="str">
            <v>보험</v>
          </cell>
          <cell r="E1997" t="str">
            <v>신한생명</v>
          </cell>
          <cell r="H1997">
            <v>10</v>
          </cell>
          <cell r="I1997">
            <v>18770</v>
          </cell>
        </row>
        <row r="1998">
          <cell r="C1998" t="str">
            <v>보험</v>
          </cell>
          <cell r="E1998" t="str">
            <v>신한생명</v>
          </cell>
          <cell r="H1998">
            <v>28</v>
          </cell>
          <cell r="I1998">
            <v>5000</v>
          </cell>
        </row>
        <row r="1999">
          <cell r="C1999" t="str">
            <v>보험</v>
          </cell>
          <cell r="E1999" t="str">
            <v>신한생명</v>
          </cell>
          <cell r="H1999">
            <v>13</v>
          </cell>
          <cell r="I1999">
            <v>10000</v>
          </cell>
        </row>
        <row r="2000">
          <cell r="C2000" t="str">
            <v>보험</v>
          </cell>
          <cell r="E2000" t="str">
            <v>신한생명</v>
          </cell>
          <cell r="H2000">
            <v>6</v>
          </cell>
          <cell r="I2000">
            <v>0</v>
          </cell>
        </row>
        <row r="2001">
          <cell r="C2001" t="str">
            <v>보험</v>
          </cell>
          <cell r="E2001" t="str">
            <v>신한생명</v>
          </cell>
          <cell r="H2001">
            <v>103</v>
          </cell>
          <cell r="I2001">
            <v>30000</v>
          </cell>
        </row>
        <row r="2002">
          <cell r="C2002" t="str">
            <v>보험</v>
          </cell>
          <cell r="E2002" t="str">
            <v>우리아비바생명</v>
          </cell>
          <cell r="H2002">
            <v>2</v>
          </cell>
          <cell r="I2002">
            <v>7607</v>
          </cell>
        </row>
        <row r="2003">
          <cell r="C2003" t="str">
            <v>보험</v>
          </cell>
          <cell r="E2003" t="str">
            <v>우리아비바생명</v>
          </cell>
          <cell r="H2003">
            <v>10</v>
          </cell>
          <cell r="I2003">
            <v>0</v>
          </cell>
        </row>
        <row r="2004">
          <cell r="C2004" t="str">
            <v>보험</v>
          </cell>
          <cell r="E2004" t="str">
            <v>동부생명</v>
          </cell>
          <cell r="H2004">
            <v>50</v>
          </cell>
          <cell r="I2004">
            <v>20000</v>
          </cell>
        </row>
        <row r="2005">
          <cell r="C2005" t="str">
            <v>보험</v>
          </cell>
          <cell r="E2005" t="str">
            <v>동부생명</v>
          </cell>
          <cell r="H2005">
            <v>1</v>
          </cell>
          <cell r="I2005">
            <v>0</v>
          </cell>
        </row>
        <row r="2006">
          <cell r="C2006" t="str">
            <v>보험</v>
          </cell>
          <cell r="E2006" t="str">
            <v>동부생명</v>
          </cell>
          <cell r="H2006">
            <v>39</v>
          </cell>
          <cell r="I2006">
            <v>4285.5</v>
          </cell>
        </row>
        <row r="2007">
          <cell r="C2007" t="str">
            <v>보험</v>
          </cell>
          <cell r="E2007" t="str">
            <v>동부생명</v>
          </cell>
          <cell r="H2007">
            <v>10</v>
          </cell>
          <cell r="I2007">
            <v>0</v>
          </cell>
        </row>
        <row r="2008">
          <cell r="C2008" t="str">
            <v>보험</v>
          </cell>
          <cell r="E2008" t="str">
            <v>동부생명</v>
          </cell>
          <cell r="H2008">
            <v>26</v>
          </cell>
          <cell r="I2008">
            <v>0</v>
          </cell>
        </row>
        <row r="2009">
          <cell r="C2009" t="str">
            <v>보험</v>
          </cell>
          <cell r="E2009" t="str">
            <v>동부생명</v>
          </cell>
          <cell r="H2009">
            <v>17</v>
          </cell>
          <cell r="I2009">
            <v>20000</v>
          </cell>
        </row>
        <row r="2010">
          <cell r="C2010" t="str">
            <v>보험</v>
          </cell>
          <cell r="E2010" t="str">
            <v>동부생명</v>
          </cell>
          <cell r="H2010">
            <v>41</v>
          </cell>
          <cell r="I2010">
            <v>0</v>
          </cell>
        </row>
        <row r="2011">
          <cell r="C2011" t="str">
            <v>보험</v>
          </cell>
          <cell r="E2011" t="str">
            <v>동부생명</v>
          </cell>
          <cell r="H2011">
            <v>29</v>
          </cell>
          <cell r="I2011">
            <v>15000</v>
          </cell>
        </row>
        <row r="2012">
          <cell r="C2012" t="str">
            <v>보험</v>
          </cell>
          <cell r="E2012" t="str">
            <v>동양생명</v>
          </cell>
          <cell r="H2012">
            <v>6</v>
          </cell>
          <cell r="I2012">
            <v>0</v>
          </cell>
        </row>
        <row r="2013">
          <cell r="C2013" t="str">
            <v>보험</v>
          </cell>
          <cell r="E2013" t="str">
            <v>동양생명</v>
          </cell>
          <cell r="H2013">
            <v>1</v>
          </cell>
          <cell r="I2013">
            <v>12082.764169</v>
          </cell>
        </row>
        <row r="2014">
          <cell r="C2014" t="str">
            <v>보험</v>
          </cell>
          <cell r="E2014" t="str">
            <v>동양생명</v>
          </cell>
          <cell r="H2014">
            <v>27</v>
          </cell>
          <cell r="I2014">
            <v>6700</v>
          </cell>
        </row>
        <row r="2015">
          <cell r="C2015" t="str">
            <v>보험</v>
          </cell>
          <cell r="E2015" t="str">
            <v>동양생명</v>
          </cell>
          <cell r="H2015">
            <v>194</v>
          </cell>
          <cell r="I2015">
            <v>12000</v>
          </cell>
        </row>
        <row r="2016">
          <cell r="C2016" t="str">
            <v>보험</v>
          </cell>
          <cell r="E2016" t="str">
            <v>동양생명</v>
          </cell>
          <cell r="H2016">
            <v>68</v>
          </cell>
          <cell r="I2016">
            <v>10216.665999999999</v>
          </cell>
        </row>
        <row r="2017">
          <cell r="C2017" t="str">
            <v>보험</v>
          </cell>
          <cell r="E2017" t="str">
            <v>동양생명</v>
          </cell>
          <cell r="H2017">
            <v>194</v>
          </cell>
          <cell r="I2017">
            <v>10216.665999999999</v>
          </cell>
        </row>
        <row r="2018">
          <cell r="C2018" t="str">
            <v>보험</v>
          </cell>
          <cell r="E2018" t="str">
            <v>동양생명</v>
          </cell>
          <cell r="H2018">
            <v>123</v>
          </cell>
          <cell r="I2018">
            <v>8571.4285710000004</v>
          </cell>
        </row>
        <row r="2019">
          <cell r="C2019" t="str">
            <v>보험</v>
          </cell>
          <cell r="E2019" t="str">
            <v>동양생명</v>
          </cell>
          <cell r="H2019">
            <v>3</v>
          </cell>
          <cell r="I2019">
            <v>0</v>
          </cell>
        </row>
        <row r="2020">
          <cell r="C2020" t="str">
            <v>보험</v>
          </cell>
          <cell r="E2020" t="str">
            <v>동양생명</v>
          </cell>
          <cell r="H2020">
            <v>12</v>
          </cell>
          <cell r="I2020">
            <v>44520.125323</v>
          </cell>
        </row>
        <row r="2021">
          <cell r="C2021" t="str">
            <v>보험</v>
          </cell>
          <cell r="E2021" t="str">
            <v>동양생명</v>
          </cell>
          <cell r="H2021">
            <v>249</v>
          </cell>
          <cell r="I2021">
            <v>5000</v>
          </cell>
        </row>
        <row r="2022">
          <cell r="C2022" t="str">
            <v>보험</v>
          </cell>
          <cell r="E2022" t="str">
            <v>동양생명</v>
          </cell>
          <cell r="H2022">
            <v>29</v>
          </cell>
          <cell r="I2022">
            <v>40000</v>
          </cell>
        </row>
        <row r="2023">
          <cell r="C2023" t="str">
            <v>보험</v>
          </cell>
          <cell r="E2023" t="str">
            <v>동양생명</v>
          </cell>
          <cell r="H2023">
            <v>39</v>
          </cell>
          <cell r="I2023">
            <v>40000</v>
          </cell>
        </row>
        <row r="2024">
          <cell r="C2024" t="str">
            <v>보험</v>
          </cell>
          <cell r="E2024" t="str">
            <v>동양생명</v>
          </cell>
          <cell r="H2024">
            <v>10</v>
          </cell>
          <cell r="I2024">
            <v>20000</v>
          </cell>
        </row>
        <row r="2025">
          <cell r="C2025" t="str">
            <v>보험</v>
          </cell>
          <cell r="E2025" t="str">
            <v>동양생명</v>
          </cell>
          <cell r="H2025">
            <v>29</v>
          </cell>
          <cell r="I2025">
            <v>10288</v>
          </cell>
        </row>
        <row r="2026">
          <cell r="C2026" t="str">
            <v>보험</v>
          </cell>
          <cell r="E2026" t="str">
            <v>동양생명</v>
          </cell>
          <cell r="H2026">
            <v>8</v>
          </cell>
          <cell r="I2026">
            <v>12200</v>
          </cell>
        </row>
        <row r="2027">
          <cell r="C2027" t="str">
            <v>보험</v>
          </cell>
          <cell r="E2027" t="str">
            <v>메리츠화재</v>
          </cell>
          <cell r="H2027">
            <v>146</v>
          </cell>
          <cell r="I2027">
            <v>0</v>
          </cell>
        </row>
        <row r="2028">
          <cell r="C2028" t="str">
            <v>보험</v>
          </cell>
          <cell r="E2028" t="str">
            <v>메리츠화재</v>
          </cell>
          <cell r="H2028">
            <v>97</v>
          </cell>
          <cell r="I2028">
            <v>10000</v>
          </cell>
        </row>
        <row r="2029">
          <cell r="C2029" t="str">
            <v>보험</v>
          </cell>
          <cell r="E2029" t="str">
            <v>메리츠화재</v>
          </cell>
          <cell r="H2029">
            <v>60</v>
          </cell>
          <cell r="I2029">
            <v>4400</v>
          </cell>
        </row>
        <row r="2030">
          <cell r="C2030" t="str">
            <v>보험</v>
          </cell>
          <cell r="E2030" t="str">
            <v>메리츠화재</v>
          </cell>
          <cell r="H2030">
            <v>34</v>
          </cell>
          <cell r="I2030">
            <v>6000</v>
          </cell>
        </row>
        <row r="2031">
          <cell r="C2031" t="str">
            <v>보험</v>
          </cell>
          <cell r="E2031" t="str">
            <v>메리츠화재</v>
          </cell>
          <cell r="H2031">
            <v>35</v>
          </cell>
          <cell r="I2031">
            <v>10000</v>
          </cell>
        </row>
        <row r="2032">
          <cell r="C2032" t="str">
            <v>보험</v>
          </cell>
          <cell r="E2032" t="str">
            <v>메리츠화재</v>
          </cell>
          <cell r="H2032">
            <v>40</v>
          </cell>
          <cell r="I2032">
            <v>10000</v>
          </cell>
        </row>
        <row r="2033">
          <cell r="C2033" t="str">
            <v>보험</v>
          </cell>
          <cell r="E2033" t="str">
            <v>메리츠화재</v>
          </cell>
          <cell r="H2033">
            <v>10</v>
          </cell>
          <cell r="I2033">
            <v>10000</v>
          </cell>
        </row>
        <row r="2034">
          <cell r="C2034" t="str">
            <v>보험</v>
          </cell>
          <cell r="E2034" t="str">
            <v>메리츠화재</v>
          </cell>
          <cell r="H2034">
            <v>1000</v>
          </cell>
          <cell r="I2034">
            <v>10000</v>
          </cell>
        </row>
        <row r="2035">
          <cell r="C2035" t="str">
            <v>보험</v>
          </cell>
          <cell r="E2035" t="str">
            <v>메리츠화재</v>
          </cell>
          <cell r="H2035">
            <v>13</v>
          </cell>
          <cell r="I2035">
            <v>10000</v>
          </cell>
        </row>
        <row r="2036">
          <cell r="C2036" t="str">
            <v>보험</v>
          </cell>
          <cell r="E2036" t="str">
            <v>한화손보</v>
          </cell>
          <cell r="H2036">
            <v>497</v>
          </cell>
          <cell r="I2036">
            <v>0</v>
          </cell>
        </row>
        <row r="2037">
          <cell r="C2037" t="str">
            <v>보험</v>
          </cell>
          <cell r="E2037" t="str">
            <v>한화손보</v>
          </cell>
          <cell r="H2037">
            <v>3</v>
          </cell>
          <cell r="I2037">
            <v>0</v>
          </cell>
        </row>
        <row r="2038">
          <cell r="C2038" t="str">
            <v>보험</v>
          </cell>
          <cell r="E2038" t="str">
            <v>한화손보</v>
          </cell>
          <cell r="H2038">
            <v>61</v>
          </cell>
          <cell r="I2038">
            <v>0</v>
          </cell>
        </row>
        <row r="2039">
          <cell r="C2039" t="str">
            <v>보험</v>
          </cell>
          <cell r="E2039" t="str">
            <v>한화손보</v>
          </cell>
          <cell r="H2039">
            <v>43</v>
          </cell>
          <cell r="I2039">
            <v>0</v>
          </cell>
        </row>
        <row r="2040">
          <cell r="C2040" t="str">
            <v>보험</v>
          </cell>
          <cell r="E2040" t="str">
            <v>한화손보</v>
          </cell>
          <cell r="H2040">
            <v>97</v>
          </cell>
          <cell r="I2040">
            <v>5000</v>
          </cell>
        </row>
        <row r="2041">
          <cell r="C2041" t="str">
            <v>보험</v>
          </cell>
          <cell r="E2041" t="str">
            <v>한화손보</v>
          </cell>
          <cell r="H2041">
            <v>43</v>
          </cell>
          <cell r="I2041">
            <v>0</v>
          </cell>
        </row>
        <row r="2042">
          <cell r="C2042" t="str">
            <v>보험</v>
          </cell>
          <cell r="E2042" t="str">
            <v>한화손보</v>
          </cell>
          <cell r="H2042">
            <v>46</v>
          </cell>
          <cell r="I2042">
            <v>10000</v>
          </cell>
        </row>
        <row r="2043">
          <cell r="C2043" t="str">
            <v>보험</v>
          </cell>
          <cell r="E2043" t="str">
            <v>한화손보</v>
          </cell>
          <cell r="H2043">
            <v>3</v>
          </cell>
          <cell r="I2043">
            <v>0</v>
          </cell>
        </row>
        <row r="2044">
          <cell r="C2044" t="str">
            <v>보험</v>
          </cell>
          <cell r="E2044" t="str">
            <v>한화손보</v>
          </cell>
          <cell r="H2044">
            <v>3</v>
          </cell>
          <cell r="I2044">
            <v>0</v>
          </cell>
        </row>
        <row r="2045">
          <cell r="C2045" t="str">
            <v>보험</v>
          </cell>
          <cell r="E2045" t="str">
            <v>한화손보</v>
          </cell>
          <cell r="H2045">
            <v>3</v>
          </cell>
          <cell r="I2045">
            <v>0</v>
          </cell>
        </row>
        <row r="2046">
          <cell r="C2046" t="str">
            <v>보험</v>
          </cell>
          <cell r="E2046" t="str">
            <v>한화손보</v>
          </cell>
          <cell r="H2046">
            <v>3</v>
          </cell>
          <cell r="I2046">
            <v>0</v>
          </cell>
        </row>
        <row r="2047">
          <cell r="C2047" t="str">
            <v>보험</v>
          </cell>
          <cell r="E2047" t="str">
            <v>한화손보</v>
          </cell>
          <cell r="H2047">
            <v>3</v>
          </cell>
          <cell r="I2047">
            <v>0</v>
          </cell>
        </row>
        <row r="2048">
          <cell r="C2048" t="str">
            <v>보험</v>
          </cell>
          <cell r="E2048" t="str">
            <v>한화손보</v>
          </cell>
          <cell r="H2048">
            <v>29</v>
          </cell>
          <cell r="I2048">
            <v>6000</v>
          </cell>
        </row>
        <row r="2049">
          <cell r="C2049" t="str">
            <v>보험</v>
          </cell>
          <cell r="E2049" t="str">
            <v>한화손보</v>
          </cell>
          <cell r="H2049">
            <v>10</v>
          </cell>
          <cell r="I2049">
            <v>0</v>
          </cell>
        </row>
        <row r="2050">
          <cell r="C2050" t="str">
            <v>보험</v>
          </cell>
          <cell r="E2050" t="str">
            <v>한화손보</v>
          </cell>
          <cell r="H2050">
            <v>33</v>
          </cell>
          <cell r="I2050">
            <v>0</v>
          </cell>
        </row>
        <row r="2051">
          <cell r="C2051" t="str">
            <v>보험</v>
          </cell>
          <cell r="E2051" t="str">
            <v>한화손보</v>
          </cell>
          <cell r="H2051">
            <v>14</v>
          </cell>
          <cell r="I2051">
            <v>1647</v>
          </cell>
        </row>
        <row r="2052">
          <cell r="C2052" t="str">
            <v>보험</v>
          </cell>
          <cell r="E2052" t="str">
            <v>한화손보</v>
          </cell>
          <cell r="H2052">
            <v>1000</v>
          </cell>
          <cell r="I2052">
            <v>5000</v>
          </cell>
        </row>
        <row r="2053">
          <cell r="C2053" t="str">
            <v>보험</v>
          </cell>
          <cell r="E2053" t="str">
            <v>한화손보</v>
          </cell>
          <cell r="H2053">
            <v>39</v>
          </cell>
          <cell r="I2053">
            <v>0</v>
          </cell>
        </row>
        <row r="2054">
          <cell r="C2054" t="str">
            <v>보험</v>
          </cell>
          <cell r="E2054" t="str">
            <v>한화손보</v>
          </cell>
          <cell r="H2054">
            <v>7</v>
          </cell>
          <cell r="I2054">
            <v>0</v>
          </cell>
        </row>
        <row r="2055">
          <cell r="C2055" t="str">
            <v>보험</v>
          </cell>
          <cell r="E2055" t="str">
            <v>한화손보</v>
          </cell>
          <cell r="H2055">
            <v>27</v>
          </cell>
          <cell r="I2055">
            <v>0</v>
          </cell>
        </row>
        <row r="2056">
          <cell r="C2056" t="str">
            <v>보험</v>
          </cell>
          <cell r="E2056" t="str">
            <v>한화손보</v>
          </cell>
          <cell r="H2056">
            <v>8</v>
          </cell>
          <cell r="I2056">
            <v>10000</v>
          </cell>
        </row>
        <row r="2057">
          <cell r="C2057" t="str">
            <v>보험</v>
          </cell>
          <cell r="E2057" t="str">
            <v>롯데손보</v>
          </cell>
          <cell r="H2057">
            <v>1000</v>
          </cell>
          <cell r="I2057">
            <v>9800</v>
          </cell>
        </row>
        <row r="2058">
          <cell r="C2058" t="str">
            <v>보험</v>
          </cell>
          <cell r="E2058" t="str">
            <v>롯데손보</v>
          </cell>
          <cell r="H2058">
            <v>61</v>
          </cell>
          <cell r="I2058">
            <v>9530</v>
          </cell>
        </row>
        <row r="2059">
          <cell r="C2059" t="str">
            <v>보험</v>
          </cell>
          <cell r="E2059" t="str">
            <v>롯데손보</v>
          </cell>
          <cell r="H2059">
            <v>61</v>
          </cell>
          <cell r="I2059">
            <v>10000</v>
          </cell>
        </row>
        <row r="2060">
          <cell r="C2060" t="str">
            <v>보험</v>
          </cell>
          <cell r="E2060" t="str">
            <v>롯데손보</v>
          </cell>
          <cell r="H2060">
            <v>61</v>
          </cell>
          <cell r="I2060">
            <v>2100</v>
          </cell>
        </row>
        <row r="2061">
          <cell r="C2061" t="str">
            <v>보험</v>
          </cell>
          <cell r="E2061" t="str">
            <v>롯데손보</v>
          </cell>
          <cell r="H2061">
            <v>61</v>
          </cell>
          <cell r="I2061">
            <v>3400</v>
          </cell>
        </row>
        <row r="2062">
          <cell r="C2062" t="str">
            <v>보험</v>
          </cell>
          <cell r="E2062" t="str">
            <v>롯데손보</v>
          </cell>
          <cell r="H2062">
            <v>61</v>
          </cell>
          <cell r="I2062">
            <v>15000</v>
          </cell>
        </row>
        <row r="2063">
          <cell r="C2063" t="str">
            <v>보험</v>
          </cell>
          <cell r="E2063" t="str">
            <v>롯데손보</v>
          </cell>
          <cell r="H2063">
            <v>61</v>
          </cell>
          <cell r="I2063">
            <v>1567</v>
          </cell>
        </row>
        <row r="2064">
          <cell r="C2064" t="str">
            <v>보험</v>
          </cell>
          <cell r="E2064" t="str">
            <v>롯데손보</v>
          </cell>
          <cell r="H2064">
            <v>61</v>
          </cell>
          <cell r="I2064">
            <v>0</v>
          </cell>
        </row>
        <row r="2065">
          <cell r="C2065" t="str">
            <v>보험</v>
          </cell>
          <cell r="E2065" t="str">
            <v>롯데손보</v>
          </cell>
          <cell r="H2065">
            <v>61</v>
          </cell>
          <cell r="I2065">
            <v>12100</v>
          </cell>
        </row>
        <row r="2066">
          <cell r="C2066" t="str">
            <v>보험</v>
          </cell>
          <cell r="E2066" t="str">
            <v>롯데손보</v>
          </cell>
          <cell r="H2066">
            <v>61</v>
          </cell>
          <cell r="I2066">
            <v>15400</v>
          </cell>
        </row>
        <row r="2067">
          <cell r="C2067" t="str">
            <v>보험</v>
          </cell>
          <cell r="E2067" t="str">
            <v>그린화재</v>
          </cell>
          <cell r="H2067">
            <v>61</v>
          </cell>
          <cell r="I2067">
            <v>55.25</v>
          </cell>
        </row>
        <row r="2068">
          <cell r="C2068" t="str">
            <v>보험</v>
          </cell>
          <cell r="E2068" t="str">
            <v>그린화재</v>
          </cell>
          <cell r="H2068">
            <v>1000</v>
          </cell>
          <cell r="I2068">
            <v>55.25</v>
          </cell>
        </row>
        <row r="2069">
          <cell r="C2069" t="str">
            <v>보험</v>
          </cell>
          <cell r="E2069" t="str">
            <v>그린화재</v>
          </cell>
          <cell r="H2069">
            <v>23</v>
          </cell>
          <cell r="I2069">
            <v>10000</v>
          </cell>
        </row>
        <row r="2070">
          <cell r="C2070" t="str">
            <v>보험</v>
          </cell>
          <cell r="E2070" t="str">
            <v>흥국쌍용</v>
          </cell>
          <cell r="H2070">
            <v>10</v>
          </cell>
          <cell r="I2070">
            <v>8600</v>
          </cell>
        </row>
        <row r="2071">
          <cell r="C2071" t="str">
            <v>보험</v>
          </cell>
          <cell r="E2071" t="str">
            <v>제일화재</v>
          </cell>
          <cell r="H2071">
            <v>111</v>
          </cell>
          <cell r="I2071">
            <v>0</v>
          </cell>
        </row>
        <row r="2072">
          <cell r="C2072" t="str">
            <v>보험</v>
          </cell>
          <cell r="E2072" t="str">
            <v>제일화재</v>
          </cell>
          <cell r="H2072">
            <v>14</v>
          </cell>
          <cell r="I2072">
            <v>10000</v>
          </cell>
        </row>
        <row r="2073">
          <cell r="C2073" t="str">
            <v>보험</v>
          </cell>
          <cell r="E2073" t="str">
            <v>제일화재</v>
          </cell>
          <cell r="H2073">
            <v>10</v>
          </cell>
          <cell r="I2073">
            <v>0</v>
          </cell>
        </row>
        <row r="2074">
          <cell r="C2074" t="str">
            <v>보험</v>
          </cell>
          <cell r="E2074" t="str">
            <v>제일화재</v>
          </cell>
          <cell r="H2074">
            <v>41</v>
          </cell>
          <cell r="I2074">
            <v>10000</v>
          </cell>
        </row>
        <row r="2075">
          <cell r="C2075" t="str">
            <v>보험</v>
          </cell>
          <cell r="E2075" t="str">
            <v>제일화재</v>
          </cell>
          <cell r="H2075">
            <v>94</v>
          </cell>
          <cell r="I2075">
            <v>6333</v>
          </cell>
        </row>
        <row r="2076">
          <cell r="C2076" t="str">
            <v>보험</v>
          </cell>
          <cell r="E2076" t="str">
            <v>제일화재</v>
          </cell>
          <cell r="H2076">
            <v>10</v>
          </cell>
          <cell r="I2076">
            <v>8250</v>
          </cell>
        </row>
        <row r="2077">
          <cell r="C2077" t="str">
            <v>보험</v>
          </cell>
          <cell r="E2077" t="str">
            <v>제일화재</v>
          </cell>
          <cell r="H2077">
            <v>14</v>
          </cell>
          <cell r="I2077">
            <v>6500</v>
          </cell>
        </row>
        <row r="2078">
          <cell r="C2078" t="str">
            <v>보험</v>
          </cell>
          <cell r="E2078" t="str">
            <v>제일화재</v>
          </cell>
          <cell r="H2078">
            <v>10</v>
          </cell>
          <cell r="I2078">
            <v>15000</v>
          </cell>
        </row>
        <row r="2079">
          <cell r="C2079" t="str">
            <v>보험</v>
          </cell>
          <cell r="E2079" t="str">
            <v>삼성화재</v>
          </cell>
          <cell r="H2079">
            <v>19</v>
          </cell>
          <cell r="I2079">
            <v>7000</v>
          </cell>
        </row>
        <row r="2080">
          <cell r="C2080" t="str">
            <v>보험</v>
          </cell>
          <cell r="E2080" t="str">
            <v>삼성화재</v>
          </cell>
          <cell r="H2080">
            <v>25</v>
          </cell>
          <cell r="I2080">
            <v>10000</v>
          </cell>
        </row>
        <row r="2081">
          <cell r="C2081" t="str">
            <v>보험</v>
          </cell>
          <cell r="E2081" t="str">
            <v>삼성화재</v>
          </cell>
          <cell r="H2081">
            <v>36</v>
          </cell>
          <cell r="I2081">
            <v>17000</v>
          </cell>
        </row>
        <row r="2082">
          <cell r="C2082" t="str">
            <v>보험</v>
          </cell>
          <cell r="E2082" t="str">
            <v>삼성화재</v>
          </cell>
          <cell r="H2082">
            <v>20</v>
          </cell>
          <cell r="I2082">
            <v>10000</v>
          </cell>
        </row>
        <row r="2083">
          <cell r="C2083" t="str">
            <v>보험</v>
          </cell>
          <cell r="E2083" t="str">
            <v>삼성화재</v>
          </cell>
          <cell r="H2083">
            <v>8</v>
          </cell>
          <cell r="I2083">
            <v>50000</v>
          </cell>
        </row>
        <row r="2084">
          <cell r="C2084" t="str">
            <v>보험</v>
          </cell>
          <cell r="E2084" t="str">
            <v>현대해상</v>
          </cell>
          <cell r="H2084">
            <v>194</v>
          </cell>
          <cell r="I2084">
            <v>1000</v>
          </cell>
        </row>
        <row r="2085">
          <cell r="C2085" t="str">
            <v>보험</v>
          </cell>
          <cell r="E2085" t="str">
            <v>현대해상</v>
          </cell>
          <cell r="H2085">
            <v>146</v>
          </cell>
          <cell r="I2085">
            <v>8000</v>
          </cell>
        </row>
        <row r="2086">
          <cell r="C2086" t="str">
            <v>보험</v>
          </cell>
          <cell r="E2086" t="str">
            <v>현대해상</v>
          </cell>
          <cell r="H2086">
            <v>14</v>
          </cell>
          <cell r="I2086">
            <v>20000</v>
          </cell>
        </row>
        <row r="2087">
          <cell r="C2087" t="str">
            <v>보험</v>
          </cell>
          <cell r="E2087" t="str">
            <v>현대해상</v>
          </cell>
          <cell r="H2087">
            <v>9</v>
          </cell>
          <cell r="I2087">
            <v>5000</v>
          </cell>
        </row>
        <row r="2088">
          <cell r="C2088" t="str">
            <v>보험</v>
          </cell>
          <cell r="E2088" t="str">
            <v>현대해상</v>
          </cell>
          <cell r="H2088">
            <v>19</v>
          </cell>
          <cell r="I2088">
            <v>5000</v>
          </cell>
        </row>
        <row r="2089">
          <cell r="C2089" t="str">
            <v>보험</v>
          </cell>
          <cell r="E2089" t="str">
            <v>현대해상</v>
          </cell>
          <cell r="H2089">
            <v>19</v>
          </cell>
          <cell r="I2089">
            <v>5000</v>
          </cell>
        </row>
        <row r="2090">
          <cell r="C2090" t="str">
            <v>보험</v>
          </cell>
          <cell r="E2090" t="str">
            <v>현대해상</v>
          </cell>
          <cell r="H2090">
            <v>1000</v>
          </cell>
          <cell r="I2090">
            <v>0</v>
          </cell>
        </row>
        <row r="2091">
          <cell r="C2091" t="str">
            <v>보험</v>
          </cell>
          <cell r="E2091" t="str">
            <v>LIG손보</v>
          </cell>
          <cell r="H2091">
            <v>44</v>
          </cell>
          <cell r="I2091">
            <v>0</v>
          </cell>
        </row>
        <row r="2092">
          <cell r="C2092" t="str">
            <v>보험</v>
          </cell>
          <cell r="E2092" t="str">
            <v>LIG손보</v>
          </cell>
          <cell r="H2092">
            <v>22</v>
          </cell>
          <cell r="I2092">
            <v>20000</v>
          </cell>
        </row>
        <row r="2093">
          <cell r="C2093" t="str">
            <v>보험</v>
          </cell>
          <cell r="E2093" t="str">
            <v>LIG손보</v>
          </cell>
          <cell r="H2093">
            <v>2</v>
          </cell>
          <cell r="I2093">
            <v>20139</v>
          </cell>
        </row>
        <row r="2094">
          <cell r="C2094" t="str">
            <v>보험</v>
          </cell>
          <cell r="E2094" t="str">
            <v>LIG손보</v>
          </cell>
          <cell r="H2094">
            <v>54</v>
          </cell>
          <cell r="I2094">
            <v>30000</v>
          </cell>
        </row>
        <row r="2095">
          <cell r="C2095" t="str">
            <v>보험</v>
          </cell>
          <cell r="E2095" t="str">
            <v>LIG손보</v>
          </cell>
          <cell r="H2095">
            <v>45</v>
          </cell>
          <cell r="I2095">
            <v>10000</v>
          </cell>
        </row>
        <row r="2096">
          <cell r="C2096" t="str">
            <v>보험</v>
          </cell>
          <cell r="E2096" t="str">
            <v>LIG손보</v>
          </cell>
          <cell r="H2096">
            <v>23</v>
          </cell>
          <cell r="I2096">
            <v>9500</v>
          </cell>
        </row>
        <row r="2097">
          <cell r="C2097" t="str">
            <v>보험</v>
          </cell>
          <cell r="E2097" t="str">
            <v>LIG손보</v>
          </cell>
          <cell r="H2097">
            <v>25</v>
          </cell>
          <cell r="I2097">
            <v>10000</v>
          </cell>
        </row>
        <row r="2098">
          <cell r="C2098" t="str">
            <v>보험</v>
          </cell>
          <cell r="E2098" t="str">
            <v>LIG손보</v>
          </cell>
          <cell r="H2098">
            <v>55</v>
          </cell>
          <cell r="I2098">
            <v>19986</v>
          </cell>
        </row>
        <row r="2099">
          <cell r="C2099" t="str">
            <v>보험</v>
          </cell>
          <cell r="E2099" t="str">
            <v>LIG손보</v>
          </cell>
          <cell r="H2099">
            <v>274</v>
          </cell>
          <cell r="I2099">
            <v>24000</v>
          </cell>
        </row>
        <row r="2100">
          <cell r="C2100" t="str">
            <v>보험</v>
          </cell>
          <cell r="E2100" t="str">
            <v>LIG손보</v>
          </cell>
          <cell r="H2100">
            <v>274</v>
          </cell>
          <cell r="I2100">
            <v>18000</v>
          </cell>
        </row>
        <row r="2101">
          <cell r="C2101" t="str">
            <v>보험</v>
          </cell>
          <cell r="E2101" t="str">
            <v>LIG손보</v>
          </cell>
          <cell r="H2101">
            <v>45</v>
          </cell>
          <cell r="I2101">
            <v>15000</v>
          </cell>
        </row>
        <row r="2102">
          <cell r="C2102" t="str">
            <v>보험</v>
          </cell>
          <cell r="E2102" t="str">
            <v>LIG손보</v>
          </cell>
          <cell r="H2102">
            <v>22</v>
          </cell>
          <cell r="I2102">
            <v>43000</v>
          </cell>
        </row>
        <row r="2103">
          <cell r="C2103" t="str">
            <v>보험</v>
          </cell>
          <cell r="E2103" t="str">
            <v>LIG손보</v>
          </cell>
          <cell r="H2103">
            <v>6</v>
          </cell>
          <cell r="I2103">
            <v>0</v>
          </cell>
        </row>
        <row r="2104">
          <cell r="C2104" t="str">
            <v>보험</v>
          </cell>
          <cell r="E2104" t="str">
            <v>LIG손보</v>
          </cell>
          <cell r="H2104">
            <v>22</v>
          </cell>
          <cell r="I2104">
            <v>12145</v>
          </cell>
        </row>
        <row r="2105">
          <cell r="C2105" t="str">
            <v>보험</v>
          </cell>
          <cell r="E2105" t="str">
            <v>LIG손보</v>
          </cell>
          <cell r="H2105">
            <v>13</v>
          </cell>
          <cell r="I2105">
            <v>8470.5882349999993</v>
          </cell>
        </row>
        <row r="2106">
          <cell r="C2106" t="str">
            <v>보험</v>
          </cell>
          <cell r="E2106" t="str">
            <v>LIG손보</v>
          </cell>
          <cell r="H2106">
            <v>17</v>
          </cell>
          <cell r="I2106">
            <v>10000</v>
          </cell>
        </row>
        <row r="2107">
          <cell r="C2107" t="str">
            <v>보험</v>
          </cell>
          <cell r="E2107" t="str">
            <v>LIG손보</v>
          </cell>
          <cell r="H2107">
            <v>8</v>
          </cell>
          <cell r="I2107">
            <v>15000</v>
          </cell>
        </row>
        <row r="2108">
          <cell r="C2108" t="str">
            <v>보험</v>
          </cell>
          <cell r="E2108" t="str">
            <v>LIG손보</v>
          </cell>
          <cell r="H2108">
            <v>103</v>
          </cell>
          <cell r="I2108">
            <v>10000</v>
          </cell>
        </row>
        <row r="2109">
          <cell r="C2109" t="str">
            <v>보험</v>
          </cell>
          <cell r="E2109" t="str">
            <v>동부화재</v>
          </cell>
          <cell r="H2109">
            <v>1000</v>
          </cell>
          <cell r="I2109">
            <v>0</v>
          </cell>
        </row>
        <row r="2110">
          <cell r="C2110" t="str">
            <v>보험</v>
          </cell>
          <cell r="E2110" t="str">
            <v>동부화재</v>
          </cell>
          <cell r="H2110">
            <v>3</v>
          </cell>
          <cell r="I2110">
            <v>0</v>
          </cell>
        </row>
        <row r="2111">
          <cell r="C2111" t="str">
            <v>보험</v>
          </cell>
          <cell r="E2111" t="str">
            <v>동부화재</v>
          </cell>
          <cell r="H2111">
            <v>28</v>
          </cell>
          <cell r="I2111">
            <v>20000</v>
          </cell>
        </row>
        <row r="2112">
          <cell r="C2112" t="str">
            <v>부동산펀드</v>
          </cell>
          <cell r="E2112" t="str">
            <v>골든브릿지자산운용</v>
          </cell>
          <cell r="H2112">
            <v>97</v>
          </cell>
          <cell r="I2112">
            <v>4000</v>
          </cell>
        </row>
        <row r="2113">
          <cell r="C2113" t="str">
            <v>부동산펀드</v>
          </cell>
          <cell r="E2113" t="str">
            <v>골든브릿지자산운용</v>
          </cell>
          <cell r="H2113">
            <v>61</v>
          </cell>
          <cell r="I2113">
            <v>6500</v>
          </cell>
        </row>
        <row r="2114">
          <cell r="C2114" t="str">
            <v>부동산펀드</v>
          </cell>
          <cell r="E2114" t="str">
            <v>골든브릿지자산운용</v>
          </cell>
          <cell r="H2114">
            <v>8</v>
          </cell>
          <cell r="I2114">
            <v>0</v>
          </cell>
        </row>
        <row r="2115">
          <cell r="C2115" t="str">
            <v>부동산펀드</v>
          </cell>
          <cell r="E2115" t="str">
            <v>골든브릿지자산운용</v>
          </cell>
          <cell r="H2115">
            <v>38</v>
          </cell>
          <cell r="I2115">
            <v>32000</v>
          </cell>
        </row>
        <row r="2116">
          <cell r="C2116" t="str">
            <v>부동산펀드</v>
          </cell>
          <cell r="E2116" t="str">
            <v>골든브릿지자산운용</v>
          </cell>
          <cell r="H2116">
            <v>44</v>
          </cell>
          <cell r="I2116">
            <v>32000</v>
          </cell>
        </row>
        <row r="2117">
          <cell r="C2117" t="str">
            <v>부동산펀드</v>
          </cell>
          <cell r="E2117" t="str">
            <v>골든브릿지자산운용</v>
          </cell>
          <cell r="H2117">
            <v>61</v>
          </cell>
          <cell r="I2117">
            <v>27000</v>
          </cell>
        </row>
        <row r="2118">
          <cell r="C2118" t="str">
            <v>부동산펀드</v>
          </cell>
          <cell r="E2118" t="str">
            <v>골든브릿지자산운용</v>
          </cell>
          <cell r="H2118">
            <v>8</v>
          </cell>
          <cell r="I2118">
            <v>69500</v>
          </cell>
        </row>
        <row r="2119">
          <cell r="C2119" t="str">
            <v>부동산펀드</v>
          </cell>
          <cell r="E2119" t="str">
            <v>골든브릿지자산운용</v>
          </cell>
          <cell r="H2119">
            <v>1000</v>
          </cell>
          <cell r="I2119">
            <v>0</v>
          </cell>
        </row>
        <row r="2120">
          <cell r="C2120" t="str">
            <v>부동산펀드</v>
          </cell>
          <cell r="E2120" t="str">
            <v>골든브릿지자산운용</v>
          </cell>
          <cell r="H2120">
            <v>375</v>
          </cell>
          <cell r="I2120">
            <v>7000</v>
          </cell>
        </row>
        <row r="2121">
          <cell r="C2121" t="str">
            <v>부동산펀드</v>
          </cell>
          <cell r="E2121" t="str">
            <v>골든브릿지자산운용</v>
          </cell>
          <cell r="H2121">
            <v>8</v>
          </cell>
          <cell r="I2121">
            <v>71000</v>
          </cell>
        </row>
        <row r="2122">
          <cell r="C2122" t="str">
            <v>부동산펀드</v>
          </cell>
          <cell r="E2122" t="str">
            <v>골든브릿지자산운용</v>
          </cell>
          <cell r="H2122">
            <v>1000</v>
          </cell>
          <cell r="I2122">
            <v>3300</v>
          </cell>
        </row>
        <row r="2123">
          <cell r="C2123" t="str">
            <v>부동산펀드</v>
          </cell>
          <cell r="E2123" t="str">
            <v>골든브릿지자산운용</v>
          </cell>
          <cell r="H2123">
            <v>88</v>
          </cell>
          <cell r="I2123">
            <v>48000</v>
          </cell>
        </row>
        <row r="2124">
          <cell r="C2124" t="str">
            <v>부동산펀드</v>
          </cell>
          <cell r="E2124" t="str">
            <v>골든브릿지자산운용</v>
          </cell>
          <cell r="H2124">
            <v>1000</v>
          </cell>
          <cell r="I2124">
            <v>0</v>
          </cell>
        </row>
        <row r="2125">
          <cell r="C2125" t="str">
            <v>부동산펀드</v>
          </cell>
          <cell r="E2125" t="str">
            <v>골든브릿지자산운용</v>
          </cell>
          <cell r="H2125">
            <v>135</v>
          </cell>
          <cell r="I2125">
            <v>10000</v>
          </cell>
        </row>
        <row r="2126">
          <cell r="C2126" t="str">
            <v>부동산펀드</v>
          </cell>
          <cell r="E2126" t="str">
            <v>다올부동산자산운용</v>
          </cell>
          <cell r="H2126">
            <v>1000</v>
          </cell>
          <cell r="I2126">
            <v>0</v>
          </cell>
        </row>
        <row r="2127">
          <cell r="C2127" t="str">
            <v>부동산펀드</v>
          </cell>
          <cell r="E2127" t="str">
            <v>다올부동산자산운용</v>
          </cell>
          <cell r="H2127">
            <v>1000</v>
          </cell>
          <cell r="I2127">
            <v>0</v>
          </cell>
        </row>
        <row r="2128">
          <cell r="C2128" t="str">
            <v>부동산펀드</v>
          </cell>
          <cell r="E2128" t="str">
            <v>다올부동산자산운용</v>
          </cell>
          <cell r="H2128">
            <v>404</v>
          </cell>
          <cell r="I2128">
            <v>7500</v>
          </cell>
        </row>
        <row r="2129">
          <cell r="C2129" t="str">
            <v>부동산펀드</v>
          </cell>
          <cell r="E2129" t="str">
            <v>다올부동산자산운용</v>
          </cell>
          <cell r="H2129">
            <v>78</v>
          </cell>
          <cell r="I2129">
            <v>36000</v>
          </cell>
        </row>
        <row r="2130">
          <cell r="C2130" t="str">
            <v>부동산펀드</v>
          </cell>
          <cell r="E2130" t="str">
            <v>다올부동산자산운용</v>
          </cell>
          <cell r="H2130">
            <v>41</v>
          </cell>
          <cell r="I2130">
            <v>30000</v>
          </cell>
        </row>
        <row r="2131">
          <cell r="C2131" t="str">
            <v>부동산펀드</v>
          </cell>
          <cell r="E2131" t="str">
            <v>다올부동산자산운용</v>
          </cell>
          <cell r="H2131">
            <v>80</v>
          </cell>
          <cell r="I2131">
            <v>18000</v>
          </cell>
        </row>
        <row r="2132">
          <cell r="C2132" t="str">
            <v>부동산펀드</v>
          </cell>
          <cell r="E2132" t="str">
            <v>다올부동산자산운용</v>
          </cell>
          <cell r="H2132">
            <v>1000</v>
          </cell>
          <cell r="I2132">
            <v>0</v>
          </cell>
        </row>
        <row r="2133">
          <cell r="C2133" t="str">
            <v>부동산펀드</v>
          </cell>
          <cell r="E2133" t="str">
            <v>다올부동산자산운용</v>
          </cell>
          <cell r="H2133">
            <v>1000</v>
          </cell>
          <cell r="I2133">
            <v>0</v>
          </cell>
        </row>
        <row r="2134">
          <cell r="C2134" t="str">
            <v>부동산펀드</v>
          </cell>
          <cell r="E2134" t="str">
            <v>다올부동산자산운용</v>
          </cell>
          <cell r="H2134">
            <v>155</v>
          </cell>
          <cell r="I2134">
            <v>23000</v>
          </cell>
        </row>
        <row r="2135">
          <cell r="C2135" t="str">
            <v>부동산펀드</v>
          </cell>
          <cell r="E2135" t="str">
            <v>다올부동산자산운용</v>
          </cell>
          <cell r="H2135">
            <v>1000</v>
          </cell>
          <cell r="I2135">
            <v>0</v>
          </cell>
        </row>
        <row r="2136">
          <cell r="C2136" t="str">
            <v>부동산펀드</v>
          </cell>
          <cell r="E2136" t="str">
            <v>다올부동산자산운용</v>
          </cell>
          <cell r="H2136">
            <v>1000</v>
          </cell>
          <cell r="I2136">
            <v>0</v>
          </cell>
        </row>
        <row r="2137">
          <cell r="C2137" t="str">
            <v>부동산펀드</v>
          </cell>
          <cell r="E2137" t="str">
            <v>다올부동산자산운용</v>
          </cell>
          <cell r="H2137">
            <v>133</v>
          </cell>
          <cell r="I2137">
            <v>12000</v>
          </cell>
        </row>
        <row r="2138">
          <cell r="C2138" t="str">
            <v>부동산펀드</v>
          </cell>
          <cell r="E2138" t="str">
            <v>동부자산운용사</v>
          </cell>
          <cell r="H2138">
            <v>1</v>
          </cell>
          <cell r="I2138">
            <v>20000</v>
          </cell>
        </row>
        <row r="2139">
          <cell r="C2139" t="str">
            <v>부동산펀드</v>
          </cell>
          <cell r="E2139" t="str">
            <v>동양투자신탁운용</v>
          </cell>
          <cell r="H2139">
            <v>20</v>
          </cell>
          <cell r="I2139">
            <v>0</v>
          </cell>
        </row>
        <row r="2140">
          <cell r="C2140" t="str">
            <v>부동산펀드</v>
          </cell>
          <cell r="E2140" t="str">
            <v>동양투자신탁운용</v>
          </cell>
          <cell r="H2140">
            <v>20</v>
          </cell>
          <cell r="I2140">
            <v>0</v>
          </cell>
        </row>
        <row r="2141">
          <cell r="C2141" t="str">
            <v>부동산펀드</v>
          </cell>
          <cell r="E2141" t="str">
            <v>동양투자신탁운용</v>
          </cell>
          <cell r="H2141">
            <v>144</v>
          </cell>
          <cell r="I2141">
            <v>10000</v>
          </cell>
        </row>
        <row r="2142">
          <cell r="C2142" t="str">
            <v>부동산펀드</v>
          </cell>
          <cell r="E2142" t="str">
            <v>동양투자신탁운용</v>
          </cell>
          <cell r="H2142">
            <v>46</v>
          </cell>
          <cell r="I2142">
            <v>13000</v>
          </cell>
        </row>
        <row r="2143">
          <cell r="C2143" t="str">
            <v>부동산펀드</v>
          </cell>
          <cell r="E2143" t="str">
            <v>동양투자신탁운용</v>
          </cell>
          <cell r="H2143">
            <v>1000</v>
          </cell>
          <cell r="I2143">
            <v>0</v>
          </cell>
        </row>
        <row r="2144">
          <cell r="C2144" t="str">
            <v>부동산펀드</v>
          </cell>
          <cell r="E2144" t="str">
            <v>동양투자신탁운용</v>
          </cell>
          <cell r="H2144">
            <v>1000</v>
          </cell>
          <cell r="I2144">
            <v>0</v>
          </cell>
        </row>
        <row r="2145">
          <cell r="C2145" t="str">
            <v>부동산펀드</v>
          </cell>
          <cell r="E2145" t="str">
            <v>동양투자신탁운용</v>
          </cell>
          <cell r="H2145">
            <v>1000</v>
          </cell>
          <cell r="I2145">
            <v>0</v>
          </cell>
        </row>
        <row r="2146">
          <cell r="C2146" t="str">
            <v>부동산펀드</v>
          </cell>
          <cell r="E2146" t="str">
            <v>동양투자신탁운용</v>
          </cell>
          <cell r="H2146">
            <v>1000</v>
          </cell>
          <cell r="I2146">
            <v>0</v>
          </cell>
        </row>
        <row r="2147">
          <cell r="C2147" t="str">
            <v>부동산펀드</v>
          </cell>
          <cell r="E2147" t="str">
            <v>동양투자신탁운용</v>
          </cell>
          <cell r="H2147">
            <v>1000</v>
          </cell>
          <cell r="I2147">
            <v>1500</v>
          </cell>
        </row>
        <row r="2148">
          <cell r="C2148" t="str">
            <v>부동산펀드</v>
          </cell>
          <cell r="E2148" t="str">
            <v>동양투자신탁운용</v>
          </cell>
          <cell r="H2148">
            <v>32</v>
          </cell>
          <cell r="I2148">
            <v>30000</v>
          </cell>
        </row>
        <row r="2149">
          <cell r="C2149" t="str">
            <v>부동산펀드</v>
          </cell>
          <cell r="E2149" t="str">
            <v>동양투자신탁운용</v>
          </cell>
          <cell r="H2149">
            <v>38</v>
          </cell>
          <cell r="I2149">
            <v>15000</v>
          </cell>
        </row>
        <row r="2150">
          <cell r="C2150" t="str">
            <v>부동산펀드</v>
          </cell>
          <cell r="E2150" t="str">
            <v>동양투자신탁운용</v>
          </cell>
          <cell r="H2150">
            <v>46</v>
          </cell>
          <cell r="I2150">
            <v>57000</v>
          </cell>
        </row>
        <row r="2151">
          <cell r="C2151" t="str">
            <v>부동산펀드</v>
          </cell>
          <cell r="E2151" t="str">
            <v>동양투자신탁운용</v>
          </cell>
          <cell r="H2151">
            <v>1000</v>
          </cell>
          <cell r="I2151">
            <v>0</v>
          </cell>
        </row>
        <row r="2152">
          <cell r="C2152" t="str">
            <v>부동산펀드</v>
          </cell>
          <cell r="E2152" t="str">
            <v>동양투자신탁운용</v>
          </cell>
          <cell r="H2152">
            <v>1000</v>
          </cell>
          <cell r="I2152">
            <v>0</v>
          </cell>
        </row>
        <row r="2153">
          <cell r="C2153" t="str">
            <v>부동산펀드</v>
          </cell>
          <cell r="E2153" t="str">
            <v>동양투자신탁운용</v>
          </cell>
          <cell r="H2153">
            <v>36</v>
          </cell>
          <cell r="I2153">
            <v>30000</v>
          </cell>
        </row>
        <row r="2154">
          <cell r="C2154" t="str">
            <v>부동산펀드</v>
          </cell>
          <cell r="E2154" t="str">
            <v>마이애셋 자산운용 주식회사</v>
          </cell>
          <cell r="H2154">
            <v>1000</v>
          </cell>
          <cell r="I2154">
            <v>9000</v>
          </cell>
        </row>
        <row r="2155">
          <cell r="C2155" t="str">
            <v>부동산펀드</v>
          </cell>
          <cell r="E2155" t="str">
            <v>마이애셋 자산운용 주식회사</v>
          </cell>
          <cell r="H2155">
            <v>123</v>
          </cell>
          <cell r="I2155">
            <v>7000</v>
          </cell>
        </row>
        <row r="2156">
          <cell r="C2156" t="str">
            <v>부동산펀드</v>
          </cell>
          <cell r="E2156" t="str">
            <v>마이애셋 자산운용 주식회사</v>
          </cell>
          <cell r="H2156">
            <v>1000</v>
          </cell>
          <cell r="I2156">
            <v>0</v>
          </cell>
        </row>
        <row r="2157">
          <cell r="C2157" t="str">
            <v>부동산펀드</v>
          </cell>
          <cell r="E2157" t="str">
            <v>마이애셋 자산운용 주식회사</v>
          </cell>
          <cell r="H2157">
            <v>1000</v>
          </cell>
          <cell r="I2157">
            <v>0</v>
          </cell>
        </row>
        <row r="2158">
          <cell r="C2158" t="str">
            <v>부동산펀드</v>
          </cell>
          <cell r="E2158" t="str">
            <v>마이애셋 자산운용 주식회사</v>
          </cell>
          <cell r="H2158">
            <v>1000</v>
          </cell>
          <cell r="I2158">
            <v>0</v>
          </cell>
        </row>
        <row r="2159">
          <cell r="C2159" t="str">
            <v>부동산펀드</v>
          </cell>
          <cell r="E2159" t="str">
            <v>마이애셋 자산운용 주식회사</v>
          </cell>
          <cell r="H2159">
            <v>1000</v>
          </cell>
          <cell r="I2159">
            <v>0</v>
          </cell>
        </row>
        <row r="2160">
          <cell r="C2160" t="str">
            <v>부동산펀드</v>
          </cell>
          <cell r="E2160" t="str">
            <v>마이어자산운용</v>
          </cell>
          <cell r="H2160">
            <v>41</v>
          </cell>
          <cell r="I2160">
            <v>16600</v>
          </cell>
        </row>
        <row r="2161">
          <cell r="C2161" t="str">
            <v>부동산펀드</v>
          </cell>
          <cell r="E2161" t="str">
            <v>미래에셋맵스자산운용</v>
          </cell>
          <cell r="H2161">
            <v>17</v>
          </cell>
          <cell r="I2161">
            <v>100000</v>
          </cell>
        </row>
        <row r="2162">
          <cell r="C2162" t="str">
            <v>부동산펀드</v>
          </cell>
          <cell r="E2162" t="str">
            <v>미래에셋맵스자산운용</v>
          </cell>
          <cell r="H2162">
            <v>1000</v>
          </cell>
          <cell r="I2162">
            <v>0</v>
          </cell>
        </row>
        <row r="2163">
          <cell r="C2163" t="str">
            <v>부동산펀드</v>
          </cell>
          <cell r="E2163" t="str">
            <v>미래에셋맵스자산운용</v>
          </cell>
          <cell r="H2163">
            <v>22</v>
          </cell>
          <cell r="I2163">
            <v>30800</v>
          </cell>
        </row>
        <row r="2164">
          <cell r="C2164" t="str">
            <v>부동산펀드</v>
          </cell>
          <cell r="E2164" t="str">
            <v>산은자산운용</v>
          </cell>
          <cell r="H2164">
            <v>1</v>
          </cell>
          <cell r="I2164">
            <v>0</v>
          </cell>
        </row>
        <row r="2165">
          <cell r="C2165" t="str">
            <v>부동산펀드</v>
          </cell>
          <cell r="E2165" t="str">
            <v>산은자산운용</v>
          </cell>
          <cell r="H2165">
            <v>1</v>
          </cell>
          <cell r="I2165">
            <v>0</v>
          </cell>
        </row>
        <row r="2166">
          <cell r="C2166" t="str">
            <v>부동산펀드</v>
          </cell>
          <cell r="E2166" t="str">
            <v>산은자산운용</v>
          </cell>
          <cell r="H2166">
            <v>145</v>
          </cell>
          <cell r="I2166">
            <v>0</v>
          </cell>
        </row>
        <row r="2167">
          <cell r="C2167" t="str">
            <v>부동산펀드</v>
          </cell>
          <cell r="E2167" t="str">
            <v>산은자산운용</v>
          </cell>
          <cell r="H2167">
            <v>32</v>
          </cell>
          <cell r="I2167">
            <v>7500</v>
          </cell>
        </row>
        <row r="2168">
          <cell r="C2168" t="str">
            <v>부동산펀드</v>
          </cell>
          <cell r="E2168" t="str">
            <v>산은자산운용</v>
          </cell>
          <cell r="H2168">
            <v>34</v>
          </cell>
          <cell r="I2168">
            <v>7000</v>
          </cell>
        </row>
        <row r="2169">
          <cell r="C2169" t="str">
            <v>부동산펀드</v>
          </cell>
          <cell r="E2169" t="str">
            <v>알파에셋자산운용</v>
          </cell>
          <cell r="H2169">
            <v>23</v>
          </cell>
          <cell r="I2169">
            <v>0</v>
          </cell>
        </row>
        <row r="2170">
          <cell r="C2170" t="str">
            <v>부동산펀드</v>
          </cell>
          <cell r="E2170" t="str">
            <v>알파에셋자산운용</v>
          </cell>
          <cell r="H2170">
            <v>1000</v>
          </cell>
          <cell r="I2170">
            <v>0</v>
          </cell>
        </row>
        <row r="2171">
          <cell r="C2171" t="str">
            <v>부동산펀드</v>
          </cell>
          <cell r="E2171" t="str">
            <v>알파에셋자산운용</v>
          </cell>
          <cell r="H2171">
            <v>194</v>
          </cell>
          <cell r="I2171">
            <v>18000</v>
          </cell>
        </row>
        <row r="2172">
          <cell r="C2172" t="str">
            <v>부동산펀드</v>
          </cell>
          <cell r="E2172" t="str">
            <v>알파에셋자산운용</v>
          </cell>
          <cell r="H2172">
            <v>13</v>
          </cell>
          <cell r="I2172">
            <v>40000</v>
          </cell>
        </row>
        <row r="2173">
          <cell r="C2173" t="str">
            <v>부동산펀드</v>
          </cell>
          <cell r="E2173" t="str">
            <v>알파에셋자산운용</v>
          </cell>
          <cell r="H2173">
            <v>33</v>
          </cell>
          <cell r="I2173">
            <v>0</v>
          </cell>
        </row>
        <row r="2174">
          <cell r="C2174" t="str">
            <v>부동산펀드</v>
          </cell>
          <cell r="E2174" t="str">
            <v>알파에셋자산운용</v>
          </cell>
          <cell r="H2174">
            <v>33</v>
          </cell>
          <cell r="I2174">
            <v>0</v>
          </cell>
        </row>
        <row r="2175">
          <cell r="C2175" t="str">
            <v>부동산펀드</v>
          </cell>
          <cell r="E2175" t="str">
            <v>우리CS자산운용</v>
          </cell>
          <cell r="H2175">
            <v>7</v>
          </cell>
          <cell r="I2175">
            <v>0</v>
          </cell>
        </row>
        <row r="2176">
          <cell r="C2176" t="str">
            <v>부동산펀드</v>
          </cell>
          <cell r="E2176" t="str">
            <v>우리CS자산운용</v>
          </cell>
          <cell r="H2176">
            <v>39</v>
          </cell>
          <cell r="I2176">
            <v>54400</v>
          </cell>
        </row>
        <row r="2177">
          <cell r="C2177" t="str">
            <v>부동산펀드</v>
          </cell>
          <cell r="E2177" t="str">
            <v>우리CS자산운용</v>
          </cell>
          <cell r="H2177">
            <v>10</v>
          </cell>
          <cell r="I2177">
            <v>37400</v>
          </cell>
        </row>
        <row r="2178">
          <cell r="C2178" t="str">
            <v>부동산펀드</v>
          </cell>
          <cell r="E2178" t="str">
            <v>우리CS자산운용</v>
          </cell>
          <cell r="H2178">
            <v>1</v>
          </cell>
          <cell r="I2178">
            <v>0</v>
          </cell>
        </row>
        <row r="2179">
          <cell r="C2179" t="str">
            <v>부동산펀드</v>
          </cell>
          <cell r="E2179" t="str">
            <v>우리CS자산운용</v>
          </cell>
          <cell r="H2179">
            <v>269</v>
          </cell>
          <cell r="I2179">
            <v>900</v>
          </cell>
        </row>
        <row r="2180">
          <cell r="C2180" t="str">
            <v>부동산펀드</v>
          </cell>
          <cell r="E2180" t="str">
            <v>우리CS자산운용</v>
          </cell>
          <cell r="H2180">
            <v>269</v>
          </cell>
          <cell r="I2180">
            <v>10100</v>
          </cell>
        </row>
        <row r="2181">
          <cell r="C2181" t="str">
            <v>부동산펀드</v>
          </cell>
          <cell r="E2181" t="str">
            <v>우리CS자산운용</v>
          </cell>
          <cell r="H2181">
            <v>61</v>
          </cell>
          <cell r="I2181">
            <v>65000</v>
          </cell>
        </row>
        <row r="2182">
          <cell r="C2182" t="str">
            <v>부동산펀드</v>
          </cell>
          <cell r="E2182" t="str">
            <v>우리CS자산운용</v>
          </cell>
          <cell r="H2182">
            <v>34</v>
          </cell>
          <cell r="I2182">
            <v>30000</v>
          </cell>
        </row>
        <row r="2183">
          <cell r="C2183" t="str">
            <v>부동산펀드</v>
          </cell>
          <cell r="E2183" t="str">
            <v>우리CS자산운용</v>
          </cell>
          <cell r="H2183">
            <v>34</v>
          </cell>
          <cell r="I2183">
            <v>10000</v>
          </cell>
        </row>
        <row r="2184">
          <cell r="C2184" t="str">
            <v>부동산펀드</v>
          </cell>
          <cell r="E2184" t="str">
            <v>우리CS자산운용</v>
          </cell>
          <cell r="H2184">
            <v>114</v>
          </cell>
          <cell r="I2184">
            <v>18000</v>
          </cell>
        </row>
        <row r="2185">
          <cell r="C2185" t="str">
            <v>부동산펀드</v>
          </cell>
          <cell r="E2185" t="str">
            <v>우리CS자산운용</v>
          </cell>
          <cell r="H2185">
            <v>17</v>
          </cell>
          <cell r="I2185">
            <v>0</v>
          </cell>
        </row>
        <row r="2186">
          <cell r="C2186" t="str">
            <v>부동산펀드</v>
          </cell>
          <cell r="E2186" t="str">
            <v>우리CS자산운용</v>
          </cell>
          <cell r="H2186">
            <v>17</v>
          </cell>
          <cell r="I2186">
            <v>0</v>
          </cell>
        </row>
        <row r="2187">
          <cell r="C2187" t="str">
            <v>부동산펀드</v>
          </cell>
          <cell r="E2187" t="str">
            <v>우리CS자산운용</v>
          </cell>
          <cell r="H2187">
            <v>1000</v>
          </cell>
          <cell r="I2187">
            <v>0</v>
          </cell>
        </row>
        <row r="2188">
          <cell r="C2188" t="str">
            <v>부동산펀드</v>
          </cell>
          <cell r="E2188" t="str">
            <v>유진자산운용</v>
          </cell>
          <cell r="H2188">
            <v>154</v>
          </cell>
          <cell r="I2188">
            <v>149.5</v>
          </cell>
        </row>
        <row r="2189">
          <cell r="C2189" t="str">
            <v>부동산펀드</v>
          </cell>
          <cell r="E2189" t="str">
            <v>유진자산운용</v>
          </cell>
          <cell r="H2189">
            <v>120</v>
          </cell>
          <cell r="I2189">
            <v>100</v>
          </cell>
        </row>
        <row r="2190">
          <cell r="C2190" t="str">
            <v>부동산펀드</v>
          </cell>
          <cell r="E2190" t="str">
            <v>유진자산운용</v>
          </cell>
          <cell r="H2190">
            <v>282</v>
          </cell>
          <cell r="I2190">
            <v>100</v>
          </cell>
        </row>
        <row r="2191">
          <cell r="C2191" t="str">
            <v>부동산펀드</v>
          </cell>
          <cell r="E2191" t="str">
            <v>유진자산운용</v>
          </cell>
          <cell r="H2191">
            <v>137</v>
          </cell>
          <cell r="I2191">
            <v>115.62</v>
          </cell>
        </row>
        <row r="2192">
          <cell r="C2192" t="str">
            <v>부동산펀드</v>
          </cell>
          <cell r="E2192" t="str">
            <v>유진자산운용</v>
          </cell>
          <cell r="H2192">
            <v>1000</v>
          </cell>
          <cell r="I2192">
            <v>115.62</v>
          </cell>
        </row>
        <row r="2193">
          <cell r="C2193" t="str">
            <v>부동산펀드</v>
          </cell>
          <cell r="E2193" t="str">
            <v>유진자산운용</v>
          </cell>
          <cell r="H2193">
            <v>137</v>
          </cell>
          <cell r="I2193">
            <v>115.62</v>
          </cell>
        </row>
        <row r="2194">
          <cell r="C2194" t="str">
            <v>부동산펀드</v>
          </cell>
          <cell r="E2194" t="str">
            <v>유진자산운용</v>
          </cell>
          <cell r="H2194">
            <v>10</v>
          </cell>
          <cell r="I2194">
            <v>360</v>
          </cell>
        </row>
        <row r="2195">
          <cell r="C2195" t="str">
            <v>부동산펀드</v>
          </cell>
          <cell r="E2195" t="str">
            <v>유진자산운용</v>
          </cell>
          <cell r="H2195">
            <v>1000</v>
          </cell>
          <cell r="I2195">
            <v>0</v>
          </cell>
        </row>
        <row r="2196">
          <cell r="C2196" t="str">
            <v>부동산펀드</v>
          </cell>
          <cell r="E2196" t="str">
            <v>유진자산운용</v>
          </cell>
          <cell r="H2196">
            <v>106</v>
          </cell>
          <cell r="I2196">
            <v>240</v>
          </cell>
        </row>
        <row r="2197">
          <cell r="C2197" t="str">
            <v>부동산펀드</v>
          </cell>
          <cell r="E2197" t="str">
            <v>유진자산운용</v>
          </cell>
          <cell r="H2197">
            <v>1000</v>
          </cell>
          <cell r="I2197">
            <v>240</v>
          </cell>
        </row>
        <row r="2198">
          <cell r="C2198" t="str">
            <v>부동산펀드</v>
          </cell>
          <cell r="E2198" t="str">
            <v>유진자산운용</v>
          </cell>
          <cell r="H2198">
            <v>9</v>
          </cell>
          <cell r="I2198">
            <v>1200</v>
          </cell>
        </row>
        <row r="2199">
          <cell r="C2199" t="str">
            <v>부동산펀드</v>
          </cell>
          <cell r="E2199" t="str">
            <v>유진자산운용</v>
          </cell>
          <cell r="H2199">
            <v>106</v>
          </cell>
          <cell r="I2199">
            <v>120</v>
          </cell>
        </row>
        <row r="2200">
          <cell r="C2200" t="str">
            <v>부동산펀드</v>
          </cell>
          <cell r="E2200" t="str">
            <v>유진자산운용</v>
          </cell>
          <cell r="H2200">
            <v>1000</v>
          </cell>
          <cell r="I2200">
            <v>120</v>
          </cell>
        </row>
        <row r="2201">
          <cell r="C2201" t="str">
            <v>부동산펀드</v>
          </cell>
          <cell r="E2201" t="str">
            <v>유진자산운용</v>
          </cell>
          <cell r="H2201">
            <v>29</v>
          </cell>
          <cell r="I2201">
            <v>90.4</v>
          </cell>
        </row>
        <row r="2202">
          <cell r="C2202" t="str">
            <v>부동산펀드</v>
          </cell>
          <cell r="E2202" t="str">
            <v>유진자산운용</v>
          </cell>
          <cell r="H2202">
            <v>29</v>
          </cell>
          <cell r="I2202">
            <v>290</v>
          </cell>
        </row>
        <row r="2203">
          <cell r="C2203" t="str">
            <v>부동산펀드</v>
          </cell>
          <cell r="E2203" t="str">
            <v>유진자산운용</v>
          </cell>
          <cell r="H2203">
            <v>29</v>
          </cell>
          <cell r="I2203">
            <v>660</v>
          </cell>
        </row>
        <row r="2204">
          <cell r="C2204" t="str">
            <v>부동산펀드</v>
          </cell>
          <cell r="E2204" t="str">
            <v>유진자산운용</v>
          </cell>
          <cell r="H2204">
            <v>1000</v>
          </cell>
          <cell r="I2204">
            <v>0</v>
          </cell>
        </row>
        <row r="2205">
          <cell r="C2205" t="str">
            <v>부동산펀드</v>
          </cell>
          <cell r="E2205" t="str">
            <v>유진자산운용</v>
          </cell>
          <cell r="H2205">
            <v>35</v>
          </cell>
          <cell r="I2205">
            <v>600.29999999999995</v>
          </cell>
        </row>
        <row r="2206">
          <cell r="C2206" t="str">
            <v>부동산펀드</v>
          </cell>
          <cell r="E2206" t="str">
            <v>칸서스자산운용</v>
          </cell>
          <cell r="H2206">
            <v>410</v>
          </cell>
          <cell r="I2206">
            <v>26000</v>
          </cell>
        </row>
        <row r="2207">
          <cell r="C2207" t="str">
            <v>부동산펀드</v>
          </cell>
          <cell r="E2207" t="str">
            <v>칸서스자산운용</v>
          </cell>
          <cell r="H2207">
            <v>51</v>
          </cell>
          <cell r="I2207">
            <v>26000</v>
          </cell>
        </row>
        <row r="2208">
          <cell r="C2208" t="str">
            <v>부동산펀드</v>
          </cell>
          <cell r="E2208" t="str">
            <v>칸서스자산운용</v>
          </cell>
          <cell r="H2208">
            <v>139</v>
          </cell>
          <cell r="I2208">
            <v>52000</v>
          </cell>
        </row>
        <row r="2209">
          <cell r="C2209" t="str">
            <v>부동산펀드</v>
          </cell>
          <cell r="E2209" t="str">
            <v>칸서스자산운용</v>
          </cell>
          <cell r="H2209">
            <v>316</v>
          </cell>
          <cell r="I2209">
            <v>52000</v>
          </cell>
        </row>
        <row r="2210">
          <cell r="C2210" t="str">
            <v>부동산펀드</v>
          </cell>
          <cell r="E2210" t="str">
            <v>칸서스자산운용</v>
          </cell>
          <cell r="H2210">
            <v>1000</v>
          </cell>
          <cell r="I2210">
            <v>0</v>
          </cell>
        </row>
        <row r="2211">
          <cell r="C2211" t="str">
            <v>부동산펀드</v>
          </cell>
          <cell r="E2211" t="str">
            <v>칸서스자산운용</v>
          </cell>
          <cell r="H2211">
            <v>1000</v>
          </cell>
          <cell r="I2211">
            <v>0</v>
          </cell>
        </row>
        <row r="2212">
          <cell r="C2212" t="str">
            <v>부동산펀드</v>
          </cell>
          <cell r="E2212" t="str">
            <v>칸서스자산운용</v>
          </cell>
          <cell r="H2212">
            <v>1</v>
          </cell>
          <cell r="I2212">
            <v>50000</v>
          </cell>
        </row>
        <row r="2213">
          <cell r="C2213" t="str">
            <v>부동산펀드</v>
          </cell>
          <cell r="E2213" t="str">
            <v>칸서스자산운용</v>
          </cell>
          <cell r="H2213">
            <v>1000</v>
          </cell>
          <cell r="I2213">
            <v>0</v>
          </cell>
        </row>
        <row r="2214">
          <cell r="C2214" t="str">
            <v>부동산펀드</v>
          </cell>
          <cell r="E2214" t="str">
            <v>칸서스자산운용</v>
          </cell>
          <cell r="H2214">
            <v>1000</v>
          </cell>
          <cell r="I2214">
            <v>0</v>
          </cell>
        </row>
        <row r="2215">
          <cell r="C2215" t="str">
            <v>부동산펀드</v>
          </cell>
          <cell r="E2215" t="str">
            <v>칸서스자산운용</v>
          </cell>
          <cell r="H2215">
            <v>39</v>
          </cell>
          <cell r="I2215">
            <v>0</v>
          </cell>
        </row>
        <row r="2216">
          <cell r="C2216" t="str">
            <v>부동산펀드</v>
          </cell>
          <cell r="E2216" t="str">
            <v>칸서스자산운용</v>
          </cell>
          <cell r="H2216">
            <v>1000</v>
          </cell>
          <cell r="I2216">
            <v>0</v>
          </cell>
        </row>
        <row r="2217">
          <cell r="C2217" t="str">
            <v>부동산펀드</v>
          </cell>
          <cell r="E2217" t="str">
            <v>칸서스자산운용</v>
          </cell>
          <cell r="H2217">
            <v>8</v>
          </cell>
          <cell r="I2217">
            <v>0</v>
          </cell>
        </row>
        <row r="2218">
          <cell r="C2218" t="str">
            <v>부동산펀드</v>
          </cell>
          <cell r="E2218" t="str">
            <v>피닉스 자산운용</v>
          </cell>
          <cell r="H2218">
            <v>1000</v>
          </cell>
          <cell r="I2218">
            <v>12500</v>
          </cell>
        </row>
        <row r="2219">
          <cell r="C2219" t="str">
            <v>부동산펀드</v>
          </cell>
          <cell r="E2219" t="str">
            <v>피닉스 자산운용</v>
          </cell>
          <cell r="H2219">
            <v>1000</v>
          </cell>
          <cell r="I2219">
            <v>9500</v>
          </cell>
        </row>
        <row r="2220">
          <cell r="C2220" t="str">
            <v>부동산펀드</v>
          </cell>
          <cell r="E2220" t="str">
            <v>피닉스 자산운용</v>
          </cell>
          <cell r="H2220">
            <v>51</v>
          </cell>
          <cell r="I2220">
            <v>139428</v>
          </cell>
        </row>
        <row r="2221">
          <cell r="C2221" t="str">
            <v>부동산펀드</v>
          </cell>
          <cell r="E2221" t="str">
            <v>피닉스 자산운용</v>
          </cell>
          <cell r="H2221">
            <v>1000</v>
          </cell>
          <cell r="I2221">
            <v>0</v>
          </cell>
        </row>
        <row r="2222">
          <cell r="C2222" t="str">
            <v>부동산펀드</v>
          </cell>
          <cell r="E2222" t="str">
            <v>피닉스 자산운용</v>
          </cell>
          <cell r="H2222">
            <v>10</v>
          </cell>
          <cell r="I2222">
            <v>0</v>
          </cell>
        </row>
        <row r="2223">
          <cell r="C2223" t="str">
            <v>부동산펀드</v>
          </cell>
          <cell r="E2223" t="str">
            <v>피닉스 자산운용</v>
          </cell>
          <cell r="H2223">
            <v>10</v>
          </cell>
          <cell r="I2223">
            <v>0</v>
          </cell>
        </row>
        <row r="2224">
          <cell r="C2224" t="str">
            <v>부동산펀드</v>
          </cell>
          <cell r="E2224" t="str">
            <v>피닉스 자산운용</v>
          </cell>
          <cell r="H2224">
            <v>10</v>
          </cell>
          <cell r="I2224">
            <v>0</v>
          </cell>
        </row>
        <row r="2225">
          <cell r="C2225" t="str">
            <v>부동산펀드</v>
          </cell>
          <cell r="E2225" t="str">
            <v>피닉스 자산운용</v>
          </cell>
          <cell r="H2225">
            <v>10</v>
          </cell>
          <cell r="I2225">
            <v>0</v>
          </cell>
        </row>
        <row r="2226">
          <cell r="C2226" t="str">
            <v>부동산펀드</v>
          </cell>
          <cell r="E2226" t="str">
            <v>피닉스 자산운용</v>
          </cell>
          <cell r="H2226">
            <v>10</v>
          </cell>
          <cell r="I2226">
            <v>0</v>
          </cell>
        </row>
        <row r="2227">
          <cell r="C2227" t="str">
            <v>부동산펀드</v>
          </cell>
          <cell r="E2227" t="str">
            <v>피닉스 자산운용</v>
          </cell>
          <cell r="H2227">
            <v>10</v>
          </cell>
          <cell r="I2227">
            <v>0</v>
          </cell>
        </row>
        <row r="2228">
          <cell r="C2228" t="str">
            <v>부동산펀드</v>
          </cell>
          <cell r="E2228" t="str">
            <v>피닉스 자산운용</v>
          </cell>
          <cell r="H2228">
            <v>1000</v>
          </cell>
          <cell r="I2228">
            <v>0</v>
          </cell>
        </row>
        <row r="2229">
          <cell r="C2229" t="str">
            <v>부동산펀드</v>
          </cell>
          <cell r="E2229" t="str">
            <v>피닉스 자산운용</v>
          </cell>
          <cell r="H2229">
            <v>1000</v>
          </cell>
          <cell r="I2229">
            <v>0</v>
          </cell>
        </row>
        <row r="2230">
          <cell r="C2230" t="str">
            <v>부동산펀드</v>
          </cell>
          <cell r="E2230" t="str">
            <v>피닉스 자산운용</v>
          </cell>
          <cell r="H2230">
            <v>1000</v>
          </cell>
          <cell r="I2230">
            <v>0</v>
          </cell>
        </row>
        <row r="2231">
          <cell r="C2231" t="str">
            <v>부동산펀드</v>
          </cell>
          <cell r="E2231" t="str">
            <v>피닉스 자산운용</v>
          </cell>
          <cell r="H2231">
            <v>1000</v>
          </cell>
          <cell r="I2231">
            <v>6000</v>
          </cell>
        </row>
        <row r="2232">
          <cell r="C2232" t="str">
            <v>부동산펀드</v>
          </cell>
          <cell r="E2232" t="str">
            <v>피닉스 자산운용</v>
          </cell>
          <cell r="H2232">
            <v>1000</v>
          </cell>
          <cell r="I2232">
            <v>0</v>
          </cell>
        </row>
        <row r="2233">
          <cell r="C2233" t="str">
            <v>부동산펀드</v>
          </cell>
          <cell r="E2233" t="str">
            <v>피닉스 자산운용</v>
          </cell>
          <cell r="H2233">
            <v>1000</v>
          </cell>
          <cell r="I2233">
            <v>0</v>
          </cell>
        </row>
        <row r="2234">
          <cell r="C2234" t="str">
            <v>부동산펀드</v>
          </cell>
          <cell r="E2234" t="str">
            <v>피닉스 자산운용</v>
          </cell>
          <cell r="H2234">
            <v>1000</v>
          </cell>
          <cell r="I2234">
            <v>0</v>
          </cell>
        </row>
        <row r="2235">
          <cell r="C2235" t="str">
            <v>부동산펀드</v>
          </cell>
          <cell r="E2235" t="str">
            <v>피닉스 자산운용</v>
          </cell>
          <cell r="H2235">
            <v>1000</v>
          </cell>
          <cell r="I2235">
            <v>0</v>
          </cell>
        </row>
        <row r="2236">
          <cell r="C2236" t="str">
            <v>부동산펀드</v>
          </cell>
          <cell r="E2236" t="str">
            <v>피닉스 자산운용</v>
          </cell>
          <cell r="H2236">
            <v>1000</v>
          </cell>
          <cell r="I2236">
            <v>0</v>
          </cell>
        </row>
        <row r="2237">
          <cell r="C2237" t="str">
            <v>부동산펀드</v>
          </cell>
          <cell r="E2237" t="str">
            <v>피닉스 자산운용</v>
          </cell>
          <cell r="H2237">
            <v>1000</v>
          </cell>
          <cell r="I2237">
            <v>0</v>
          </cell>
        </row>
        <row r="2238">
          <cell r="C2238" t="str">
            <v>부동산펀드</v>
          </cell>
          <cell r="E2238" t="str">
            <v>피닉스 자산운용</v>
          </cell>
          <cell r="H2238">
            <v>1000</v>
          </cell>
          <cell r="I2238">
            <v>0</v>
          </cell>
        </row>
        <row r="2239">
          <cell r="C2239" t="str">
            <v>부동산펀드</v>
          </cell>
          <cell r="E2239" t="str">
            <v>하나UBS자산운용</v>
          </cell>
          <cell r="H2239">
            <v>172</v>
          </cell>
          <cell r="I2239">
            <v>35000</v>
          </cell>
        </row>
        <row r="2240">
          <cell r="C2240" t="str">
            <v>부동산펀드</v>
          </cell>
          <cell r="E2240" t="str">
            <v>하나UBS자산운용</v>
          </cell>
          <cell r="H2240">
            <v>127</v>
          </cell>
          <cell r="I2240">
            <v>150000</v>
          </cell>
        </row>
        <row r="2241">
          <cell r="C2241" t="str">
            <v>부동산펀드</v>
          </cell>
          <cell r="E2241" t="str">
            <v>하나UBS자산운용</v>
          </cell>
          <cell r="H2241">
            <v>61</v>
          </cell>
          <cell r="I2241">
            <v>31609</v>
          </cell>
        </row>
        <row r="2242">
          <cell r="C2242" t="str">
            <v>부동산펀드</v>
          </cell>
          <cell r="E2242" t="str">
            <v>하나UBS자산운용</v>
          </cell>
          <cell r="H2242">
            <v>44</v>
          </cell>
          <cell r="I2242">
            <v>234000</v>
          </cell>
        </row>
        <row r="2243">
          <cell r="C2243" t="str">
            <v>부동산펀드</v>
          </cell>
          <cell r="E2243" t="str">
            <v>한국투신운용</v>
          </cell>
          <cell r="H2243">
            <v>1000</v>
          </cell>
          <cell r="I2243">
            <v>0</v>
          </cell>
        </row>
        <row r="2244">
          <cell r="C2244" t="str">
            <v>부동산펀드</v>
          </cell>
          <cell r="E2244" t="str">
            <v>한국투신운용</v>
          </cell>
          <cell r="H2244">
            <v>22</v>
          </cell>
          <cell r="I2244">
            <v>20000</v>
          </cell>
        </row>
        <row r="2245">
          <cell r="C2245" t="str">
            <v>부동산펀드</v>
          </cell>
          <cell r="E2245" t="str">
            <v>한국투신운용</v>
          </cell>
          <cell r="H2245">
            <v>68</v>
          </cell>
          <cell r="I2245">
            <v>6990</v>
          </cell>
        </row>
        <row r="2246">
          <cell r="C2246" t="str">
            <v>부동산펀드</v>
          </cell>
          <cell r="E2246" t="str">
            <v>한국투신운용</v>
          </cell>
          <cell r="H2246">
            <v>68</v>
          </cell>
          <cell r="I2246">
            <v>19990</v>
          </cell>
        </row>
        <row r="2247">
          <cell r="C2247" t="str">
            <v>부동산펀드</v>
          </cell>
          <cell r="E2247" t="str">
            <v>한국투신운용</v>
          </cell>
          <cell r="H2247">
            <v>10</v>
          </cell>
          <cell r="I2247">
            <v>40000</v>
          </cell>
        </row>
        <row r="2248">
          <cell r="C2248" t="str">
            <v>부동산펀드</v>
          </cell>
          <cell r="E2248" t="str">
            <v>한국투신운용</v>
          </cell>
          <cell r="H2248">
            <v>8</v>
          </cell>
          <cell r="I2248">
            <v>81500</v>
          </cell>
        </row>
        <row r="2249">
          <cell r="C2249" t="str">
            <v>부동산펀드</v>
          </cell>
          <cell r="E2249" t="str">
            <v>한국투신운용</v>
          </cell>
          <cell r="H2249">
            <v>10</v>
          </cell>
          <cell r="I2249">
            <v>10000</v>
          </cell>
        </row>
        <row r="2250">
          <cell r="C2250" t="str">
            <v>부동산펀드</v>
          </cell>
          <cell r="E2250" t="str">
            <v>한국투신운용</v>
          </cell>
          <cell r="H2250">
            <v>10</v>
          </cell>
          <cell r="I2250">
            <v>10000</v>
          </cell>
        </row>
        <row r="2251">
          <cell r="C2251" t="str">
            <v>부동산펀드</v>
          </cell>
          <cell r="E2251" t="str">
            <v>한국투신운용</v>
          </cell>
          <cell r="H2251">
            <v>14</v>
          </cell>
          <cell r="I2251">
            <v>5363</v>
          </cell>
        </row>
        <row r="2252">
          <cell r="C2252" t="str">
            <v>부동산펀드</v>
          </cell>
          <cell r="E2252" t="str">
            <v>한국투신운용</v>
          </cell>
          <cell r="H2252">
            <v>14</v>
          </cell>
          <cell r="I2252">
            <v>438</v>
          </cell>
        </row>
        <row r="2253">
          <cell r="C2253" t="str">
            <v>부동산펀드</v>
          </cell>
          <cell r="E2253" t="str">
            <v>한국투신운용</v>
          </cell>
          <cell r="H2253">
            <v>14</v>
          </cell>
          <cell r="I2253">
            <v>4090</v>
          </cell>
        </row>
        <row r="2254">
          <cell r="C2254" t="str">
            <v>부동산펀드</v>
          </cell>
          <cell r="E2254" t="str">
            <v>한화투자신탁운용</v>
          </cell>
          <cell r="H2254">
            <v>61</v>
          </cell>
          <cell r="I2254">
            <v>29900</v>
          </cell>
        </row>
        <row r="2255">
          <cell r="C2255" t="str">
            <v>부동산펀드</v>
          </cell>
          <cell r="E2255" t="str">
            <v>한화투자신탁운용</v>
          </cell>
          <cell r="H2255">
            <v>61</v>
          </cell>
          <cell r="I2255">
            <v>4920</v>
          </cell>
        </row>
        <row r="2256">
          <cell r="C2256" t="str">
            <v>부동산펀드</v>
          </cell>
          <cell r="E2256" t="str">
            <v>한화투자신탁운용</v>
          </cell>
          <cell r="H2256">
            <v>63</v>
          </cell>
          <cell r="I2256">
            <v>16900</v>
          </cell>
        </row>
        <row r="2257">
          <cell r="C2257" t="str">
            <v>부동산펀드</v>
          </cell>
          <cell r="E2257" t="str">
            <v>한화투자신탁운용</v>
          </cell>
          <cell r="H2257">
            <v>45</v>
          </cell>
          <cell r="I2257">
            <v>33500</v>
          </cell>
        </row>
        <row r="2258">
          <cell r="C2258" t="str">
            <v>부동산펀드</v>
          </cell>
          <cell r="E2258" t="str">
            <v>한화투자신탁운용</v>
          </cell>
          <cell r="H2258">
            <v>27</v>
          </cell>
          <cell r="I2258">
            <v>40000</v>
          </cell>
        </row>
        <row r="2259">
          <cell r="C2259" t="str">
            <v>부동산펀드</v>
          </cell>
          <cell r="E2259" t="str">
            <v>흥국투신운용</v>
          </cell>
          <cell r="H2259">
            <v>61</v>
          </cell>
          <cell r="I2259">
            <v>36000</v>
          </cell>
        </row>
        <row r="2260">
          <cell r="C2260" t="str">
            <v>부동산펀드</v>
          </cell>
          <cell r="E2260" t="str">
            <v>CJ자산운용</v>
          </cell>
          <cell r="H2260">
            <v>45</v>
          </cell>
          <cell r="I2260">
            <v>15000</v>
          </cell>
        </row>
        <row r="2261">
          <cell r="C2261" t="str">
            <v>부동산펀드</v>
          </cell>
          <cell r="E2261" t="str">
            <v>CJ자산운용</v>
          </cell>
          <cell r="H2261">
            <v>19</v>
          </cell>
          <cell r="I2261">
            <v>0</v>
          </cell>
        </row>
        <row r="2262">
          <cell r="C2262" t="str">
            <v>부동산펀드</v>
          </cell>
          <cell r="E2262" t="str">
            <v>CJ자산운용</v>
          </cell>
          <cell r="H2262">
            <v>41</v>
          </cell>
          <cell r="I2262">
            <v>0</v>
          </cell>
        </row>
        <row r="2263">
          <cell r="C2263" t="str">
            <v>부동산펀드</v>
          </cell>
          <cell r="E2263" t="str">
            <v>CJ자산운용</v>
          </cell>
          <cell r="H2263">
            <v>182</v>
          </cell>
          <cell r="I2263">
            <v>10900</v>
          </cell>
        </row>
        <row r="2264">
          <cell r="C2264" t="str">
            <v>부동산펀드</v>
          </cell>
          <cell r="E2264" t="str">
            <v>KB자산운용</v>
          </cell>
          <cell r="H2264">
            <v>14</v>
          </cell>
          <cell r="I2264">
            <v>0</v>
          </cell>
        </row>
        <row r="2265">
          <cell r="C2265" t="str">
            <v>부동산펀드</v>
          </cell>
          <cell r="E2265" t="str">
            <v>KB자산운용</v>
          </cell>
          <cell r="H2265">
            <v>14</v>
          </cell>
          <cell r="I2265">
            <v>0</v>
          </cell>
        </row>
        <row r="2266">
          <cell r="C2266" t="str">
            <v>부동산펀드</v>
          </cell>
          <cell r="E2266" t="str">
            <v>KB자산운용</v>
          </cell>
          <cell r="H2266">
            <v>3</v>
          </cell>
          <cell r="I2266">
            <v>0</v>
          </cell>
        </row>
        <row r="2267">
          <cell r="C2267" t="str">
            <v>부동산펀드</v>
          </cell>
          <cell r="E2267" t="str">
            <v>KB자산운용</v>
          </cell>
          <cell r="H2267">
            <v>43</v>
          </cell>
          <cell r="I2267">
            <v>0</v>
          </cell>
        </row>
        <row r="2268">
          <cell r="C2268" t="str">
            <v>부동산펀드</v>
          </cell>
          <cell r="E2268" t="str">
            <v>KB자산운용</v>
          </cell>
          <cell r="H2268">
            <v>43</v>
          </cell>
          <cell r="I2268">
            <v>0</v>
          </cell>
        </row>
        <row r="2269">
          <cell r="C2269" t="str">
            <v>부동산펀드</v>
          </cell>
          <cell r="E2269" t="str">
            <v>KB자산운용</v>
          </cell>
          <cell r="H2269">
            <v>43</v>
          </cell>
          <cell r="I2269">
            <v>0</v>
          </cell>
        </row>
        <row r="2270">
          <cell r="C2270" t="str">
            <v>부동산펀드</v>
          </cell>
          <cell r="E2270" t="str">
            <v>KB자산운용</v>
          </cell>
          <cell r="H2270">
            <v>43</v>
          </cell>
          <cell r="I2270">
            <v>0</v>
          </cell>
        </row>
        <row r="2271">
          <cell r="C2271" t="str">
            <v>부동산펀드</v>
          </cell>
          <cell r="E2271" t="str">
            <v>KB자산운용</v>
          </cell>
          <cell r="H2271">
            <v>43</v>
          </cell>
          <cell r="I2271">
            <v>0</v>
          </cell>
        </row>
        <row r="2272">
          <cell r="C2272" t="str">
            <v>부동산펀드</v>
          </cell>
          <cell r="E2272" t="str">
            <v>KB자산운용</v>
          </cell>
          <cell r="H2272">
            <v>3</v>
          </cell>
          <cell r="I2272">
            <v>0</v>
          </cell>
        </row>
        <row r="2273">
          <cell r="C2273" t="str">
            <v>부동산펀드</v>
          </cell>
          <cell r="E2273" t="str">
            <v>KB자산운용</v>
          </cell>
          <cell r="H2273">
            <v>6</v>
          </cell>
          <cell r="I2273">
            <v>0</v>
          </cell>
        </row>
        <row r="2274">
          <cell r="C2274" t="str">
            <v>부동산펀드</v>
          </cell>
          <cell r="E2274" t="str">
            <v>KB자산운용</v>
          </cell>
          <cell r="H2274">
            <v>1</v>
          </cell>
          <cell r="I2274">
            <v>0</v>
          </cell>
        </row>
        <row r="2275">
          <cell r="C2275" t="str">
            <v>부동산펀드</v>
          </cell>
          <cell r="E2275" t="str">
            <v>KB자산운용</v>
          </cell>
          <cell r="H2275">
            <v>6</v>
          </cell>
          <cell r="I2275">
            <v>0</v>
          </cell>
        </row>
        <row r="2276">
          <cell r="C2276" t="str">
            <v>부동산펀드</v>
          </cell>
          <cell r="E2276" t="str">
            <v>KTB자산운용</v>
          </cell>
          <cell r="H2276">
            <v>345</v>
          </cell>
          <cell r="I2276">
            <v>9000</v>
          </cell>
        </row>
        <row r="2277">
          <cell r="C2277" t="str">
            <v>부동산펀드</v>
          </cell>
          <cell r="E2277" t="str">
            <v>KTB자산운용</v>
          </cell>
          <cell r="H2277">
            <v>1000</v>
          </cell>
          <cell r="I2277">
            <v>40000</v>
          </cell>
        </row>
        <row r="2278">
          <cell r="C2278" t="str">
            <v>부동산펀드</v>
          </cell>
          <cell r="E2278" t="str">
            <v>KTB자산운용</v>
          </cell>
          <cell r="H2278">
            <v>1000</v>
          </cell>
          <cell r="I2278">
            <v>54000</v>
          </cell>
        </row>
        <row r="2279">
          <cell r="C2279" t="str">
            <v>부동산펀드</v>
          </cell>
          <cell r="E2279" t="str">
            <v>KTB자산운용</v>
          </cell>
          <cell r="H2279">
            <v>1000</v>
          </cell>
          <cell r="I2279">
            <v>10500</v>
          </cell>
        </row>
        <row r="2280">
          <cell r="C2280" t="str">
            <v>부동산펀드</v>
          </cell>
          <cell r="E2280" t="str">
            <v>KTB자산운용</v>
          </cell>
          <cell r="H2280">
            <v>248</v>
          </cell>
          <cell r="I2280">
            <v>10400</v>
          </cell>
        </row>
        <row r="2281">
          <cell r="C2281" t="str">
            <v>부동산펀드</v>
          </cell>
          <cell r="E2281" t="str">
            <v>KTB자산운용</v>
          </cell>
          <cell r="H2281">
            <v>6</v>
          </cell>
          <cell r="I2281">
            <v>0</v>
          </cell>
        </row>
        <row r="2282">
          <cell r="C2282" t="str">
            <v>부동산펀드</v>
          </cell>
          <cell r="E2282" t="str">
            <v>KTB자산운용</v>
          </cell>
          <cell r="H2282">
            <v>6</v>
          </cell>
          <cell r="I2282">
            <v>0</v>
          </cell>
        </row>
        <row r="2283">
          <cell r="C2283" t="str">
            <v>부동산펀드</v>
          </cell>
          <cell r="E2283" t="str">
            <v>SH자산운용</v>
          </cell>
          <cell r="H2283">
            <v>23</v>
          </cell>
          <cell r="I2283">
            <v>0</v>
          </cell>
        </row>
        <row r="2284">
          <cell r="C2284" t="str">
            <v>부동산펀드</v>
          </cell>
          <cell r="E2284" t="str">
            <v>SH자산운용</v>
          </cell>
          <cell r="H2284">
            <v>194</v>
          </cell>
          <cell r="I2284">
            <v>180000</v>
          </cell>
        </row>
        <row r="2285">
          <cell r="C2285" t="str">
            <v>부동산펀드</v>
          </cell>
          <cell r="E2285" t="str">
            <v>SH자산운용</v>
          </cell>
          <cell r="H2285">
            <v>86</v>
          </cell>
          <cell r="I2285">
            <v>12000</v>
          </cell>
        </row>
        <row r="2286">
          <cell r="C2286" t="str">
            <v>부동산펀드</v>
          </cell>
          <cell r="E2286" t="str">
            <v>SH자산운용</v>
          </cell>
          <cell r="H2286">
            <v>86</v>
          </cell>
          <cell r="I2286">
            <v>8000</v>
          </cell>
        </row>
        <row r="2287">
          <cell r="C2287" t="str">
            <v>부동산펀드</v>
          </cell>
          <cell r="E2287" t="str">
            <v>SH자산운용</v>
          </cell>
          <cell r="H2287">
            <v>165</v>
          </cell>
          <cell r="I2287">
            <v>20000</v>
          </cell>
        </row>
        <row r="2288">
          <cell r="C2288" t="str">
            <v>부동산펀드</v>
          </cell>
          <cell r="E2288" t="str">
            <v>SH자산운용</v>
          </cell>
          <cell r="H2288">
            <v>127</v>
          </cell>
          <cell r="I2288">
            <v>50000</v>
          </cell>
        </row>
        <row r="2289">
          <cell r="C2289" t="str">
            <v>부동산펀드</v>
          </cell>
          <cell r="E2289" t="str">
            <v>SH자산운용</v>
          </cell>
          <cell r="H2289">
            <v>127</v>
          </cell>
          <cell r="I2289">
            <v>50000</v>
          </cell>
        </row>
        <row r="2290">
          <cell r="C2290" t="str">
            <v>부동산펀드</v>
          </cell>
          <cell r="E2290" t="str">
            <v>SH자산운용</v>
          </cell>
          <cell r="H2290">
            <v>77</v>
          </cell>
          <cell r="I2290">
            <v>0</v>
          </cell>
        </row>
        <row r="2291">
          <cell r="C2291" t="str">
            <v>부동산펀드</v>
          </cell>
          <cell r="E2291" t="str">
            <v>SH자산운용</v>
          </cell>
          <cell r="H2291">
            <v>1000</v>
          </cell>
          <cell r="I2291">
            <v>0</v>
          </cell>
        </row>
        <row r="2292">
          <cell r="C2292" t="str">
            <v>부동산펀드</v>
          </cell>
          <cell r="E2292" t="str">
            <v>SH자산운용</v>
          </cell>
          <cell r="H2292">
            <v>127</v>
          </cell>
          <cell r="I2292">
            <v>0</v>
          </cell>
        </row>
        <row r="2293">
          <cell r="C2293" t="str">
            <v>여전</v>
          </cell>
          <cell r="E2293" t="str">
            <v>골든브릿지캐피탈</v>
          </cell>
          <cell r="H2293">
            <v>44</v>
          </cell>
          <cell r="I2293">
            <v>0</v>
          </cell>
        </row>
        <row r="2294">
          <cell r="C2294" t="str">
            <v>여전</v>
          </cell>
          <cell r="E2294" t="str">
            <v>금호오토리스</v>
          </cell>
          <cell r="H2294">
            <v>10</v>
          </cell>
          <cell r="I2294">
            <v>0</v>
          </cell>
        </row>
        <row r="2295">
          <cell r="C2295" t="str">
            <v>여전</v>
          </cell>
          <cell r="E2295" t="str">
            <v>기은캐피탈</v>
          </cell>
          <cell r="H2295">
            <v>54</v>
          </cell>
          <cell r="I2295">
            <v>9964</v>
          </cell>
        </row>
        <row r="2296">
          <cell r="C2296" t="str">
            <v>여전</v>
          </cell>
          <cell r="E2296" t="str">
            <v>기은캐피탈</v>
          </cell>
          <cell r="H2296">
            <v>14</v>
          </cell>
          <cell r="I2296">
            <v>7000</v>
          </cell>
        </row>
        <row r="2297">
          <cell r="C2297" t="str">
            <v>여전</v>
          </cell>
          <cell r="E2297" t="str">
            <v>기은캐피탈</v>
          </cell>
          <cell r="H2297">
            <v>60</v>
          </cell>
          <cell r="I2297">
            <v>8677</v>
          </cell>
        </row>
        <row r="2298">
          <cell r="C2298" t="str">
            <v>여전</v>
          </cell>
          <cell r="E2298" t="str">
            <v>기은캐피탈</v>
          </cell>
          <cell r="H2298">
            <v>20</v>
          </cell>
          <cell r="I2298">
            <v>5000</v>
          </cell>
        </row>
        <row r="2299">
          <cell r="C2299" t="str">
            <v>여전</v>
          </cell>
          <cell r="E2299" t="str">
            <v>기은캐피탈</v>
          </cell>
          <cell r="H2299">
            <v>20</v>
          </cell>
          <cell r="I2299">
            <v>7000</v>
          </cell>
        </row>
        <row r="2300">
          <cell r="C2300" t="str">
            <v>여전</v>
          </cell>
          <cell r="E2300" t="str">
            <v>기은캐피탈</v>
          </cell>
          <cell r="H2300">
            <v>40</v>
          </cell>
          <cell r="I2300">
            <v>20000</v>
          </cell>
        </row>
        <row r="2301">
          <cell r="C2301" t="str">
            <v>여전</v>
          </cell>
          <cell r="E2301" t="str">
            <v>기은캐피탈</v>
          </cell>
          <cell r="H2301">
            <v>44</v>
          </cell>
          <cell r="I2301">
            <v>6000</v>
          </cell>
        </row>
        <row r="2302">
          <cell r="C2302" t="str">
            <v>여전</v>
          </cell>
          <cell r="E2302" t="str">
            <v>기은캐피탈</v>
          </cell>
          <cell r="H2302">
            <v>38</v>
          </cell>
          <cell r="I2302">
            <v>15000</v>
          </cell>
        </row>
        <row r="2303">
          <cell r="C2303" t="str">
            <v>여전</v>
          </cell>
          <cell r="E2303" t="str">
            <v>기은캐피탈</v>
          </cell>
          <cell r="H2303">
            <v>44</v>
          </cell>
          <cell r="I2303">
            <v>14000</v>
          </cell>
        </row>
        <row r="2304">
          <cell r="C2304" t="str">
            <v>여전</v>
          </cell>
          <cell r="E2304" t="str">
            <v>기은캐피탈</v>
          </cell>
          <cell r="H2304">
            <v>16</v>
          </cell>
          <cell r="I2304">
            <v>10000</v>
          </cell>
        </row>
        <row r="2305">
          <cell r="C2305" t="str">
            <v>여전</v>
          </cell>
          <cell r="E2305" t="str">
            <v>기은캐피탈</v>
          </cell>
          <cell r="H2305">
            <v>56</v>
          </cell>
          <cell r="I2305">
            <v>14520</v>
          </cell>
        </row>
        <row r="2306">
          <cell r="C2306" t="str">
            <v>여전</v>
          </cell>
          <cell r="E2306" t="str">
            <v>기은캐피탈</v>
          </cell>
          <cell r="H2306">
            <v>167</v>
          </cell>
          <cell r="I2306">
            <v>10000</v>
          </cell>
        </row>
        <row r="2307">
          <cell r="C2307" t="str">
            <v>여전</v>
          </cell>
          <cell r="E2307" t="str">
            <v>기은캐피탈</v>
          </cell>
          <cell r="H2307">
            <v>20</v>
          </cell>
          <cell r="I2307">
            <v>13000</v>
          </cell>
        </row>
        <row r="2308">
          <cell r="C2308" t="str">
            <v>여전</v>
          </cell>
          <cell r="E2308" t="str">
            <v>기은캐피탈</v>
          </cell>
          <cell r="H2308">
            <v>138</v>
          </cell>
          <cell r="I2308">
            <v>8000</v>
          </cell>
        </row>
        <row r="2309">
          <cell r="C2309" t="str">
            <v>여전</v>
          </cell>
          <cell r="E2309" t="str">
            <v>기은캐피탈</v>
          </cell>
          <cell r="H2309">
            <v>138</v>
          </cell>
          <cell r="I2309">
            <v>12000</v>
          </cell>
        </row>
        <row r="2310">
          <cell r="C2310" t="str">
            <v>여전</v>
          </cell>
          <cell r="E2310" t="str">
            <v>기은캐피탈</v>
          </cell>
          <cell r="H2310">
            <v>138</v>
          </cell>
          <cell r="I2310">
            <v>10000</v>
          </cell>
        </row>
        <row r="2311">
          <cell r="C2311" t="str">
            <v>여전</v>
          </cell>
          <cell r="E2311" t="str">
            <v>기은캐피탈</v>
          </cell>
          <cell r="H2311">
            <v>94</v>
          </cell>
          <cell r="I2311">
            <v>10000</v>
          </cell>
        </row>
        <row r="2312">
          <cell r="C2312" t="str">
            <v>여전</v>
          </cell>
          <cell r="E2312" t="str">
            <v>기은캐피탈</v>
          </cell>
          <cell r="H2312">
            <v>44</v>
          </cell>
          <cell r="I2312">
            <v>10000</v>
          </cell>
        </row>
        <row r="2313">
          <cell r="C2313" t="str">
            <v>여전</v>
          </cell>
          <cell r="E2313" t="str">
            <v>기은캐피탈</v>
          </cell>
          <cell r="H2313">
            <v>74</v>
          </cell>
          <cell r="I2313">
            <v>3000</v>
          </cell>
        </row>
        <row r="2314">
          <cell r="C2314" t="str">
            <v>여전</v>
          </cell>
          <cell r="E2314" t="str">
            <v>기은캐피탈</v>
          </cell>
          <cell r="H2314">
            <v>17</v>
          </cell>
          <cell r="I2314">
            <v>2000</v>
          </cell>
        </row>
        <row r="2315">
          <cell r="C2315" t="str">
            <v>여전</v>
          </cell>
          <cell r="E2315" t="str">
            <v>기은캐피탈</v>
          </cell>
          <cell r="H2315">
            <v>135</v>
          </cell>
          <cell r="I2315">
            <v>20000</v>
          </cell>
        </row>
        <row r="2316">
          <cell r="C2316" t="str">
            <v>여전</v>
          </cell>
          <cell r="E2316" t="str">
            <v>동부캐피탈</v>
          </cell>
          <cell r="H2316">
            <v>39</v>
          </cell>
          <cell r="I2316">
            <v>4285</v>
          </cell>
        </row>
        <row r="2317">
          <cell r="C2317" t="str">
            <v>여전</v>
          </cell>
          <cell r="E2317" t="str">
            <v>동부캐피탈</v>
          </cell>
          <cell r="H2317">
            <v>46</v>
          </cell>
          <cell r="I2317">
            <v>4000</v>
          </cell>
        </row>
        <row r="2318">
          <cell r="C2318" t="str">
            <v>여전</v>
          </cell>
          <cell r="E2318" t="str">
            <v>동부캐피탈</v>
          </cell>
          <cell r="H2318">
            <v>146</v>
          </cell>
          <cell r="I2318">
            <v>0</v>
          </cell>
        </row>
        <row r="2319">
          <cell r="C2319" t="str">
            <v>여전</v>
          </cell>
          <cell r="E2319" t="str">
            <v>동부캐피탈</v>
          </cell>
          <cell r="H2319">
            <v>10</v>
          </cell>
          <cell r="I2319">
            <v>0</v>
          </cell>
        </row>
        <row r="2320">
          <cell r="C2320" t="str">
            <v>여전</v>
          </cell>
          <cell r="E2320" t="str">
            <v>동부캐피탈</v>
          </cell>
          <cell r="H2320">
            <v>12</v>
          </cell>
          <cell r="I2320">
            <v>10000</v>
          </cell>
        </row>
        <row r="2321">
          <cell r="C2321" t="str">
            <v>여전</v>
          </cell>
          <cell r="E2321" t="str">
            <v>동부캐피탈</v>
          </cell>
          <cell r="H2321">
            <v>50</v>
          </cell>
          <cell r="I2321">
            <v>7000</v>
          </cell>
        </row>
        <row r="2322">
          <cell r="C2322" t="str">
            <v>여전</v>
          </cell>
          <cell r="E2322" t="str">
            <v>동부캐피탈</v>
          </cell>
          <cell r="H2322">
            <v>12</v>
          </cell>
          <cell r="I2322">
            <v>0</v>
          </cell>
        </row>
        <row r="2323">
          <cell r="C2323" t="str">
            <v>여전</v>
          </cell>
          <cell r="E2323" t="str">
            <v>두산캐피탈</v>
          </cell>
          <cell r="H2323">
            <v>194</v>
          </cell>
          <cell r="I2323">
            <v>4060</v>
          </cell>
        </row>
        <row r="2324">
          <cell r="C2324" t="str">
            <v>여전</v>
          </cell>
          <cell r="E2324" t="str">
            <v>두산캐피탈</v>
          </cell>
          <cell r="H2324">
            <v>43</v>
          </cell>
          <cell r="I2324">
            <v>4060</v>
          </cell>
        </row>
        <row r="2325">
          <cell r="C2325" t="str">
            <v>여전</v>
          </cell>
          <cell r="E2325" t="str">
            <v>두산캐피탈</v>
          </cell>
          <cell r="H2325">
            <v>194</v>
          </cell>
          <cell r="I2325">
            <v>600</v>
          </cell>
        </row>
        <row r="2326">
          <cell r="C2326" t="str">
            <v>여전</v>
          </cell>
          <cell r="E2326" t="str">
            <v>두산캐피탈</v>
          </cell>
          <cell r="H2326">
            <v>43</v>
          </cell>
          <cell r="I2326">
            <v>600</v>
          </cell>
        </row>
        <row r="2327">
          <cell r="C2327" t="str">
            <v>여전</v>
          </cell>
          <cell r="E2327" t="str">
            <v>두산캐피탈</v>
          </cell>
          <cell r="H2327">
            <v>194</v>
          </cell>
          <cell r="I2327">
            <v>1130</v>
          </cell>
        </row>
        <row r="2328">
          <cell r="C2328" t="str">
            <v>여전</v>
          </cell>
          <cell r="E2328" t="str">
            <v>두산캐피탈</v>
          </cell>
          <cell r="H2328">
            <v>43</v>
          </cell>
          <cell r="I2328">
            <v>1130</v>
          </cell>
        </row>
        <row r="2329">
          <cell r="C2329" t="str">
            <v>여전</v>
          </cell>
          <cell r="E2329" t="str">
            <v>두산캐피탈</v>
          </cell>
          <cell r="H2329">
            <v>194</v>
          </cell>
          <cell r="I2329">
            <v>1100</v>
          </cell>
        </row>
        <row r="2330">
          <cell r="C2330" t="str">
            <v>여전</v>
          </cell>
          <cell r="E2330" t="str">
            <v>두산캐피탈</v>
          </cell>
          <cell r="H2330">
            <v>43</v>
          </cell>
          <cell r="I2330">
            <v>1100</v>
          </cell>
        </row>
        <row r="2331">
          <cell r="C2331" t="str">
            <v>여전</v>
          </cell>
          <cell r="E2331" t="str">
            <v>두산캐피탈</v>
          </cell>
          <cell r="H2331">
            <v>194</v>
          </cell>
          <cell r="I2331">
            <v>1330</v>
          </cell>
        </row>
        <row r="2332">
          <cell r="C2332" t="str">
            <v>여전</v>
          </cell>
          <cell r="E2332" t="str">
            <v>두산캐피탈</v>
          </cell>
          <cell r="H2332">
            <v>43</v>
          </cell>
          <cell r="I2332">
            <v>1330</v>
          </cell>
        </row>
        <row r="2333">
          <cell r="C2333" t="str">
            <v>여전</v>
          </cell>
          <cell r="E2333" t="str">
            <v>두산캐피탈</v>
          </cell>
          <cell r="H2333">
            <v>54</v>
          </cell>
          <cell r="I2333">
            <v>7142</v>
          </cell>
        </row>
        <row r="2334">
          <cell r="C2334" t="str">
            <v>여전</v>
          </cell>
          <cell r="E2334" t="str">
            <v>두산캐피탈</v>
          </cell>
          <cell r="H2334">
            <v>12</v>
          </cell>
          <cell r="I2334">
            <v>11000</v>
          </cell>
        </row>
        <row r="2335">
          <cell r="C2335" t="str">
            <v>여전</v>
          </cell>
          <cell r="E2335" t="str">
            <v>두산캐피탈</v>
          </cell>
          <cell r="H2335">
            <v>69</v>
          </cell>
          <cell r="I2335">
            <v>0</v>
          </cell>
        </row>
        <row r="2336">
          <cell r="C2336" t="str">
            <v>여전</v>
          </cell>
          <cell r="E2336" t="str">
            <v>두산캐피탈</v>
          </cell>
          <cell r="H2336">
            <v>12</v>
          </cell>
          <cell r="I2336">
            <v>3000</v>
          </cell>
        </row>
        <row r="2337">
          <cell r="C2337" t="str">
            <v>여전</v>
          </cell>
          <cell r="E2337" t="str">
            <v>두산캐피탈</v>
          </cell>
          <cell r="H2337">
            <v>1000</v>
          </cell>
          <cell r="I2337">
            <v>0</v>
          </cell>
        </row>
        <row r="2338">
          <cell r="C2338" t="str">
            <v>여전</v>
          </cell>
          <cell r="E2338" t="str">
            <v>두산캐피탈</v>
          </cell>
          <cell r="H2338">
            <v>12</v>
          </cell>
          <cell r="I2338">
            <v>0</v>
          </cell>
        </row>
        <row r="2339">
          <cell r="C2339" t="str">
            <v>여전</v>
          </cell>
          <cell r="E2339" t="str">
            <v>두산캐피탈</v>
          </cell>
          <cell r="H2339">
            <v>12</v>
          </cell>
          <cell r="I2339">
            <v>21000</v>
          </cell>
        </row>
        <row r="2340">
          <cell r="C2340" t="str">
            <v>여전</v>
          </cell>
          <cell r="E2340" t="str">
            <v>두산캐피탈</v>
          </cell>
          <cell r="H2340">
            <v>194</v>
          </cell>
          <cell r="I2340">
            <v>780</v>
          </cell>
        </row>
        <row r="2341">
          <cell r="C2341" t="str">
            <v>여전</v>
          </cell>
          <cell r="E2341" t="str">
            <v>두산캐피탈</v>
          </cell>
          <cell r="H2341">
            <v>2</v>
          </cell>
          <cell r="I2341">
            <v>0</v>
          </cell>
        </row>
        <row r="2342">
          <cell r="C2342" t="str">
            <v>여전</v>
          </cell>
          <cell r="E2342" t="str">
            <v>두산캐피탈</v>
          </cell>
          <cell r="H2342">
            <v>62</v>
          </cell>
          <cell r="I2342">
            <v>0</v>
          </cell>
        </row>
        <row r="2343">
          <cell r="C2343" t="str">
            <v>여전</v>
          </cell>
          <cell r="E2343" t="str">
            <v>두산캐피탈</v>
          </cell>
          <cell r="H2343">
            <v>12</v>
          </cell>
          <cell r="I2343">
            <v>5500</v>
          </cell>
        </row>
        <row r="2344">
          <cell r="C2344" t="str">
            <v>여전</v>
          </cell>
          <cell r="E2344" t="str">
            <v>두산캐피탈</v>
          </cell>
          <cell r="H2344">
            <v>12</v>
          </cell>
          <cell r="I2344">
            <v>6600</v>
          </cell>
        </row>
        <row r="2345">
          <cell r="C2345" t="str">
            <v>여전</v>
          </cell>
          <cell r="E2345" t="str">
            <v>두산캐피탈</v>
          </cell>
          <cell r="H2345">
            <v>12</v>
          </cell>
          <cell r="I2345">
            <v>0</v>
          </cell>
        </row>
        <row r="2346">
          <cell r="C2346" t="str">
            <v>여전</v>
          </cell>
          <cell r="E2346" t="str">
            <v>두산캐피탈</v>
          </cell>
          <cell r="H2346">
            <v>12</v>
          </cell>
          <cell r="I2346">
            <v>0</v>
          </cell>
        </row>
        <row r="2347">
          <cell r="C2347" t="str">
            <v>여전</v>
          </cell>
          <cell r="E2347" t="str">
            <v>두산캐피탈</v>
          </cell>
          <cell r="H2347">
            <v>61</v>
          </cell>
          <cell r="I2347">
            <v>6136</v>
          </cell>
        </row>
        <row r="2348">
          <cell r="C2348" t="str">
            <v>여전</v>
          </cell>
          <cell r="E2348" t="str">
            <v>두산캐피탈</v>
          </cell>
          <cell r="H2348">
            <v>12</v>
          </cell>
          <cell r="I2348">
            <v>2948</v>
          </cell>
        </row>
        <row r="2349">
          <cell r="C2349" t="str">
            <v>여전</v>
          </cell>
          <cell r="E2349" t="str">
            <v>두산캐피탈</v>
          </cell>
          <cell r="H2349">
            <v>12</v>
          </cell>
          <cell r="I2349">
            <v>0</v>
          </cell>
        </row>
        <row r="2350">
          <cell r="C2350" t="str">
            <v>여전</v>
          </cell>
          <cell r="E2350" t="str">
            <v>두산캐피탈</v>
          </cell>
          <cell r="H2350">
            <v>19</v>
          </cell>
          <cell r="I2350">
            <v>10000</v>
          </cell>
        </row>
        <row r="2351">
          <cell r="C2351" t="str">
            <v>여전</v>
          </cell>
          <cell r="E2351" t="str">
            <v>두산캐피탈</v>
          </cell>
          <cell r="H2351">
            <v>44</v>
          </cell>
          <cell r="I2351">
            <v>2100</v>
          </cell>
        </row>
        <row r="2352">
          <cell r="C2352" t="str">
            <v>여전</v>
          </cell>
          <cell r="E2352" t="str">
            <v>두산캐피탈</v>
          </cell>
          <cell r="H2352">
            <v>30</v>
          </cell>
          <cell r="I2352">
            <v>5000</v>
          </cell>
        </row>
        <row r="2353">
          <cell r="C2353" t="str">
            <v>여전</v>
          </cell>
          <cell r="E2353" t="str">
            <v>두산캐피탈</v>
          </cell>
          <cell r="H2353">
            <v>44</v>
          </cell>
          <cell r="I2353">
            <v>2200</v>
          </cell>
        </row>
        <row r="2354">
          <cell r="C2354" t="str">
            <v>여전</v>
          </cell>
          <cell r="E2354" t="str">
            <v>롯데캐피탈</v>
          </cell>
          <cell r="H2354">
            <v>5</v>
          </cell>
          <cell r="I2354">
            <v>37900</v>
          </cell>
        </row>
        <row r="2355">
          <cell r="C2355" t="str">
            <v>여전</v>
          </cell>
          <cell r="E2355" t="str">
            <v>롯데캐피탈</v>
          </cell>
          <cell r="H2355">
            <v>12</v>
          </cell>
          <cell r="I2355">
            <v>35102</v>
          </cell>
        </row>
        <row r="2356">
          <cell r="C2356" t="str">
            <v>여전</v>
          </cell>
          <cell r="E2356" t="str">
            <v>롯데캐피탈</v>
          </cell>
          <cell r="H2356">
            <v>14</v>
          </cell>
          <cell r="I2356">
            <v>5000</v>
          </cell>
        </row>
        <row r="2357">
          <cell r="C2357" t="str">
            <v>여전</v>
          </cell>
          <cell r="E2357" t="str">
            <v>롯데캐피탈</v>
          </cell>
          <cell r="H2357">
            <v>37</v>
          </cell>
          <cell r="I2357">
            <v>75000</v>
          </cell>
        </row>
        <row r="2358">
          <cell r="C2358" t="str">
            <v>여전</v>
          </cell>
          <cell r="E2358" t="str">
            <v>롯데캐피탈</v>
          </cell>
          <cell r="H2358">
            <v>5</v>
          </cell>
          <cell r="I2358">
            <v>3500</v>
          </cell>
        </row>
        <row r="2359">
          <cell r="C2359" t="str">
            <v>여전</v>
          </cell>
          <cell r="E2359" t="str">
            <v>롯데캐피탈</v>
          </cell>
          <cell r="H2359">
            <v>5</v>
          </cell>
          <cell r="I2359">
            <v>11000</v>
          </cell>
        </row>
        <row r="2360">
          <cell r="C2360" t="str">
            <v>여전</v>
          </cell>
          <cell r="E2360" t="str">
            <v>롯데캐피탈</v>
          </cell>
          <cell r="H2360">
            <v>8</v>
          </cell>
          <cell r="I2360">
            <v>2850</v>
          </cell>
        </row>
        <row r="2361">
          <cell r="C2361" t="str">
            <v>여전</v>
          </cell>
          <cell r="E2361" t="str">
            <v>롯데캐피탈</v>
          </cell>
          <cell r="H2361">
            <v>5</v>
          </cell>
          <cell r="I2361">
            <v>27500</v>
          </cell>
        </row>
        <row r="2362">
          <cell r="C2362" t="str">
            <v>여전</v>
          </cell>
          <cell r="E2362" t="str">
            <v>롯데캐피탈</v>
          </cell>
          <cell r="H2362">
            <v>5</v>
          </cell>
          <cell r="I2362">
            <v>18500</v>
          </cell>
        </row>
        <row r="2363">
          <cell r="C2363" t="str">
            <v>여전</v>
          </cell>
          <cell r="E2363" t="str">
            <v>롯데캐피탈</v>
          </cell>
          <cell r="H2363">
            <v>87</v>
          </cell>
          <cell r="I2363">
            <v>7000</v>
          </cell>
        </row>
        <row r="2364">
          <cell r="C2364" t="str">
            <v>여전</v>
          </cell>
          <cell r="E2364" t="str">
            <v>롯데캐피탈</v>
          </cell>
          <cell r="H2364">
            <v>5</v>
          </cell>
          <cell r="I2364">
            <v>17000</v>
          </cell>
        </row>
        <row r="2365">
          <cell r="C2365" t="str">
            <v>여전</v>
          </cell>
          <cell r="E2365" t="str">
            <v>롯데캐피탈</v>
          </cell>
          <cell r="H2365">
            <v>67</v>
          </cell>
          <cell r="I2365">
            <v>4000</v>
          </cell>
        </row>
        <row r="2366">
          <cell r="C2366" t="str">
            <v>여전</v>
          </cell>
          <cell r="E2366" t="str">
            <v>롯데캐피탈</v>
          </cell>
          <cell r="H2366">
            <v>87</v>
          </cell>
          <cell r="I2366">
            <v>28000</v>
          </cell>
        </row>
        <row r="2367">
          <cell r="C2367" t="str">
            <v>여전</v>
          </cell>
          <cell r="E2367" t="str">
            <v>롯데캐피탈</v>
          </cell>
          <cell r="H2367">
            <v>87</v>
          </cell>
          <cell r="I2367">
            <v>29000</v>
          </cell>
        </row>
        <row r="2368">
          <cell r="C2368" t="str">
            <v>여전</v>
          </cell>
          <cell r="E2368" t="str">
            <v>롯데캐피탈</v>
          </cell>
          <cell r="H2368">
            <v>5</v>
          </cell>
          <cell r="I2368">
            <v>6000</v>
          </cell>
        </row>
        <row r="2369">
          <cell r="C2369" t="str">
            <v>여전</v>
          </cell>
          <cell r="E2369" t="str">
            <v>롯데캐피탈</v>
          </cell>
          <cell r="H2369">
            <v>8</v>
          </cell>
          <cell r="I2369">
            <v>2300</v>
          </cell>
        </row>
        <row r="2370">
          <cell r="C2370" t="str">
            <v>여전</v>
          </cell>
          <cell r="E2370" t="str">
            <v>롯데캐피탈</v>
          </cell>
          <cell r="H2370">
            <v>14</v>
          </cell>
          <cell r="I2370">
            <v>5000</v>
          </cell>
        </row>
        <row r="2371">
          <cell r="C2371" t="str">
            <v>여전</v>
          </cell>
          <cell r="E2371" t="str">
            <v>롯데캐피탈</v>
          </cell>
          <cell r="H2371">
            <v>25</v>
          </cell>
          <cell r="I2371">
            <v>14000</v>
          </cell>
        </row>
        <row r="2372">
          <cell r="C2372" t="str">
            <v>여전</v>
          </cell>
          <cell r="E2372" t="str">
            <v>롯데캐피탈</v>
          </cell>
          <cell r="H2372">
            <v>8</v>
          </cell>
          <cell r="I2372">
            <v>12575.37866</v>
          </cell>
        </row>
        <row r="2373">
          <cell r="C2373" t="str">
            <v>여전</v>
          </cell>
          <cell r="E2373" t="str">
            <v>롯데캐피탈</v>
          </cell>
          <cell r="H2373">
            <v>5</v>
          </cell>
          <cell r="I2373">
            <v>21700</v>
          </cell>
        </row>
        <row r="2374">
          <cell r="C2374" t="str">
            <v>여전</v>
          </cell>
          <cell r="E2374" t="str">
            <v>롯데캐피탈</v>
          </cell>
          <cell r="H2374">
            <v>3</v>
          </cell>
          <cell r="I2374">
            <v>50000</v>
          </cell>
        </row>
        <row r="2375">
          <cell r="C2375" t="str">
            <v>여전</v>
          </cell>
          <cell r="E2375" t="str">
            <v>롯데캐피탈</v>
          </cell>
          <cell r="H2375">
            <v>9</v>
          </cell>
          <cell r="I2375">
            <v>30000</v>
          </cell>
        </row>
        <row r="2376">
          <cell r="C2376" t="str">
            <v>여전</v>
          </cell>
          <cell r="E2376" t="str">
            <v>롯데캐피탈</v>
          </cell>
          <cell r="H2376">
            <v>29</v>
          </cell>
          <cell r="I2376">
            <v>18500</v>
          </cell>
        </row>
        <row r="2377">
          <cell r="C2377" t="str">
            <v>여전</v>
          </cell>
          <cell r="E2377" t="str">
            <v>롯데캐피탈</v>
          </cell>
          <cell r="H2377">
            <v>14</v>
          </cell>
          <cell r="I2377">
            <v>18500</v>
          </cell>
        </row>
        <row r="2378">
          <cell r="C2378" t="str">
            <v>여전</v>
          </cell>
          <cell r="E2378" t="str">
            <v>롯데캐피탈</v>
          </cell>
          <cell r="H2378">
            <v>9</v>
          </cell>
          <cell r="I2378">
            <v>8260.3823830000001</v>
          </cell>
        </row>
        <row r="2379">
          <cell r="C2379" t="str">
            <v>여전</v>
          </cell>
          <cell r="E2379" t="str">
            <v>롯데캐피탈</v>
          </cell>
          <cell r="H2379">
            <v>1</v>
          </cell>
          <cell r="I2379">
            <v>32500</v>
          </cell>
        </row>
        <row r="2380">
          <cell r="C2380" t="str">
            <v>여전</v>
          </cell>
          <cell r="E2380" t="str">
            <v>롯데캐피탈</v>
          </cell>
          <cell r="H2380">
            <v>75</v>
          </cell>
          <cell r="I2380">
            <v>5000</v>
          </cell>
        </row>
        <row r="2381">
          <cell r="C2381" t="str">
            <v>여전</v>
          </cell>
          <cell r="E2381" t="str">
            <v>롯데캐피탈</v>
          </cell>
          <cell r="H2381">
            <v>8</v>
          </cell>
          <cell r="I2381">
            <v>17469</v>
          </cell>
        </row>
        <row r="2382">
          <cell r="C2382" t="str">
            <v>여전</v>
          </cell>
          <cell r="E2382" t="str">
            <v>KT캐피탈</v>
          </cell>
          <cell r="H2382">
            <v>69</v>
          </cell>
          <cell r="I2382">
            <v>8000</v>
          </cell>
        </row>
        <row r="2383">
          <cell r="C2383" t="str">
            <v>여전</v>
          </cell>
          <cell r="E2383" t="str">
            <v>KT캐피탈</v>
          </cell>
          <cell r="H2383">
            <v>10</v>
          </cell>
          <cell r="I2383">
            <v>0</v>
          </cell>
        </row>
        <row r="2384">
          <cell r="C2384" t="str">
            <v>여전</v>
          </cell>
          <cell r="E2384" t="str">
            <v>KT캐피탈</v>
          </cell>
          <cell r="H2384">
            <v>94</v>
          </cell>
          <cell r="I2384">
            <v>6000</v>
          </cell>
        </row>
        <row r="2385">
          <cell r="C2385" t="str">
            <v>여전</v>
          </cell>
          <cell r="E2385" t="str">
            <v>KT캐피탈</v>
          </cell>
          <cell r="H2385">
            <v>489</v>
          </cell>
          <cell r="I2385">
            <v>1000</v>
          </cell>
        </row>
        <row r="2386">
          <cell r="C2386" t="str">
            <v>여전</v>
          </cell>
          <cell r="E2386" t="str">
            <v>KT캐피탈</v>
          </cell>
          <cell r="H2386">
            <v>44</v>
          </cell>
          <cell r="I2386">
            <v>4000</v>
          </cell>
        </row>
        <row r="2387">
          <cell r="C2387" t="str">
            <v>여전</v>
          </cell>
          <cell r="E2387" t="str">
            <v>KT캐피탈</v>
          </cell>
          <cell r="H2387">
            <v>17</v>
          </cell>
          <cell r="I2387">
            <v>6000</v>
          </cell>
        </row>
        <row r="2388">
          <cell r="C2388" t="str">
            <v>여전</v>
          </cell>
          <cell r="E2388" t="str">
            <v>KT캐피탈</v>
          </cell>
          <cell r="H2388">
            <v>41</v>
          </cell>
          <cell r="I2388">
            <v>10000</v>
          </cell>
        </row>
        <row r="2389">
          <cell r="C2389" t="str">
            <v>여전</v>
          </cell>
          <cell r="E2389" t="str">
            <v>KT캐피탈</v>
          </cell>
          <cell r="H2389">
            <v>125</v>
          </cell>
          <cell r="I2389">
            <v>8000</v>
          </cell>
        </row>
        <row r="2390">
          <cell r="C2390" t="str">
            <v>여전</v>
          </cell>
          <cell r="E2390" t="str">
            <v>KT캐피탈</v>
          </cell>
          <cell r="H2390">
            <v>44</v>
          </cell>
          <cell r="I2390">
            <v>7000</v>
          </cell>
        </row>
        <row r="2391">
          <cell r="C2391" t="str">
            <v>여전</v>
          </cell>
          <cell r="E2391" t="str">
            <v>KT캐피탈</v>
          </cell>
          <cell r="H2391">
            <v>36</v>
          </cell>
          <cell r="I2391">
            <v>5000</v>
          </cell>
        </row>
        <row r="2392">
          <cell r="C2392" t="str">
            <v>여전</v>
          </cell>
          <cell r="E2392" t="str">
            <v>KT캐피탈</v>
          </cell>
          <cell r="H2392">
            <v>10</v>
          </cell>
          <cell r="I2392">
            <v>6200</v>
          </cell>
        </row>
        <row r="2393">
          <cell r="C2393" t="str">
            <v>여전</v>
          </cell>
          <cell r="E2393" t="str">
            <v>KT캐피탈</v>
          </cell>
          <cell r="H2393">
            <v>17</v>
          </cell>
          <cell r="I2393">
            <v>1000</v>
          </cell>
        </row>
        <row r="2394">
          <cell r="C2394" t="str">
            <v>여전</v>
          </cell>
          <cell r="E2394" t="str">
            <v>KT캐피탈</v>
          </cell>
          <cell r="H2394">
            <v>52</v>
          </cell>
          <cell r="I2394">
            <v>3000</v>
          </cell>
        </row>
        <row r="2395">
          <cell r="C2395" t="str">
            <v>여전</v>
          </cell>
          <cell r="E2395" t="str">
            <v>KT캐피탈</v>
          </cell>
          <cell r="H2395">
            <v>4</v>
          </cell>
          <cell r="I2395">
            <v>0</v>
          </cell>
        </row>
        <row r="2396">
          <cell r="C2396" t="str">
            <v>여전</v>
          </cell>
          <cell r="E2396" t="str">
            <v>KT캐피탈</v>
          </cell>
          <cell r="H2396">
            <v>8</v>
          </cell>
          <cell r="I2396">
            <v>10000</v>
          </cell>
        </row>
        <row r="2397">
          <cell r="C2397" t="str">
            <v>여전</v>
          </cell>
          <cell r="E2397" t="str">
            <v>대우캐피탈</v>
          </cell>
          <cell r="H2397">
            <v>1000</v>
          </cell>
          <cell r="I2397">
            <v>0</v>
          </cell>
        </row>
        <row r="2398">
          <cell r="C2398" t="str">
            <v>여전</v>
          </cell>
          <cell r="E2398" t="str">
            <v>대우캐피탈</v>
          </cell>
          <cell r="H2398">
            <v>1000</v>
          </cell>
          <cell r="I2398">
            <v>0</v>
          </cell>
        </row>
        <row r="2399">
          <cell r="C2399" t="str">
            <v>여전</v>
          </cell>
          <cell r="E2399" t="str">
            <v>대우캐피탈</v>
          </cell>
          <cell r="H2399">
            <v>1000</v>
          </cell>
          <cell r="I2399">
            <v>0</v>
          </cell>
        </row>
        <row r="2400">
          <cell r="C2400" t="str">
            <v>여전</v>
          </cell>
          <cell r="E2400" t="str">
            <v>대우캐피탈</v>
          </cell>
          <cell r="H2400">
            <v>1000</v>
          </cell>
          <cell r="I2400">
            <v>7500</v>
          </cell>
        </row>
        <row r="2401">
          <cell r="C2401" t="str">
            <v>여전</v>
          </cell>
          <cell r="E2401" t="str">
            <v>대우캐피탈</v>
          </cell>
          <cell r="H2401">
            <v>1000</v>
          </cell>
          <cell r="I2401">
            <v>7500</v>
          </cell>
        </row>
        <row r="2402">
          <cell r="C2402" t="str">
            <v>여전</v>
          </cell>
          <cell r="E2402" t="str">
            <v>대우캐피탈</v>
          </cell>
          <cell r="H2402">
            <v>134</v>
          </cell>
          <cell r="I2402">
            <v>7500</v>
          </cell>
        </row>
        <row r="2403">
          <cell r="C2403" t="str">
            <v>여전</v>
          </cell>
          <cell r="E2403" t="str">
            <v>대우캐피탈</v>
          </cell>
          <cell r="H2403">
            <v>83</v>
          </cell>
          <cell r="I2403">
            <v>7500</v>
          </cell>
        </row>
        <row r="2404">
          <cell r="C2404" t="str">
            <v>여전</v>
          </cell>
          <cell r="E2404" t="str">
            <v>대우캐피탈</v>
          </cell>
          <cell r="H2404">
            <v>108</v>
          </cell>
          <cell r="I2404">
            <v>7500</v>
          </cell>
        </row>
        <row r="2405">
          <cell r="C2405" t="str">
            <v>여전</v>
          </cell>
          <cell r="E2405" t="str">
            <v>대우캐피탈</v>
          </cell>
          <cell r="H2405">
            <v>1000</v>
          </cell>
          <cell r="I2405">
            <v>7500</v>
          </cell>
        </row>
        <row r="2406">
          <cell r="C2406" t="str">
            <v>여전</v>
          </cell>
          <cell r="E2406" t="str">
            <v>대우캐피탈</v>
          </cell>
          <cell r="H2406">
            <v>34</v>
          </cell>
          <cell r="I2406">
            <v>17000</v>
          </cell>
        </row>
        <row r="2407">
          <cell r="C2407" t="str">
            <v>여전</v>
          </cell>
          <cell r="E2407" t="str">
            <v>대우캐피탈</v>
          </cell>
          <cell r="H2407">
            <v>1000</v>
          </cell>
          <cell r="I2407">
            <v>0</v>
          </cell>
        </row>
        <row r="2408">
          <cell r="C2408" t="str">
            <v>여전</v>
          </cell>
          <cell r="E2408" t="str">
            <v>대우캐피탈</v>
          </cell>
          <cell r="H2408">
            <v>52</v>
          </cell>
          <cell r="I2408">
            <v>7000</v>
          </cell>
        </row>
        <row r="2409">
          <cell r="C2409" t="str">
            <v>여전</v>
          </cell>
          <cell r="E2409" t="str">
            <v>산은캐피탈</v>
          </cell>
          <cell r="H2409">
            <v>56</v>
          </cell>
          <cell r="I2409">
            <v>18060</v>
          </cell>
        </row>
        <row r="2410">
          <cell r="C2410" t="str">
            <v>여전</v>
          </cell>
          <cell r="E2410" t="str">
            <v>산은캐피탈</v>
          </cell>
          <cell r="H2410">
            <v>1000</v>
          </cell>
          <cell r="I2410">
            <v>0</v>
          </cell>
        </row>
        <row r="2411">
          <cell r="C2411" t="str">
            <v>여전</v>
          </cell>
          <cell r="E2411" t="str">
            <v>산은캐피탈</v>
          </cell>
          <cell r="H2411">
            <v>1000</v>
          </cell>
          <cell r="I2411">
            <v>0</v>
          </cell>
        </row>
        <row r="2412">
          <cell r="C2412" t="str">
            <v>여전</v>
          </cell>
          <cell r="E2412" t="str">
            <v>산은캐피탈</v>
          </cell>
          <cell r="H2412">
            <v>1000</v>
          </cell>
          <cell r="I2412">
            <v>0</v>
          </cell>
        </row>
        <row r="2413">
          <cell r="C2413" t="str">
            <v>여전</v>
          </cell>
          <cell r="E2413" t="str">
            <v>산은캐피탈</v>
          </cell>
          <cell r="H2413">
            <v>10</v>
          </cell>
          <cell r="I2413">
            <v>20000</v>
          </cell>
        </row>
        <row r="2414">
          <cell r="C2414" t="str">
            <v>여전</v>
          </cell>
          <cell r="E2414" t="str">
            <v>산은캐피탈</v>
          </cell>
          <cell r="H2414">
            <v>329</v>
          </cell>
          <cell r="I2414">
            <v>6000</v>
          </cell>
        </row>
        <row r="2415">
          <cell r="C2415" t="str">
            <v>여전</v>
          </cell>
          <cell r="E2415" t="str">
            <v>산은캐피탈</v>
          </cell>
          <cell r="H2415">
            <v>44</v>
          </cell>
          <cell r="I2415">
            <v>17000</v>
          </cell>
        </row>
        <row r="2416">
          <cell r="C2416" t="str">
            <v>여전</v>
          </cell>
          <cell r="E2416" t="str">
            <v>산은캐피탈</v>
          </cell>
          <cell r="H2416">
            <v>44</v>
          </cell>
          <cell r="I2416">
            <v>13000</v>
          </cell>
        </row>
        <row r="2417">
          <cell r="C2417" t="str">
            <v>여전</v>
          </cell>
          <cell r="E2417" t="str">
            <v>산은캐피탈</v>
          </cell>
          <cell r="H2417">
            <v>67</v>
          </cell>
          <cell r="I2417">
            <v>2222</v>
          </cell>
        </row>
        <row r="2418">
          <cell r="C2418" t="str">
            <v>여전</v>
          </cell>
          <cell r="E2418" t="str">
            <v>산은캐피탈</v>
          </cell>
          <cell r="H2418">
            <v>1000</v>
          </cell>
          <cell r="I2418">
            <v>12000</v>
          </cell>
        </row>
        <row r="2419">
          <cell r="C2419" t="str">
            <v>여전</v>
          </cell>
          <cell r="E2419" t="str">
            <v>산은캐피탈</v>
          </cell>
          <cell r="H2419">
            <v>44</v>
          </cell>
          <cell r="I2419">
            <v>20000</v>
          </cell>
        </row>
        <row r="2420">
          <cell r="C2420" t="str">
            <v>여전</v>
          </cell>
          <cell r="E2420" t="str">
            <v>산은캐피탈</v>
          </cell>
          <cell r="H2420">
            <v>52</v>
          </cell>
          <cell r="I2420">
            <v>3600</v>
          </cell>
        </row>
        <row r="2421">
          <cell r="C2421" t="str">
            <v>여전</v>
          </cell>
          <cell r="E2421" t="str">
            <v>산은캐피탈</v>
          </cell>
          <cell r="H2421">
            <v>52</v>
          </cell>
          <cell r="I2421">
            <v>11400</v>
          </cell>
        </row>
        <row r="2422">
          <cell r="C2422" t="str">
            <v>여전</v>
          </cell>
          <cell r="E2422" t="str">
            <v>산은캐피탈</v>
          </cell>
          <cell r="H2422">
            <v>10</v>
          </cell>
          <cell r="I2422">
            <v>30000</v>
          </cell>
        </row>
        <row r="2423">
          <cell r="C2423" t="str">
            <v>여전</v>
          </cell>
          <cell r="E2423" t="str">
            <v>산은캐피탈</v>
          </cell>
          <cell r="H2423">
            <v>1000</v>
          </cell>
          <cell r="I2423">
            <v>0</v>
          </cell>
        </row>
        <row r="2424">
          <cell r="C2424" t="str">
            <v>여전</v>
          </cell>
          <cell r="E2424" t="str">
            <v>산은캐피탈</v>
          </cell>
          <cell r="H2424">
            <v>56</v>
          </cell>
          <cell r="I2424">
            <v>10000</v>
          </cell>
        </row>
        <row r="2425">
          <cell r="C2425" t="str">
            <v>여전</v>
          </cell>
          <cell r="E2425" t="str">
            <v>산은캐피탈</v>
          </cell>
          <cell r="H2425">
            <v>17</v>
          </cell>
          <cell r="I2425">
            <v>6000</v>
          </cell>
        </row>
        <row r="2426">
          <cell r="C2426" t="str">
            <v>여전</v>
          </cell>
          <cell r="E2426" t="str">
            <v>산은캐피탈</v>
          </cell>
          <cell r="H2426">
            <v>1000</v>
          </cell>
          <cell r="I2426">
            <v>0</v>
          </cell>
        </row>
        <row r="2427">
          <cell r="C2427" t="str">
            <v>여전</v>
          </cell>
          <cell r="E2427" t="str">
            <v>산은캐피탈</v>
          </cell>
          <cell r="H2427">
            <v>1000</v>
          </cell>
          <cell r="I2427">
            <v>0</v>
          </cell>
        </row>
        <row r="2428">
          <cell r="C2428" t="str">
            <v>여전</v>
          </cell>
          <cell r="E2428" t="str">
            <v>산은캐피탈</v>
          </cell>
          <cell r="H2428">
            <v>60</v>
          </cell>
          <cell r="I2428">
            <v>17600</v>
          </cell>
        </row>
        <row r="2429">
          <cell r="C2429" t="str">
            <v>여전</v>
          </cell>
          <cell r="E2429" t="str">
            <v>산은캐피탈</v>
          </cell>
          <cell r="H2429">
            <v>1000</v>
          </cell>
          <cell r="I2429">
            <v>0</v>
          </cell>
        </row>
        <row r="2430">
          <cell r="C2430" t="str">
            <v>여전</v>
          </cell>
          <cell r="E2430" t="str">
            <v>산은캐피탈</v>
          </cell>
          <cell r="H2430">
            <v>1000</v>
          </cell>
          <cell r="I2430">
            <v>0</v>
          </cell>
        </row>
        <row r="2431">
          <cell r="C2431" t="str">
            <v>여전</v>
          </cell>
          <cell r="E2431" t="str">
            <v>산은캐피탈</v>
          </cell>
          <cell r="H2431">
            <v>123</v>
          </cell>
          <cell r="I2431">
            <v>9000</v>
          </cell>
        </row>
        <row r="2432">
          <cell r="C2432" t="str">
            <v>여전</v>
          </cell>
          <cell r="E2432" t="str">
            <v>산은캐피탈</v>
          </cell>
          <cell r="H2432">
            <v>94</v>
          </cell>
          <cell r="I2432">
            <v>5988</v>
          </cell>
        </row>
        <row r="2433">
          <cell r="C2433" t="str">
            <v>여전</v>
          </cell>
          <cell r="E2433" t="str">
            <v>산은캐피탈</v>
          </cell>
          <cell r="H2433">
            <v>94</v>
          </cell>
          <cell r="I2433">
            <v>12000</v>
          </cell>
        </row>
        <row r="2434">
          <cell r="C2434" t="str">
            <v>여전</v>
          </cell>
          <cell r="E2434" t="str">
            <v>산은캐피탈</v>
          </cell>
          <cell r="H2434">
            <v>94</v>
          </cell>
          <cell r="I2434">
            <v>20000</v>
          </cell>
        </row>
        <row r="2435">
          <cell r="C2435" t="str">
            <v>여전</v>
          </cell>
          <cell r="E2435" t="str">
            <v>산은캐피탈</v>
          </cell>
          <cell r="H2435">
            <v>62</v>
          </cell>
          <cell r="I2435">
            <v>0</v>
          </cell>
        </row>
        <row r="2436">
          <cell r="C2436" t="str">
            <v>여전</v>
          </cell>
          <cell r="E2436" t="str">
            <v>산은캐피탈</v>
          </cell>
          <cell r="H2436">
            <v>33</v>
          </cell>
          <cell r="I2436">
            <v>14000</v>
          </cell>
        </row>
        <row r="2437">
          <cell r="C2437" t="str">
            <v>여전</v>
          </cell>
          <cell r="E2437" t="str">
            <v>산은캐피탈</v>
          </cell>
          <cell r="H2437">
            <v>49</v>
          </cell>
          <cell r="I2437">
            <v>0</v>
          </cell>
        </row>
        <row r="2438">
          <cell r="C2438" t="str">
            <v>여전</v>
          </cell>
          <cell r="E2438" t="str">
            <v>산은캐피탈</v>
          </cell>
          <cell r="H2438">
            <v>49</v>
          </cell>
          <cell r="I2438">
            <v>0</v>
          </cell>
        </row>
        <row r="2439">
          <cell r="C2439" t="str">
            <v>여전</v>
          </cell>
          <cell r="E2439" t="str">
            <v>산은캐피탈</v>
          </cell>
          <cell r="H2439">
            <v>49</v>
          </cell>
          <cell r="I2439">
            <v>9439</v>
          </cell>
        </row>
        <row r="2440">
          <cell r="C2440" t="str">
            <v>여전</v>
          </cell>
          <cell r="E2440" t="str">
            <v>산은캐피탈</v>
          </cell>
          <cell r="H2440">
            <v>49</v>
          </cell>
          <cell r="I2440">
            <v>0</v>
          </cell>
        </row>
        <row r="2441">
          <cell r="C2441" t="str">
            <v>여전</v>
          </cell>
          <cell r="E2441" t="str">
            <v>산은캐피탈</v>
          </cell>
          <cell r="H2441">
            <v>49</v>
          </cell>
          <cell r="I2441">
            <v>0</v>
          </cell>
        </row>
        <row r="2442">
          <cell r="C2442" t="str">
            <v>여전</v>
          </cell>
          <cell r="E2442" t="str">
            <v>산은캐피탈</v>
          </cell>
          <cell r="H2442">
            <v>49</v>
          </cell>
          <cell r="I2442">
            <v>11062</v>
          </cell>
        </row>
        <row r="2443">
          <cell r="C2443" t="str">
            <v>여전</v>
          </cell>
          <cell r="E2443" t="str">
            <v>산은캐피탈</v>
          </cell>
          <cell r="H2443">
            <v>191</v>
          </cell>
          <cell r="I2443">
            <v>18000</v>
          </cell>
        </row>
        <row r="2444">
          <cell r="C2444" t="str">
            <v>여전</v>
          </cell>
          <cell r="E2444" t="str">
            <v>산은캐피탈</v>
          </cell>
          <cell r="H2444">
            <v>55</v>
          </cell>
          <cell r="I2444">
            <v>26683</v>
          </cell>
        </row>
        <row r="2445">
          <cell r="C2445" t="str">
            <v>여전</v>
          </cell>
          <cell r="E2445" t="str">
            <v>산은캐피탈</v>
          </cell>
          <cell r="H2445">
            <v>35</v>
          </cell>
          <cell r="I2445">
            <v>50000</v>
          </cell>
        </row>
        <row r="2446">
          <cell r="C2446" t="str">
            <v>여전</v>
          </cell>
          <cell r="E2446" t="str">
            <v>산은캐피탈</v>
          </cell>
          <cell r="H2446">
            <v>60</v>
          </cell>
          <cell r="I2446">
            <v>13011</v>
          </cell>
        </row>
        <row r="2447">
          <cell r="C2447" t="str">
            <v>여전</v>
          </cell>
          <cell r="E2447" t="str">
            <v>산은캐피탈</v>
          </cell>
          <cell r="H2447">
            <v>61</v>
          </cell>
          <cell r="I2447">
            <v>10000</v>
          </cell>
        </row>
        <row r="2448">
          <cell r="C2448" t="str">
            <v>여전</v>
          </cell>
          <cell r="E2448" t="str">
            <v>산은캐피탈</v>
          </cell>
          <cell r="H2448">
            <v>12</v>
          </cell>
          <cell r="I2448">
            <v>11000</v>
          </cell>
        </row>
        <row r="2449">
          <cell r="C2449" t="str">
            <v>여전</v>
          </cell>
          <cell r="E2449" t="str">
            <v>외환캐피탈</v>
          </cell>
          <cell r="H2449">
            <v>1000</v>
          </cell>
          <cell r="I2449">
            <v>0</v>
          </cell>
        </row>
        <row r="2450">
          <cell r="C2450" t="str">
            <v>여전</v>
          </cell>
          <cell r="E2450" t="str">
            <v>외환캐피탈</v>
          </cell>
          <cell r="H2450">
            <v>1000</v>
          </cell>
          <cell r="I2450">
            <v>0</v>
          </cell>
        </row>
        <row r="2451">
          <cell r="C2451" t="str">
            <v>여전</v>
          </cell>
          <cell r="E2451" t="str">
            <v>외환캐피탈</v>
          </cell>
          <cell r="H2451">
            <v>61</v>
          </cell>
          <cell r="I2451">
            <v>10000</v>
          </cell>
        </row>
        <row r="2452">
          <cell r="C2452" t="str">
            <v>여전</v>
          </cell>
          <cell r="E2452" t="str">
            <v>외환캐피탈</v>
          </cell>
          <cell r="H2452">
            <v>97</v>
          </cell>
          <cell r="I2452">
            <v>5000</v>
          </cell>
        </row>
        <row r="2453">
          <cell r="C2453" t="str">
            <v>여전</v>
          </cell>
          <cell r="E2453" t="str">
            <v>외환캐피탈</v>
          </cell>
          <cell r="H2453">
            <v>44</v>
          </cell>
          <cell r="I2453">
            <v>20000</v>
          </cell>
        </row>
        <row r="2454">
          <cell r="C2454" t="str">
            <v>여전</v>
          </cell>
          <cell r="E2454" t="str">
            <v>외환캐피탈</v>
          </cell>
          <cell r="H2454">
            <v>29</v>
          </cell>
          <cell r="I2454">
            <v>35000</v>
          </cell>
        </row>
        <row r="2455">
          <cell r="C2455" t="str">
            <v>여전</v>
          </cell>
          <cell r="E2455" t="str">
            <v>외환캐피탈</v>
          </cell>
          <cell r="H2455">
            <v>10</v>
          </cell>
          <cell r="I2455">
            <v>0</v>
          </cell>
        </row>
        <row r="2456">
          <cell r="C2456" t="str">
            <v>여전</v>
          </cell>
          <cell r="E2456" t="str">
            <v>외환캐피탈</v>
          </cell>
          <cell r="H2456">
            <v>10</v>
          </cell>
          <cell r="I2456">
            <v>10000</v>
          </cell>
        </row>
        <row r="2457">
          <cell r="C2457" t="str">
            <v>여전</v>
          </cell>
          <cell r="E2457" t="str">
            <v>외환캐피탈</v>
          </cell>
          <cell r="H2457">
            <v>16</v>
          </cell>
          <cell r="I2457">
            <v>10000</v>
          </cell>
        </row>
        <row r="2458">
          <cell r="C2458" t="str">
            <v>여전</v>
          </cell>
          <cell r="E2458" t="str">
            <v>외환캐피탈</v>
          </cell>
          <cell r="H2458">
            <v>44</v>
          </cell>
          <cell r="I2458">
            <v>5000</v>
          </cell>
        </row>
        <row r="2459">
          <cell r="C2459" t="str">
            <v>여전</v>
          </cell>
          <cell r="E2459" t="str">
            <v>외환캐피탈</v>
          </cell>
          <cell r="H2459">
            <v>45</v>
          </cell>
          <cell r="I2459">
            <v>8840</v>
          </cell>
        </row>
        <row r="2460">
          <cell r="C2460" t="str">
            <v>여전</v>
          </cell>
          <cell r="E2460" t="str">
            <v>외환캐피탈</v>
          </cell>
          <cell r="H2460">
            <v>32</v>
          </cell>
          <cell r="I2460">
            <v>8500</v>
          </cell>
        </row>
        <row r="2461">
          <cell r="C2461" t="str">
            <v>여전</v>
          </cell>
          <cell r="E2461" t="str">
            <v>외환캐피탈</v>
          </cell>
          <cell r="H2461">
            <v>56</v>
          </cell>
          <cell r="I2461">
            <v>13500</v>
          </cell>
        </row>
        <row r="2462">
          <cell r="C2462" t="str">
            <v>여전</v>
          </cell>
          <cell r="E2462" t="str">
            <v>외환캐피탈</v>
          </cell>
          <cell r="H2462">
            <v>56</v>
          </cell>
          <cell r="I2462">
            <v>20000</v>
          </cell>
        </row>
        <row r="2463">
          <cell r="C2463" t="str">
            <v>여전</v>
          </cell>
          <cell r="E2463" t="str">
            <v>외환캐피탈</v>
          </cell>
          <cell r="H2463">
            <v>1</v>
          </cell>
          <cell r="I2463">
            <v>0</v>
          </cell>
        </row>
        <row r="2464">
          <cell r="C2464" t="str">
            <v>여전</v>
          </cell>
          <cell r="E2464" t="str">
            <v>외환캐피탈</v>
          </cell>
          <cell r="H2464">
            <v>44</v>
          </cell>
          <cell r="I2464">
            <v>5000</v>
          </cell>
        </row>
        <row r="2465">
          <cell r="C2465" t="str">
            <v>여전</v>
          </cell>
          <cell r="E2465" t="str">
            <v>외환캐피탈</v>
          </cell>
          <cell r="H2465">
            <v>1000</v>
          </cell>
          <cell r="I2465">
            <v>0</v>
          </cell>
        </row>
        <row r="2466">
          <cell r="C2466" t="str">
            <v>여전</v>
          </cell>
          <cell r="E2466" t="str">
            <v>외환캐피탈</v>
          </cell>
          <cell r="H2466">
            <v>1000</v>
          </cell>
          <cell r="I2466">
            <v>0</v>
          </cell>
        </row>
        <row r="2467">
          <cell r="C2467" t="str">
            <v>여전</v>
          </cell>
          <cell r="E2467" t="str">
            <v>외환캐피탈</v>
          </cell>
          <cell r="H2467">
            <v>108</v>
          </cell>
          <cell r="I2467">
            <v>1563</v>
          </cell>
        </row>
        <row r="2468">
          <cell r="C2468" t="str">
            <v>여전</v>
          </cell>
          <cell r="E2468" t="str">
            <v>외환캐피탈</v>
          </cell>
          <cell r="H2468">
            <v>83</v>
          </cell>
          <cell r="I2468">
            <v>1563</v>
          </cell>
        </row>
        <row r="2469">
          <cell r="C2469" t="str">
            <v>여전</v>
          </cell>
          <cell r="E2469" t="str">
            <v>외환캐피탈</v>
          </cell>
          <cell r="H2469">
            <v>134</v>
          </cell>
          <cell r="I2469">
            <v>1563</v>
          </cell>
        </row>
        <row r="2470">
          <cell r="C2470" t="str">
            <v>여전</v>
          </cell>
          <cell r="E2470" t="str">
            <v>외환캐피탈</v>
          </cell>
          <cell r="H2470">
            <v>1000</v>
          </cell>
          <cell r="I2470">
            <v>0</v>
          </cell>
        </row>
        <row r="2471">
          <cell r="C2471" t="str">
            <v>여전</v>
          </cell>
          <cell r="E2471" t="str">
            <v>외환캐피탈</v>
          </cell>
          <cell r="H2471">
            <v>17</v>
          </cell>
          <cell r="I2471">
            <v>10000</v>
          </cell>
        </row>
        <row r="2472">
          <cell r="C2472" t="str">
            <v>여전</v>
          </cell>
          <cell r="E2472" t="str">
            <v>외환캐피탈</v>
          </cell>
          <cell r="H2472">
            <v>32</v>
          </cell>
          <cell r="I2472">
            <v>13600</v>
          </cell>
        </row>
        <row r="2473">
          <cell r="C2473" t="str">
            <v>여전</v>
          </cell>
          <cell r="E2473" t="str">
            <v>외환캐피탈</v>
          </cell>
          <cell r="H2473">
            <v>10</v>
          </cell>
          <cell r="I2473">
            <v>10000</v>
          </cell>
        </row>
        <row r="2474">
          <cell r="C2474" t="str">
            <v>여전</v>
          </cell>
          <cell r="E2474" t="str">
            <v>외환캐피탈</v>
          </cell>
          <cell r="H2474">
            <v>103</v>
          </cell>
          <cell r="I2474">
            <v>10000</v>
          </cell>
        </row>
        <row r="2475">
          <cell r="C2475" t="str">
            <v>여전</v>
          </cell>
          <cell r="E2475" t="str">
            <v>외환캐피탈</v>
          </cell>
          <cell r="H2475">
            <v>52</v>
          </cell>
          <cell r="I2475">
            <v>10000</v>
          </cell>
        </row>
        <row r="2476">
          <cell r="C2476" t="str">
            <v>여전</v>
          </cell>
          <cell r="E2476" t="str">
            <v>외환캐피탈</v>
          </cell>
          <cell r="H2476">
            <v>17</v>
          </cell>
          <cell r="I2476">
            <v>4000</v>
          </cell>
        </row>
        <row r="2477">
          <cell r="C2477" t="str">
            <v>여전</v>
          </cell>
          <cell r="E2477" t="str">
            <v>외환캐피탈</v>
          </cell>
          <cell r="H2477">
            <v>135</v>
          </cell>
          <cell r="I2477">
            <v>10000</v>
          </cell>
        </row>
        <row r="2478">
          <cell r="C2478" t="str">
            <v>여전</v>
          </cell>
          <cell r="E2478" t="str">
            <v>외환캐피탈</v>
          </cell>
          <cell r="H2478">
            <v>8</v>
          </cell>
          <cell r="I2478">
            <v>20000</v>
          </cell>
        </row>
        <row r="2479">
          <cell r="C2479" t="str">
            <v>여전</v>
          </cell>
          <cell r="E2479" t="str">
            <v>외환캐피탈</v>
          </cell>
          <cell r="H2479">
            <v>1000</v>
          </cell>
          <cell r="I2479">
            <v>0</v>
          </cell>
        </row>
        <row r="2480">
          <cell r="C2480" t="str">
            <v>여전</v>
          </cell>
          <cell r="E2480" t="str">
            <v>우리기술투자</v>
          </cell>
          <cell r="H2480">
            <v>169</v>
          </cell>
          <cell r="I2480">
            <v>10000</v>
          </cell>
        </row>
        <row r="2481">
          <cell r="C2481" t="str">
            <v>여전</v>
          </cell>
          <cell r="E2481" t="str">
            <v>우리기술투자</v>
          </cell>
          <cell r="H2481">
            <v>172</v>
          </cell>
          <cell r="I2481">
            <v>6000</v>
          </cell>
        </row>
        <row r="2482">
          <cell r="C2482" t="str">
            <v>여전</v>
          </cell>
          <cell r="E2482" t="str">
            <v>우리기술투자</v>
          </cell>
          <cell r="H2482">
            <v>41</v>
          </cell>
          <cell r="I2482">
            <v>5000</v>
          </cell>
        </row>
        <row r="2483">
          <cell r="C2483" t="str">
            <v>여전</v>
          </cell>
          <cell r="E2483" t="str">
            <v>우리캐피탈</v>
          </cell>
          <cell r="H2483">
            <v>44</v>
          </cell>
          <cell r="I2483">
            <v>6500</v>
          </cell>
        </row>
        <row r="2484">
          <cell r="C2484" t="str">
            <v>여전</v>
          </cell>
          <cell r="E2484" t="str">
            <v>우리캐피탈</v>
          </cell>
          <cell r="H2484">
            <v>44</v>
          </cell>
          <cell r="I2484">
            <v>500</v>
          </cell>
        </row>
        <row r="2485">
          <cell r="C2485" t="str">
            <v>여전</v>
          </cell>
          <cell r="E2485" t="str">
            <v>파이낸스타</v>
          </cell>
          <cell r="H2485">
            <v>1000</v>
          </cell>
          <cell r="I2485">
            <v>0</v>
          </cell>
        </row>
        <row r="2486">
          <cell r="C2486" t="str">
            <v>여전</v>
          </cell>
          <cell r="E2486" t="str">
            <v>파이낸스타</v>
          </cell>
          <cell r="H2486">
            <v>1000</v>
          </cell>
          <cell r="I2486">
            <v>0</v>
          </cell>
        </row>
        <row r="2487">
          <cell r="C2487" t="str">
            <v>여전</v>
          </cell>
          <cell r="E2487" t="str">
            <v>한국개발금융</v>
          </cell>
          <cell r="H2487">
            <v>54</v>
          </cell>
          <cell r="I2487">
            <v>21081</v>
          </cell>
        </row>
        <row r="2488">
          <cell r="C2488" t="str">
            <v>여전</v>
          </cell>
          <cell r="E2488" t="str">
            <v>한국개발금융</v>
          </cell>
          <cell r="H2488">
            <v>45</v>
          </cell>
          <cell r="I2488">
            <v>10000</v>
          </cell>
        </row>
        <row r="2489">
          <cell r="C2489" t="str">
            <v>여전</v>
          </cell>
          <cell r="E2489" t="str">
            <v>한국개발금융</v>
          </cell>
          <cell r="H2489">
            <v>33</v>
          </cell>
          <cell r="I2489">
            <v>0</v>
          </cell>
        </row>
        <row r="2490">
          <cell r="C2490" t="str">
            <v>여전</v>
          </cell>
          <cell r="E2490" t="str">
            <v>한국개발금융</v>
          </cell>
          <cell r="H2490">
            <v>45</v>
          </cell>
          <cell r="I2490">
            <v>15000</v>
          </cell>
        </row>
        <row r="2491">
          <cell r="C2491" t="str">
            <v>여전</v>
          </cell>
          <cell r="E2491" t="str">
            <v>한국개발금융</v>
          </cell>
          <cell r="H2491">
            <v>1000</v>
          </cell>
          <cell r="I2491">
            <v>0</v>
          </cell>
        </row>
        <row r="2492">
          <cell r="C2492" t="str">
            <v>여전</v>
          </cell>
          <cell r="E2492" t="str">
            <v>한국개발금융</v>
          </cell>
          <cell r="H2492">
            <v>1000</v>
          </cell>
          <cell r="I2492">
            <v>0</v>
          </cell>
        </row>
        <row r="2493">
          <cell r="C2493" t="str">
            <v>여전</v>
          </cell>
          <cell r="E2493" t="str">
            <v>한국개발금융</v>
          </cell>
          <cell r="H2493">
            <v>258</v>
          </cell>
          <cell r="I2493">
            <v>49500</v>
          </cell>
        </row>
        <row r="2494">
          <cell r="C2494" t="str">
            <v>여전</v>
          </cell>
          <cell r="E2494" t="str">
            <v>한국개발금융</v>
          </cell>
          <cell r="H2494">
            <v>56</v>
          </cell>
          <cell r="I2494">
            <v>21700</v>
          </cell>
        </row>
        <row r="2495">
          <cell r="C2495" t="str">
            <v>여전</v>
          </cell>
          <cell r="E2495" t="str">
            <v>한국개발금융</v>
          </cell>
          <cell r="H2495">
            <v>1000</v>
          </cell>
          <cell r="I2495">
            <v>0</v>
          </cell>
        </row>
        <row r="2496">
          <cell r="C2496" t="str">
            <v>여전</v>
          </cell>
          <cell r="E2496" t="str">
            <v>한국개발금융</v>
          </cell>
          <cell r="H2496">
            <v>76</v>
          </cell>
          <cell r="I2496">
            <v>20000</v>
          </cell>
        </row>
        <row r="2497">
          <cell r="C2497" t="str">
            <v>여전</v>
          </cell>
          <cell r="E2497" t="str">
            <v>한국개발금융</v>
          </cell>
          <cell r="H2497">
            <v>7</v>
          </cell>
          <cell r="I2497">
            <v>0</v>
          </cell>
        </row>
        <row r="2498">
          <cell r="C2498" t="str">
            <v>여전</v>
          </cell>
          <cell r="E2498" t="str">
            <v>한국개발금융</v>
          </cell>
          <cell r="H2498">
            <v>10</v>
          </cell>
          <cell r="I2498">
            <v>0</v>
          </cell>
        </row>
        <row r="2499">
          <cell r="C2499" t="str">
            <v>여전</v>
          </cell>
          <cell r="E2499" t="str">
            <v>한국종합캐피탈</v>
          </cell>
          <cell r="H2499">
            <v>44</v>
          </cell>
          <cell r="I2499">
            <v>3000</v>
          </cell>
        </row>
        <row r="2500">
          <cell r="C2500" t="str">
            <v>여전</v>
          </cell>
          <cell r="E2500" t="str">
            <v>한국종합캐피탈</v>
          </cell>
          <cell r="H2500">
            <v>1</v>
          </cell>
          <cell r="I2500">
            <v>0</v>
          </cell>
        </row>
        <row r="2501">
          <cell r="C2501" t="str">
            <v>여전</v>
          </cell>
          <cell r="E2501" t="str">
            <v>한국종합캐피탈</v>
          </cell>
          <cell r="H2501">
            <v>10</v>
          </cell>
          <cell r="I2501">
            <v>110</v>
          </cell>
        </row>
        <row r="2502">
          <cell r="C2502" t="str">
            <v>여전</v>
          </cell>
          <cell r="E2502" t="str">
            <v>한국종합캐피탈</v>
          </cell>
          <cell r="H2502">
            <v>21</v>
          </cell>
          <cell r="I2502">
            <v>3000</v>
          </cell>
        </row>
        <row r="2503">
          <cell r="C2503" t="str">
            <v>여전</v>
          </cell>
          <cell r="E2503" t="str">
            <v>현대커머셜</v>
          </cell>
          <cell r="H2503">
            <v>94</v>
          </cell>
          <cell r="I2503">
            <v>2000</v>
          </cell>
        </row>
        <row r="2504">
          <cell r="C2504" t="str">
            <v>여전</v>
          </cell>
          <cell r="E2504" t="str">
            <v>현대커머셜</v>
          </cell>
          <cell r="H2504">
            <v>17</v>
          </cell>
          <cell r="I2504">
            <v>10000</v>
          </cell>
        </row>
        <row r="2505">
          <cell r="C2505" t="str">
            <v>여전</v>
          </cell>
          <cell r="E2505" t="str">
            <v>현대커머셜</v>
          </cell>
          <cell r="H2505">
            <v>44</v>
          </cell>
          <cell r="I2505">
            <v>7000</v>
          </cell>
        </row>
        <row r="2506">
          <cell r="C2506" t="str">
            <v>여전</v>
          </cell>
          <cell r="E2506" t="str">
            <v>효성캐피탈</v>
          </cell>
          <cell r="H2506">
            <v>21</v>
          </cell>
          <cell r="I2506">
            <v>11295</v>
          </cell>
        </row>
        <row r="2507">
          <cell r="C2507" t="str">
            <v>여전</v>
          </cell>
          <cell r="E2507" t="str">
            <v>효성캐피탈</v>
          </cell>
          <cell r="H2507">
            <v>75</v>
          </cell>
          <cell r="I2507">
            <v>1729</v>
          </cell>
        </row>
        <row r="2508">
          <cell r="C2508" t="str">
            <v>여전</v>
          </cell>
          <cell r="E2508" t="str">
            <v>효성캐피탈</v>
          </cell>
          <cell r="H2508">
            <v>75</v>
          </cell>
          <cell r="I2508">
            <v>4017</v>
          </cell>
        </row>
        <row r="2509">
          <cell r="C2509" t="str">
            <v>여전</v>
          </cell>
          <cell r="E2509" t="str">
            <v>효성캐피탈</v>
          </cell>
          <cell r="H2509">
            <v>75</v>
          </cell>
          <cell r="I2509">
            <v>11600</v>
          </cell>
        </row>
        <row r="2510">
          <cell r="C2510" t="str">
            <v>여전</v>
          </cell>
          <cell r="E2510" t="str">
            <v>효성캐피탈</v>
          </cell>
          <cell r="H2510">
            <v>285</v>
          </cell>
          <cell r="I2510">
            <v>22000</v>
          </cell>
        </row>
        <row r="2511">
          <cell r="C2511" t="str">
            <v>여전</v>
          </cell>
          <cell r="E2511" t="str">
            <v>효성캐피탈</v>
          </cell>
          <cell r="H2511">
            <v>75</v>
          </cell>
          <cell r="I2511">
            <v>13000</v>
          </cell>
        </row>
        <row r="2512">
          <cell r="C2512" t="str">
            <v>여전</v>
          </cell>
          <cell r="E2512" t="str">
            <v>효성캐피탈</v>
          </cell>
          <cell r="H2512">
            <v>75</v>
          </cell>
          <cell r="I2512">
            <v>9615</v>
          </cell>
        </row>
        <row r="2513">
          <cell r="C2513" t="str">
            <v>여전</v>
          </cell>
          <cell r="E2513" t="str">
            <v>한국캐피탈</v>
          </cell>
          <cell r="H2513">
            <v>14</v>
          </cell>
          <cell r="I2513">
            <v>0</v>
          </cell>
        </row>
        <row r="2514">
          <cell r="C2514" t="str">
            <v>여전</v>
          </cell>
          <cell r="E2514" t="str">
            <v>한국캐피탈</v>
          </cell>
          <cell r="H2514">
            <v>329</v>
          </cell>
          <cell r="I2514">
            <v>3240</v>
          </cell>
        </row>
        <row r="2515">
          <cell r="C2515" t="str">
            <v>여전</v>
          </cell>
          <cell r="E2515" t="str">
            <v>한국캐피탈</v>
          </cell>
          <cell r="H2515">
            <v>54</v>
          </cell>
          <cell r="I2515">
            <v>3571</v>
          </cell>
        </row>
        <row r="2516">
          <cell r="C2516" t="str">
            <v>여전</v>
          </cell>
          <cell r="E2516" t="str">
            <v>한국캐피탈</v>
          </cell>
          <cell r="H2516">
            <v>329</v>
          </cell>
          <cell r="I2516">
            <v>15000</v>
          </cell>
        </row>
        <row r="2517">
          <cell r="C2517" t="str">
            <v>여전</v>
          </cell>
          <cell r="E2517" t="str">
            <v>한국캐피탈</v>
          </cell>
          <cell r="H2517">
            <v>62</v>
          </cell>
          <cell r="I2517">
            <v>0</v>
          </cell>
        </row>
        <row r="2518">
          <cell r="C2518" t="str">
            <v>여전</v>
          </cell>
          <cell r="E2518" t="str">
            <v>한국캐피탈</v>
          </cell>
          <cell r="H2518">
            <v>249</v>
          </cell>
          <cell r="I2518">
            <v>0</v>
          </cell>
        </row>
        <row r="2519">
          <cell r="C2519" t="str">
            <v>여전</v>
          </cell>
          <cell r="E2519" t="str">
            <v>한국캐피탈</v>
          </cell>
          <cell r="H2519">
            <v>1000</v>
          </cell>
          <cell r="I2519">
            <v>0</v>
          </cell>
        </row>
        <row r="2520">
          <cell r="C2520" t="str">
            <v>여전</v>
          </cell>
          <cell r="E2520" t="str">
            <v>한국캐피탈</v>
          </cell>
          <cell r="H2520">
            <v>61</v>
          </cell>
          <cell r="I2520">
            <v>10000</v>
          </cell>
        </row>
        <row r="2521">
          <cell r="C2521" t="str">
            <v>여전</v>
          </cell>
          <cell r="E2521" t="str">
            <v>한국캐피탈</v>
          </cell>
          <cell r="H2521">
            <v>8</v>
          </cell>
          <cell r="I2521">
            <v>0</v>
          </cell>
        </row>
        <row r="2522">
          <cell r="C2522" t="str">
            <v>여전</v>
          </cell>
          <cell r="E2522" t="str">
            <v>한국캐피탈</v>
          </cell>
          <cell r="H2522">
            <v>44</v>
          </cell>
          <cell r="I2522">
            <v>2000</v>
          </cell>
        </row>
        <row r="2523">
          <cell r="C2523" t="str">
            <v>여전</v>
          </cell>
          <cell r="E2523" t="str">
            <v>한국캐피탈</v>
          </cell>
          <cell r="H2523">
            <v>61</v>
          </cell>
          <cell r="I2523">
            <v>10000</v>
          </cell>
        </row>
        <row r="2524">
          <cell r="C2524" t="str">
            <v>여전</v>
          </cell>
          <cell r="E2524" t="str">
            <v>한국캐피탈</v>
          </cell>
          <cell r="H2524">
            <v>182</v>
          </cell>
          <cell r="I2524">
            <v>16000</v>
          </cell>
        </row>
        <row r="2525">
          <cell r="C2525" t="str">
            <v>여전</v>
          </cell>
          <cell r="E2525" t="str">
            <v>한국캐피탈</v>
          </cell>
          <cell r="H2525">
            <v>44</v>
          </cell>
          <cell r="I2525">
            <v>0</v>
          </cell>
        </row>
        <row r="2526">
          <cell r="C2526" t="str">
            <v>여전</v>
          </cell>
          <cell r="E2526" t="str">
            <v>한국캐피탈</v>
          </cell>
          <cell r="H2526">
            <v>54</v>
          </cell>
          <cell r="I2526">
            <v>4000</v>
          </cell>
        </row>
        <row r="2527">
          <cell r="C2527" t="str">
            <v>여전</v>
          </cell>
          <cell r="E2527" t="str">
            <v>한국캐피탈</v>
          </cell>
          <cell r="H2527">
            <v>441</v>
          </cell>
          <cell r="I2527">
            <v>9500</v>
          </cell>
        </row>
        <row r="2528">
          <cell r="C2528" t="str">
            <v>여전</v>
          </cell>
          <cell r="E2528" t="str">
            <v>한국캐피탈</v>
          </cell>
          <cell r="H2528">
            <v>78</v>
          </cell>
          <cell r="I2528">
            <v>5000</v>
          </cell>
        </row>
        <row r="2529">
          <cell r="C2529" t="str">
            <v>여전</v>
          </cell>
          <cell r="E2529" t="str">
            <v>한국캐피탈</v>
          </cell>
          <cell r="H2529">
            <v>27</v>
          </cell>
          <cell r="I2529">
            <v>0</v>
          </cell>
        </row>
        <row r="2530">
          <cell r="C2530" t="str">
            <v>여전</v>
          </cell>
          <cell r="E2530" t="str">
            <v>한국캐피탈</v>
          </cell>
          <cell r="H2530">
            <v>178</v>
          </cell>
          <cell r="I2530">
            <v>8000</v>
          </cell>
        </row>
        <row r="2531">
          <cell r="C2531" t="str">
            <v>여전</v>
          </cell>
          <cell r="E2531" t="str">
            <v>한국캐피탈</v>
          </cell>
          <cell r="H2531">
            <v>182</v>
          </cell>
          <cell r="I2531">
            <v>15000</v>
          </cell>
        </row>
        <row r="2532">
          <cell r="C2532" t="str">
            <v>여전</v>
          </cell>
          <cell r="E2532" t="str">
            <v>한국캐피탈</v>
          </cell>
          <cell r="H2532">
            <v>80</v>
          </cell>
          <cell r="I2532">
            <v>6600</v>
          </cell>
        </row>
        <row r="2533">
          <cell r="C2533" t="str">
            <v>여전</v>
          </cell>
          <cell r="E2533" t="str">
            <v>한국캐피탈</v>
          </cell>
          <cell r="H2533">
            <v>441</v>
          </cell>
          <cell r="I2533">
            <v>10000</v>
          </cell>
        </row>
        <row r="2534">
          <cell r="C2534" t="str">
            <v>여전</v>
          </cell>
          <cell r="E2534" t="str">
            <v>한국캐피탈</v>
          </cell>
          <cell r="H2534">
            <v>3</v>
          </cell>
          <cell r="I2534">
            <v>0</v>
          </cell>
        </row>
        <row r="2535">
          <cell r="C2535" t="str">
            <v>여전</v>
          </cell>
          <cell r="E2535" t="str">
            <v>한국캐피탈</v>
          </cell>
          <cell r="H2535">
            <v>1000</v>
          </cell>
          <cell r="I2535">
            <v>0</v>
          </cell>
        </row>
        <row r="2536">
          <cell r="C2536" t="str">
            <v>여전</v>
          </cell>
          <cell r="E2536" t="str">
            <v>한국캐피탈</v>
          </cell>
          <cell r="H2536">
            <v>133</v>
          </cell>
          <cell r="I2536">
            <v>3000</v>
          </cell>
        </row>
        <row r="2537">
          <cell r="C2537" t="str">
            <v>여전</v>
          </cell>
          <cell r="E2537" t="str">
            <v>한국캐피탈</v>
          </cell>
          <cell r="H2537">
            <v>44</v>
          </cell>
          <cell r="I2537">
            <v>10000</v>
          </cell>
        </row>
        <row r="2538">
          <cell r="C2538" t="str">
            <v>여전</v>
          </cell>
          <cell r="E2538" t="str">
            <v>한국캐피탈</v>
          </cell>
          <cell r="H2538">
            <v>78</v>
          </cell>
          <cell r="I2538">
            <v>0</v>
          </cell>
        </row>
        <row r="2539">
          <cell r="C2539" t="str">
            <v>여전</v>
          </cell>
          <cell r="E2539" t="str">
            <v>한국캐피탈</v>
          </cell>
          <cell r="H2539">
            <v>123</v>
          </cell>
          <cell r="I2539">
            <v>7000</v>
          </cell>
        </row>
        <row r="2540">
          <cell r="C2540" t="str">
            <v>여전</v>
          </cell>
          <cell r="E2540" t="str">
            <v>한국캐피탈</v>
          </cell>
          <cell r="H2540">
            <v>41</v>
          </cell>
          <cell r="I2540">
            <v>10000</v>
          </cell>
        </row>
        <row r="2541">
          <cell r="C2541" t="str">
            <v>여전</v>
          </cell>
          <cell r="E2541" t="str">
            <v>한국캐피탈</v>
          </cell>
          <cell r="H2541">
            <v>41</v>
          </cell>
          <cell r="I2541">
            <v>1000</v>
          </cell>
        </row>
        <row r="2542">
          <cell r="C2542" t="str">
            <v>여전</v>
          </cell>
          <cell r="E2542" t="str">
            <v>한국캐피탈</v>
          </cell>
          <cell r="H2542">
            <v>8</v>
          </cell>
          <cell r="I2542">
            <v>10000</v>
          </cell>
        </row>
        <row r="2543">
          <cell r="C2543" t="str">
            <v>여전</v>
          </cell>
          <cell r="E2543" t="str">
            <v>한국캐피탈</v>
          </cell>
          <cell r="H2543">
            <v>52</v>
          </cell>
          <cell r="I2543">
            <v>10000</v>
          </cell>
        </row>
        <row r="2544">
          <cell r="C2544" t="str">
            <v>여전</v>
          </cell>
          <cell r="E2544" t="str">
            <v>우리파이낸셜</v>
          </cell>
          <cell r="H2544">
            <v>27</v>
          </cell>
          <cell r="I2544">
            <v>2550</v>
          </cell>
        </row>
        <row r="2545">
          <cell r="C2545" t="str">
            <v>여전</v>
          </cell>
          <cell r="E2545" t="str">
            <v>우리파이낸셜</v>
          </cell>
          <cell r="H2545">
            <v>34</v>
          </cell>
          <cell r="I2545">
            <v>20000</v>
          </cell>
        </row>
        <row r="2546">
          <cell r="C2546" t="str">
            <v>여전</v>
          </cell>
          <cell r="E2546" t="str">
            <v>우리파이낸셜</v>
          </cell>
          <cell r="H2546">
            <v>1000</v>
          </cell>
          <cell r="I2546">
            <v>0</v>
          </cell>
        </row>
        <row r="2547">
          <cell r="C2547" t="str">
            <v>여전</v>
          </cell>
          <cell r="E2547" t="str">
            <v>우리파이낸셜</v>
          </cell>
          <cell r="H2547">
            <v>44</v>
          </cell>
          <cell r="I2547">
            <v>7000</v>
          </cell>
        </row>
        <row r="2548">
          <cell r="C2548" t="str">
            <v>여전</v>
          </cell>
          <cell r="E2548" t="str">
            <v>우리파이낸셜</v>
          </cell>
          <cell r="H2548">
            <v>27</v>
          </cell>
          <cell r="I2548">
            <v>9000</v>
          </cell>
        </row>
        <row r="2549">
          <cell r="C2549" t="str">
            <v>여전</v>
          </cell>
          <cell r="E2549" t="str">
            <v>우리파이낸셜</v>
          </cell>
          <cell r="H2549">
            <v>1000</v>
          </cell>
          <cell r="I2549">
            <v>0</v>
          </cell>
        </row>
        <row r="2550">
          <cell r="C2550" t="str">
            <v>여전</v>
          </cell>
          <cell r="E2550" t="str">
            <v>우리파이낸셜</v>
          </cell>
          <cell r="H2550">
            <v>141</v>
          </cell>
          <cell r="I2550">
            <v>10000</v>
          </cell>
        </row>
        <row r="2551">
          <cell r="C2551" t="str">
            <v>여전</v>
          </cell>
          <cell r="E2551" t="str">
            <v>우리파이낸셜</v>
          </cell>
          <cell r="H2551">
            <v>376</v>
          </cell>
          <cell r="I2551">
            <v>5000</v>
          </cell>
        </row>
        <row r="2552">
          <cell r="C2552" t="str">
            <v>여전</v>
          </cell>
          <cell r="E2552" t="str">
            <v>우리파이낸셜</v>
          </cell>
          <cell r="H2552">
            <v>17</v>
          </cell>
          <cell r="I2552">
            <v>0</v>
          </cell>
        </row>
        <row r="2553">
          <cell r="C2553" t="str">
            <v>여전</v>
          </cell>
          <cell r="E2553" t="str">
            <v>우리파이낸셜</v>
          </cell>
          <cell r="H2553">
            <v>159</v>
          </cell>
          <cell r="I2553">
            <v>0</v>
          </cell>
        </row>
        <row r="2554">
          <cell r="C2554" t="str">
            <v>여전</v>
          </cell>
          <cell r="E2554" t="str">
            <v>하나캐피탈</v>
          </cell>
          <cell r="H2554">
            <v>3</v>
          </cell>
          <cell r="I2554">
            <v>0</v>
          </cell>
        </row>
        <row r="2555">
          <cell r="C2555" t="str">
            <v>여전</v>
          </cell>
          <cell r="E2555" t="str">
            <v>하나캐피탈</v>
          </cell>
          <cell r="H2555">
            <v>169</v>
          </cell>
          <cell r="I2555">
            <v>1000</v>
          </cell>
        </row>
        <row r="2556">
          <cell r="C2556" t="str">
            <v>여전</v>
          </cell>
          <cell r="E2556" t="str">
            <v>하나캐피탈</v>
          </cell>
          <cell r="H2556">
            <v>169</v>
          </cell>
          <cell r="I2556">
            <v>4777</v>
          </cell>
        </row>
        <row r="2557">
          <cell r="C2557" t="str">
            <v>여전</v>
          </cell>
          <cell r="E2557" t="str">
            <v>하나캐피탈</v>
          </cell>
          <cell r="H2557">
            <v>169</v>
          </cell>
          <cell r="I2557">
            <v>4777</v>
          </cell>
        </row>
        <row r="2558">
          <cell r="C2558" t="str">
            <v>여전</v>
          </cell>
          <cell r="E2558" t="str">
            <v>하나캐피탈</v>
          </cell>
          <cell r="H2558">
            <v>1000</v>
          </cell>
          <cell r="I2558">
            <v>0</v>
          </cell>
        </row>
        <row r="2559">
          <cell r="C2559" t="str">
            <v>여전</v>
          </cell>
          <cell r="E2559" t="str">
            <v>하나캐피탈</v>
          </cell>
          <cell r="H2559">
            <v>3</v>
          </cell>
          <cell r="I2559">
            <v>0</v>
          </cell>
        </row>
        <row r="2560">
          <cell r="C2560" t="str">
            <v>여전</v>
          </cell>
          <cell r="E2560" t="str">
            <v>하나캐피탈</v>
          </cell>
          <cell r="H2560">
            <v>97</v>
          </cell>
          <cell r="I2560">
            <v>1687.5</v>
          </cell>
        </row>
        <row r="2561">
          <cell r="C2561" t="str">
            <v>여전</v>
          </cell>
          <cell r="E2561" t="str">
            <v>하나캐피탈</v>
          </cell>
          <cell r="H2561">
            <v>169</v>
          </cell>
          <cell r="I2561">
            <v>1983</v>
          </cell>
        </row>
        <row r="2562">
          <cell r="C2562" t="str">
            <v>여전</v>
          </cell>
          <cell r="E2562" t="str">
            <v>하나캐피탈</v>
          </cell>
          <cell r="H2562">
            <v>3</v>
          </cell>
          <cell r="I2562">
            <v>0</v>
          </cell>
        </row>
        <row r="2563">
          <cell r="C2563" t="str">
            <v>여전</v>
          </cell>
          <cell r="E2563" t="str">
            <v>하나캐피탈</v>
          </cell>
          <cell r="H2563">
            <v>39</v>
          </cell>
          <cell r="I2563">
            <v>7714.5</v>
          </cell>
        </row>
        <row r="2564">
          <cell r="C2564" t="str">
            <v>여전</v>
          </cell>
          <cell r="E2564" t="str">
            <v>하나캐피탈</v>
          </cell>
          <cell r="H2564">
            <v>38</v>
          </cell>
          <cell r="I2564">
            <v>5000</v>
          </cell>
        </row>
        <row r="2565">
          <cell r="C2565" t="str">
            <v>여전</v>
          </cell>
          <cell r="E2565" t="str">
            <v>하나캐피탈</v>
          </cell>
          <cell r="H2565">
            <v>1000</v>
          </cell>
          <cell r="I2565">
            <v>4500</v>
          </cell>
        </row>
        <row r="2566">
          <cell r="C2566" t="str">
            <v>여전</v>
          </cell>
          <cell r="E2566" t="str">
            <v>하나캐피탈</v>
          </cell>
          <cell r="H2566">
            <v>1000</v>
          </cell>
          <cell r="I2566">
            <v>4000</v>
          </cell>
        </row>
        <row r="2567">
          <cell r="C2567" t="str">
            <v>여전</v>
          </cell>
          <cell r="E2567" t="str">
            <v>하나캐피탈</v>
          </cell>
          <cell r="H2567">
            <v>44</v>
          </cell>
          <cell r="I2567">
            <v>4500</v>
          </cell>
        </row>
        <row r="2568">
          <cell r="C2568" t="str">
            <v>여전</v>
          </cell>
          <cell r="E2568" t="str">
            <v>하나캐피탈</v>
          </cell>
          <cell r="H2568">
            <v>259</v>
          </cell>
          <cell r="I2568">
            <v>4500</v>
          </cell>
        </row>
        <row r="2569">
          <cell r="C2569" t="str">
            <v>여전</v>
          </cell>
          <cell r="E2569" t="str">
            <v>하나캐피탈</v>
          </cell>
          <cell r="H2569">
            <v>122</v>
          </cell>
          <cell r="I2569">
            <v>1000</v>
          </cell>
        </row>
        <row r="2570">
          <cell r="C2570" t="str">
            <v>여전</v>
          </cell>
          <cell r="E2570" t="str">
            <v>하나캐피탈</v>
          </cell>
          <cell r="H2570">
            <v>182</v>
          </cell>
          <cell r="I2570">
            <v>9600</v>
          </cell>
        </row>
        <row r="2571">
          <cell r="C2571" t="str">
            <v>여전</v>
          </cell>
          <cell r="E2571" t="str">
            <v>하나캐피탈</v>
          </cell>
          <cell r="H2571">
            <v>182</v>
          </cell>
          <cell r="I2571">
            <v>1100</v>
          </cell>
        </row>
        <row r="2572">
          <cell r="C2572" t="str">
            <v>여전</v>
          </cell>
          <cell r="E2572" t="str">
            <v>하나캐피탈</v>
          </cell>
          <cell r="H2572">
            <v>10</v>
          </cell>
          <cell r="I2572">
            <v>4000</v>
          </cell>
        </row>
        <row r="2573">
          <cell r="C2573" t="str">
            <v>여전</v>
          </cell>
          <cell r="E2573" t="str">
            <v>하나캐피탈</v>
          </cell>
          <cell r="H2573">
            <v>26</v>
          </cell>
          <cell r="I2573">
            <v>0</v>
          </cell>
        </row>
        <row r="2574">
          <cell r="C2574" t="str">
            <v>여전</v>
          </cell>
          <cell r="E2574" t="str">
            <v>하나캐피탈</v>
          </cell>
          <cell r="H2574">
            <v>10</v>
          </cell>
          <cell r="I2574">
            <v>10000</v>
          </cell>
        </row>
        <row r="2575">
          <cell r="C2575" t="str">
            <v>여전</v>
          </cell>
          <cell r="E2575" t="str">
            <v>하나캐피탈</v>
          </cell>
          <cell r="H2575">
            <v>1000</v>
          </cell>
          <cell r="I2575">
            <v>0</v>
          </cell>
        </row>
        <row r="2576">
          <cell r="C2576" t="str">
            <v>여전</v>
          </cell>
          <cell r="E2576" t="str">
            <v>하나캐피탈</v>
          </cell>
          <cell r="H2576">
            <v>1000</v>
          </cell>
          <cell r="I2576">
            <v>4000</v>
          </cell>
        </row>
        <row r="2577">
          <cell r="C2577" t="str">
            <v>여전</v>
          </cell>
          <cell r="E2577" t="str">
            <v>하나캐피탈</v>
          </cell>
          <cell r="H2577">
            <v>1000</v>
          </cell>
          <cell r="I2577">
            <v>6000</v>
          </cell>
        </row>
        <row r="2578">
          <cell r="C2578" t="str">
            <v>여전</v>
          </cell>
          <cell r="E2578" t="str">
            <v>하나캐피탈</v>
          </cell>
          <cell r="H2578">
            <v>36</v>
          </cell>
          <cell r="I2578">
            <v>3000</v>
          </cell>
        </row>
        <row r="2579">
          <cell r="C2579" t="str">
            <v>여전</v>
          </cell>
          <cell r="E2579" t="str">
            <v>하나캐피탈</v>
          </cell>
          <cell r="H2579">
            <v>10</v>
          </cell>
          <cell r="I2579">
            <v>10000</v>
          </cell>
        </row>
        <row r="2580">
          <cell r="C2580" t="str">
            <v>여전</v>
          </cell>
          <cell r="E2580" t="str">
            <v>하나캐피탈</v>
          </cell>
          <cell r="H2580">
            <v>1000</v>
          </cell>
          <cell r="I2580">
            <v>1100</v>
          </cell>
        </row>
        <row r="2581">
          <cell r="C2581" t="str">
            <v>여전</v>
          </cell>
          <cell r="E2581" t="str">
            <v>하나캐피탈</v>
          </cell>
          <cell r="H2581">
            <v>46</v>
          </cell>
          <cell r="I2581">
            <v>1687.5</v>
          </cell>
        </row>
        <row r="2582">
          <cell r="C2582" t="str">
            <v>여전</v>
          </cell>
          <cell r="E2582" t="str">
            <v>하나캐피탈</v>
          </cell>
          <cell r="H2582">
            <v>41</v>
          </cell>
          <cell r="I2582">
            <v>0</v>
          </cell>
        </row>
        <row r="2583">
          <cell r="C2583" t="str">
            <v>여전</v>
          </cell>
          <cell r="E2583" t="str">
            <v>하나캐피탈</v>
          </cell>
          <cell r="H2583">
            <v>125</v>
          </cell>
          <cell r="I2583">
            <v>0</v>
          </cell>
        </row>
        <row r="2584">
          <cell r="C2584" t="str">
            <v>여전</v>
          </cell>
          <cell r="E2584" t="str">
            <v>하나캐피탈</v>
          </cell>
          <cell r="H2584">
            <v>44</v>
          </cell>
          <cell r="I2584">
            <v>8000</v>
          </cell>
        </row>
        <row r="2585">
          <cell r="C2585" t="str">
            <v>여전</v>
          </cell>
          <cell r="E2585" t="str">
            <v>하나캐피탈</v>
          </cell>
          <cell r="H2585">
            <v>2</v>
          </cell>
          <cell r="I2585">
            <v>0</v>
          </cell>
        </row>
        <row r="2586">
          <cell r="C2586" t="str">
            <v>여전</v>
          </cell>
          <cell r="E2586" t="str">
            <v>하나캐피탈</v>
          </cell>
          <cell r="H2586">
            <v>44</v>
          </cell>
          <cell r="I2586">
            <v>0</v>
          </cell>
        </row>
        <row r="2587">
          <cell r="C2587" t="str">
            <v>여전</v>
          </cell>
          <cell r="E2587" t="str">
            <v>하나캐피탈</v>
          </cell>
          <cell r="H2587">
            <v>12</v>
          </cell>
          <cell r="I2587">
            <v>0</v>
          </cell>
        </row>
        <row r="2588">
          <cell r="C2588" t="str">
            <v>여전</v>
          </cell>
          <cell r="E2588" t="str">
            <v>하나캐피탈</v>
          </cell>
          <cell r="H2588">
            <v>46</v>
          </cell>
          <cell r="I2588">
            <v>0</v>
          </cell>
        </row>
        <row r="2589">
          <cell r="C2589" t="str">
            <v>여전</v>
          </cell>
          <cell r="E2589" t="str">
            <v>하나캐피탈</v>
          </cell>
          <cell r="H2589">
            <v>2</v>
          </cell>
          <cell r="I2589">
            <v>0</v>
          </cell>
        </row>
        <row r="2590">
          <cell r="C2590" t="str">
            <v>여전</v>
          </cell>
          <cell r="E2590" t="str">
            <v>하나캐피탈</v>
          </cell>
          <cell r="H2590">
            <v>45</v>
          </cell>
          <cell r="I2590">
            <v>9600</v>
          </cell>
        </row>
        <row r="2591">
          <cell r="C2591" t="str">
            <v>여전</v>
          </cell>
          <cell r="E2591" t="str">
            <v>신한캐피탈</v>
          </cell>
          <cell r="H2591">
            <v>1000</v>
          </cell>
          <cell r="I2591">
            <v>0</v>
          </cell>
        </row>
        <row r="2592">
          <cell r="C2592" t="str">
            <v>여전</v>
          </cell>
          <cell r="E2592" t="str">
            <v>신한캐피탈</v>
          </cell>
          <cell r="H2592">
            <v>51</v>
          </cell>
          <cell r="I2592">
            <v>2353</v>
          </cell>
        </row>
        <row r="2593">
          <cell r="C2593" t="str">
            <v>여전</v>
          </cell>
          <cell r="E2593" t="str">
            <v>신한캐피탈</v>
          </cell>
          <cell r="H2593">
            <v>3</v>
          </cell>
          <cell r="I2593">
            <v>0</v>
          </cell>
        </row>
        <row r="2594">
          <cell r="C2594" t="str">
            <v>여전</v>
          </cell>
          <cell r="E2594" t="str">
            <v>신한캐피탈</v>
          </cell>
          <cell r="H2594">
            <v>51</v>
          </cell>
          <cell r="I2594">
            <v>10380</v>
          </cell>
        </row>
        <row r="2595">
          <cell r="C2595" t="str">
            <v>여전</v>
          </cell>
          <cell r="E2595" t="str">
            <v>신한캐피탈</v>
          </cell>
          <cell r="H2595">
            <v>41</v>
          </cell>
          <cell r="I2595">
            <v>1100</v>
          </cell>
        </row>
        <row r="2596">
          <cell r="C2596" t="str">
            <v>여전</v>
          </cell>
          <cell r="E2596" t="str">
            <v>신한캐피탈</v>
          </cell>
          <cell r="H2596">
            <v>8</v>
          </cell>
          <cell r="I2596">
            <v>0</v>
          </cell>
        </row>
        <row r="2597">
          <cell r="C2597" t="str">
            <v>여전</v>
          </cell>
          <cell r="E2597" t="str">
            <v>신한캐피탈</v>
          </cell>
          <cell r="H2597">
            <v>60</v>
          </cell>
          <cell r="I2597">
            <v>400</v>
          </cell>
        </row>
        <row r="2598">
          <cell r="C2598" t="str">
            <v>여전</v>
          </cell>
          <cell r="E2598" t="str">
            <v>신한캐피탈</v>
          </cell>
          <cell r="H2598">
            <v>1000</v>
          </cell>
          <cell r="I2598">
            <v>5108.3</v>
          </cell>
        </row>
        <row r="2599">
          <cell r="C2599" t="str">
            <v>여전</v>
          </cell>
          <cell r="E2599" t="str">
            <v>신한캐피탈</v>
          </cell>
          <cell r="H2599">
            <v>194</v>
          </cell>
          <cell r="I2599">
            <v>5108.3</v>
          </cell>
        </row>
        <row r="2600">
          <cell r="C2600" t="str">
            <v>여전</v>
          </cell>
          <cell r="E2600" t="str">
            <v>신한캐피탈</v>
          </cell>
          <cell r="H2600">
            <v>179</v>
          </cell>
          <cell r="I2600">
            <v>0</v>
          </cell>
        </row>
        <row r="2601">
          <cell r="C2601" t="str">
            <v>여전</v>
          </cell>
          <cell r="E2601" t="str">
            <v>신한캐피탈</v>
          </cell>
          <cell r="H2601">
            <v>1000</v>
          </cell>
          <cell r="I2601">
            <v>0</v>
          </cell>
        </row>
        <row r="2602">
          <cell r="C2602" t="str">
            <v>여전</v>
          </cell>
          <cell r="E2602" t="str">
            <v>신한캐피탈</v>
          </cell>
          <cell r="H2602">
            <v>33</v>
          </cell>
          <cell r="I2602">
            <v>8900</v>
          </cell>
        </row>
        <row r="2603">
          <cell r="C2603" t="str">
            <v>여전</v>
          </cell>
          <cell r="E2603" t="str">
            <v>신한캐피탈</v>
          </cell>
          <cell r="H2603">
            <v>3</v>
          </cell>
          <cell r="I2603">
            <v>15000</v>
          </cell>
        </row>
        <row r="2604">
          <cell r="C2604" t="str">
            <v>여전</v>
          </cell>
          <cell r="E2604" t="str">
            <v>신한캐피탈</v>
          </cell>
          <cell r="H2604">
            <v>33</v>
          </cell>
          <cell r="I2604">
            <v>1712</v>
          </cell>
        </row>
        <row r="2605">
          <cell r="C2605" t="str">
            <v>여전</v>
          </cell>
          <cell r="E2605" t="str">
            <v>신한캐피탈</v>
          </cell>
          <cell r="H2605">
            <v>123</v>
          </cell>
          <cell r="I2605">
            <v>2400</v>
          </cell>
        </row>
        <row r="2606">
          <cell r="C2606" t="str">
            <v>여전</v>
          </cell>
          <cell r="E2606" t="str">
            <v>신한캐피탈</v>
          </cell>
          <cell r="H2606">
            <v>24</v>
          </cell>
          <cell r="I2606">
            <v>3624</v>
          </cell>
        </row>
        <row r="2607">
          <cell r="C2607" t="str">
            <v>여전</v>
          </cell>
          <cell r="E2607" t="str">
            <v>신한캐피탈</v>
          </cell>
          <cell r="H2607">
            <v>49</v>
          </cell>
          <cell r="I2607">
            <v>462</v>
          </cell>
        </row>
        <row r="2608">
          <cell r="C2608" t="str">
            <v>여전</v>
          </cell>
          <cell r="E2608" t="str">
            <v>신한캐피탈</v>
          </cell>
          <cell r="H2608">
            <v>19</v>
          </cell>
          <cell r="I2608">
            <v>10000</v>
          </cell>
        </row>
        <row r="2609">
          <cell r="C2609" t="str">
            <v>여전</v>
          </cell>
          <cell r="E2609" t="str">
            <v>신한캐피탈</v>
          </cell>
          <cell r="H2609">
            <v>99</v>
          </cell>
          <cell r="I2609">
            <v>0</v>
          </cell>
        </row>
        <row r="2610">
          <cell r="C2610" t="str">
            <v>여전</v>
          </cell>
          <cell r="E2610" t="str">
            <v>신한캐피탈</v>
          </cell>
          <cell r="H2610">
            <v>13</v>
          </cell>
          <cell r="I2610">
            <v>11000</v>
          </cell>
        </row>
        <row r="2611">
          <cell r="C2611" t="str">
            <v>여전</v>
          </cell>
          <cell r="E2611" t="str">
            <v>신한캐피탈</v>
          </cell>
          <cell r="H2611">
            <v>54</v>
          </cell>
          <cell r="I2611">
            <v>7932</v>
          </cell>
        </row>
        <row r="2612">
          <cell r="C2612" t="str">
            <v>여전</v>
          </cell>
          <cell r="E2612" t="str">
            <v>신한캐피탈</v>
          </cell>
          <cell r="H2612">
            <v>41</v>
          </cell>
          <cell r="I2612">
            <v>10000</v>
          </cell>
        </row>
        <row r="2613">
          <cell r="C2613" t="str">
            <v>여전</v>
          </cell>
          <cell r="E2613" t="str">
            <v>신한캐피탈</v>
          </cell>
          <cell r="H2613">
            <v>179</v>
          </cell>
          <cell r="I2613">
            <v>0</v>
          </cell>
        </row>
        <row r="2614">
          <cell r="C2614" t="str">
            <v>여전</v>
          </cell>
          <cell r="E2614" t="str">
            <v>신한캐피탈</v>
          </cell>
          <cell r="H2614">
            <v>30</v>
          </cell>
          <cell r="I2614">
            <v>10000</v>
          </cell>
        </row>
        <row r="2615">
          <cell r="C2615" t="str">
            <v>여전</v>
          </cell>
          <cell r="E2615" t="str">
            <v>신한캐피탈</v>
          </cell>
          <cell r="H2615">
            <v>1000</v>
          </cell>
          <cell r="I2615">
            <v>0</v>
          </cell>
        </row>
        <row r="2616">
          <cell r="C2616" t="str">
            <v>여전</v>
          </cell>
          <cell r="E2616" t="str">
            <v>신한캐피탈</v>
          </cell>
          <cell r="H2616">
            <v>182</v>
          </cell>
          <cell r="I2616">
            <v>0</v>
          </cell>
        </row>
        <row r="2617">
          <cell r="C2617" t="str">
            <v>여전</v>
          </cell>
          <cell r="E2617" t="str">
            <v>신한캐피탈</v>
          </cell>
          <cell r="H2617">
            <v>9</v>
          </cell>
          <cell r="I2617">
            <v>3000</v>
          </cell>
        </row>
        <row r="2618">
          <cell r="C2618" t="str">
            <v>여전</v>
          </cell>
          <cell r="E2618" t="str">
            <v>신한캐피탈</v>
          </cell>
          <cell r="H2618">
            <v>14</v>
          </cell>
          <cell r="I2618">
            <v>10000</v>
          </cell>
        </row>
        <row r="2619">
          <cell r="C2619" t="str">
            <v>여전</v>
          </cell>
          <cell r="E2619" t="str">
            <v>신한캐피탈</v>
          </cell>
          <cell r="H2619">
            <v>8</v>
          </cell>
          <cell r="I2619">
            <v>0</v>
          </cell>
        </row>
        <row r="2620">
          <cell r="C2620" t="str">
            <v>여전</v>
          </cell>
          <cell r="E2620" t="str">
            <v>신한캐피탈</v>
          </cell>
          <cell r="H2620">
            <v>54</v>
          </cell>
          <cell r="I2620">
            <v>3580.4</v>
          </cell>
        </row>
        <row r="2621">
          <cell r="C2621" t="str">
            <v>여전</v>
          </cell>
          <cell r="E2621" t="str">
            <v>신한캐피탈</v>
          </cell>
          <cell r="H2621">
            <v>9</v>
          </cell>
          <cell r="I2621">
            <v>10900</v>
          </cell>
        </row>
        <row r="2622">
          <cell r="C2622" t="str">
            <v>여전</v>
          </cell>
          <cell r="E2622" t="str">
            <v>신한캐피탈</v>
          </cell>
          <cell r="H2622">
            <v>1000</v>
          </cell>
          <cell r="I2622">
            <v>0</v>
          </cell>
        </row>
        <row r="2623">
          <cell r="C2623" t="str">
            <v>여전</v>
          </cell>
          <cell r="E2623" t="str">
            <v>신한캐피탈</v>
          </cell>
          <cell r="H2623">
            <v>42</v>
          </cell>
          <cell r="I2623">
            <v>0</v>
          </cell>
        </row>
        <row r="2624">
          <cell r="C2624" t="str">
            <v>여전</v>
          </cell>
          <cell r="E2624" t="str">
            <v>신한캐피탈</v>
          </cell>
          <cell r="H2624">
            <v>61</v>
          </cell>
          <cell r="I2624">
            <v>7000</v>
          </cell>
        </row>
        <row r="2625">
          <cell r="C2625" t="str">
            <v>여전</v>
          </cell>
          <cell r="E2625" t="str">
            <v>신한캐피탈</v>
          </cell>
          <cell r="H2625">
            <v>5</v>
          </cell>
          <cell r="I2625">
            <v>0</v>
          </cell>
        </row>
        <row r="2626">
          <cell r="C2626" t="str">
            <v>여전</v>
          </cell>
          <cell r="E2626" t="str">
            <v>신한캐피탈</v>
          </cell>
          <cell r="H2626">
            <v>1000</v>
          </cell>
          <cell r="I2626">
            <v>0</v>
          </cell>
        </row>
        <row r="2627">
          <cell r="C2627" t="str">
            <v>여전</v>
          </cell>
          <cell r="E2627" t="str">
            <v>신한캐피탈</v>
          </cell>
          <cell r="H2627">
            <v>123</v>
          </cell>
          <cell r="I2627">
            <v>10500</v>
          </cell>
        </row>
        <row r="2628">
          <cell r="C2628" t="str">
            <v>여전</v>
          </cell>
          <cell r="E2628" t="str">
            <v>신한캐피탈</v>
          </cell>
          <cell r="H2628">
            <v>45</v>
          </cell>
          <cell r="I2628">
            <v>4000</v>
          </cell>
        </row>
        <row r="2629">
          <cell r="C2629" t="str">
            <v>여전</v>
          </cell>
          <cell r="E2629" t="str">
            <v>신한캐피탈</v>
          </cell>
          <cell r="H2629">
            <v>41</v>
          </cell>
          <cell r="I2629">
            <v>10000</v>
          </cell>
        </row>
        <row r="2630">
          <cell r="C2630" t="str">
            <v>여전</v>
          </cell>
          <cell r="E2630" t="str">
            <v>신한캐피탈</v>
          </cell>
          <cell r="H2630">
            <v>1000</v>
          </cell>
          <cell r="I2630">
            <v>0</v>
          </cell>
        </row>
        <row r="2631">
          <cell r="C2631" t="str">
            <v>여전</v>
          </cell>
          <cell r="E2631" t="str">
            <v>신한캐피탈</v>
          </cell>
          <cell r="H2631">
            <v>46</v>
          </cell>
          <cell r="I2631">
            <v>3840</v>
          </cell>
        </row>
        <row r="2632">
          <cell r="C2632" t="str">
            <v>여전</v>
          </cell>
          <cell r="E2632" t="str">
            <v>신한캐피탈</v>
          </cell>
          <cell r="H2632">
            <v>44</v>
          </cell>
          <cell r="I2632">
            <v>0</v>
          </cell>
        </row>
        <row r="2633">
          <cell r="C2633" t="str">
            <v>여전</v>
          </cell>
          <cell r="E2633" t="str">
            <v>신한캐피탈</v>
          </cell>
          <cell r="H2633">
            <v>10</v>
          </cell>
          <cell r="I2633">
            <v>14078</v>
          </cell>
        </row>
        <row r="2634">
          <cell r="C2634" t="str">
            <v>여전</v>
          </cell>
          <cell r="E2634" t="str">
            <v>신한캐피탈</v>
          </cell>
          <cell r="H2634">
            <v>30</v>
          </cell>
          <cell r="I2634">
            <v>5000</v>
          </cell>
        </row>
        <row r="2635">
          <cell r="C2635" t="str">
            <v>여전</v>
          </cell>
          <cell r="E2635" t="str">
            <v>신한캐피탈</v>
          </cell>
          <cell r="H2635">
            <v>7</v>
          </cell>
          <cell r="I2635">
            <v>0</v>
          </cell>
        </row>
        <row r="2636">
          <cell r="C2636" t="str">
            <v>여전</v>
          </cell>
          <cell r="E2636" t="str">
            <v>신한캐피탈</v>
          </cell>
          <cell r="H2636">
            <v>71</v>
          </cell>
          <cell r="I2636">
            <v>5603.4350000000004</v>
          </cell>
        </row>
        <row r="2637">
          <cell r="C2637" t="str">
            <v>여전</v>
          </cell>
          <cell r="E2637" t="str">
            <v>신한캐피탈</v>
          </cell>
          <cell r="H2637">
            <v>10</v>
          </cell>
          <cell r="I2637">
            <v>10000</v>
          </cell>
        </row>
        <row r="2638">
          <cell r="C2638" t="str">
            <v>여전</v>
          </cell>
          <cell r="E2638" t="str">
            <v>신한캐피탈</v>
          </cell>
          <cell r="H2638">
            <v>16</v>
          </cell>
          <cell r="I2638">
            <v>10000</v>
          </cell>
        </row>
        <row r="2639">
          <cell r="C2639" t="str">
            <v>여전</v>
          </cell>
          <cell r="E2639" t="str">
            <v>신한캐피탈</v>
          </cell>
          <cell r="H2639">
            <v>51</v>
          </cell>
          <cell r="I2639">
            <v>1275</v>
          </cell>
        </row>
        <row r="2640">
          <cell r="C2640" t="str">
            <v>여전</v>
          </cell>
          <cell r="E2640" t="str">
            <v>신한캐피탈</v>
          </cell>
          <cell r="H2640">
            <v>174</v>
          </cell>
          <cell r="I2640">
            <v>0</v>
          </cell>
        </row>
        <row r="2641">
          <cell r="C2641" t="str">
            <v>여전</v>
          </cell>
          <cell r="E2641" t="str">
            <v>신한캐피탈</v>
          </cell>
          <cell r="H2641">
            <v>10</v>
          </cell>
          <cell r="I2641">
            <v>5000</v>
          </cell>
        </row>
        <row r="2642">
          <cell r="C2642" t="str">
            <v>여전</v>
          </cell>
          <cell r="E2642" t="str">
            <v>신한캐피탈</v>
          </cell>
          <cell r="H2642">
            <v>10</v>
          </cell>
          <cell r="I2642">
            <v>7500</v>
          </cell>
        </row>
        <row r="2643">
          <cell r="C2643" t="str">
            <v>여전</v>
          </cell>
          <cell r="E2643" t="str">
            <v>신한캐피탈</v>
          </cell>
          <cell r="H2643">
            <v>87</v>
          </cell>
          <cell r="I2643">
            <v>10000</v>
          </cell>
        </row>
        <row r="2644">
          <cell r="C2644" t="str">
            <v>여전</v>
          </cell>
          <cell r="E2644" t="str">
            <v>신한캐피탈</v>
          </cell>
          <cell r="H2644">
            <v>1000</v>
          </cell>
          <cell r="I2644">
            <v>0</v>
          </cell>
        </row>
        <row r="2645">
          <cell r="C2645" t="str">
            <v>여전</v>
          </cell>
          <cell r="E2645" t="str">
            <v>신한캐피탈</v>
          </cell>
          <cell r="H2645">
            <v>10</v>
          </cell>
          <cell r="I2645">
            <v>9900</v>
          </cell>
        </row>
        <row r="2646">
          <cell r="C2646" t="str">
            <v>여전</v>
          </cell>
          <cell r="E2646" t="str">
            <v>신한캐피탈</v>
          </cell>
          <cell r="H2646">
            <v>4</v>
          </cell>
          <cell r="I2646">
            <v>12260</v>
          </cell>
        </row>
        <row r="2647">
          <cell r="C2647" t="str">
            <v>여전</v>
          </cell>
          <cell r="E2647" t="str">
            <v>신한캐피탈</v>
          </cell>
          <cell r="H2647">
            <v>27</v>
          </cell>
          <cell r="I2647">
            <v>0</v>
          </cell>
        </row>
        <row r="2648">
          <cell r="C2648" t="str">
            <v>여전</v>
          </cell>
          <cell r="E2648" t="str">
            <v>신한캐피탈</v>
          </cell>
          <cell r="H2648">
            <v>61</v>
          </cell>
          <cell r="I2648">
            <v>6000</v>
          </cell>
        </row>
        <row r="2649">
          <cell r="C2649" t="str">
            <v>여전</v>
          </cell>
          <cell r="E2649" t="str">
            <v>신한캐피탈</v>
          </cell>
          <cell r="H2649">
            <v>51</v>
          </cell>
          <cell r="I2649">
            <v>4375</v>
          </cell>
        </row>
        <row r="2650">
          <cell r="C2650" t="str">
            <v>여전</v>
          </cell>
          <cell r="E2650" t="str">
            <v>신한캐피탈</v>
          </cell>
          <cell r="H2650">
            <v>45</v>
          </cell>
          <cell r="I2650">
            <v>8840</v>
          </cell>
        </row>
        <row r="2651">
          <cell r="C2651" t="str">
            <v>여전</v>
          </cell>
          <cell r="E2651" t="str">
            <v>신한캐피탈</v>
          </cell>
          <cell r="H2651">
            <v>3</v>
          </cell>
          <cell r="I2651">
            <v>0</v>
          </cell>
        </row>
        <row r="2652">
          <cell r="C2652" t="str">
            <v>여전</v>
          </cell>
          <cell r="E2652" t="str">
            <v>신한캐피탈</v>
          </cell>
          <cell r="H2652">
            <v>41</v>
          </cell>
          <cell r="I2652">
            <v>24000</v>
          </cell>
        </row>
        <row r="2653">
          <cell r="C2653" t="str">
            <v>여전</v>
          </cell>
          <cell r="E2653" t="str">
            <v>신한캐피탈</v>
          </cell>
          <cell r="H2653">
            <v>441</v>
          </cell>
          <cell r="I2653">
            <v>0</v>
          </cell>
        </row>
        <row r="2654">
          <cell r="C2654" t="str">
            <v>여전</v>
          </cell>
          <cell r="E2654" t="str">
            <v>신한캐피탈</v>
          </cell>
          <cell r="H2654">
            <v>1000</v>
          </cell>
          <cell r="I2654">
            <v>3000</v>
          </cell>
        </row>
        <row r="2655">
          <cell r="C2655" t="str">
            <v>여전</v>
          </cell>
          <cell r="E2655" t="str">
            <v>신한캐피탈</v>
          </cell>
          <cell r="H2655">
            <v>1000</v>
          </cell>
          <cell r="I2655">
            <v>0</v>
          </cell>
        </row>
        <row r="2656">
          <cell r="C2656" t="str">
            <v>여전</v>
          </cell>
          <cell r="E2656" t="str">
            <v>신한캐피탈</v>
          </cell>
          <cell r="H2656">
            <v>12</v>
          </cell>
          <cell r="I2656">
            <v>21000</v>
          </cell>
        </row>
        <row r="2657">
          <cell r="C2657" t="str">
            <v>여전</v>
          </cell>
          <cell r="E2657" t="str">
            <v>신한캐피탈</v>
          </cell>
          <cell r="H2657">
            <v>23</v>
          </cell>
          <cell r="I2657">
            <v>5000</v>
          </cell>
        </row>
        <row r="2658">
          <cell r="C2658" t="str">
            <v>여전</v>
          </cell>
          <cell r="E2658" t="str">
            <v>신한캐피탈</v>
          </cell>
          <cell r="H2658">
            <v>141</v>
          </cell>
          <cell r="I2658">
            <v>3620</v>
          </cell>
        </row>
        <row r="2659">
          <cell r="C2659" t="str">
            <v>여전</v>
          </cell>
          <cell r="E2659" t="str">
            <v>신한캐피탈</v>
          </cell>
          <cell r="H2659">
            <v>23</v>
          </cell>
          <cell r="I2659">
            <v>1000</v>
          </cell>
        </row>
        <row r="2660">
          <cell r="C2660" t="str">
            <v>여전</v>
          </cell>
          <cell r="E2660" t="str">
            <v>신한캐피탈</v>
          </cell>
          <cell r="H2660">
            <v>30</v>
          </cell>
          <cell r="I2660">
            <v>5653</v>
          </cell>
        </row>
        <row r="2661">
          <cell r="C2661" t="str">
            <v>여전</v>
          </cell>
          <cell r="E2661" t="str">
            <v>신한캐피탈</v>
          </cell>
          <cell r="H2661">
            <v>56</v>
          </cell>
          <cell r="I2661">
            <v>10000</v>
          </cell>
        </row>
        <row r="2662">
          <cell r="C2662" t="str">
            <v>여전</v>
          </cell>
          <cell r="E2662" t="str">
            <v>신한캐피탈</v>
          </cell>
          <cell r="H2662">
            <v>61</v>
          </cell>
          <cell r="I2662">
            <v>3240</v>
          </cell>
        </row>
        <row r="2663">
          <cell r="C2663" t="str">
            <v>여전</v>
          </cell>
          <cell r="E2663" t="str">
            <v>신한캐피탈</v>
          </cell>
          <cell r="H2663">
            <v>1</v>
          </cell>
          <cell r="I2663">
            <v>0</v>
          </cell>
        </row>
        <row r="2664">
          <cell r="C2664" t="str">
            <v>여전</v>
          </cell>
          <cell r="E2664" t="str">
            <v>신한캐피탈</v>
          </cell>
          <cell r="H2664">
            <v>8</v>
          </cell>
          <cell r="I2664">
            <v>0</v>
          </cell>
        </row>
        <row r="2665">
          <cell r="C2665" t="str">
            <v>여전</v>
          </cell>
          <cell r="E2665" t="str">
            <v>신한캐피탈</v>
          </cell>
          <cell r="H2665">
            <v>179</v>
          </cell>
          <cell r="I2665">
            <v>0</v>
          </cell>
        </row>
        <row r="2666">
          <cell r="C2666" t="str">
            <v>여전</v>
          </cell>
          <cell r="E2666" t="str">
            <v>신한캐피탈</v>
          </cell>
          <cell r="H2666">
            <v>65</v>
          </cell>
          <cell r="I2666">
            <v>15000</v>
          </cell>
        </row>
        <row r="2667">
          <cell r="C2667" t="str">
            <v>여전</v>
          </cell>
          <cell r="E2667" t="str">
            <v>신한캐피탈</v>
          </cell>
          <cell r="H2667">
            <v>1000</v>
          </cell>
          <cell r="I2667">
            <v>0</v>
          </cell>
        </row>
        <row r="2668">
          <cell r="C2668" t="str">
            <v>여전</v>
          </cell>
          <cell r="E2668" t="str">
            <v>신한캐피탈</v>
          </cell>
          <cell r="H2668">
            <v>138</v>
          </cell>
          <cell r="I2668">
            <v>0</v>
          </cell>
        </row>
        <row r="2669">
          <cell r="C2669" t="str">
            <v>여전</v>
          </cell>
          <cell r="E2669" t="str">
            <v>신한캐피탈</v>
          </cell>
          <cell r="H2669">
            <v>1000</v>
          </cell>
          <cell r="I2669">
            <v>0</v>
          </cell>
        </row>
        <row r="2670">
          <cell r="C2670" t="str">
            <v>여전</v>
          </cell>
          <cell r="E2670" t="str">
            <v>신한캐피탈</v>
          </cell>
          <cell r="H2670">
            <v>174</v>
          </cell>
          <cell r="I2670">
            <v>7000</v>
          </cell>
        </row>
        <row r="2671">
          <cell r="C2671" t="str">
            <v>여전</v>
          </cell>
          <cell r="E2671" t="str">
            <v>신한캐피탈</v>
          </cell>
          <cell r="H2671">
            <v>1000</v>
          </cell>
          <cell r="I2671">
            <v>7200</v>
          </cell>
        </row>
        <row r="2672">
          <cell r="C2672" t="str">
            <v>여전</v>
          </cell>
          <cell r="E2672" t="str">
            <v>신한캐피탈</v>
          </cell>
          <cell r="H2672">
            <v>94</v>
          </cell>
          <cell r="I2672">
            <v>10000</v>
          </cell>
        </row>
        <row r="2673">
          <cell r="C2673" t="str">
            <v>여전</v>
          </cell>
          <cell r="E2673" t="str">
            <v>신한캐피탈</v>
          </cell>
          <cell r="H2673">
            <v>48</v>
          </cell>
          <cell r="I2673">
            <v>6000</v>
          </cell>
        </row>
        <row r="2674">
          <cell r="C2674" t="str">
            <v>여전</v>
          </cell>
          <cell r="E2674" t="str">
            <v>신한캐피탈</v>
          </cell>
          <cell r="H2674">
            <v>10</v>
          </cell>
          <cell r="I2674">
            <v>0</v>
          </cell>
        </row>
        <row r="2675">
          <cell r="C2675" t="str">
            <v>여전</v>
          </cell>
          <cell r="E2675" t="str">
            <v>신한캐피탈</v>
          </cell>
          <cell r="H2675">
            <v>4</v>
          </cell>
          <cell r="I2675">
            <v>0</v>
          </cell>
        </row>
        <row r="2676">
          <cell r="C2676" t="str">
            <v>여전</v>
          </cell>
          <cell r="E2676" t="str">
            <v>신한캐피탈</v>
          </cell>
          <cell r="H2676">
            <v>26</v>
          </cell>
          <cell r="I2676">
            <v>0</v>
          </cell>
        </row>
        <row r="2677">
          <cell r="C2677" t="str">
            <v>여전</v>
          </cell>
          <cell r="E2677" t="str">
            <v>신한캐피탈</v>
          </cell>
          <cell r="H2677">
            <v>28</v>
          </cell>
          <cell r="I2677">
            <v>4000</v>
          </cell>
        </row>
        <row r="2678">
          <cell r="C2678" t="str">
            <v>여전</v>
          </cell>
          <cell r="E2678" t="str">
            <v>신한캐피탈</v>
          </cell>
          <cell r="H2678">
            <v>1000</v>
          </cell>
          <cell r="I2678">
            <v>0</v>
          </cell>
        </row>
        <row r="2679">
          <cell r="C2679" t="str">
            <v>여전</v>
          </cell>
          <cell r="E2679" t="str">
            <v>신한캐피탈</v>
          </cell>
          <cell r="H2679">
            <v>112</v>
          </cell>
          <cell r="I2679">
            <v>1000</v>
          </cell>
        </row>
        <row r="2680">
          <cell r="C2680" t="str">
            <v>여전</v>
          </cell>
          <cell r="E2680" t="str">
            <v>신한캐피탈</v>
          </cell>
          <cell r="H2680">
            <v>108</v>
          </cell>
          <cell r="I2680">
            <v>3750</v>
          </cell>
        </row>
        <row r="2681">
          <cell r="C2681" t="str">
            <v>여전</v>
          </cell>
          <cell r="E2681" t="str">
            <v>신한캐피탈</v>
          </cell>
          <cell r="H2681">
            <v>155</v>
          </cell>
          <cell r="I2681">
            <v>6500</v>
          </cell>
        </row>
        <row r="2682">
          <cell r="C2682" t="str">
            <v>여전</v>
          </cell>
          <cell r="E2682" t="str">
            <v>신한캐피탈</v>
          </cell>
          <cell r="H2682">
            <v>39</v>
          </cell>
          <cell r="I2682">
            <v>20000</v>
          </cell>
        </row>
        <row r="2683">
          <cell r="C2683" t="str">
            <v>여전</v>
          </cell>
          <cell r="E2683" t="str">
            <v>신한캐피탈</v>
          </cell>
          <cell r="H2683">
            <v>172</v>
          </cell>
          <cell r="I2683">
            <v>20000</v>
          </cell>
        </row>
        <row r="2684">
          <cell r="C2684" t="str">
            <v>여전</v>
          </cell>
          <cell r="E2684" t="str">
            <v>신한캐피탈</v>
          </cell>
          <cell r="H2684">
            <v>22</v>
          </cell>
          <cell r="I2684">
            <v>15000</v>
          </cell>
        </row>
        <row r="2685">
          <cell r="C2685" t="str">
            <v>여전</v>
          </cell>
          <cell r="E2685" t="str">
            <v>신한캐피탈</v>
          </cell>
          <cell r="H2685">
            <v>10</v>
          </cell>
          <cell r="I2685">
            <v>0</v>
          </cell>
        </row>
        <row r="2686">
          <cell r="C2686" t="str">
            <v>여전</v>
          </cell>
          <cell r="E2686" t="str">
            <v>신한캐피탈</v>
          </cell>
          <cell r="H2686">
            <v>17</v>
          </cell>
          <cell r="I2686">
            <v>10000</v>
          </cell>
        </row>
        <row r="2687">
          <cell r="C2687" t="str">
            <v>여전</v>
          </cell>
          <cell r="E2687" t="str">
            <v>신한캐피탈</v>
          </cell>
          <cell r="H2687">
            <v>30</v>
          </cell>
          <cell r="I2687">
            <v>4000</v>
          </cell>
        </row>
        <row r="2688">
          <cell r="C2688" t="str">
            <v>여전</v>
          </cell>
          <cell r="E2688" t="str">
            <v>신한캐피탈</v>
          </cell>
          <cell r="H2688">
            <v>41</v>
          </cell>
          <cell r="I2688">
            <v>0</v>
          </cell>
        </row>
        <row r="2689">
          <cell r="C2689" t="str">
            <v>여전</v>
          </cell>
          <cell r="E2689" t="str">
            <v>신한캐피탈</v>
          </cell>
          <cell r="H2689">
            <v>1000</v>
          </cell>
          <cell r="I2689">
            <v>0</v>
          </cell>
        </row>
        <row r="2690">
          <cell r="C2690" t="str">
            <v>여전</v>
          </cell>
          <cell r="E2690" t="str">
            <v>신한캐피탈</v>
          </cell>
          <cell r="H2690">
            <v>39</v>
          </cell>
          <cell r="I2690">
            <v>0</v>
          </cell>
        </row>
        <row r="2691">
          <cell r="C2691" t="str">
            <v>여전</v>
          </cell>
          <cell r="E2691" t="str">
            <v>신한캐피탈</v>
          </cell>
          <cell r="H2691">
            <v>44</v>
          </cell>
          <cell r="I2691">
            <v>4000</v>
          </cell>
        </row>
        <row r="2692">
          <cell r="C2692" t="str">
            <v>여전</v>
          </cell>
          <cell r="E2692" t="str">
            <v>신한캐피탈</v>
          </cell>
          <cell r="H2692">
            <v>4</v>
          </cell>
          <cell r="I2692">
            <v>0</v>
          </cell>
        </row>
        <row r="2693">
          <cell r="C2693" t="str">
            <v>여전</v>
          </cell>
          <cell r="E2693" t="str">
            <v>신한캐피탈</v>
          </cell>
          <cell r="H2693">
            <v>2</v>
          </cell>
          <cell r="I2693">
            <v>0</v>
          </cell>
        </row>
        <row r="2694">
          <cell r="C2694" t="str">
            <v>여전</v>
          </cell>
          <cell r="E2694" t="str">
            <v>신한캐피탈</v>
          </cell>
          <cell r="H2694">
            <v>14</v>
          </cell>
          <cell r="I2694">
            <v>6500</v>
          </cell>
        </row>
        <row r="2695">
          <cell r="C2695" t="str">
            <v>여전</v>
          </cell>
          <cell r="E2695" t="str">
            <v>신한캐피탈</v>
          </cell>
          <cell r="H2695">
            <v>103</v>
          </cell>
          <cell r="I2695">
            <v>20000</v>
          </cell>
        </row>
        <row r="2696">
          <cell r="C2696" t="str">
            <v>여전</v>
          </cell>
          <cell r="E2696" t="str">
            <v>신한캐피탈</v>
          </cell>
          <cell r="H2696">
            <v>23</v>
          </cell>
          <cell r="I2696">
            <v>2000</v>
          </cell>
        </row>
        <row r="2697">
          <cell r="C2697" t="str">
            <v>여전</v>
          </cell>
          <cell r="E2697" t="str">
            <v>신한캐피탈</v>
          </cell>
          <cell r="H2697">
            <v>1000</v>
          </cell>
          <cell r="I2697">
            <v>0</v>
          </cell>
        </row>
        <row r="2698">
          <cell r="C2698" t="str">
            <v>여전</v>
          </cell>
          <cell r="E2698" t="str">
            <v>신한캐피탈</v>
          </cell>
          <cell r="H2698">
            <v>112</v>
          </cell>
          <cell r="I2698">
            <v>1096.2</v>
          </cell>
        </row>
        <row r="2699">
          <cell r="C2699" t="str">
            <v>여전</v>
          </cell>
          <cell r="E2699" t="str">
            <v>신한캐피탈</v>
          </cell>
          <cell r="H2699">
            <v>10</v>
          </cell>
          <cell r="I2699">
            <v>6200</v>
          </cell>
        </row>
        <row r="2700">
          <cell r="C2700" t="str">
            <v>여전</v>
          </cell>
          <cell r="E2700" t="str">
            <v>신한캐피탈</v>
          </cell>
          <cell r="H2700">
            <v>123</v>
          </cell>
          <cell r="I2700">
            <v>5000</v>
          </cell>
        </row>
        <row r="2701">
          <cell r="C2701" t="str">
            <v>여전</v>
          </cell>
          <cell r="E2701" t="str">
            <v>신한캐피탈</v>
          </cell>
          <cell r="H2701">
            <v>12</v>
          </cell>
          <cell r="I2701">
            <v>3000</v>
          </cell>
        </row>
        <row r="2702">
          <cell r="C2702" t="str">
            <v>여전</v>
          </cell>
          <cell r="E2702" t="str">
            <v>신한캐피탈</v>
          </cell>
          <cell r="H2702">
            <v>52</v>
          </cell>
          <cell r="I2702">
            <v>10000</v>
          </cell>
        </row>
        <row r="2703">
          <cell r="C2703" t="str">
            <v>여전</v>
          </cell>
          <cell r="E2703" t="str">
            <v>신한캐피탈</v>
          </cell>
          <cell r="H2703">
            <v>1000</v>
          </cell>
          <cell r="I2703">
            <v>0</v>
          </cell>
        </row>
        <row r="2704">
          <cell r="C2704" t="str">
            <v>여전</v>
          </cell>
          <cell r="E2704" t="str">
            <v>신한캐피탈</v>
          </cell>
          <cell r="H2704">
            <v>17</v>
          </cell>
          <cell r="I2704">
            <v>1000</v>
          </cell>
        </row>
        <row r="2705">
          <cell r="C2705" t="str">
            <v>저축은행</v>
          </cell>
          <cell r="E2705" t="str">
            <v>모름</v>
          </cell>
          <cell r="H2705">
            <v>169</v>
          </cell>
          <cell r="I2705">
            <v>1000</v>
          </cell>
        </row>
        <row r="2706">
          <cell r="C2706" t="str">
            <v>저축은행</v>
          </cell>
          <cell r="E2706" t="str">
            <v>모름</v>
          </cell>
          <cell r="H2706">
            <v>169</v>
          </cell>
          <cell r="I2706">
            <v>1000</v>
          </cell>
        </row>
        <row r="2707">
          <cell r="C2707" t="str">
            <v>저축은행</v>
          </cell>
          <cell r="E2707" t="str">
            <v>모름</v>
          </cell>
          <cell r="H2707">
            <v>12</v>
          </cell>
          <cell r="I2707">
            <v>0</v>
          </cell>
        </row>
        <row r="2708">
          <cell r="C2708" t="str">
            <v>저축은행</v>
          </cell>
          <cell r="E2708" t="str">
            <v>모름</v>
          </cell>
          <cell r="H2708">
            <v>60</v>
          </cell>
          <cell r="I2708">
            <v>0</v>
          </cell>
        </row>
        <row r="2709">
          <cell r="C2709" t="str">
            <v>저축은행</v>
          </cell>
          <cell r="E2709" t="str">
            <v>모름</v>
          </cell>
          <cell r="H2709">
            <v>152</v>
          </cell>
          <cell r="I2709">
            <v>0</v>
          </cell>
        </row>
        <row r="2710">
          <cell r="C2710" t="str">
            <v>저축은행</v>
          </cell>
          <cell r="E2710" t="str">
            <v>모름</v>
          </cell>
          <cell r="H2710">
            <v>44</v>
          </cell>
          <cell r="I2710">
            <v>0</v>
          </cell>
        </row>
        <row r="2711">
          <cell r="C2711" t="str">
            <v>저축은행</v>
          </cell>
          <cell r="E2711" t="str">
            <v>모름</v>
          </cell>
          <cell r="H2711">
            <v>45</v>
          </cell>
          <cell r="I2711">
            <v>1500</v>
          </cell>
        </row>
        <row r="2712">
          <cell r="C2712" t="str">
            <v>저축은행</v>
          </cell>
          <cell r="E2712" t="str">
            <v>모름</v>
          </cell>
          <cell r="H2712">
            <v>151</v>
          </cell>
          <cell r="I2712">
            <v>1000</v>
          </cell>
        </row>
        <row r="2713">
          <cell r="C2713" t="str">
            <v>저축은행</v>
          </cell>
          <cell r="E2713" t="str">
            <v>모름</v>
          </cell>
          <cell r="H2713">
            <v>1000</v>
          </cell>
          <cell r="I2713">
            <v>0</v>
          </cell>
        </row>
        <row r="2714">
          <cell r="C2714" t="str">
            <v>저축은행</v>
          </cell>
          <cell r="E2714" t="str">
            <v>모름</v>
          </cell>
          <cell r="H2714">
            <v>141</v>
          </cell>
          <cell r="I2714">
            <v>700</v>
          </cell>
        </row>
        <row r="2715">
          <cell r="C2715" t="str">
            <v>저축은행</v>
          </cell>
          <cell r="E2715" t="str">
            <v>모름</v>
          </cell>
          <cell r="H2715">
            <v>61</v>
          </cell>
          <cell r="I2715">
            <v>1000</v>
          </cell>
        </row>
        <row r="2716">
          <cell r="C2716" t="str">
            <v>저축은행</v>
          </cell>
          <cell r="E2716" t="str">
            <v>모름</v>
          </cell>
          <cell r="H2716">
            <v>61</v>
          </cell>
          <cell r="I2716">
            <v>1000</v>
          </cell>
        </row>
        <row r="2717">
          <cell r="C2717" t="str">
            <v>저축은행</v>
          </cell>
          <cell r="E2717" t="str">
            <v>모름</v>
          </cell>
          <cell r="H2717">
            <v>375</v>
          </cell>
          <cell r="I2717">
            <v>2000</v>
          </cell>
        </row>
        <row r="2718">
          <cell r="C2718" t="str">
            <v>저축은행</v>
          </cell>
          <cell r="E2718" t="str">
            <v>모름</v>
          </cell>
          <cell r="H2718">
            <v>375</v>
          </cell>
          <cell r="I2718">
            <v>2000</v>
          </cell>
        </row>
        <row r="2719">
          <cell r="C2719" t="str">
            <v>저축은행</v>
          </cell>
          <cell r="E2719" t="str">
            <v>모름</v>
          </cell>
          <cell r="H2719">
            <v>375</v>
          </cell>
          <cell r="I2719">
            <v>2000</v>
          </cell>
        </row>
        <row r="2720">
          <cell r="C2720" t="str">
            <v>저축은행</v>
          </cell>
          <cell r="E2720" t="str">
            <v>모름</v>
          </cell>
          <cell r="H2720">
            <v>375</v>
          </cell>
          <cell r="I2720">
            <v>1800</v>
          </cell>
        </row>
        <row r="2721">
          <cell r="C2721" t="str">
            <v>저축은행</v>
          </cell>
          <cell r="E2721" t="str">
            <v>모름</v>
          </cell>
          <cell r="H2721">
            <v>41</v>
          </cell>
          <cell r="I2721">
            <v>0</v>
          </cell>
        </row>
        <row r="2722">
          <cell r="C2722" t="str">
            <v>저축은행</v>
          </cell>
          <cell r="E2722" t="str">
            <v>모름</v>
          </cell>
          <cell r="H2722">
            <v>1000</v>
          </cell>
          <cell r="I2722">
            <v>0</v>
          </cell>
        </row>
        <row r="2723">
          <cell r="C2723" t="str">
            <v>저축은행</v>
          </cell>
          <cell r="E2723" t="str">
            <v>모름</v>
          </cell>
          <cell r="H2723">
            <v>33</v>
          </cell>
          <cell r="I2723">
            <v>0</v>
          </cell>
        </row>
        <row r="2724">
          <cell r="C2724" t="str">
            <v>저축은행</v>
          </cell>
          <cell r="E2724" t="str">
            <v>모름</v>
          </cell>
          <cell r="H2724">
            <v>40</v>
          </cell>
          <cell r="I2724">
            <v>0</v>
          </cell>
        </row>
        <row r="2725">
          <cell r="C2725" t="str">
            <v>저축은행</v>
          </cell>
          <cell r="E2725" t="str">
            <v>모름</v>
          </cell>
          <cell r="H2725">
            <v>53</v>
          </cell>
          <cell r="I2725">
            <v>732</v>
          </cell>
        </row>
        <row r="2726">
          <cell r="C2726" t="str">
            <v>저축은행</v>
          </cell>
          <cell r="E2726" t="str">
            <v>모름</v>
          </cell>
          <cell r="H2726">
            <v>13</v>
          </cell>
          <cell r="I2726">
            <v>0</v>
          </cell>
        </row>
        <row r="2727">
          <cell r="C2727" t="str">
            <v>저축은행</v>
          </cell>
          <cell r="E2727" t="str">
            <v>모름</v>
          </cell>
          <cell r="H2727">
            <v>40</v>
          </cell>
          <cell r="I2727">
            <v>0</v>
          </cell>
        </row>
        <row r="2728">
          <cell r="C2728" t="str">
            <v>저축은행</v>
          </cell>
          <cell r="E2728" t="str">
            <v>모름</v>
          </cell>
          <cell r="H2728">
            <v>41</v>
          </cell>
          <cell r="I2728">
            <v>0</v>
          </cell>
        </row>
        <row r="2729">
          <cell r="C2729" t="str">
            <v>저축은행</v>
          </cell>
          <cell r="E2729" t="str">
            <v>모름</v>
          </cell>
          <cell r="H2729">
            <v>13</v>
          </cell>
          <cell r="I2729">
            <v>0</v>
          </cell>
        </row>
        <row r="2730">
          <cell r="C2730" t="str">
            <v>저축은행</v>
          </cell>
          <cell r="E2730" t="str">
            <v>모름</v>
          </cell>
          <cell r="H2730">
            <v>61</v>
          </cell>
          <cell r="I2730">
            <v>0</v>
          </cell>
        </row>
        <row r="2731">
          <cell r="C2731" t="str">
            <v>저축은행</v>
          </cell>
          <cell r="E2731" t="str">
            <v>모름</v>
          </cell>
          <cell r="H2731">
            <v>12</v>
          </cell>
          <cell r="I2731">
            <v>0</v>
          </cell>
        </row>
        <row r="2732">
          <cell r="C2732" t="str">
            <v>저축은행</v>
          </cell>
          <cell r="E2732" t="str">
            <v>모름</v>
          </cell>
          <cell r="H2732">
            <v>12</v>
          </cell>
          <cell r="I2732">
            <v>0</v>
          </cell>
        </row>
        <row r="2733">
          <cell r="C2733" t="str">
            <v>저축은행</v>
          </cell>
          <cell r="E2733" t="str">
            <v>모름</v>
          </cell>
          <cell r="H2733">
            <v>61</v>
          </cell>
          <cell r="I2733">
            <v>0</v>
          </cell>
        </row>
        <row r="2734">
          <cell r="C2734" t="str">
            <v>저축은행</v>
          </cell>
          <cell r="E2734" t="str">
            <v>모름</v>
          </cell>
          <cell r="H2734">
            <v>61</v>
          </cell>
          <cell r="I2734">
            <v>0</v>
          </cell>
        </row>
        <row r="2735">
          <cell r="C2735" t="str">
            <v>저축은행</v>
          </cell>
          <cell r="E2735" t="str">
            <v>모름</v>
          </cell>
          <cell r="H2735">
            <v>61</v>
          </cell>
          <cell r="I2735">
            <v>0</v>
          </cell>
        </row>
        <row r="2736">
          <cell r="C2736" t="str">
            <v>저축은행</v>
          </cell>
          <cell r="E2736" t="str">
            <v>모름</v>
          </cell>
          <cell r="H2736">
            <v>83</v>
          </cell>
          <cell r="I2736">
            <v>0</v>
          </cell>
        </row>
        <row r="2737">
          <cell r="C2737" t="str">
            <v>저축은행</v>
          </cell>
          <cell r="E2737" t="str">
            <v>모름</v>
          </cell>
          <cell r="H2737">
            <v>141</v>
          </cell>
          <cell r="I2737">
            <v>0</v>
          </cell>
        </row>
        <row r="2738">
          <cell r="C2738" t="str">
            <v>저축은행</v>
          </cell>
          <cell r="E2738" t="str">
            <v>모름</v>
          </cell>
          <cell r="H2738">
            <v>61</v>
          </cell>
          <cell r="I2738">
            <v>1000</v>
          </cell>
        </row>
        <row r="2739">
          <cell r="C2739" t="str">
            <v>저축은행</v>
          </cell>
          <cell r="E2739" t="str">
            <v>모름</v>
          </cell>
          <cell r="H2739">
            <v>13</v>
          </cell>
          <cell r="I2739">
            <v>0</v>
          </cell>
        </row>
        <row r="2740">
          <cell r="C2740" t="str">
            <v>저축은행</v>
          </cell>
          <cell r="E2740" t="str">
            <v>모름</v>
          </cell>
          <cell r="H2740">
            <v>275</v>
          </cell>
          <cell r="I2740">
            <v>0</v>
          </cell>
        </row>
        <row r="2741">
          <cell r="C2741" t="str">
            <v>저축은행</v>
          </cell>
          <cell r="E2741" t="str">
            <v>모름</v>
          </cell>
          <cell r="H2741">
            <v>41</v>
          </cell>
          <cell r="I2741">
            <v>0</v>
          </cell>
        </row>
        <row r="2742">
          <cell r="C2742" t="str">
            <v>저축은행</v>
          </cell>
          <cell r="E2742" t="str">
            <v>모름</v>
          </cell>
          <cell r="H2742">
            <v>6</v>
          </cell>
          <cell r="I2742">
            <v>0</v>
          </cell>
        </row>
        <row r="2743">
          <cell r="C2743" t="str">
            <v>저축은행</v>
          </cell>
          <cell r="E2743" t="str">
            <v>모름</v>
          </cell>
          <cell r="H2743">
            <v>141</v>
          </cell>
          <cell r="I2743">
            <v>2000</v>
          </cell>
        </row>
        <row r="2744">
          <cell r="C2744" t="str">
            <v>저축은행</v>
          </cell>
          <cell r="E2744" t="str">
            <v>모름</v>
          </cell>
          <cell r="H2744">
            <v>61</v>
          </cell>
          <cell r="I2744">
            <v>0</v>
          </cell>
        </row>
        <row r="2745">
          <cell r="C2745" t="str">
            <v>저축은행</v>
          </cell>
          <cell r="E2745" t="str">
            <v>모름</v>
          </cell>
          <cell r="H2745">
            <v>61</v>
          </cell>
          <cell r="I2745">
            <v>0</v>
          </cell>
        </row>
        <row r="2746">
          <cell r="C2746" t="str">
            <v>저축은행</v>
          </cell>
          <cell r="E2746" t="str">
            <v>모름</v>
          </cell>
          <cell r="H2746">
            <v>61</v>
          </cell>
          <cell r="I2746">
            <v>0</v>
          </cell>
        </row>
        <row r="2747">
          <cell r="C2747" t="str">
            <v>저축은행</v>
          </cell>
          <cell r="E2747" t="str">
            <v>모름</v>
          </cell>
          <cell r="H2747">
            <v>141</v>
          </cell>
          <cell r="I2747">
            <v>1000</v>
          </cell>
        </row>
        <row r="2748">
          <cell r="C2748" t="str">
            <v>저축은행</v>
          </cell>
          <cell r="E2748" t="str">
            <v>모름</v>
          </cell>
          <cell r="H2748">
            <v>23</v>
          </cell>
          <cell r="I2748">
            <v>2000</v>
          </cell>
        </row>
        <row r="2749">
          <cell r="C2749" t="str">
            <v>저축은행</v>
          </cell>
          <cell r="E2749" t="str">
            <v>모름</v>
          </cell>
          <cell r="H2749">
            <v>33</v>
          </cell>
          <cell r="I2749">
            <v>0</v>
          </cell>
        </row>
        <row r="2750">
          <cell r="C2750" t="str">
            <v>저축은행</v>
          </cell>
          <cell r="E2750" t="str">
            <v>모름</v>
          </cell>
          <cell r="H2750">
            <v>45</v>
          </cell>
          <cell r="I2750">
            <v>2000</v>
          </cell>
        </row>
        <row r="2751">
          <cell r="C2751" t="str">
            <v>저축은행</v>
          </cell>
          <cell r="E2751" t="str">
            <v>모름</v>
          </cell>
          <cell r="H2751">
            <v>33</v>
          </cell>
          <cell r="I2751">
            <v>2000</v>
          </cell>
        </row>
        <row r="2752">
          <cell r="C2752" t="str">
            <v>저축은행</v>
          </cell>
          <cell r="E2752" t="str">
            <v>모름</v>
          </cell>
          <cell r="H2752">
            <v>29</v>
          </cell>
          <cell r="I2752">
            <v>0</v>
          </cell>
        </row>
        <row r="2753">
          <cell r="C2753" t="str">
            <v>저축은행</v>
          </cell>
          <cell r="E2753" t="str">
            <v>모름</v>
          </cell>
          <cell r="H2753">
            <v>1000</v>
          </cell>
          <cell r="I2753">
            <v>400</v>
          </cell>
        </row>
        <row r="2754">
          <cell r="C2754" t="str">
            <v>저축은행</v>
          </cell>
          <cell r="E2754" t="str">
            <v>모름</v>
          </cell>
          <cell r="H2754">
            <v>38</v>
          </cell>
          <cell r="I2754">
            <v>0</v>
          </cell>
        </row>
        <row r="2755">
          <cell r="C2755" t="str">
            <v>저축은행</v>
          </cell>
          <cell r="E2755" t="str">
            <v>모름</v>
          </cell>
          <cell r="H2755">
            <v>77</v>
          </cell>
          <cell r="I2755">
            <v>0</v>
          </cell>
        </row>
        <row r="2756">
          <cell r="C2756" t="str">
            <v>저축은행</v>
          </cell>
          <cell r="E2756" t="str">
            <v>모름</v>
          </cell>
          <cell r="H2756">
            <v>46</v>
          </cell>
          <cell r="I2756">
            <v>0</v>
          </cell>
        </row>
        <row r="2757">
          <cell r="C2757" t="str">
            <v>저축은행</v>
          </cell>
          <cell r="E2757" t="str">
            <v>모름</v>
          </cell>
          <cell r="H2757">
            <v>151</v>
          </cell>
          <cell r="I2757">
            <v>1000</v>
          </cell>
        </row>
        <row r="2758">
          <cell r="C2758" t="str">
            <v>저축은행</v>
          </cell>
          <cell r="E2758" t="str">
            <v>모름</v>
          </cell>
          <cell r="H2758">
            <v>83</v>
          </cell>
          <cell r="I2758">
            <v>0</v>
          </cell>
        </row>
        <row r="2759">
          <cell r="C2759" t="str">
            <v>저축은행</v>
          </cell>
          <cell r="E2759" t="str">
            <v>모름</v>
          </cell>
          <cell r="H2759">
            <v>60</v>
          </cell>
          <cell r="I2759">
            <v>0</v>
          </cell>
        </row>
        <row r="2760">
          <cell r="C2760" t="str">
            <v>저축은행</v>
          </cell>
          <cell r="E2760" t="str">
            <v>모름</v>
          </cell>
          <cell r="H2760">
            <v>141</v>
          </cell>
          <cell r="I2760">
            <v>2500</v>
          </cell>
        </row>
        <row r="2761">
          <cell r="C2761" t="str">
            <v>저축은행</v>
          </cell>
          <cell r="E2761" t="str">
            <v>모름</v>
          </cell>
          <cell r="H2761">
            <v>12</v>
          </cell>
          <cell r="I2761">
            <v>0</v>
          </cell>
        </row>
        <row r="2762">
          <cell r="C2762" t="str">
            <v>저축은행</v>
          </cell>
          <cell r="E2762" t="str">
            <v>모름</v>
          </cell>
          <cell r="H2762">
            <v>23</v>
          </cell>
          <cell r="I2762">
            <v>0</v>
          </cell>
        </row>
        <row r="2763">
          <cell r="C2763" t="str">
            <v>저축은행</v>
          </cell>
          <cell r="E2763" t="str">
            <v>모름</v>
          </cell>
          <cell r="H2763">
            <v>35</v>
          </cell>
          <cell r="I2763">
            <v>3000</v>
          </cell>
        </row>
        <row r="2764">
          <cell r="C2764" t="str">
            <v>저축은행</v>
          </cell>
          <cell r="E2764" t="str">
            <v>모름</v>
          </cell>
          <cell r="H2764">
            <v>50</v>
          </cell>
          <cell r="I2764">
            <v>0</v>
          </cell>
        </row>
        <row r="2765">
          <cell r="C2765" t="str">
            <v>저축은행</v>
          </cell>
          <cell r="E2765" t="str">
            <v>모름</v>
          </cell>
          <cell r="H2765">
            <v>94</v>
          </cell>
          <cell r="I2765">
            <v>0</v>
          </cell>
        </row>
        <row r="2766">
          <cell r="C2766" t="str">
            <v>저축은행</v>
          </cell>
          <cell r="E2766" t="str">
            <v>모름</v>
          </cell>
          <cell r="H2766">
            <v>26</v>
          </cell>
          <cell r="I2766">
            <v>0</v>
          </cell>
        </row>
        <row r="2767">
          <cell r="C2767" t="str">
            <v>저축은행</v>
          </cell>
          <cell r="E2767" t="str">
            <v>모름</v>
          </cell>
          <cell r="H2767">
            <v>1000</v>
          </cell>
          <cell r="I2767">
            <v>0</v>
          </cell>
        </row>
        <row r="2768">
          <cell r="C2768" t="str">
            <v>저축은행</v>
          </cell>
          <cell r="E2768" t="str">
            <v>모름</v>
          </cell>
          <cell r="H2768">
            <v>1</v>
          </cell>
          <cell r="I2768">
            <v>0</v>
          </cell>
        </row>
        <row r="2769">
          <cell r="C2769" t="str">
            <v>저축은행</v>
          </cell>
          <cell r="E2769" t="str">
            <v>모름</v>
          </cell>
          <cell r="H2769">
            <v>21</v>
          </cell>
          <cell r="I2769">
            <v>4000</v>
          </cell>
        </row>
        <row r="2770">
          <cell r="C2770" t="str">
            <v>저축은행</v>
          </cell>
          <cell r="E2770" t="str">
            <v>모름</v>
          </cell>
          <cell r="H2770">
            <v>10</v>
          </cell>
          <cell r="I2770">
            <v>0</v>
          </cell>
        </row>
        <row r="2771">
          <cell r="C2771" t="str">
            <v>저축은행</v>
          </cell>
          <cell r="E2771" t="str">
            <v>모름</v>
          </cell>
          <cell r="H2771">
            <v>35</v>
          </cell>
          <cell r="I2771">
            <v>2000</v>
          </cell>
        </row>
        <row r="2772">
          <cell r="C2772" t="str">
            <v>저축은행</v>
          </cell>
          <cell r="E2772" t="str">
            <v>모름</v>
          </cell>
          <cell r="H2772">
            <v>1000</v>
          </cell>
          <cell r="I2772">
            <v>0</v>
          </cell>
        </row>
        <row r="2773">
          <cell r="C2773" t="str">
            <v>저축은행</v>
          </cell>
          <cell r="E2773" t="str">
            <v>모름</v>
          </cell>
          <cell r="H2773">
            <v>151</v>
          </cell>
          <cell r="I2773">
            <v>2800</v>
          </cell>
        </row>
        <row r="2774">
          <cell r="C2774" t="str">
            <v>저축은행</v>
          </cell>
          <cell r="E2774" t="str">
            <v>모름</v>
          </cell>
          <cell r="H2774">
            <v>23</v>
          </cell>
          <cell r="I2774">
            <v>0</v>
          </cell>
        </row>
        <row r="2775">
          <cell r="C2775" t="str">
            <v>저축은행</v>
          </cell>
          <cell r="E2775" t="str">
            <v>모름</v>
          </cell>
          <cell r="H2775">
            <v>10</v>
          </cell>
          <cell r="I2775">
            <v>0</v>
          </cell>
        </row>
        <row r="2776">
          <cell r="C2776" t="str">
            <v>저축은행</v>
          </cell>
          <cell r="E2776" t="str">
            <v>모름</v>
          </cell>
          <cell r="H2776">
            <v>83</v>
          </cell>
          <cell r="I2776">
            <v>0</v>
          </cell>
        </row>
        <row r="2777">
          <cell r="C2777" t="str">
            <v>저축은행</v>
          </cell>
          <cell r="E2777" t="str">
            <v>모름</v>
          </cell>
          <cell r="H2777">
            <v>169</v>
          </cell>
          <cell r="I2777">
            <v>1500</v>
          </cell>
        </row>
        <row r="2778">
          <cell r="C2778" t="str">
            <v>저축은행</v>
          </cell>
          <cell r="E2778" t="str">
            <v>모름</v>
          </cell>
          <cell r="H2778">
            <v>44</v>
          </cell>
          <cell r="I2778">
            <v>300</v>
          </cell>
        </row>
        <row r="2779">
          <cell r="C2779" t="str">
            <v>저축은행</v>
          </cell>
          <cell r="E2779" t="str">
            <v>모름</v>
          </cell>
          <cell r="H2779">
            <v>35</v>
          </cell>
          <cell r="I2779">
            <v>1000</v>
          </cell>
        </row>
        <row r="2780">
          <cell r="C2780" t="str">
            <v>저축은행</v>
          </cell>
          <cell r="E2780" t="str">
            <v>모름</v>
          </cell>
          <cell r="H2780">
            <v>44</v>
          </cell>
          <cell r="I2780">
            <v>0</v>
          </cell>
        </row>
        <row r="2781">
          <cell r="C2781" t="str">
            <v>저축은행</v>
          </cell>
          <cell r="E2781" t="str">
            <v>모름</v>
          </cell>
          <cell r="H2781">
            <v>23</v>
          </cell>
          <cell r="I2781">
            <v>0</v>
          </cell>
        </row>
        <row r="2782">
          <cell r="C2782" t="str">
            <v>저축은행</v>
          </cell>
          <cell r="E2782" t="str">
            <v>모름</v>
          </cell>
          <cell r="H2782">
            <v>76</v>
          </cell>
          <cell r="I2782">
            <v>0</v>
          </cell>
        </row>
        <row r="2783">
          <cell r="C2783" t="str">
            <v>저축은행</v>
          </cell>
          <cell r="E2783" t="str">
            <v>모름</v>
          </cell>
          <cell r="H2783">
            <v>150</v>
          </cell>
          <cell r="I2783">
            <v>3000</v>
          </cell>
        </row>
        <row r="2784">
          <cell r="C2784" t="str">
            <v>저축은행</v>
          </cell>
          <cell r="E2784" t="str">
            <v>모름</v>
          </cell>
          <cell r="H2784">
            <v>150</v>
          </cell>
          <cell r="I2784">
            <v>1100</v>
          </cell>
        </row>
        <row r="2785">
          <cell r="C2785" t="str">
            <v>저축은행</v>
          </cell>
          <cell r="E2785" t="str">
            <v>모름</v>
          </cell>
          <cell r="H2785">
            <v>21</v>
          </cell>
          <cell r="I2785">
            <v>3000</v>
          </cell>
        </row>
        <row r="2786">
          <cell r="C2786" t="str">
            <v>저축은행</v>
          </cell>
          <cell r="E2786" t="str">
            <v>모름</v>
          </cell>
          <cell r="H2786">
            <v>45</v>
          </cell>
          <cell r="I2786">
            <v>2000</v>
          </cell>
        </row>
        <row r="2787">
          <cell r="C2787" t="str">
            <v>저축은행</v>
          </cell>
          <cell r="E2787" t="str">
            <v>모름</v>
          </cell>
          <cell r="H2787">
            <v>51</v>
          </cell>
          <cell r="I2787">
            <v>0</v>
          </cell>
        </row>
        <row r="2788">
          <cell r="C2788" t="str">
            <v>저축은행</v>
          </cell>
          <cell r="E2788" t="str">
            <v>모름</v>
          </cell>
          <cell r="H2788">
            <v>94</v>
          </cell>
          <cell r="I2788">
            <v>0</v>
          </cell>
        </row>
        <row r="2789">
          <cell r="C2789" t="str">
            <v>저축은행</v>
          </cell>
          <cell r="E2789" t="str">
            <v>모름</v>
          </cell>
          <cell r="H2789">
            <v>94</v>
          </cell>
          <cell r="I2789">
            <v>0</v>
          </cell>
        </row>
        <row r="2790">
          <cell r="C2790" t="str">
            <v>저축은행</v>
          </cell>
          <cell r="E2790" t="str">
            <v>모름</v>
          </cell>
          <cell r="H2790">
            <v>61</v>
          </cell>
          <cell r="I2790">
            <v>3300</v>
          </cell>
        </row>
        <row r="2791">
          <cell r="C2791" t="str">
            <v>저축은행</v>
          </cell>
          <cell r="E2791" t="str">
            <v>모름</v>
          </cell>
          <cell r="H2791">
            <v>61</v>
          </cell>
          <cell r="I2791">
            <v>3210</v>
          </cell>
        </row>
        <row r="2792">
          <cell r="C2792" t="str">
            <v>저축은행</v>
          </cell>
          <cell r="E2792" t="str">
            <v>모름</v>
          </cell>
          <cell r="H2792">
            <v>154</v>
          </cell>
          <cell r="I2792">
            <v>0</v>
          </cell>
        </row>
        <row r="2793">
          <cell r="C2793" t="str">
            <v>저축은행</v>
          </cell>
          <cell r="E2793" t="str">
            <v>모름</v>
          </cell>
          <cell r="H2793">
            <v>154</v>
          </cell>
          <cell r="I2793">
            <v>0</v>
          </cell>
        </row>
        <row r="2794">
          <cell r="C2794" t="str">
            <v>저축은행</v>
          </cell>
          <cell r="E2794" t="str">
            <v>모름</v>
          </cell>
          <cell r="H2794">
            <v>154</v>
          </cell>
          <cell r="I2794">
            <v>0</v>
          </cell>
        </row>
        <row r="2795">
          <cell r="C2795" t="str">
            <v>저축은행</v>
          </cell>
          <cell r="E2795" t="str">
            <v>모름</v>
          </cell>
          <cell r="H2795">
            <v>154</v>
          </cell>
          <cell r="I2795">
            <v>0</v>
          </cell>
        </row>
        <row r="2796">
          <cell r="C2796" t="str">
            <v>저축은행</v>
          </cell>
          <cell r="E2796" t="str">
            <v>모름</v>
          </cell>
          <cell r="H2796">
            <v>83</v>
          </cell>
          <cell r="I2796">
            <v>4000</v>
          </cell>
        </row>
        <row r="2797">
          <cell r="C2797" t="str">
            <v>저축은행</v>
          </cell>
          <cell r="E2797" t="str">
            <v>모름</v>
          </cell>
          <cell r="H2797">
            <v>14</v>
          </cell>
          <cell r="I2797">
            <v>0</v>
          </cell>
        </row>
        <row r="2798">
          <cell r="C2798" t="str">
            <v>저축은행</v>
          </cell>
          <cell r="E2798" t="str">
            <v>모름</v>
          </cell>
          <cell r="H2798">
            <v>14</v>
          </cell>
          <cell r="I2798">
            <v>0</v>
          </cell>
        </row>
        <row r="2799">
          <cell r="C2799" t="str">
            <v>저축은행</v>
          </cell>
          <cell r="E2799" t="str">
            <v>모름</v>
          </cell>
          <cell r="H2799">
            <v>14</v>
          </cell>
          <cell r="I2799">
            <v>0</v>
          </cell>
        </row>
        <row r="2800">
          <cell r="C2800" t="str">
            <v>저축은행</v>
          </cell>
          <cell r="E2800" t="str">
            <v>모름</v>
          </cell>
          <cell r="H2800">
            <v>14</v>
          </cell>
          <cell r="I2800">
            <v>0</v>
          </cell>
        </row>
        <row r="2801">
          <cell r="C2801" t="str">
            <v>저축은행</v>
          </cell>
          <cell r="E2801" t="str">
            <v>모름</v>
          </cell>
          <cell r="H2801">
            <v>1000</v>
          </cell>
          <cell r="I2801">
            <v>0</v>
          </cell>
        </row>
        <row r="2802">
          <cell r="C2802" t="str">
            <v>저축은행</v>
          </cell>
          <cell r="E2802" t="str">
            <v>모름</v>
          </cell>
          <cell r="H2802">
            <v>22</v>
          </cell>
          <cell r="I2802">
            <v>0</v>
          </cell>
        </row>
        <row r="2803">
          <cell r="C2803" t="str">
            <v>저축은행</v>
          </cell>
          <cell r="E2803" t="str">
            <v>모름</v>
          </cell>
          <cell r="H2803">
            <v>22</v>
          </cell>
          <cell r="I2803">
            <v>0</v>
          </cell>
        </row>
        <row r="2804">
          <cell r="C2804" t="str">
            <v>저축은행</v>
          </cell>
          <cell r="E2804" t="str">
            <v>모름</v>
          </cell>
          <cell r="H2804">
            <v>2</v>
          </cell>
          <cell r="I2804">
            <v>0</v>
          </cell>
        </row>
        <row r="2805">
          <cell r="C2805" t="str">
            <v>저축은행</v>
          </cell>
          <cell r="E2805" t="str">
            <v>모름</v>
          </cell>
          <cell r="H2805">
            <v>1000</v>
          </cell>
          <cell r="I2805">
            <v>0</v>
          </cell>
        </row>
        <row r="2806">
          <cell r="C2806" t="str">
            <v>저축은행</v>
          </cell>
          <cell r="E2806" t="str">
            <v>모름</v>
          </cell>
          <cell r="H2806">
            <v>1000</v>
          </cell>
          <cell r="I2806">
            <v>0</v>
          </cell>
        </row>
        <row r="2807">
          <cell r="C2807" t="str">
            <v>저축은행</v>
          </cell>
          <cell r="E2807" t="str">
            <v>모름</v>
          </cell>
          <cell r="H2807">
            <v>78</v>
          </cell>
          <cell r="I2807">
            <v>4400</v>
          </cell>
        </row>
        <row r="2808">
          <cell r="C2808" t="str">
            <v>저축은행</v>
          </cell>
          <cell r="E2808" t="str">
            <v>모름</v>
          </cell>
          <cell r="H2808">
            <v>78</v>
          </cell>
          <cell r="I2808">
            <v>4618</v>
          </cell>
        </row>
        <row r="2809">
          <cell r="C2809" t="str">
            <v>저축은행</v>
          </cell>
          <cell r="E2809" t="str">
            <v>모름</v>
          </cell>
          <cell r="H2809">
            <v>78</v>
          </cell>
          <cell r="I2809">
            <v>0</v>
          </cell>
        </row>
        <row r="2810">
          <cell r="C2810" t="str">
            <v>저축은행</v>
          </cell>
          <cell r="E2810" t="str">
            <v>모름</v>
          </cell>
          <cell r="H2810">
            <v>78</v>
          </cell>
          <cell r="I2810">
            <v>0</v>
          </cell>
        </row>
        <row r="2811">
          <cell r="C2811" t="str">
            <v>저축은행</v>
          </cell>
          <cell r="E2811" t="str">
            <v>모름</v>
          </cell>
          <cell r="H2811">
            <v>78</v>
          </cell>
          <cell r="I2811">
            <v>0</v>
          </cell>
        </row>
        <row r="2812">
          <cell r="C2812" t="str">
            <v>저축은행</v>
          </cell>
          <cell r="E2812" t="str">
            <v>모름</v>
          </cell>
          <cell r="H2812">
            <v>68</v>
          </cell>
          <cell r="I2812">
            <v>0</v>
          </cell>
        </row>
        <row r="2813">
          <cell r="C2813" t="str">
            <v>저축은행</v>
          </cell>
          <cell r="E2813" t="str">
            <v>모름</v>
          </cell>
          <cell r="H2813">
            <v>182</v>
          </cell>
          <cell r="I2813">
            <v>2400</v>
          </cell>
        </row>
        <row r="2814">
          <cell r="C2814" t="str">
            <v>저축은행</v>
          </cell>
          <cell r="E2814" t="str">
            <v>모름</v>
          </cell>
          <cell r="H2814">
            <v>182</v>
          </cell>
          <cell r="I2814">
            <v>2400</v>
          </cell>
        </row>
        <row r="2815">
          <cell r="C2815" t="str">
            <v>저축은행</v>
          </cell>
          <cell r="E2815" t="str">
            <v>모름</v>
          </cell>
          <cell r="H2815">
            <v>182</v>
          </cell>
          <cell r="I2815">
            <v>1800</v>
          </cell>
        </row>
        <row r="2816">
          <cell r="C2816" t="str">
            <v>저축은행</v>
          </cell>
          <cell r="E2816" t="str">
            <v>모름</v>
          </cell>
          <cell r="H2816">
            <v>182</v>
          </cell>
          <cell r="I2816">
            <v>4539</v>
          </cell>
        </row>
        <row r="2817">
          <cell r="C2817" t="str">
            <v>저축은행</v>
          </cell>
          <cell r="E2817" t="str">
            <v>모름</v>
          </cell>
          <cell r="H2817">
            <v>182</v>
          </cell>
          <cell r="I2817">
            <v>4750</v>
          </cell>
        </row>
        <row r="2818">
          <cell r="C2818" t="str">
            <v>저축은행</v>
          </cell>
          <cell r="E2818" t="str">
            <v>모름</v>
          </cell>
          <cell r="H2818">
            <v>56</v>
          </cell>
          <cell r="I2818">
            <v>0</v>
          </cell>
        </row>
        <row r="2819">
          <cell r="C2819" t="str">
            <v>저축은행</v>
          </cell>
          <cell r="E2819" t="str">
            <v>모름</v>
          </cell>
          <cell r="H2819">
            <v>56</v>
          </cell>
          <cell r="I2819">
            <v>0</v>
          </cell>
        </row>
        <row r="2820">
          <cell r="C2820" t="str">
            <v>저축은행</v>
          </cell>
          <cell r="E2820" t="str">
            <v>모름</v>
          </cell>
          <cell r="H2820">
            <v>7</v>
          </cell>
          <cell r="I2820">
            <v>0</v>
          </cell>
        </row>
        <row r="2821">
          <cell r="C2821" t="str">
            <v>저축은행</v>
          </cell>
          <cell r="E2821" t="str">
            <v>모름</v>
          </cell>
          <cell r="H2821">
            <v>10</v>
          </cell>
          <cell r="I2821">
            <v>5000</v>
          </cell>
        </row>
        <row r="2822">
          <cell r="C2822" t="str">
            <v>저축은행</v>
          </cell>
          <cell r="E2822" t="str">
            <v>모름</v>
          </cell>
          <cell r="H2822">
            <v>10</v>
          </cell>
          <cell r="I2822">
            <v>4000</v>
          </cell>
        </row>
        <row r="2823">
          <cell r="C2823" t="str">
            <v>저축은행</v>
          </cell>
          <cell r="E2823" t="str">
            <v>모름</v>
          </cell>
          <cell r="H2823">
            <v>33</v>
          </cell>
          <cell r="I2823">
            <v>0</v>
          </cell>
        </row>
        <row r="2824">
          <cell r="C2824" t="str">
            <v>저축은행</v>
          </cell>
          <cell r="E2824" t="str">
            <v>모름</v>
          </cell>
          <cell r="H2824">
            <v>5</v>
          </cell>
          <cell r="I2824">
            <v>0</v>
          </cell>
        </row>
        <row r="2825">
          <cell r="C2825" t="str">
            <v>저축은행</v>
          </cell>
          <cell r="E2825" t="str">
            <v>모름</v>
          </cell>
          <cell r="H2825">
            <v>155</v>
          </cell>
          <cell r="I2825">
            <v>0</v>
          </cell>
        </row>
        <row r="2826">
          <cell r="C2826" t="str">
            <v>저축은행</v>
          </cell>
          <cell r="E2826" t="str">
            <v>모름</v>
          </cell>
          <cell r="H2826">
            <v>26</v>
          </cell>
          <cell r="I2826">
            <v>0</v>
          </cell>
        </row>
        <row r="2827">
          <cell r="C2827" t="str">
            <v>저축은행</v>
          </cell>
          <cell r="E2827" t="str">
            <v>모름</v>
          </cell>
          <cell r="H2827">
            <v>50</v>
          </cell>
          <cell r="I2827">
            <v>2500</v>
          </cell>
        </row>
        <row r="2828">
          <cell r="C2828" t="str">
            <v>저축은행</v>
          </cell>
          <cell r="E2828" t="str">
            <v>모름</v>
          </cell>
          <cell r="H2828">
            <v>1000</v>
          </cell>
          <cell r="I2828">
            <v>2500</v>
          </cell>
        </row>
        <row r="2829">
          <cell r="C2829" t="str">
            <v>저축은행</v>
          </cell>
          <cell r="E2829" t="str">
            <v>모름</v>
          </cell>
          <cell r="H2829">
            <v>35</v>
          </cell>
          <cell r="I2829">
            <v>2800</v>
          </cell>
        </row>
        <row r="2830">
          <cell r="C2830" t="str">
            <v>저축은행</v>
          </cell>
          <cell r="E2830" t="str">
            <v>모름</v>
          </cell>
          <cell r="H2830">
            <v>56</v>
          </cell>
          <cell r="I2830">
            <v>2000</v>
          </cell>
        </row>
        <row r="2831">
          <cell r="C2831" t="str">
            <v>저축은행</v>
          </cell>
          <cell r="E2831" t="str">
            <v>모름</v>
          </cell>
          <cell r="H2831">
            <v>76</v>
          </cell>
          <cell r="I2831">
            <v>0</v>
          </cell>
        </row>
        <row r="2832">
          <cell r="C2832" t="str">
            <v>저축은행</v>
          </cell>
          <cell r="E2832" t="str">
            <v>모름</v>
          </cell>
          <cell r="H2832">
            <v>43</v>
          </cell>
          <cell r="I2832">
            <v>0</v>
          </cell>
        </row>
        <row r="2833">
          <cell r="C2833" t="str">
            <v>저축은행</v>
          </cell>
          <cell r="E2833" t="str">
            <v>모름</v>
          </cell>
          <cell r="H2833">
            <v>38</v>
          </cell>
          <cell r="I2833">
            <v>2000</v>
          </cell>
        </row>
        <row r="2834">
          <cell r="C2834" t="str">
            <v>저축은행</v>
          </cell>
          <cell r="E2834" t="str">
            <v>모름</v>
          </cell>
          <cell r="H2834">
            <v>4</v>
          </cell>
          <cell r="I2834">
            <v>0</v>
          </cell>
        </row>
        <row r="2835">
          <cell r="C2835" t="str">
            <v>저축은행</v>
          </cell>
          <cell r="E2835" t="str">
            <v>모름</v>
          </cell>
          <cell r="H2835">
            <v>61</v>
          </cell>
          <cell r="I2835">
            <v>2180</v>
          </cell>
        </row>
        <row r="2836">
          <cell r="C2836" t="str">
            <v>저축은행</v>
          </cell>
          <cell r="E2836" t="str">
            <v>모름</v>
          </cell>
          <cell r="H2836">
            <v>99</v>
          </cell>
          <cell r="I2836">
            <v>0</v>
          </cell>
        </row>
        <row r="2837">
          <cell r="C2837" t="str">
            <v>저축은행</v>
          </cell>
          <cell r="E2837" t="str">
            <v>모름</v>
          </cell>
          <cell r="H2837">
            <v>51</v>
          </cell>
          <cell r="I2837">
            <v>0</v>
          </cell>
        </row>
        <row r="2838">
          <cell r="C2838" t="str">
            <v>저축은행</v>
          </cell>
          <cell r="E2838" t="str">
            <v>모름</v>
          </cell>
          <cell r="H2838">
            <v>4</v>
          </cell>
          <cell r="I2838">
            <v>0</v>
          </cell>
        </row>
        <row r="2839">
          <cell r="C2839" t="str">
            <v>저축은행</v>
          </cell>
          <cell r="E2839" t="str">
            <v>모름</v>
          </cell>
          <cell r="H2839">
            <v>61</v>
          </cell>
          <cell r="I2839">
            <v>2000</v>
          </cell>
        </row>
        <row r="2840">
          <cell r="C2840" t="str">
            <v>저축은행</v>
          </cell>
          <cell r="E2840" t="str">
            <v>모름</v>
          </cell>
          <cell r="H2840">
            <v>46</v>
          </cell>
          <cell r="I2840">
            <v>0</v>
          </cell>
        </row>
        <row r="2841">
          <cell r="C2841" t="str">
            <v>저축은행</v>
          </cell>
          <cell r="E2841" t="str">
            <v>모름</v>
          </cell>
          <cell r="H2841">
            <v>61</v>
          </cell>
          <cell r="I2841">
            <v>2000</v>
          </cell>
        </row>
        <row r="2842">
          <cell r="C2842" t="str">
            <v>저축은행</v>
          </cell>
          <cell r="E2842" t="str">
            <v>모름</v>
          </cell>
          <cell r="H2842">
            <v>141</v>
          </cell>
          <cell r="I2842">
            <v>2000</v>
          </cell>
        </row>
        <row r="2843">
          <cell r="C2843" t="str">
            <v>저축은행</v>
          </cell>
          <cell r="E2843" t="str">
            <v>모름</v>
          </cell>
          <cell r="H2843">
            <v>141</v>
          </cell>
          <cell r="I2843">
            <v>2000</v>
          </cell>
        </row>
        <row r="2844">
          <cell r="C2844" t="str">
            <v>저축은행</v>
          </cell>
          <cell r="E2844" t="str">
            <v>모름</v>
          </cell>
          <cell r="H2844">
            <v>61</v>
          </cell>
          <cell r="I2844">
            <v>1000</v>
          </cell>
        </row>
        <row r="2845">
          <cell r="C2845" t="str">
            <v>저축은행</v>
          </cell>
          <cell r="E2845" t="str">
            <v>모름</v>
          </cell>
          <cell r="H2845">
            <v>4</v>
          </cell>
          <cell r="I2845">
            <v>0</v>
          </cell>
        </row>
        <row r="2846">
          <cell r="C2846" t="str">
            <v>저축은행</v>
          </cell>
          <cell r="E2846" t="str">
            <v>모름</v>
          </cell>
          <cell r="H2846">
            <v>4</v>
          </cell>
          <cell r="I2846">
            <v>0</v>
          </cell>
        </row>
        <row r="2847">
          <cell r="C2847" t="str">
            <v>저축은행</v>
          </cell>
          <cell r="E2847" t="str">
            <v>모름</v>
          </cell>
          <cell r="H2847">
            <v>23</v>
          </cell>
          <cell r="I2847">
            <v>0</v>
          </cell>
        </row>
        <row r="2848">
          <cell r="C2848" t="str">
            <v>저축은행</v>
          </cell>
          <cell r="E2848" t="str">
            <v>모름</v>
          </cell>
          <cell r="H2848">
            <v>18</v>
          </cell>
          <cell r="I2848">
            <v>0</v>
          </cell>
        </row>
        <row r="2849">
          <cell r="C2849" t="str">
            <v>저축은행</v>
          </cell>
          <cell r="E2849" t="str">
            <v>모름</v>
          </cell>
          <cell r="H2849">
            <v>36</v>
          </cell>
          <cell r="I2849">
            <v>0</v>
          </cell>
        </row>
        <row r="2850">
          <cell r="C2850" t="str">
            <v>저축은행</v>
          </cell>
          <cell r="E2850" t="str">
            <v>모름</v>
          </cell>
          <cell r="H2850">
            <v>61</v>
          </cell>
          <cell r="I2850">
            <v>1000</v>
          </cell>
        </row>
        <row r="2851">
          <cell r="C2851" t="str">
            <v>저축은행</v>
          </cell>
          <cell r="E2851" t="str">
            <v>모름</v>
          </cell>
          <cell r="H2851">
            <v>141</v>
          </cell>
          <cell r="I2851">
            <v>1000</v>
          </cell>
        </row>
        <row r="2852">
          <cell r="C2852" t="str">
            <v>저축은행</v>
          </cell>
          <cell r="E2852" t="str">
            <v>모름</v>
          </cell>
          <cell r="H2852">
            <v>23</v>
          </cell>
          <cell r="I2852">
            <v>0</v>
          </cell>
        </row>
        <row r="2853">
          <cell r="C2853" t="str">
            <v>저축은행</v>
          </cell>
          <cell r="E2853" t="str">
            <v>모름</v>
          </cell>
          <cell r="H2853">
            <v>68</v>
          </cell>
          <cell r="I2853">
            <v>0</v>
          </cell>
        </row>
        <row r="2854">
          <cell r="C2854" t="str">
            <v>저축은행</v>
          </cell>
          <cell r="E2854" t="str">
            <v>모름</v>
          </cell>
          <cell r="H2854">
            <v>84</v>
          </cell>
          <cell r="I2854">
            <v>0</v>
          </cell>
        </row>
        <row r="2855">
          <cell r="C2855" t="str">
            <v>저축은행</v>
          </cell>
          <cell r="E2855" t="str">
            <v>모름</v>
          </cell>
          <cell r="H2855">
            <v>84</v>
          </cell>
          <cell r="I2855">
            <v>0</v>
          </cell>
        </row>
        <row r="2856">
          <cell r="C2856" t="str">
            <v>저축은행</v>
          </cell>
          <cell r="E2856" t="str">
            <v>모름</v>
          </cell>
          <cell r="H2856">
            <v>12</v>
          </cell>
          <cell r="I2856">
            <v>0</v>
          </cell>
        </row>
        <row r="2857">
          <cell r="C2857" t="str">
            <v>저축은행</v>
          </cell>
          <cell r="E2857" t="str">
            <v>모름</v>
          </cell>
          <cell r="H2857">
            <v>50</v>
          </cell>
          <cell r="I2857">
            <v>3903</v>
          </cell>
        </row>
        <row r="2858">
          <cell r="C2858" t="str">
            <v>저축은행</v>
          </cell>
          <cell r="E2858" t="str">
            <v>모름</v>
          </cell>
          <cell r="H2858">
            <v>6</v>
          </cell>
          <cell r="I2858">
            <v>0</v>
          </cell>
        </row>
        <row r="2859">
          <cell r="C2859" t="str">
            <v>저축은행</v>
          </cell>
          <cell r="E2859" t="str">
            <v>모름</v>
          </cell>
          <cell r="H2859">
            <v>60</v>
          </cell>
          <cell r="I2859">
            <v>3000</v>
          </cell>
        </row>
        <row r="2860">
          <cell r="C2860" t="str">
            <v>저축은행</v>
          </cell>
          <cell r="E2860" t="str">
            <v>모름</v>
          </cell>
          <cell r="H2860">
            <v>94</v>
          </cell>
          <cell r="I2860">
            <v>3000</v>
          </cell>
        </row>
        <row r="2861">
          <cell r="C2861" t="str">
            <v>저축은행</v>
          </cell>
          <cell r="E2861" t="str">
            <v>모름</v>
          </cell>
          <cell r="H2861">
            <v>36</v>
          </cell>
          <cell r="I2861">
            <v>0</v>
          </cell>
        </row>
        <row r="2862">
          <cell r="C2862" t="str">
            <v>저축은행</v>
          </cell>
          <cell r="E2862" t="str">
            <v>모름</v>
          </cell>
          <cell r="H2862">
            <v>138</v>
          </cell>
          <cell r="I2862">
            <v>0</v>
          </cell>
        </row>
        <row r="2863">
          <cell r="C2863" t="str">
            <v>저축은행</v>
          </cell>
          <cell r="E2863" t="str">
            <v>모름</v>
          </cell>
          <cell r="H2863">
            <v>35</v>
          </cell>
          <cell r="I2863">
            <v>0</v>
          </cell>
        </row>
        <row r="2864">
          <cell r="C2864" t="str">
            <v>저축은행</v>
          </cell>
          <cell r="E2864" t="str">
            <v>모름</v>
          </cell>
          <cell r="H2864">
            <v>1000</v>
          </cell>
          <cell r="I2864">
            <v>0</v>
          </cell>
        </row>
        <row r="2865">
          <cell r="C2865" t="str">
            <v>저축은행</v>
          </cell>
          <cell r="E2865" t="str">
            <v>모름</v>
          </cell>
          <cell r="H2865">
            <v>21</v>
          </cell>
          <cell r="I2865">
            <v>0</v>
          </cell>
        </row>
        <row r="2866">
          <cell r="C2866" t="str">
            <v>저축은행</v>
          </cell>
          <cell r="E2866" t="str">
            <v>모름</v>
          </cell>
          <cell r="H2866">
            <v>12</v>
          </cell>
          <cell r="I2866">
            <v>0</v>
          </cell>
        </row>
        <row r="2867">
          <cell r="C2867" t="str">
            <v>저축은행</v>
          </cell>
          <cell r="E2867" t="str">
            <v>모름</v>
          </cell>
          <cell r="H2867">
            <v>1000</v>
          </cell>
          <cell r="I2867">
            <v>5000</v>
          </cell>
        </row>
        <row r="2868">
          <cell r="C2868" t="str">
            <v>저축은행</v>
          </cell>
          <cell r="E2868" t="str">
            <v>모름</v>
          </cell>
          <cell r="H2868">
            <v>44</v>
          </cell>
          <cell r="I2868">
            <v>450</v>
          </cell>
        </row>
        <row r="2869">
          <cell r="C2869" t="str">
            <v>저축은행</v>
          </cell>
          <cell r="E2869" t="str">
            <v>모름</v>
          </cell>
          <cell r="H2869">
            <v>1000</v>
          </cell>
          <cell r="I2869">
            <v>0</v>
          </cell>
        </row>
        <row r="2870">
          <cell r="C2870" t="str">
            <v>저축은행</v>
          </cell>
          <cell r="E2870" t="str">
            <v>모름</v>
          </cell>
          <cell r="H2870">
            <v>133</v>
          </cell>
          <cell r="I2870">
            <v>3000</v>
          </cell>
        </row>
        <row r="2871">
          <cell r="C2871" t="str">
            <v>저축은행</v>
          </cell>
          <cell r="E2871" t="str">
            <v>모름</v>
          </cell>
          <cell r="H2871">
            <v>138</v>
          </cell>
          <cell r="I2871">
            <v>0</v>
          </cell>
        </row>
        <row r="2872">
          <cell r="C2872" t="str">
            <v>저축은행</v>
          </cell>
          <cell r="E2872" t="str">
            <v>모름</v>
          </cell>
          <cell r="H2872">
            <v>10</v>
          </cell>
          <cell r="I2872">
            <v>0</v>
          </cell>
        </row>
        <row r="2873">
          <cell r="C2873" t="str">
            <v>저축은행</v>
          </cell>
          <cell r="E2873" t="str">
            <v>모름</v>
          </cell>
          <cell r="H2873">
            <v>45</v>
          </cell>
          <cell r="I2873">
            <v>6000</v>
          </cell>
        </row>
        <row r="2874">
          <cell r="C2874" t="str">
            <v>저축은행</v>
          </cell>
          <cell r="E2874" t="str">
            <v>모름</v>
          </cell>
          <cell r="H2874">
            <v>45</v>
          </cell>
          <cell r="I2874">
            <v>4000</v>
          </cell>
        </row>
        <row r="2875">
          <cell r="C2875" t="str">
            <v>저축은행</v>
          </cell>
          <cell r="E2875" t="str">
            <v>모름</v>
          </cell>
          <cell r="H2875">
            <v>350</v>
          </cell>
          <cell r="I2875">
            <v>1546</v>
          </cell>
        </row>
        <row r="2876">
          <cell r="C2876" t="str">
            <v>저축은행</v>
          </cell>
          <cell r="E2876" t="str">
            <v>모름</v>
          </cell>
          <cell r="H2876">
            <v>10</v>
          </cell>
          <cell r="I2876">
            <v>5000</v>
          </cell>
        </row>
        <row r="2877">
          <cell r="C2877" t="str">
            <v>저축은행</v>
          </cell>
          <cell r="E2877" t="str">
            <v>모름</v>
          </cell>
          <cell r="H2877">
            <v>1000</v>
          </cell>
          <cell r="I2877">
            <v>0</v>
          </cell>
        </row>
        <row r="2878">
          <cell r="C2878" t="str">
            <v>저축은행</v>
          </cell>
          <cell r="E2878" t="str">
            <v>모름</v>
          </cell>
          <cell r="H2878">
            <v>1000</v>
          </cell>
          <cell r="I2878">
            <v>8000</v>
          </cell>
        </row>
        <row r="2879">
          <cell r="C2879" t="str">
            <v>저축은행</v>
          </cell>
          <cell r="E2879" t="str">
            <v>모름</v>
          </cell>
          <cell r="H2879">
            <v>36</v>
          </cell>
          <cell r="I2879">
            <v>0</v>
          </cell>
        </row>
        <row r="2880">
          <cell r="C2880" t="str">
            <v>저축은행</v>
          </cell>
          <cell r="E2880" t="str">
            <v>모름</v>
          </cell>
          <cell r="H2880">
            <v>1000</v>
          </cell>
          <cell r="I2880">
            <v>4714</v>
          </cell>
        </row>
        <row r="2881">
          <cell r="C2881" t="str">
            <v>저축은행</v>
          </cell>
          <cell r="E2881" t="str">
            <v>모름</v>
          </cell>
          <cell r="H2881">
            <v>31</v>
          </cell>
          <cell r="I2881">
            <v>0</v>
          </cell>
        </row>
        <row r="2882">
          <cell r="C2882" t="str">
            <v>저축은행</v>
          </cell>
          <cell r="E2882" t="str">
            <v>모름</v>
          </cell>
          <cell r="H2882">
            <v>152</v>
          </cell>
          <cell r="I2882">
            <v>5000</v>
          </cell>
        </row>
        <row r="2883">
          <cell r="C2883" t="str">
            <v>저축은행</v>
          </cell>
          <cell r="E2883" t="str">
            <v>모름</v>
          </cell>
          <cell r="H2883">
            <v>1000</v>
          </cell>
          <cell r="I2883">
            <v>4800</v>
          </cell>
        </row>
        <row r="2884">
          <cell r="C2884" t="str">
            <v>저축은행</v>
          </cell>
          <cell r="E2884" t="str">
            <v>모름</v>
          </cell>
          <cell r="H2884">
            <v>1000</v>
          </cell>
          <cell r="I2884">
            <v>0</v>
          </cell>
        </row>
        <row r="2885">
          <cell r="C2885" t="str">
            <v>저축은행</v>
          </cell>
          <cell r="E2885" t="str">
            <v>모름</v>
          </cell>
          <cell r="H2885">
            <v>1000</v>
          </cell>
          <cell r="I2885">
            <v>0</v>
          </cell>
        </row>
        <row r="2886">
          <cell r="C2886" t="str">
            <v>저축은행</v>
          </cell>
          <cell r="E2886" t="str">
            <v>모름</v>
          </cell>
          <cell r="H2886">
            <v>169</v>
          </cell>
          <cell r="I2886">
            <v>2000</v>
          </cell>
        </row>
        <row r="2887">
          <cell r="C2887" t="str">
            <v>저축은행</v>
          </cell>
          <cell r="E2887" t="str">
            <v>모름</v>
          </cell>
          <cell r="H2887">
            <v>38</v>
          </cell>
          <cell r="I2887">
            <v>6000</v>
          </cell>
        </row>
        <row r="2888">
          <cell r="C2888" t="str">
            <v>저축은행</v>
          </cell>
          <cell r="E2888" t="str">
            <v>모름</v>
          </cell>
          <cell r="H2888">
            <v>169</v>
          </cell>
          <cell r="I2888">
            <v>2000</v>
          </cell>
        </row>
        <row r="2889">
          <cell r="C2889" t="str">
            <v>저축은행</v>
          </cell>
          <cell r="E2889" t="str">
            <v>모름</v>
          </cell>
          <cell r="H2889">
            <v>1000</v>
          </cell>
          <cell r="I2889">
            <v>0</v>
          </cell>
        </row>
        <row r="2890">
          <cell r="C2890" t="str">
            <v>저축은행</v>
          </cell>
          <cell r="E2890" t="str">
            <v>모름</v>
          </cell>
          <cell r="H2890">
            <v>324</v>
          </cell>
          <cell r="I2890">
            <v>0</v>
          </cell>
        </row>
        <row r="2891">
          <cell r="C2891" t="str">
            <v>저축은행</v>
          </cell>
          <cell r="E2891" t="str">
            <v>모름</v>
          </cell>
          <cell r="H2891">
            <v>144</v>
          </cell>
          <cell r="I2891">
            <v>1600</v>
          </cell>
        </row>
        <row r="2892">
          <cell r="C2892" t="str">
            <v>저축은행</v>
          </cell>
          <cell r="E2892" t="str">
            <v>모름</v>
          </cell>
          <cell r="H2892">
            <v>191</v>
          </cell>
          <cell r="I2892">
            <v>600</v>
          </cell>
        </row>
        <row r="2893">
          <cell r="C2893" t="str">
            <v>저축은행</v>
          </cell>
          <cell r="E2893" t="str">
            <v>모름</v>
          </cell>
          <cell r="H2893">
            <v>1000</v>
          </cell>
          <cell r="I2893">
            <v>1222</v>
          </cell>
        </row>
        <row r="2894">
          <cell r="C2894" t="str">
            <v>저축은행</v>
          </cell>
          <cell r="E2894" t="str">
            <v>모름</v>
          </cell>
          <cell r="H2894">
            <v>242</v>
          </cell>
          <cell r="I2894">
            <v>2500</v>
          </cell>
        </row>
        <row r="2895">
          <cell r="C2895" t="str">
            <v>저축은행</v>
          </cell>
          <cell r="E2895" t="str">
            <v>모름</v>
          </cell>
          <cell r="H2895">
            <v>335</v>
          </cell>
          <cell r="I2895">
            <v>2000</v>
          </cell>
        </row>
        <row r="2896">
          <cell r="C2896" t="str">
            <v>저축은행</v>
          </cell>
          <cell r="E2896" t="str">
            <v>모름</v>
          </cell>
          <cell r="H2896">
            <v>44</v>
          </cell>
          <cell r="I2896">
            <v>2000</v>
          </cell>
        </row>
        <row r="2897">
          <cell r="C2897" t="str">
            <v>저축은행</v>
          </cell>
          <cell r="E2897" t="str">
            <v>모름</v>
          </cell>
          <cell r="H2897">
            <v>77</v>
          </cell>
          <cell r="I2897">
            <v>4000</v>
          </cell>
        </row>
        <row r="2898">
          <cell r="C2898" t="str">
            <v>저축은행</v>
          </cell>
          <cell r="E2898" t="str">
            <v>모름</v>
          </cell>
          <cell r="H2898">
            <v>264</v>
          </cell>
          <cell r="I2898">
            <v>2100</v>
          </cell>
        </row>
        <row r="2899">
          <cell r="C2899" t="str">
            <v>저축은행</v>
          </cell>
          <cell r="E2899" t="str">
            <v>모름</v>
          </cell>
          <cell r="H2899">
            <v>50</v>
          </cell>
          <cell r="I2899">
            <v>0</v>
          </cell>
        </row>
        <row r="2900">
          <cell r="C2900" t="str">
            <v>저축은행</v>
          </cell>
          <cell r="E2900" t="str">
            <v>모름</v>
          </cell>
          <cell r="H2900">
            <v>335</v>
          </cell>
          <cell r="I2900">
            <v>4000</v>
          </cell>
        </row>
        <row r="2901">
          <cell r="C2901" t="str">
            <v>저축은행</v>
          </cell>
          <cell r="E2901" t="str">
            <v>모름</v>
          </cell>
          <cell r="H2901">
            <v>94</v>
          </cell>
          <cell r="I2901">
            <v>3000</v>
          </cell>
        </row>
        <row r="2902">
          <cell r="C2902" t="str">
            <v>저축은행</v>
          </cell>
          <cell r="E2902" t="str">
            <v>모름</v>
          </cell>
          <cell r="H2902">
            <v>44</v>
          </cell>
          <cell r="I2902">
            <v>0</v>
          </cell>
        </row>
        <row r="2903">
          <cell r="C2903" t="str">
            <v>저축은행</v>
          </cell>
          <cell r="E2903" t="str">
            <v>모름</v>
          </cell>
          <cell r="H2903">
            <v>35</v>
          </cell>
          <cell r="I2903">
            <v>1400</v>
          </cell>
        </row>
        <row r="2904">
          <cell r="C2904" t="str">
            <v>저축은행</v>
          </cell>
          <cell r="E2904" t="str">
            <v>모름</v>
          </cell>
          <cell r="H2904">
            <v>9</v>
          </cell>
          <cell r="I2904">
            <v>0</v>
          </cell>
        </row>
        <row r="2905">
          <cell r="C2905" t="str">
            <v>저축은행</v>
          </cell>
          <cell r="E2905" t="str">
            <v>모름</v>
          </cell>
          <cell r="H2905">
            <v>21</v>
          </cell>
          <cell r="I2905">
            <v>0</v>
          </cell>
        </row>
        <row r="2906">
          <cell r="C2906" t="str">
            <v>저축은행</v>
          </cell>
          <cell r="E2906" t="str">
            <v>모름</v>
          </cell>
          <cell r="H2906">
            <v>169</v>
          </cell>
          <cell r="I2906">
            <v>600</v>
          </cell>
        </row>
        <row r="2907">
          <cell r="C2907" t="str">
            <v>저축은행</v>
          </cell>
          <cell r="E2907" t="str">
            <v>모름</v>
          </cell>
          <cell r="H2907">
            <v>191</v>
          </cell>
          <cell r="I2907">
            <v>600</v>
          </cell>
        </row>
        <row r="2908">
          <cell r="C2908" t="str">
            <v>저축은행</v>
          </cell>
          <cell r="E2908" t="str">
            <v>모름</v>
          </cell>
          <cell r="H2908">
            <v>33</v>
          </cell>
          <cell r="I2908">
            <v>1000</v>
          </cell>
        </row>
        <row r="2909">
          <cell r="C2909" t="str">
            <v>저축은행</v>
          </cell>
          <cell r="E2909" t="str">
            <v>모름</v>
          </cell>
          <cell r="H2909">
            <v>144</v>
          </cell>
          <cell r="I2909">
            <v>700</v>
          </cell>
        </row>
        <row r="2910">
          <cell r="C2910" t="str">
            <v>저축은행</v>
          </cell>
          <cell r="E2910" t="str">
            <v>모름</v>
          </cell>
          <cell r="H2910">
            <v>120</v>
          </cell>
          <cell r="I2910">
            <v>467</v>
          </cell>
        </row>
        <row r="2911">
          <cell r="C2911" t="str">
            <v>저축은행</v>
          </cell>
          <cell r="E2911" t="str">
            <v>모름</v>
          </cell>
          <cell r="H2911">
            <v>1000</v>
          </cell>
          <cell r="I2911">
            <v>0</v>
          </cell>
        </row>
        <row r="2912">
          <cell r="C2912" t="str">
            <v>저축은행</v>
          </cell>
          <cell r="E2912" t="str">
            <v>모름</v>
          </cell>
          <cell r="H2912">
            <v>191</v>
          </cell>
          <cell r="I2912">
            <v>600</v>
          </cell>
        </row>
        <row r="2913">
          <cell r="C2913" t="str">
            <v>저축은행</v>
          </cell>
          <cell r="E2913" t="str">
            <v>모름</v>
          </cell>
          <cell r="H2913">
            <v>169</v>
          </cell>
          <cell r="I2913">
            <v>2000</v>
          </cell>
        </row>
        <row r="2914">
          <cell r="C2914" t="str">
            <v>저축은행</v>
          </cell>
          <cell r="E2914" t="str">
            <v>모름</v>
          </cell>
          <cell r="H2914">
            <v>12</v>
          </cell>
          <cell r="I2914">
            <v>0</v>
          </cell>
        </row>
        <row r="2915">
          <cell r="C2915" t="str">
            <v>저축은행</v>
          </cell>
          <cell r="E2915" t="str">
            <v>모름</v>
          </cell>
          <cell r="H2915">
            <v>191</v>
          </cell>
          <cell r="I2915">
            <v>0</v>
          </cell>
        </row>
        <row r="2916">
          <cell r="C2916" t="str">
            <v>저축은행</v>
          </cell>
          <cell r="E2916" t="str">
            <v>모름</v>
          </cell>
          <cell r="H2916">
            <v>60</v>
          </cell>
          <cell r="I2916">
            <v>2000</v>
          </cell>
        </row>
        <row r="2917">
          <cell r="C2917" t="str">
            <v>저축은행</v>
          </cell>
          <cell r="E2917" t="str">
            <v>모름</v>
          </cell>
          <cell r="H2917">
            <v>46</v>
          </cell>
          <cell r="I2917">
            <v>1000</v>
          </cell>
        </row>
        <row r="2918">
          <cell r="C2918" t="str">
            <v>저축은행</v>
          </cell>
          <cell r="E2918" t="str">
            <v>모름</v>
          </cell>
          <cell r="H2918">
            <v>56</v>
          </cell>
          <cell r="I2918">
            <v>0</v>
          </cell>
        </row>
        <row r="2919">
          <cell r="C2919" t="str">
            <v>저축은행</v>
          </cell>
          <cell r="E2919" t="str">
            <v>모름</v>
          </cell>
          <cell r="H2919">
            <v>12</v>
          </cell>
          <cell r="I2919">
            <v>0</v>
          </cell>
        </row>
        <row r="2920">
          <cell r="C2920" t="str">
            <v>저축은행</v>
          </cell>
          <cell r="E2920" t="str">
            <v>모름</v>
          </cell>
          <cell r="H2920">
            <v>94</v>
          </cell>
          <cell r="I2920">
            <v>2000</v>
          </cell>
        </row>
        <row r="2921">
          <cell r="C2921" t="str">
            <v>저축은행</v>
          </cell>
          <cell r="E2921" t="str">
            <v>모름</v>
          </cell>
          <cell r="H2921">
            <v>94</v>
          </cell>
          <cell r="I2921">
            <v>2000</v>
          </cell>
        </row>
        <row r="2922">
          <cell r="C2922" t="str">
            <v>저축은행</v>
          </cell>
          <cell r="E2922" t="str">
            <v>모름</v>
          </cell>
          <cell r="H2922">
            <v>56</v>
          </cell>
          <cell r="I2922">
            <v>0</v>
          </cell>
        </row>
        <row r="2923">
          <cell r="C2923" t="str">
            <v>저축은행</v>
          </cell>
          <cell r="E2923" t="str">
            <v>모름</v>
          </cell>
          <cell r="H2923">
            <v>4</v>
          </cell>
          <cell r="I2923">
            <v>0</v>
          </cell>
        </row>
        <row r="2924">
          <cell r="C2924" t="str">
            <v>저축은행</v>
          </cell>
          <cell r="E2924" t="str">
            <v>모름</v>
          </cell>
          <cell r="H2924">
            <v>23</v>
          </cell>
          <cell r="I2924">
            <v>0</v>
          </cell>
        </row>
        <row r="2925">
          <cell r="C2925" t="str">
            <v>저축은행</v>
          </cell>
          <cell r="E2925" t="str">
            <v>모름</v>
          </cell>
          <cell r="H2925">
            <v>1000</v>
          </cell>
          <cell r="I2925">
            <v>1000</v>
          </cell>
        </row>
        <row r="2926">
          <cell r="C2926" t="str">
            <v>저축은행</v>
          </cell>
          <cell r="E2926" t="str">
            <v>모름</v>
          </cell>
          <cell r="H2926">
            <v>83</v>
          </cell>
          <cell r="I2926">
            <v>0</v>
          </cell>
        </row>
        <row r="2927">
          <cell r="C2927" t="str">
            <v>저축은행</v>
          </cell>
          <cell r="E2927" t="str">
            <v>모름</v>
          </cell>
          <cell r="H2927">
            <v>1000</v>
          </cell>
          <cell r="I2927">
            <v>2000</v>
          </cell>
        </row>
        <row r="2928">
          <cell r="C2928" t="str">
            <v>저축은행</v>
          </cell>
          <cell r="E2928" t="str">
            <v>모름</v>
          </cell>
          <cell r="H2928">
            <v>83</v>
          </cell>
          <cell r="I2928">
            <v>0</v>
          </cell>
        </row>
        <row r="2929">
          <cell r="C2929" t="str">
            <v>저축은행</v>
          </cell>
          <cell r="E2929" t="str">
            <v>모름</v>
          </cell>
          <cell r="H2929">
            <v>1000</v>
          </cell>
          <cell r="I2929">
            <v>2000</v>
          </cell>
        </row>
        <row r="2930">
          <cell r="C2930" t="str">
            <v>저축은행</v>
          </cell>
          <cell r="E2930" t="str">
            <v>모름</v>
          </cell>
          <cell r="H2930">
            <v>50</v>
          </cell>
          <cell r="I2930">
            <v>0</v>
          </cell>
        </row>
        <row r="2931">
          <cell r="C2931" t="str">
            <v>저축은행</v>
          </cell>
          <cell r="E2931" t="str">
            <v>모름</v>
          </cell>
          <cell r="H2931">
            <v>35</v>
          </cell>
          <cell r="I2931">
            <v>1500</v>
          </cell>
        </row>
        <row r="2932">
          <cell r="C2932" t="str">
            <v>저축은행</v>
          </cell>
          <cell r="E2932" t="str">
            <v>모름</v>
          </cell>
          <cell r="H2932">
            <v>35</v>
          </cell>
          <cell r="I2932">
            <v>1000</v>
          </cell>
        </row>
        <row r="2933">
          <cell r="C2933" t="str">
            <v>저축은행</v>
          </cell>
          <cell r="E2933" t="str">
            <v>모름</v>
          </cell>
          <cell r="H2933">
            <v>60</v>
          </cell>
          <cell r="I2933">
            <v>1680</v>
          </cell>
        </row>
        <row r="2934">
          <cell r="C2934" t="str">
            <v>저축은행</v>
          </cell>
          <cell r="E2934" t="str">
            <v>모름</v>
          </cell>
          <cell r="H2934">
            <v>177</v>
          </cell>
          <cell r="I2934">
            <v>2000</v>
          </cell>
        </row>
        <row r="2935">
          <cell r="C2935" t="str">
            <v>저축은행</v>
          </cell>
          <cell r="E2935" t="str">
            <v>모름</v>
          </cell>
          <cell r="H2935">
            <v>214</v>
          </cell>
          <cell r="I2935">
            <v>7000</v>
          </cell>
        </row>
        <row r="2936">
          <cell r="C2936" t="str">
            <v>저축은행</v>
          </cell>
          <cell r="E2936" t="str">
            <v>모름</v>
          </cell>
          <cell r="H2936">
            <v>9</v>
          </cell>
          <cell r="I2936">
            <v>0</v>
          </cell>
        </row>
        <row r="2937">
          <cell r="C2937" t="str">
            <v>저축은행</v>
          </cell>
          <cell r="E2937" t="str">
            <v>모름</v>
          </cell>
          <cell r="H2937">
            <v>10</v>
          </cell>
          <cell r="I2937">
            <v>4000</v>
          </cell>
        </row>
        <row r="2938">
          <cell r="C2938" t="str">
            <v>저축은행</v>
          </cell>
          <cell r="E2938" t="str">
            <v>모름</v>
          </cell>
          <cell r="H2938">
            <v>169</v>
          </cell>
          <cell r="I2938">
            <v>6000</v>
          </cell>
        </row>
        <row r="2939">
          <cell r="C2939" t="str">
            <v>저축은행</v>
          </cell>
          <cell r="E2939" t="str">
            <v>모름</v>
          </cell>
          <cell r="H2939">
            <v>169</v>
          </cell>
          <cell r="I2939">
            <v>4500</v>
          </cell>
        </row>
        <row r="2940">
          <cell r="C2940" t="str">
            <v>저축은행</v>
          </cell>
          <cell r="E2940" t="str">
            <v>모름</v>
          </cell>
          <cell r="H2940">
            <v>60</v>
          </cell>
          <cell r="I2940">
            <v>5000</v>
          </cell>
        </row>
        <row r="2941">
          <cell r="C2941" t="str">
            <v>저축은행</v>
          </cell>
          <cell r="E2941" t="str">
            <v>모름</v>
          </cell>
          <cell r="H2941">
            <v>345</v>
          </cell>
          <cell r="I2941">
            <v>3200</v>
          </cell>
        </row>
        <row r="2942">
          <cell r="C2942" t="str">
            <v>저축은행</v>
          </cell>
          <cell r="E2942" t="str">
            <v>모름</v>
          </cell>
          <cell r="H2942">
            <v>45</v>
          </cell>
          <cell r="I2942">
            <v>6000</v>
          </cell>
        </row>
        <row r="2943">
          <cell r="C2943" t="str">
            <v>저축은행</v>
          </cell>
          <cell r="E2943" t="str">
            <v>모름</v>
          </cell>
          <cell r="H2943">
            <v>44</v>
          </cell>
          <cell r="I2943">
            <v>0</v>
          </cell>
        </row>
        <row r="2944">
          <cell r="C2944" t="str">
            <v>저축은행</v>
          </cell>
          <cell r="E2944" t="str">
            <v>모름</v>
          </cell>
          <cell r="H2944">
            <v>41</v>
          </cell>
          <cell r="I2944">
            <v>0</v>
          </cell>
        </row>
        <row r="2945">
          <cell r="C2945" t="str">
            <v>저축은행</v>
          </cell>
          <cell r="E2945" t="str">
            <v>모름</v>
          </cell>
          <cell r="H2945">
            <v>86</v>
          </cell>
          <cell r="I2945">
            <v>5202</v>
          </cell>
        </row>
        <row r="2946">
          <cell r="C2946" t="str">
            <v>저축은행</v>
          </cell>
          <cell r="E2946" t="str">
            <v>모름</v>
          </cell>
          <cell r="H2946">
            <v>45</v>
          </cell>
          <cell r="I2946">
            <v>3000</v>
          </cell>
        </row>
        <row r="2947">
          <cell r="C2947" t="str">
            <v>저축은행</v>
          </cell>
          <cell r="E2947" t="str">
            <v>모름</v>
          </cell>
          <cell r="H2947">
            <v>78</v>
          </cell>
          <cell r="I2947">
            <v>3000</v>
          </cell>
        </row>
        <row r="2948">
          <cell r="C2948" t="str">
            <v>저축은행</v>
          </cell>
          <cell r="E2948" t="str">
            <v>모름</v>
          </cell>
          <cell r="H2948">
            <v>10</v>
          </cell>
          <cell r="I2948">
            <v>0</v>
          </cell>
        </row>
        <row r="2949">
          <cell r="C2949" t="str">
            <v>저축은행</v>
          </cell>
          <cell r="E2949" t="str">
            <v>모름</v>
          </cell>
          <cell r="H2949">
            <v>126</v>
          </cell>
          <cell r="I2949">
            <v>3400</v>
          </cell>
        </row>
        <row r="2950">
          <cell r="C2950" t="str">
            <v>저축은행</v>
          </cell>
          <cell r="E2950" t="str">
            <v>모름</v>
          </cell>
          <cell r="H2950">
            <v>21</v>
          </cell>
          <cell r="I2950">
            <v>3000</v>
          </cell>
        </row>
        <row r="2951">
          <cell r="C2951" t="str">
            <v>저축은행</v>
          </cell>
          <cell r="E2951" t="str">
            <v>모름</v>
          </cell>
          <cell r="H2951">
            <v>1</v>
          </cell>
          <cell r="I2951">
            <v>0</v>
          </cell>
        </row>
        <row r="2952">
          <cell r="C2952" t="str">
            <v>저축은행</v>
          </cell>
          <cell r="E2952" t="str">
            <v>모름</v>
          </cell>
          <cell r="H2952">
            <v>1000</v>
          </cell>
          <cell r="I2952">
            <v>7000</v>
          </cell>
        </row>
        <row r="2953">
          <cell r="C2953" t="str">
            <v>저축은행</v>
          </cell>
          <cell r="E2953" t="str">
            <v>모름</v>
          </cell>
          <cell r="H2953">
            <v>1000</v>
          </cell>
          <cell r="I2953">
            <v>7000</v>
          </cell>
        </row>
        <row r="2954">
          <cell r="C2954" t="str">
            <v>저축은행</v>
          </cell>
          <cell r="E2954" t="str">
            <v>모름</v>
          </cell>
          <cell r="H2954">
            <v>1000</v>
          </cell>
          <cell r="I2954">
            <v>3000</v>
          </cell>
        </row>
        <row r="2955">
          <cell r="C2955" t="str">
            <v>저축은행</v>
          </cell>
          <cell r="E2955" t="str">
            <v>모름</v>
          </cell>
          <cell r="H2955">
            <v>56</v>
          </cell>
          <cell r="I2955">
            <v>3000</v>
          </cell>
        </row>
        <row r="2956">
          <cell r="C2956" t="str">
            <v>저축은행</v>
          </cell>
          <cell r="E2956" t="str">
            <v>모름</v>
          </cell>
          <cell r="H2956">
            <v>10</v>
          </cell>
          <cell r="I2956">
            <v>4000</v>
          </cell>
        </row>
        <row r="2957">
          <cell r="C2957" t="str">
            <v>저축은행</v>
          </cell>
          <cell r="E2957" t="str">
            <v>모름</v>
          </cell>
          <cell r="H2957">
            <v>309</v>
          </cell>
          <cell r="I2957">
            <v>0</v>
          </cell>
        </row>
        <row r="2958">
          <cell r="C2958" t="str">
            <v>저축은행</v>
          </cell>
          <cell r="E2958" t="str">
            <v>모름</v>
          </cell>
          <cell r="H2958">
            <v>83</v>
          </cell>
          <cell r="I2958">
            <v>2500</v>
          </cell>
        </row>
        <row r="2959">
          <cell r="C2959" t="str">
            <v>저축은행</v>
          </cell>
          <cell r="E2959" t="str">
            <v>모름</v>
          </cell>
          <cell r="H2959">
            <v>309</v>
          </cell>
          <cell r="I2959">
            <v>0</v>
          </cell>
        </row>
        <row r="2960">
          <cell r="C2960" t="str">
            <v>저축은행</v>
          </cell>
          <cell r="E2960" t="str">
            <v>모름</v>
          </cell>
          <cell r="H2960">
            <v>45</v>
          </cell>
          <cell r="I2960">
            <v>2692</v>
          </cell>
        </row>
        <row r="2961">
          <cell r="C2961" t="str">
            <v>저축은행</v>
          </cell>
          <cell r="E2961" t="str">
            <v>모름</v>
          </cell>
          <cell r="H2961">
            <v>38</v>
          </cell>
          <cell r="I2961">
            <v>0</v>
          </cell>
        </row>
        <row r="2962">
          <cell r="C2962" t="str">
            <v>저축은행</v>
          </cell>
          <cell r="E2962" t="str">
            <v>모름</v>
          </cell>
          <cell r="H2962">
            <v>324</v>
          </cell>
          <cell r="I2962">
            <v>0</v>
          </cell>
        </row>
        <row r="2963">
          <cell r="C2963" t="str">
            <v>저축은행</v>
          </cell>
          <cell r="E2963" t="str">
            <v>모름</v>
          </cell>
          <cell r="H2963">
            <v>1000</v>
          </cell>
          <cell r="I2963">
            <v>1600</v>
          </cell>
        </row>
        <row r="2964">
          <cell r="C2964" t="str">
            <v>저축은행</v>
          </cell>
          <cell r="E2964" t="str">
            <v>모름</v>
          </cell>
          <cell r="H2964">
            <v>242</v>
          </cell>
          <cell r="I2964">
            <v>2000</v>
          </cell>
        </row>
        <row r="2965">
          <cell r="C2965" t="str">
            <v>저축은행</v>
          </cell>
          <cell r="E2965" t="str">
            <v>모름</v>
          </cell>
          <cell r="H2965">
            <v>335</v>
          </cell>
          <cell r="I2965">
            <v>1000</v>
          </cell>
        </row>
        <row r="2966">
          <cell r="C2966" t="str">
            <v>저축은행</v>
          </cell>
          <cell r="E2966" t="str">
            <v>모름</v>
          </cell>
          <cell r="H2966">
            <v>77</v>
          </cell>
          <cell r="I2966">
            <v>2000</v>
          </cell>
        </row>
        <row r="2967">
          <cell r="C2967" t="str">
            <v>저축은행</v>
          </cell>
          <cell r="E2967" t="str">
            <v>모름</v>
          </cell>
          <cell r="H2967">
            <v>264</v>
          </cell>
          <cell r="I2967">
            <v>5000</v>
          </cell>
        </row>
        <row r="2968">
          <cell r="C2968" t="str">
            <v>저축은행</v>
          </cell>
          <cell r="E2968" t="str">
            <v>모름</v>
          </cell>
          <cell r="H2968">
            <v>50</v>
          </cell>
          <cell r="I2968">
            <v>0</v>
          </cell>
        </row>
        <row r="2969">
          <cell r="C2969" t="str">
            <v>저축은행</v>
          </cell>
          <cell r="E2969" t="str">
            <v>모름</v>
          </cell>
          <cell r="H2969">
            <v>133</v>
          </cell>
          <cell r="I2969">
            <v>3000</v>
          </cell>
        </row>
        <row r="2970">
          <cell r="C2970" t="str">
            <v>저축은행</v>
          </cell>
          <cell r="E2970" t="str">
            <v>모름</v>
          </cell>
          <cell r="H2970">
            <v>36</v>
          </cell>
          <cell r="I2970">
            <v>0</v>
          </cell>
        </row>
        <row r="2971">
          <cell r="C2971" t="str">
            <v>저축은행</v>
          </cell>
          <cell r="E2971" t="str">
            <v>모름</v>
          </cell>
          <cell r="H2971">
            <v>12</v>
          </cell>
          <cell r="I2971">
            <v>0</v>
          </cell>
        </row>
        <row r="2972">
          <cell r="C2972" t="str">
            <v>저축은행</v>
          </cell>
          <cell r="E2972" t="str">
            <v>모름</v>
          </cell>
          <cell r="H2972">
            <v>60</v>
          </cell>
          <cell r="I2972">
            <v>0</v>
          </cell>
        </row>
        <row r="2973">
          <cell r="C2973" t="str">
            <v>저축은행</v>
          </cell>
          <cell r="E2973" t="str">
            <v>모름</v>
          </cell>
          <cell r="H2973">
            <v>46</v>
          </cell>
          <cell r="I2973">
            <v>0</v>
          </cell>
        </row>
        <row r="2974">
          <cell r="C2974" t="str">
            <v>저축은행</v>
          </cell>
          <cell r="E2974" t="str">
            <v>모름</v>
          </cell>
          <cell r="H2974">
            <v>9</v>
          </cell>
          <cell r="I2974">
            <v>0</v>
          </cell>
        </row>
        <row r="2975">
          <cell r="C2975" t="str">
            <v>저축은행</v>
          </cell>
          <cell r="E2975" t="str">
            <v>모름</v>
          </cell>
          <cell r="H2975">
            <v>44</v>
          </cell>
          <cell r="I2975">
            <v>0</v>
          </cell>
        </row>
        <row r="2976">
          <cell r="C2976" t="str">
            <v>저축은행</v>
          </cell>
          <cell r="E2976" t="str">
            <v>모름</v>
          </cell>
          <cell r="H2976">
            <v>1000</v>
          </cell>
          <cell r="I2976">
            <v>5000</v>
          </cell>
        </row>
        <row r="2977">
          <cell r="C2977" t="str">
            <v>저축은행</v>
          </cell>
          <cell r="E2977" t="str">
            <v>모름</v>
          </cell>
          <cell r="H2977">
            <v>39</v>
          </cell>
          <cell r="I2977">
            <v>2571</v>
          </cell>
        </row>
        <row r="2978">
          <cell r="C2978" t="str">
            <v>저축은행</v>
          </cell>
          <cell r="E2978" t="str">
            <v>모름</v>
          </cell>
          <cell r="H2978">
            <v>118</v>
          </cell>
          <cell r="I2978">
            <v>0</v>
          </cell>
        </row>
        <row r="2979">
          <cell r="C2979" t="str">
            <v>저축은행</v>
          </cell>
          <cell r="E2979" t="str">
            <v>모름</v>
          </cell>
          <cell r="H2979">
            <v>27</v>
          </cell>
          <cell r="I2979">
            <v>0</v>
          </cell>
        </row>
        <row r="2980">
          <cell r="C2980" t="str">
            <v>저축은행</v>
          </cell>
          <cell r="E2980" t="str">
            <v>모름</v>
          </cell>
          <cell r="H2980">
            <v>133</v>
          </cell>
          <cell r="I2980">
            <v>2000</v>
          </cell>
        </row>
        <row r="2981">
          <cell r="C2981" t="str">
            <v>저축은행</v>
          </cell>
          <cell r="E2981" t="str">
            <v>모름</v>
          </cell>
          <cell r="H2981">
            <v>150</v>
          </cell>
          <cell r="I2981">
            <v>8000</v>
          </cell>
        </row>
        <row r="2982">
          <cell r="C2982" t="str">
            <v>저축은행</v>
          </cell>
          <cell r="E2982" t="str">
            <v>모름</v>
          </cell>
          <cell r="H2982">
            <v>1000</v>
          </cell>
          <cell r="I2982">
            <v>4000</v>
          </cell>
        </row>
        <row r="2983">
          <cell r="C2983" t="str">
            <v>저축은행</v>
          </cell>
          <cell r="E2983" t="str">
            <v>모름</v>
          </cell>
          <cell r="H2983">
            <v>1000</v>
          </cell>
          <cell r="I2983">
            <v>5000</v>
          </cell>
        </row>
        <row r="2984">
          <cell r="C2984" t="str">
            <v>저축은행</v>
          </cell>
          <cell r="E2984" t="str">
            <v>모름</v>
          </cell>
          <cell r="H2984">
            <v>60</v>
          </cell>
          <cell r="I2984">
            <v>7001</v>
          </cell>
        </row>
        <row r="2985">
          <cell r="C2985" t="str">
            <v>저축은행</v>
          </cell>
          <cell r="E2985" t="str">
            <v>모름</v>
          </cell>
          <cell r="H2985">
            <v>18</v>
          </cell>
          <cell r="I2985">
            <v>0</v>
          </cell>
        </row>
        <row r="2986">
          <cell r="C2986" t="str">
            <v>저축은행</v>
          </cell>
          <cell r="E2986" t="str">
            <v>모름</v>
          </cell>
          <cell r="H2986">
            <v>46</v>
          </cell>
          <cell r="I2986">
            <v>0</v>
          </cell>
        </row>
        <row r="2987">
          <cell r="C2987" t="str">
            <v>저축은행</v>
          </cell>
          <cell r="E2987" t="str">
            <v>모름</v>
          </cell>
          <cell r="H2987">
            <v>61</v>
          </cell>
          <cell r="I2987">
            <v>8000</v>
          </cell>
        </row>
        <row r="2988">
          <cell r="C2988" t="str">
            <v>저축은행</v>
          </cell>
          <cell r="E2988" t="str">
            <v>모름</v>
          </cell>
          <cell r="H2988">
            <v>5</v>
          </cell>
          <cell r="I2988">
            <v>0</v>
          </cell>
        </row>
        <row r="2989">
          <cell r="C2989" t="str">
            <v>저축은행</v>
          </cell>
          <cell r="E2989" t="str">
            <v>모름</v>
          </cell>
          <cell r="H2989">
            <v>345</v>
          </cell>
          <cell r="I2989">
            <v>5300</v>
          </cell>
        </row>
        <row r="2990">
          <cell r="C2990" t="str">
            <v>저축은행</v>
          </cell>
          <cell r="E2990" t="str">
            <v>모름</v>
          </cell>
          <cell r="H2990">
            <v>1000</v>
          </cell>
          <cell r="I2990">
            <v>8000</v>
          </cell>
        </row>
        <row r="2991">
          <cell r="C2991" t="str">
            <v>저축은행</v>
          </cell>
          <cell r="E2991" t="str">
            <v>모름</v>
          </cell>
          <cell r="H2991">
            <v>83</v>
          </cell>
          <cell r="I2991">
            <v>8000</v>
          </cell>
        </row>
        <row r="2992">
          <cell r="C2992" t="str">
            <v>저축은행</v>
          </cell>
          <cell r="E2992" t="str">
            <v>모름</v>
          </cell>
          <cell r="H2992">
            <v>12</v>
          </cell>
          <cell r="I2992">
            <v>0</v>
          </cell>
        </row>
        <row r="2993">
          <cell r="C2993" t="str">
            <v>저축은행</v>
          </cell>
          <cell r="E2993" t="str">
            <v>모름</v>
          </cell>
          <cell r="H2993">
            <v>45</v>
          </cell>
          <cell r="I2993">
            <v>6667</v>
          </cell>
        </row>
        <row r="2994">
          <cell r="C2994" t="str">
            <v>저축은행</v>
          </cell>
          <cell r="E2994" t="str">
            <v>모름</v>
          </cell>
          <cell r="H2994">
            <v>221</v>
          </cell>
          <cell r="I2994">
            <v>6000</v>
          </cell>
        </row>
        <row r="2995">
          <cell r="C2995" t="str">
            <v>저축은행</v>
          </cell>
          <cell r="E2995" t="str">
            <v>모름</v>
          </cell>
          <cell r="H2995">
            <v>83</v>
          </cell>
          <cell r="I2995">
            <v>0</v>
          </cell>
        </row>
        <row r="2996">
          <cell r="C2996" t="str">
            <v>저축은행</v>
          </cell>
          <cell r="E2996" t="str">
            <v>모름</v>
          </cell>
          <cell r="H2996">
            <v>1000</v>
          </cell>
          <cell r="I2996">
            <v>4398</v>
          </cell>
        </row>
        <row r="2997">
          <cell r="C2997" t="str">
            <v>저축은행</v>
          </cell>
          <cell r="E2997" t="str">
            <v>모름</v>
          </cell>
          <cell r="H2997">
            <v>176</v>
          </cell>
          <cell r="I2997">
            <v>3000</v>
          </cell>
        </row>
        <row r="2998">
          <cell r="C2998" t="str">
            <v>저축은행</v>
          </cell>
          <cell r="E2998" t="str">
            <v>모름</v>
          </cell>
          <cell r="H2998">
            <v>60</v>
          </cell>
          <cell r="I2998">
            <v>0</v>
          </cell>
        </row>
        <row r="2999">
          <cell r="C2999" t="str">
            <v>저축은행</v>
          </cell>
          <cell r="E2999" t="str">
            <v>모름</v>
          </cell>
          <cell r="H2999">
            <v>45</v>
          </cell>
          <cell r="I2999">
            <v>7200</v>
          </cell>
        </row>
        <row r="3000">
          <cell r="C3000" t="str">
            <v>저축은행</v>
          </cell>
          <cell r="E3000" t="str">
            <v>모름</v>
          </cell>
          <cell r="H3000">
            <v>60</v>
          </cell>
          <cell r="I3000">
            <v>8000</v>
          </cell>
        </row>
        <row r="3001">
          <cell r="C3001" t="str">
            <v>저축은행</v>
          </cell>
          <cell r="E3001" t="str">
            <v>모름</v>
          </cell>
          <cell r="H3001">
            <v>50</v>
          </cell>
          <cell r="I3001">
            <v>0</v>
          </cell>
        </row>
        <row r="3002">
          <cell r="C3002" t="str">
            <v>저축은행</v>
          </cell>
          <cell r="E3002" t="str">
            <v>모름</v>
          </cell>
          <cell r="H3002">
            <v>61</v>
          </cell>
          <cell r="I3002">
            <v>5000</v>
          </cell>
        </row>
        <row r="3003">
          <cell r="C3003" t="str">
            <v>저축은행</v>
          </cell>
          <cell r="E3003" t="str">
            <v>모름</v>
          </cell>
          <cell r="H3003">
            <v>61</v>
          </cell>
          <cell r="I3003">
            <v>0</v>
          </cell>
        </row>
        <row r="3004">
          <cell r="C3004" t="str">
            <v>저축은행</v>
          </cell>
          <cell r="E3004" t="str">
            <v>모름</v>
          </cell>
          <cell r="H3004">
            <v>31</v>
          </cell>
          <cell r="I3004">
            <v>0</v>
          </cell>
        </row>
        <row r="3005">
          <cell r="C3005" t="str">
            <v>저축은행</v>
          </cell>
          <cell r="E3005" t="str">
            <v>모름</v>
          </cell>
          <cell r="H3005">
            <v>53</v>
          </cell>
          <cell r="I3005">
            <v>5852</v>
          </cell>
        </row>
        <row r="3006">
          <cell r="C3006" t="str">
            <v>저축은행</v>
          </cell>
          <cell r="E3006" t="str">
            <v>모름</v>
          </cell>
          <cell r="H3006">
            <v>476</v>
          </cell>
          <cell r="I3006">
            <v>5000</v>
          </cell>
        </row>
        <row r="3007">
          <cell r="C3007" t="str">
            <v>저축은행</v>
          </cell>
          <cell r="E3007" t="str">
            <v>모름</v>
          </cell>
          <cell r="H3007">
            <v>50</v>
          </cell>
          <cell r="I3007">
            <v>8000</v>
          </cell>
        </row>
        <row r="3008">
          <cell r="C3008" t="str">
            <v>저축은행</v>
          </cell>
          <cell r="E3008" t="str">
            <v>모름</v>
          </cell>
          <cell r="H3008">
            <v>61</v>
          </cell>
          <cell r="I3008">
            <v>5000</v>
          </cell>
        </row>
        <row r="3009">
          <cell r="C3009" t="str">
            <v>저축은행</v>
          </cell>
          <cell r="E3009" t="str">
            <v>모름</v>
          </cell>
          <cell r="H3009">
            <v>38</v>
          </cell>
          <cell r="I3009">
            <v>0</v>
          </cell>
        </row>
        <row r="3010">
          <cell r="C3010" t="str">
            <v>저축은행</v>
          </cell>
          <cell r="E3010" t="str">
            <v>모름</v>
          </cell>
          <cell r="H3010">
            <v>182</v>
          </cell>
          <cell r="I3010">
            <v>8000</v>
          </cell>
        </row>
        <row r="3011">
          <cell r="C3011" t="str">
            <v>저축은행</v>
          </cell>
          <cell r="E3011" t="str">
            <v>모름</v>
          </cell>
          <cell r="H3011">
            <v>150</v>
          </cell>
          <cell r="I3011">
            <v>1000</v>
          </cell>
        </row>
        <row r="3012">
          <cell r="C3012" t="str">
            <v>저축은행</v>
          </cell>
          <cell r="E3012" t="str">
            <v>모름</v>
          </cell>
          <cell r="H3012">
            <v>10</v>
          </cell>
          <cell r="I3012">
            <v>0</v>
          </cell>
        </row>
        <row r="3013">
          <cell r="C3013" t="str">
            <v>저축은행</v>
          </cell>
          <cell r="E3013" t="str">
            <v>모름</v>
          </cell>
          <cell r="H3013">
            <v>10</v>
          </cell>
          <cell r="I3013">
            <v>500</v>
          </cell>
        </row>
        <row r="3014">
          <cell r="C3014" t="str">
            <v>저축은행</v>
          </cell>
          <cell r="E3014" t="str">
            <v>모름</v>
          </cell>
          <cell r="H3014">
            <v>404</v>
          </cell>
          <cell r="I3014">
            <v>821</v>
          </cell>
        </row>
        <row r="3015">
          <cell r="C3015" t="str">
            <v>저축은행</v>
          </cell>
          <cell r="E3015" t="str">
            <v>모름</v>
          </cell>
          <cell r="H3015">
            <v>105</v>
          </cell>
          <cell r="I3015">
            <v>0</v>
          </cell>
        </row>
        <row r="3016">
          <cell r="C3016" t="str">
            <v>저축은행</v>
          </cell>
          <cell r="E3016" t="str">
            <v>모름</v>
          </cell>
          <cell r="H3016">
            <v>1000</v>
          </cell>
          <cell r="I3016">
            <v>0</v>
          </cell>
        </row>
        <row r="3017">
          <cell r="C3017" t="str">
            <v>저축은행</v>
          </cell>
          <cell r="E3017" t="str">
            <v>모름</v>
          </cell>
          <cell r="H3017">
            <v>44</v>
          </cell>
          <cell r="I3017">
            <v>200</v>
          </cell>
        </row>
        <row r="3018">
          <cell r="C3018" t="str">
            <v>저축은행</v>
          </cell>
          <cell r="E3018" t="str">
            <v>모름</v>
          </cell>
          <cell r="H3018">
            <v>50</v>
          </cell>
          <cell r="I3018">
            <v>5000</v>
          </cell>
        </row>
        <row r="3019">
          <cell r="C3019" t="str">
            <v>저축은행</v>
          </cell>
          <cell r="E3019" t="str">
            <v>모름</v>
          </cell>
          <cell r="H3019">
            <v>10</v>
          </cell>
          <cell r="I3019">
            <v>500</v>
          </cell>
        </row>
        <row r="3020">
          <cell r="C3020" t="str">
            <v>저축은행</v>
          </cell>
          <cell r="E3020" t="str">
            <v>모름</v>
          </cell>
          <cell r="H3020">
            <v>326</v>
          </cell>
          <cell r="I3020">
            <v>127.3</v>
          </cell>
        </row>
        <row r="3021">
          <cell r="C3021" t="str">
            <v>저축은행</v>
          </cell>
          <cell r="E3021" t="str">
            <v>모름</v>
          </cell>
          <cell r="H3021">
            <v>259</v>
          </cell>
          <cell r="I3021">
            <v>0</v>
          </cell>
        </row>
        <row r="3022">
          <cell r="C3022" t="str">
            <v>저축은행</v>
          </cell>
          <cell r="E3022" t="str">
            <v>모름</v>
          </cell>
          <cell r="H3022">
            <v>51</v>
          </cell>
          <cell r="I3022">
            <v>2500</v>
          </cell>
        </row>
        <row r="3023">
          <cell r="C3023" t="str">
            <v>저축은행</v>
          </cell>
          <cell r="E3023" t="str">
            <v>모름</v>
          </cell>
          <cell r="H3023">
            <v>309</v>
          </cell>
          <cell r="I3023">
            <v>3000</v>
          </cell>
        </row>
        <row r="3024">
          <cell r="C3024" t="str">
            <v>저축은행</v>
          </cell>
          <cell r="E3024" t="str">
            <v>모름</v>
          </cell>
          <cell r="H3024">
            <v>94</v>
          </cell>
          <cell r="I3024">
            <v>2000</v>
          </cell>
        </row>
        <row r="3025">
          <cell r="C3025" t="str">
            <v>저축은행</v>
          </cell>
          <cell r="E3025" t="str">
            <v>모름</v>
          </cell>
          <cell r="H3025">
            <v>169</v>
          </cell>
          <cell r="I3025">
            <v>2000</v>
          </cell>
        </row>
        <row r="3026">
          <cell r="C3026" t="str">
            <v>저축은행</v>
          </cell>
          <cell r="E3026" t="str">
            <v>모름</v>
          </cell>
          <cell r="H3026">
            <v>44</v>
          </cell>
          <cell r="I3026">
            <v>0</v>
          </cell>
        </row>
        <row r="3027">
          <cell r="C3027" t="str">
            <v>저축은행</v>
          </cell>
          <cell r="E3027" t="str">
            <v>모름</v>
          </cell>
          <cell r="H3027">
            <v>9</v>
          </cell>
          <cell r="I3027">
            <v>0</v>
          </cell>
        </row>
        <row r="3028">
          <cell r="C3028" t="str">
            <v>저축은행</v>
          </cell>
          <cell r="E3028" t="str">
            <v>모름</v>
          </cell>
          <cell r="H3028">
            <v>1000</v>
          </cell>
          <cell r="I3028">
            <v>662</v>
          </cell>
        </row>
        <row r="3029">
          <cell r="C3029" t="str">
            <v>저축은행</v>
          </cell>
          <cell r="E3029" t="str">
            <v>모름</v>
          </cell>
          <cell r="H3029">
            <v>169</v>
          </cell>
          <cell r="I3029">
            <v>2400</v>
          </cell>
        </row>
        <row r="3030">
          <cell r="C3030" t="str">
            <v>저축은행</v>
          </cell>
          <cell r="E3030" t="str">
            <v>모름</v>
          </cell>
          <cell r="H3030">
            <v>169</v>
          </cell>
          <cell r="I3030">
            <v>2000</v>
          </cell>
        </row>
        <row r="3031">
          <cell r="C3031" t="str">
            <v>저축은행</v>
          </cell>
          <cell r="E3031" t="str">
            <v>모름</v>
          </cell>
          <cell r="H3031">
            <v>1000</v>
          </cell>
          <cell r="I3031">
            <v>0</v>
          </cell>
        </row>
        <row r="3032">
          <cell r="C3032" t="str">
            <v>저축은행</v>
          </cell>
          <cell r="E3032" t="str">
            <v>모름</v>
          </cell>
          <cell r="H3032">
            <v>44</v>
          </cell>
          <cell r="I3032">
            <v>300</v>
          </cell>
        </row>
        <row r="3033">
          <cell r="C3033" t="str">
            <v>저축은행</v>
          </cell>
          <cell r="E3033" t="str">
            <v>모름</v>
          </cell>
          <cell r="H3033">
            <v>50</v>
          </cell>
          <cell r="I3033">
            <v>146.30000000000001</v>
          </cell>
        </row>
        <row r="3034">
          <cell r="C3034" t="str">
            <v>저축은행</v>
          </cell>
          <cell r="E3034" t="str">
            <v>모름</v>
          </cell>
          <cell r="H3034">
            <v>221</v>
          </cell>
          <cell r="I3034">
            <v>2000</v>
          </cell>
        </row>
        <row r="3035">
          <cell r="C3035" t="str">
            <v>저축은행</v>
          </cell>
          <cell r="E3035" t="str">
            <v>모름</v>
          </cell>
          <cell r="H3035">
            <v>214</v>
          </cell>
          <cell r="I3035">
            <v>3000</v>
          </cell>
        </row>
        <row r="3036">
          <cell r="C3036" t="str">
            <v>저축은행</v>
          </cell>
          <cell r="E3036" t="str">
            <v>모름</v>
          </cell>
          <cell r="H3036">
            <v>1000</v>
          </cell>
          <cell r="I3036">
            <v>0</v>
          </cell>
        </row>
        <row r="3037">
          <cell r="C3037" t="str">
            <v>저축은행</v>
          </cell>
          <cell r="E3037" t="str">
            <v>모름</v>
          </cell>
          <cell r="H3037">
            <v>1000</v>
          </cell>
          <cell r="I3037">
            <v>995</v>
          </cell>
        </row>
        <row r="3038">
          <cell r="C3038" t="str">
            <v>저축은행</v>
          </cell>
          <cell r="E3038" t="str">
            <v>모름</v>
          </cell>
          <cell r="H3038">
            <v>263</v>
          </cell>
          <cell r="I3038">
            <v>2270</v>
          </cell>
        </row>
        <row r="3039">
          <cell r="C3039" t="str">
            <v>저축은행</v>
          </cell>
          <cell r="E3039" t="str">
            <v>모름</v>
          </cell>
          <cell r="H3039">
            <v>191</v>
          </cell>
          <cell r="I3039">
            <v>500</v>
          </cell>
        </row>
        <row r="3040">
          <cell r="C3040" t="str">
            <v>저축은행</v>
          </cell>
          <cell r="E3040" t="str">
            <v>모름</v>
          </cell>
          <cell r="H3040">
            <v>1000</v>
          </cell>
          <cell r="I3040">
            <v>1222</v>
          </cell>
        </row>
        <row r="3041">
          <cell r="C3041" t="str">
            <v>저축은행</v>
          </cell>
          <cell r="E3041" t="str">
            <v>모름</v>
          </cell>
          <cell r="H3041">
            <v>1000</v>
          </cell>
          <cell r="I3041">
            <v>0</v>
          </cell>
        </row>
        <row r="3042">
          <cell r="C3042" t="str">
            <v>저축은행</v>
          </cell>
          <cell r="E3042" t="str">
            <v>모름</v>
          </cell>
          <cell r="H3042">
            <v>169</v>
          </cell>
          <cell r="I3042">
            <v>3000</v>
          </cell>
        </row>
        <row r="3043">
          <cell r="C3043" t="str">
            <v>저축은행</v>
          </cell>
          <cell r="E3043" t="str">
            <v>모름</v>
          </cell>
          <cell r="H3043">
            <v>324</v>
          </cell>
          <cell r="I3043">
            <v>0</v>
          </cell>
        </row>
        <row r="3044">
          <cell r="C3044" t="str">
            <v>저축은행</v>
          </cell>
          <cell r="E3044" t="str">
            <v>모름</v>
          </cell>
          <cell r="H3044">
            <v>38</v>
          </cell>
          <cell r="I3044">
            <v>0</v>
          </cell>
        </row>
        <row r="3045">
          <cell r="C3045" t="str">
            <v>저축은행</v>
          </cell>
          <cell r="E3045" t="str">
            <v>모름</v>
          </cell>
          <cell r="H3045">
            <v>1000</v>
          </cell>
          <cell r="I3045">
            <v>0</v>
          </cell>
        </row>
        <row r="3046">
          <cell r="C3046" t="str">
            <v>저축은행</v>
          </cell>
          <cell r="E3046" t="str">
            <v>모름</v>
          </cell>
          <cell r="H3046">
            <v>60</v>
          </cell>
          <cell r="I3046">
            <v>2500</v>
          </cell>
        </row>
        <row r="3047">
          <cell r="C3047" t="str">
            <v>저축은행</v>
          </cell>
          <cell r="E3047" t="str">
            <v>모름</v>
          </cell>
          <cell r="H3047">
            <v>345</v>
          </cell>
          <cell r="I3047">
            <v>2500</v>
          </cell>
        </row>
        <row r="3048">
          <cell r="C3048" t="str">
            <v>저축은행</v>
          </cell>
          <cell r="E3048" t="str">
            <v>모름</v>
          </cell>
          <cell r="H3048">
            <v>61</v>
          </cell>
          <cell r="I3048">
            <v>2240</v>
          </cell>
        </row>
        <row r="3049">
          <cell r="C3049" t="str">
            <v>저축은행</v>
          </cell>
          <cell r="E3049" t="str">
            <v>모름</v>
          </cell>
          <cell r="H3049">
            <v>83</v>
          </cell>
          <cell r="I3049">
            <v>2000</v>
          </cell>
        </row>
        <row r="3050">
          <cell r="C3050" t="str">
            <v>저축은행</v>
          </cell>
          <cell r="E3050" t="str">
            <v>모름</v>
          </cell>
          <cell r="H3050">
            <v>12</v>
          </cell>
          <cell r="I3050">
            <v>0</v>
          </cell>
        </row>
        <row r="3051">
          <cell r="C3051" t="str">
            <v>저축은행</v>
          </cell>
          <cell r="E3051" t="str">
            <v>모름</v>
          </cell>
          <cell r="H3051">
            <v>60</v>
          </cell>
          <cell r="I3051">
            <v>2000</v>
          </cell>
        </row>
        <row r="3052">
          <cell r="C3052" t="str">
            <v>저축은행</v>
          </cell>
          <cell r="E3052" t="str">
            <v>모름</v>
          </cell>
          <cell r="H3052">
            <v>61</v>
          </cell>
          <cell r="I3052">
            <v>2500</v>
          </cell>
        </row>
        <row r="3053">
          <cell r="C3053" t="str">
            <v>저축은행</v>
          </cell>
          <cell r="E3053" t="str">
            <v>모름</v>
          </cell>
          <cell r="H3053">
            <v>44</v>
          </cell>
          <cell r="I3053">
            <v>2000</v>
          </cell>
        </row>
        <row r="3054">
          <cell r="C3054" t="str">
            <v>저축은행</v>
          </cell>
          <cell r="E3054" t="str">
            <v>모름</v>
          </cell>
          <cell r="H3054">
            <v>44</v>
          </cell>
          <cell r="I3054">
            <v>0</v>
          </cell>
        </row>
        <row r="3055">
          <cell r="C3055" t="str">
            <v>저축은행</v>
          </cell>
          <cell r="E3055" t="str">
            <v>모름</v>
          </cell>
          <cell r="H3055">
            <v>12</v>
          </cell>
          <cell r="I3055">
            <v>0</v>
          </cell>
        </row>
        <row r="3056">
          <cell r="C3056" t="str">
            <v>저축은행</v>
          </cell>
          <cell r="E3056" t="str">
            <v>모름</v>
          </cell>
          <cell r="H3056">
            <v>46</v>
          </cell>
          <cell r="I3056">
            <v>2000</v>
          </cell>
        </row>
        <row r="3057">
          <cell r="C3057" t="str">
            <v>저축은행</v>
          </cell>
          <cell r="E3057" t="str">
            <v>모름</v>
          </cell>
          <cell r="H3057">
            <v>12</v>
          </cell>
          <cell r="I3057">
            <v>0</v>
          </cell>
        </row>
        <row r="3058">
          <cell r="C3058" t="str">
            <v>저축은행</v>
          </cell>
          <cell r="E3058" t="str">
            <v>모름</v>
          </cell>
          <cell r="H3058">
            <v>50</v>
          </cell>
          <cell r="I3058">
            <v>2927</v>
          </cell>
        </row>
        <row r="3059">
          <cell r="C3059" t="str">
            <v>저축은행</v>
          </cell>
          <cell r="E3059" t="str">
            <v>모름</v>
          </cell>
          <cell r="H3059">
            <v>169</v>
          </cell>
          <cell r="I3059">
            <v>3500</v>
          </cell>
        </row>
        <row r="3060">
          <cell r="C3060" t="str">
            <v>저축은행</v>
          </cell>
          <cell r="E3060" t="str">
            <v>모름</v>
          </cell>
          <cell r="H3060">
            <v>94</v>
          </cell>
          <cell r="I3060">
            <v>3000</v>
          </cell>
        </row>
        <row r="3061">
          <cell r="C3061" t="str">
            <v>저축은행</v>
          </cell>
          <cell r="E3061" t="str">
            <v>모름</v>
          </cell>
          <cell r="H3061">
            <v>21</v>
          </cell>
          <cell r="I3061">
            <v>2000</v>
          </cell>
        </row>
        <row r="3062">
          <cell r="C3062" t="str">
            <v>저축은행</v>
          </cell>
          <cell r="E3062" t="str">
            <v>모름</v>
          </cell>
          <cell r="H3062">
            <v>242</v>
          </cell>
          <cell r="I3062">
            <v>2000</v>
          </cell>
        </row>
        <row r="3063">
          <cell r="C3063" t="str">
            <v>저축은행</v>
          </cell>
          <cell r="E3063" t="str">
            <v>모름</v>
          </cell>
          <cell r="H3063">
            <v>77</v>
          </cell>
          <cell r="I3063">
            <v>1000</v>
          </cell>
        </row>
        <row r="3064">
          <cell r="C3064" t="str">
            <v>저축은행</v>
          </cell>
          <cell r="E3064" t="str">
            <v>모름</v>
          </cell>
          <cell r="H3064">
            <v>324</v>
          </cell>
          <cell r="I3064">
            <v>0</v>
          </cell>
        </row>
        <row r="3065">
          <cell r="C3065" t="str">
            <v>저축은행</v>
          </cell>
          <cell r="E3065" t="str">
            <v>모름</v>
          </cell>
          <cell r="H3065">
            <v>309</v>
          </cell>
          <cell r="I3065">
            <v>1000</v>
          </cell>
        </row>
        <row r="3066">
          <cell r="C3066" t="str">
            <v>저축은행</v>
          </cell>
          <cell r="E3066" t="str">
            <v>모름</v>
          </cell>
          <cell r="H3066">
            <v>169</v>
          </cell>
          <cell r="I3066">
            <v>1500</v>
          </cell>
        </row>
        <row r="3067">
          <cell r="C3067" t="str">
            <v>저축은행</v>
          </cell>
          <cell r="E3067" t="str">
            <v>모름</v>
          </cell>
          <cell r="H3067">
            <v>169</v>
          </cell>
          <cell r="I3067">
            <v>2000</v>
          </cell>
        </row>
        <row r="3068">
          <cell r="C3068" t="str">
            <v>저축은행</v>
          </cell>
          <cell r="E3068" t="str">
            <v>모름</v>
          </cell>
          <cell r="H3068">
            <v>309</v>
          </cell>
          <cell r="I3068">
            <v>1000</v>
          </cell>
        </row>
        <row r="3069">
          <cell r="C3069" t="str">
            <v>저축은행</v>
          </cell>
          <cell r="E3069" t="str">
            <v>모름</v>
          </cell>
          <cell r="H3069">
            <v>1000</v>
          </cell>
          <cell r="I3069">
            <v>3200</v>
          </cell>
        </row>
        <row r="3070">
          <cell r="C3070" t="str">
            <v>저축은행</v>
          </cell>
          <cell r="E3070" t="str">
            <v>모름</v>
          </cell>
          <cell r="H3070">
            <v>191</v>
          </cell>
          <cell r="I3070">
            <v>340</v>
          </cell>
        </row>
        <row r="3071">
          <cell r="C3071" t="str">
            <v>저축은행</v>
          </cell>
          <cell r="E3071" t="str">
            <v>모름</v>
          </cell>
          <cell r="H3071">
            <v>191</v>
          </cell>
          <cell r="I3071">
            <v>500</v>
          </cell>
        </row>
        <row r="3072">
          <cell r="C3072" t="str">
            <v>저축은행</v>
          </cell>
          <cell r="E3072" t="str">
            <v>모름</v>
          </cell>
          <cell r="H3072">
            <v>23</v>
          </cell>
          <cell r="I3072">
            <v>0</v>
          </cell>
        </row>
        <row r="3073">
          <cell r="C3073" t="str">
            <v>저축은행</v>
          </cell>
          <cell r="E3073" t="str">
            <v>모름</v>
          </cell>
          <cell r="H3073">
            <v>309</v>
          </cell>
          <cell r="I3073">
            <v>1500</v>
          </cell>
        </row>
        <row r="3074">
          <cell r="C3074" t="str">
            <v>저축은행</v>
          </cell>
          <cell r="E3074" t="str">
            <v>모름</v>
          </cell>
          <cell r="H3074">
            <v>83</v>
          </cell>
          <cell r="I3074">
            <v>1500</v>
          </cell>
        </row>
        <row r="3075">
          <cell r="C3075" t="str">
            <v>저축은행</v>
          </cell>
          <cell r="E3075" t="str">
            <v>모름</v>
          </cell>
          <cell r="H3075">
            <v>44</v>
          </cell>
          <cell r="I3075">
            <v>150</v>
          </cell>
        </row>
        <row r="3076">
          <cell r="C3076" t="str">
            <v>저축은행</v>
          </cell>
          <cell r="E3076" t="str">
            <v>모름</v>
          </cell>
          <cell r="H3076">
            <v>60</v>
          </cell>
          <cell r="I3076">
            <v>1500</v>
          </cell>
        </row>
        <row r="3077">
          <cell r="C3077" t="str">
            <v>저축은행</v>
          </cell>
          <cell r="E3077" t="str">
            <v>모름</v>
          </cell>
          <cell r="H3077">
            <v>1000</v>
          </cell>
          <cell r="I3077">
            <v>1000</v>
          </cell>
        </row>
        <row r="3078">
          <cell r="C3078" t="str">
            <v>저축은행</v>
          </cell>
          <cell r="E3078" t="str">
            <v>모름</v>
          </cell>
          <cell r="H3078">
            <v>50</v>
          </cell>
          <cell r="I3078">
            <v>2000</v>
          </cell>
        </row>
        <row r="3079">
          <cell r="C3079" t="str">
            <v>저축은행</v>
          </cell>
          <cell r="E3079" t="str">
            <v>모름</v>
          </cell>
          <cell r="H3079">
            <v>45</v>
          </cell>
          <cell r="I3079">
            <v>0</v>
          </cell>
        </row>
        <row r="3080">
          <cell r="C3080" t="str">
            <v>저축은행</v>
          </cell>
          <cell r="E3080" t="str">
            <v>모름</v>
          </cell>
          <cell r="H3080">
            <v>51</v>
          </cell>
          <cell r="I3080">
            <v>0</v>
          </cell>
        </row>
        <row r="3081">
          <cell r="C3081" t="str">
            <v>저축은행</v>
          </cell>
          <cell r="E3081" t="str">
            <v>모름</v>
          </cell>
          <cell r="H3081">
            <v>56</v>
          </cell>
          <cell r="I3081">
            <v>1000</v>
          </cell>
        </row>
        <row r="3082">
          <cell r="C3082" t="str">
            <v>저축은행</v>
          </cell>
          <cell r="E3082" t="str">
            <v>모름</v>
          </cell>
          <cell r="H3082">
            <v>35</v>
          </cell>
          <cell r="I3082">
            <v>2500</v>
          </cell>
        </row>
        <row r="3083">
          <cell r="C3083" t="str">
            <v>저축은행</v>
          </cell>
          <cell r="E3083" t="str">
            <v>모름</v>
          </cell>
          <cell r="H3083">
            <v>35</v>
          </cell>
          <cell r="I3083">
            <v>2500</v>
          </cell>
        </row>
        <row r="3084">
          <cell r="C3084" t="str">
            <v>저축은행</v>
          </cell>
          <cell r="E3084" t="str">
            <v>모름</v>
          </cell>
          <cell r="H3084">
            <v>335</v>
          </cell>
          <cell r="I3084">
            <v>0</v>
          </cell>
        </row>
        <row r="3085">
          <cell r="C3085" t="str">
            <v>저축은행</v>
          </cell>
          <cell r="E3085" t="str">
            <v>모름</v>
          </cell>
          <cell r="H3085">
            <v>21</v>
          </cell>
          <cell r="I3085">
            <v>0</v>
          </cell>
        </row>
        <row r="3086">
          <cell r="C3086" t="str">
            <v>저축은행</v>
          </cell>
          <cell r="E3086" t="str">
            <v>모름</v>
          </cell>
          <cell r="H3086">
            <v>122</v>
          </cell>
          <cell r="I3086">
            <v>0</v>
          </cell>
        </row>
        <row r="3087">
          <cell r="C3087" t="str">
            <v>저축은행</v>
          </cell>
          <cell r="E3087" t="str">
            <v>모름</v>
          </cell>
          <cell r="H3087">
            <v>122</v>
          </cell>
          <cell r="I3087">
            <v>0</v>
          </cell>
        </row>
        <row r="3088">
          <cell r="C3088" t="str">
            <v>저축은행</v>
          </cell>
          <cell r="E3088" t="str">
            <v>모름</v>
          </cell>
          <cell r="H3088">
            <v>116</v>
          </cell>
          <cell r="I3088">
            <v>0</v>
          </cell>
        </row>
        <row r="3089">
          <cell r="C3089" t="str">
            <v>저축은행</v>
          </cell>
          <cell r="E3089" t="str">
            <v>모름</v>
          </cell>
          <cell r="H3089">
            <v>2</v>
          </cell>
          <cell r="I3089">
            <v>0</v>
          </cell>
        </row>
        <row r="3090">
          <cell r="C3090" t="str">
            <v>저축은행</v>
          </cell>
          <cell r="E3090" t="str">
            <v>모름</v>
          </cell>
          <cell r="H3090">
            <v>12</v>
          </cell>
          <cell r="I3090">
            <v>0</v>
          </cell>
        </row>
        <row r="3091">
          <cell r="C3091" t="str">
            <v>저축은행</v>
          </cell>
          <cell r="E3091" t="str">
            <v>모름</v>
          </cell>
          <cell r="H3091">
            <v>38</v>
          </cell>
          <cell r="I3091">
            <v>0</v>
          </cell>
        </row>
        <row r="3092">
          <cell r="C3092" t="str">
            <v>저축은행</v>
          </cell>
          <cell r="E3092" t="str">
            <v>모름</v>
          </cell>
          <cell r="H3092">
            <v>1000</v>
          </cell>
          <cell r="I3092">
            <v>4118</v>
          </cell>
        </row>
        <row r="3093">
          <cell r="C3093" t="str">
            <v>저축은행</v>
          </cell>
          <cell r="E3093" t="str">
            <v>모름</v>
          </cell>
          <cell r="H3093">
            <v>446</v>
          </cell>
          <cell r="I3093">
            <v>8000</v>
          </cell>
        </row>
        <row r="3094">
          <cell r="C3094" t="str">
            <v>저축은행</v>
          </cell>
          <cell r="E3094" t="str">
            <v>모름</v>
          </cell>
          <cell r="H3094">
            <v>1000</v>
          </cell>
          <cell r="I3094">
            <v>10182</v>
          </cell>
        </row>
        <row r="3095">
          <cell r="C3095" t="str">
            <v>저축은행</v>
          </cell>
          <cell r="E3095" t="str">
            <v>모름</v>
          </cell>
          <cell r="H3095">
            <v>1000</v>
          </cell>
          <cell r="I3095">
            <v>0</v>
          </cell>
        </row>
        <row r="3096">
          <cell r="C3096" t="str">
            <v>저축은행</v>
          </cell>
          <cell r="E3096" t="str">
            <v>모름</v>
          </cell>
          <cell r="H3096">
            <v>1000</v>
          </cell>
          <cell r="I3096">
            <v>0</v>
          </cell>
        </row>
        <row r="3097">
          <cell r="C3097" t="str">
            <v>저축은행</v>
          </cell>
          <cell r="E3097" t="str">
            <v>모름</v>
          </cell>
          <cell r="H3097">
            <v>30</v>
          </cell>
          <cell r="I3097">
            <v>7671</v>
          </cell>
        </row>
        <row r="3098">
          <cell r="C3098" t="str">
            <v>저축은행</v>
          </cell>
          <cell r="E3098" t="str">
            <v>모름</v>
          </cell>
          <cell r="H3098">
            <v>61</v>
          </cell>
          <cell r="I3098">
            <v>7500</v>
          </cell>
        </row>
        <row r="3099">
          <cell r="C3099" t="str">
            <v>저축은행</v>
          </cell>
          <cell r="E3099" t="str">
            <v>모름</v>
          </cell>
          <cell r="H3099">
            <v>44</v>
          </cell>
          <cell r="I3099">
            <v>0</v>
          </cell>
        </row>
        <row r="3100">
          <cell r="C3100" t="str">
            <v>저축은행</v>
          </cell>
          <cell r="E3100" t="str">
            <v>모름</v>
          </cell>
          <cell r="H3100">
            <v>120</v>
          </cell>
          <cell r="I3100">
            <v>7182</v>
          </cell>
        </row>
        <row r="3101">
          <cell r="C3101" t="str">
            <v>저축은행</v>
          </cell>
          <cell r="E3101" t="str">
            <v>모름</v>
          </cell>
          <cell r="H3101">
            <v>61</v>
          </cell>
          <cell r="I3101">
            <v>3000</v>
          </cell>
        </row>
        <row r="3102">
          <cell r="C3102" t="str">
            <v>저축은행</v>
          </cell>
          <cell r="E3102" t="str">
            <v>모름</v>
          </cell>
          <cell r="H3102">
            <v>12</v>
          </cell>
          <cell r="I3102">
            <v>0</v>
          </cell>
        </row>
        <row r="3103">
          <cell r="C3103" t="str">
            <v>저축은행</v>
          </cell>
          <cell r="E3103" t="str">
            <v>모름</v>
          </cell>
          <cell r="H3103">
            <v>50</v>
          </cell>
          <cell r="I3103">
            <v>0</v>
          </cell>
        </row>
        <row r="3104">
          <cell r="C3104" t="str">
            <v>저축은행</v>
          </cell>
          <cell r="E3104" t="str">
            <v>모름</v>
          </cell>
          <cell r="H3104">
            <v>169</v>
          </cell>
          <cell r="I3104">
            <v>3000</v>
          </cell>
        </row>
        <row r="3105">
          <cell r="C3105" t="str">
            <v>저축은행</v>
          </cell>
          <cell r="E3105" t="str">
            <v>모름</v>
          </cell>
          <cell r="H3105">
            <v>60</v>
          </cell>
          <cell r="I3105">
            <v>1812</v>
          </cell>
        </row>
        <row r="3106">
          <cell r="C3106" t="str">
            <v>저축은행</v>
          </cell>
          <cell r="E3106" t="str">
            <v>모름</v>
          </cell>
          <cell r="H3106">
            <v>1000</v>
          </cell>
          <cell r="I3106">
            <v>3700</v>
          </cell>
        </row>
        <row r="3107">
          <cell r="C3107" t="str">
            <v>저축은행</v>
          </cell>
          <cell r="E3107" t="str">
            <v>모름</v>
          </cell>
          <cell r="H3107">
            <v>54</v>
          </cell>
          <cell r="I3107">
            <v>6000</v>
          </cell>
        </row>
        <row r="3108">
          <cell r="C3108" t="str">
            <v>저축은행</v>
          </cell>
          <cell r="E3108" t="str">
            <v>모름</v>
          </cell>
          <cell r="H3108">
            <v>158</v>
          </cell>
          <cell r="I3108">
            <v>0</v>
          </cell>
        </row>
        <row r="3109">
          <cell r="C3109" t="str">
            <v>저축은행</v>
          </cell>
          <cell r="E3109" t="str">
            <v>모름</v>
          </cell>
          <cell r="H3109">
            <v>263</v>
          </cell>
          <cell r="I3109">
            <v>5283</v>
          </cell>
        </row>
        <row r="3110">
          <cell r="C3110" t="str">
            <v>저축은행</v>
          </cell>
          <cell r="E3110" t="str">
            <v>모름</v>
          </cell>
          <cell r="H3110">
            <v>144</v>
          </cell>
          <cell r="I3110">
            <v>120</v>
          </cell>
        </row>
        <row r="3111">
          <cell r="C3111" t="str">
            <v>저축은행</v>
          </cell>
          <cell r="E3111" t="str">
            <v>모름</v>
          </cell>
          <cell r="H3111">
            <v>169</v>
          </cell>
          <cell r="I3111">
            <v>3000</v>
          </cell>
        </row>
        <row r="3112">
          <cell r="C3112" t="str">
            <v>저축은행</v>
          </cell>
          <cell r="E3112" t="str">
            <v>모름</v>
          </cell>
          <cell r="H3112">
            <v>60</v>
          </cell>
          <cell r="I3112">
            <v>6000</v>
          </cell>
        </row>
        <row r="3113">
          <cell r="C3113" t="str">
            <v>저축은행</v>
          </cell>
          <cell r="E3113" t="str">
            <v>모름</v>
          </cell>
          <cell r="H3113">
            <v>1000</v>
          </cell>
          <cell r="I3113">
            <v>3184</v>
          </cell>
        </row>
        <row r="3114">
          <cell r="C3114" t="str">
            <v>저축은행</v>
          </cell>
          <cell r="E3114" t="str">
            <v>모름</v>
          </cell>
          <cell r="H3114">
            <v>44</v>
          </cell>
          <cell r="I3114">
            <v>0</v>
          </cell>
        </row>
        <row r="3115">
          <cell r="C3115" t="str">
            <v>저축은행</v>
          </cell>
          <cell r="E3115" t="str">
            <v>모름</v>
          </cell>
          <cell r="H3115">
            <v>36</v>
          </cell>
          <cell r="I3115">
            <v>4000</v>
          </cell>
        </row>
        <row r="3116">
          <cell r="C3116" t="str">
            <v>저축은행</v>
          </cell>
          <cell r="E3116" t="str">
            <v>모름</v>
          </cell>
          <cell r="H3116">
            <v>123</v>
          </cell>
          <cell r="I3116">
            <v>1146</v>
          </cell>
        </row>
        <row r="3117">
          <cell r="C3117" t="str">
            <v>저축은행</v>
          </cell>
          <cell r="E3117" t="str">
            <v>모름</v>
          </cell>
          <cell r="H3117">
            <v>1000</v>
          </cell>
          <cell r="I3117">
            <v>2963</v>
          </cell>
        </row>
        <row r="3118">
          <cell r="C3118" t="str">
            <v>저축은행</v>
          </cell>
          <cell r="E3118" t="str">
            <v>모름</v>
          </cell>
          <cell r="H3118">
            <v>141</v>
          </cell>
          <cell r="I3118">
            <v>3500</v>
          </cell>
        </row>
        <row r="3119">
          <cell r="C3119" t="str">
            <v>저축은행</v>
          </cell>
          <cell r="E3119" t="str">
            <v>모름</v>
          </cell>
          <cell r="H3119">
            <v>120</v>
          </cell>
          <cell r="I3119">
            <v>6500</v>
          </cell>
        </row>
        <row r="3120">
          <cell r="C3120" t="str">
            <v>저축은행</v>
          </cell>
          <cell r="E3120" t="str">
            <v>모름</v>
          </cell>
          <cell r="H3120">
            <v>285</v>
          </cell>
          <cell r="I3120">
            <v>10000</v>
          </cell>
        </row>
        <row r="3121">
          <cell r="C3121" t="str">
            <v>저축은행</v>
          </cell>
          <cell r="E3121" t="str">
            <v>모름</v>
          </cell>
          <cell r="H3121">
            <v>133</v>
          </cell>
          <cell r="I3121">
            <v>2000</v>
          </cell>
        </row>
        <row r="3122">
          <cell r="C3122" t="str">
            <v>저축은행</v>
          </cell>
          <cell r="E3122" t="str">
            <v>모름</v>
          </cell>
          <cell r="H3122">
            <v>23</v>
          </cell>
          <cell r="I3122">
            <v>6000</v>
          </cell>
        </row>
        <row r="3123">
          <cell r="C3123" t="str">
            <v>저축은행</v>
          </cell>
          <cell r="E3123" t="str">
            <v>모름</v>
          </cell>
          <cell r="H3123">
            <v>29</v>
          </cell>
          <cell r="I3123">
            <v>0</v>
          </cell>
        </row>
        <row r="3124">
          <cell r="C3124" t="str">
            <v>저축은행</v>
          </cell>
          <cell r="E3124" t="str">
            <v>모름</v>
          </cell>
          <cell r="H3124">
            <v>33</v>
          </cell>
          <cell r="I3124">
            <v>13000</v>
          </cell>
        </row>
        <row r="3125">
          <cell r="C3125" t="str">
            <v>저축은행</v>
          </cell>
          <cell r="E3125" t="str">
            <v>모름</v>
          </cell>
          <cell r="H3125">
            <v>45</v>
          </cell>
          <cell r="I3125">
            <v>0</v>
          </cell>
        </row>
        <row r="3126">
          <cell r="C3126" t="str">
            <v>저축은행</v>
          </cell>
          <cell r="E3126" t="str">
            <v>모름</v>
          </cell>
          <cell r="H3126">
            <v>1000</v>
          </cell>
          <cell r="I3126">
            <v>0</v>
          </cell>
        </row>
        <row r="3127">
          <cell r="C3127" t="str">
            <v>저축은행</v>
          </cell>
          <cell r="E3127" t="str">
            <v>모름</v>
          </cell>
          <cell r="H3127">
            <v>95</v>
          </cell>
          <cell r="I3127">
            <v>0</v>
          </cell>
        </row>
        <row r="3128">
          <cell r="C3128" t="str">
            <v>저축은행</v>
          </cell>
          <cell r="E3128" t="str">
            <v>모름</v>
          </cell>
          <cell r="H3128">
            <v>54</v>
          </cell>
          <cell r="I3128">
            <v>6364</v>
          </cell>
        </row>
        <row r="3129">
          <cell r="C3129" t="str">
            <v>저축은행</v>
          </cell>
          <cell r="E3129" t="str">
            <v>모름</v>
          </cell>
          <cell r="H3129">
            <v>54</v>
          </cell>
          <cell r="I3129">
            <v>5000</v>
          </cell>
        </row>
        <row r="3130">
          <cell r="C3130" t="str">
            <v>저축은행</v>
          </cell>
          <cell r="E3130" t="str">
            <v>모름</v>
          </cell>
          <cell r="H3130">
            <v>54</v>
          </cell>
          <cell r="I3130">
            <v>10450</v>
          </cell>
        </row>
        <row r="3131">
          <cell r="C3131" t="str">
            <v>저축은행</v>
          </cell>
          <cell r="E3131" t="str">
            <v>모름</v>
          </cell>
          <cell r="H3131">
            <v>137</v>
          </cell>
          <cell r="I3131">
            <v>600</v>
          </cell>
        </row>
        <row r="3132">
          <cell r="C3132" t="str">
            <v>저축은행</v>
          </cell>
          <cell r="E3132" t="str">
            <v>모름</v>
          </cell>
          <cell r="H3132">
            <v>120</v>
          </cell>
          <cell r="I3132">
            <v>683</v>
          </cell>
        </row>
        <row r="3133">
          <cell r="C3133" t="str">
            <v>저축은행</v>
          </cell>
          <cell r="E3133" t="str">
            <v>모름</v>
          </cell>
          <cell r="H3133">
            <v>191</v>
          </cell>
          <cell r="I3133">
            <v>1500</v>
          </cell>
        </row>
        <row r="3134">
          <cell r="C3134" t="str">
            <v>저축은행</v>
          </cell>
          <cell r="E3134" t="str">
            <v>모름</v>
          </cell>
          <cell r="H3134">
            <v>260</v>
          </cell>
          <cell r="I3134">
            <v>5014.8</v>
          </cell>
        </row>
        <row r="3135">
          <cell r="C3135" t="str">
            <v>저축은행</v>
          </cell>
          <cell r="E3135" t="str">
            <v>모름</v>
          </cell>
          <cell r="H3135">
            <v>54</v>
          </cell>
          <cell r="I3135">
            <v>3000</v>
          </cell>
        </row>
        <row r="3136">
          <cell r="C3136" t="str">
            <v>저축은행</v>
          </cell>
          <cell r="E3136" t="str">
            <v>모름</v>
          </cell>
          <cell r="H3136">
            <v>195</v>
          </cell>
          <cell r="I3136">
            <v>9200</v>
          </cell>
        </row>
        <row r="3137">
          <cell r="C3137" t="str">
            <v>저축은행</v>
          </cell>
          <cell r="E3137" t="str">
            <v>모름</v>
          </cell>
          <cell r="H3137">
            <v>145</v>
          </cell>
          <cell r="I3137">
            <v>0</v>
          </cell>
        </row>
        <row r="3138">
          <cell r="C3138" t="str">
            <v>저축은행</v>
          </cell>
          <cell r="E3138" t="str">
            <v>모름</v>
          </cell>
          <cell r="H3138">
            <v>1000</v>
          </cell>
          <cell r="I3138">
            <v>766</v>
          </cell>
        </row>
        <row r="3139">
          <cell r="C3139" t="str">
            <v>저축은행</v>
          </cell>
          <cell r="E3139" t="str">
            <v>모름</v>
          </cell>
          <cell r="H3139">
            <v>54</v>
          </cell>
          <cell r="I3139">
            <v>13000</v>
          </cell>
        </row>
        <row r="3140">
          <cell r="C3140" t="str">
            <v>저축은행</v>
          </cell>
          <cell r="E3140" t="str">
            <v>모름</v>
          </cell>
          <cell r="H3140">
            <v>12</v>
          </cell>
          <cell r="I3140">
            <v>0</v>
          </cell>
        </row>
        <row r="3141">
          <cell r="C3141" t="str">
            <v>저축은행</v>
          </cell>
          <cell r="E3141" t="str">
            <v>모름</v>
          </cell>
          <cell r="H3141">
            <v>4</v>
          </cell>
          <cell r="I3141">
            <v>0</v>
          </cell>
        </row>
        <row r="3142">
          <cell r="C3142" t="str">
            <v>저축은행</v>
          </cell>
          <cell r="E3142" t="str">
            <v>모름</v>
          </cell>
          <cell r="H3142">
            <v>3</v>
          </cell>
          <cell r="I3142">
            <v>0</v>
          </cell>
        </row>
        <row r="3143">
          <cell r="C3143" t="str">
            <v>저축은행</v>
          </cell>
          <cell r="E3143" t="str">
            <v>모름</v>
          </cell>
          <cell r="H3143">
            <v>194</v>
          </cell>
          <cell r="I3143">
            <v>2382</v>
          </cell>
        </row>
        <row r="3144">
          <cell r="C3144" t="str">
            <v>저축은행</v>
          </cell>
          <cell r="E3144" t="str">
            <v>모름</v>
          </cell>
          <cell r="H3144">
            <v>194</v>
          </cell>
          <cell r="I3144">
            <v>4286</v>
          </cell>
        </row>
        <row r="3145">
          <cell r="C3145" t="str">
            <v>저축은행</v>
          </cell>
          <cell r="E3145" t="str">
            <v>모름</v>
          </cell>
          <cell r="H3145">
            <v>194</v>
          </cell>
          <cell r="I3145">
            <v>19000</v>
          </cell>
        </row>
        <row r="3146">
          <cell r="C3146" t="str">
            <v>저축은행</v>
          </cell>
          <cell r="E3146" t="str">
            <v>모름</v>
          </cell>
          <cell r="H3146">
            <v>1000</v>
          </cell>
          <cell r="I3146">
            <v>0</v>
          </cell>
        </row>
        <row r="3147">
          <cell r="C3147" t="str">
            <v>저축은행</v>
          </cell>
          <cell r="E3147" t="str">
            <v>모름</v>
          </cell>
          <cell r="H3147">
            <v>1000</v>
          </cell>
          <cell r="I3147">
            <v>0</v>
          </cell>
        </row>
        <row r="3148">
          <cell r="C3148" t="str">
            <v>저축은행</v>
          </cell>
          <cell r="E3148" t="str">
            <v>모름</v>
          </cell>
          <cell r="H3148">
            <v>144</v>
          </cell>
          <cell r="I3148">
            <v>1300</v>
          </cell>
        </row>
        <row r="3149">
          <cell r="C3149" t="str">
            <v>저축은행</v>
          </cell>
          <cell r="E3149" t="str">
            <v>모름</v>
          </cell>
          <cell r="H3149">
            <v>53</v>
          </cell>
          <cell r="I3149">
            <v>1968</v>
          </cell>
        </row>
        <row r="3150">
          <cell r="C3150" t="str">
            <v>저축은행</v>
          </cell>
          <cell r="E3150" t="str">
            <v>모름</v>
          </cell>
          <cell r="H3150">
            <v>1000</v>
          </cell>
          <cell r="I3150">
            <v>10000</v>
          </cell>
        </row>
        <row r="3151">
          <cell r="C3151" t="str">
            <v>저축은행</v>
          </cell>
          <cell r="E3151" t="str">
            <v>모름</v>
          </cell>
          <cell r="H3151">
            <v>1000</v>
          </cell>
          <cell r="I3151">
            <v>8000</v>
          </cell>
        </row>
        <row r="3152">
          <cell r="C3152" t="str">
            <v>저축은행</v>
          </cell>
          <cell r="E3152" t="str">
            <v>모름</v>
          </cell>
          <cell r="H3152">
            <v>45</v>
          </cell>
          <cell r="I3152">
            <v>8000</v>
          </cell>
        </row>
        <row r="3153">
          <cell r="C3153" t="str">
            <v>저축은행</v>
          </cell>
          <cell r="E3153" t="str">
            <v>모름</v>
          </cell>
          <cell r="H3153">
            <v>56</v>
          </cell>
          <cell r="I3153">
            <v>5000</v>
          </cell>
        </row>
        <row r="3154">
          <cell r="C3154" t="str">
            <v>저축은행</v>
          </cell>
          <cell r="E3154" t="str">
            <v>모름</v>
          </cell>
          <cell r="H3154">
            <v>279</v>
          </cell>
          <cell r="I3154">
            <v>4850</v>
          </cell>
        </row>
        <row r="3155">
          <cell r="C3155" t="str">
            <v>저축은행</v>
          </cell>
          <cell r="E3155" t="str">
            <v>모름</v>
          </cell>
          <cell r="H3155">
            <v>60</v>
          </cell>
          <cell r="I3155">
            <v>6000</v>
          </cell>
        </row>
        <row r="3156">
          <cell r="C3156" t="str">
            <v>저축은행</v>
          </cell>
          <cell r="E3156" t="str">
            <v>모름</v>
          </cell>
          <cell r="H3156">
            <v>44</v>
          </cell>
          <cell r="I3156">
            <v>0</v>
          </cell>
        </row>
        <row r="3157">
          <cell r="C3157" t="str">
            <v>저축은행</v>
          </cell>
          <cell r="E3157" t="str">
            <v>모름</v>
          </cell>
          <cell r="H3157">
            <v>60</v>
          </cell>
          <cell r="I3157">
            <v>8000</v>
          </cell>
        </row>
        <row r="3158">
          <cell r="C3158" t="str">
            <v>저축은행</v>
          </cell>
          <cell r="E3158" t="str">
            <v>모름</v>
          </cell>
          <cell r="H3158">
            <v>50</v>
          </cell>
          <cell r="I3158">
            <v>6000</v>
          </cell>
        </row>
        <row r="3159">
          <cell r="C3159" t="str">
            <v>저축은행</v>
          </cell>
          <cell r="E3159" t="str">
            <v>모름</v>
          </cell>
          <cell r="H3159">
            <v>21</v>
          </cell>
          <cell r="I3159">
            <v>7000</v>
          </cell>
        </row>
        <row r="3160">
          <cell r="C3160" t="str">
            <v>저축은행</v>
          </cell>
          <cell r="E3160" t="str">
            <v>모름</v>
          </cell>
          <cell r="H3160">
            <v>23</v>
          </cell>
          <cell r="I3160">
            <v>0</v>
          </cell>
        </row>
        <row r="3161">
          <cell r="C3161" t="str">
            <v>저축은행</v>
          </cell>
          <cell r="E3161" t="str">
            <v>모름</v>
          </cell>
          <cell r="H3161">
            <v>45</v>
          </cell>
          <cell r="I3161">
            <v>9900</v>
          </cell>
        </row>
        <row r="3162">
          <cell r="C3162" t="str">
            <v>저축은행</v>
          </cell>
          <cell r="E3162" t="str">
            <v>모름</v>
          </cell>
          <cell r="H3162">
            <v>61</v>
          </cell>
          <cell r="I3162">
            <v>4700</v>
          </cell>
        </row>
        <row r="3163">
          <cell r="C3163" t="str">
            <v>저축은행</v>
          </cell>
          <cell r="E3163" t="str">
            <v>모름</v>
          </cell>
          <cell r="H3163">
            <v>144</v>
          </cell>
          <cell r="I3163">
            <v>5505</v>
          </cell>
        </row>
        <row r="3164">
          <cell r="C3164" t="str">
            <v>저축은행</v>
          </cell>
          <cell r="E3164" t="str">
            <v>모름</v>
          </cell>
          <cell r="H3164">
            <v>53</v>
          </cell>
          <cell r="I3164">
            <v>10000</v>
          </cell>
        </row>
        <row r="3165">
          <cell r="C3165" t="str">
            <v>저축은행</v>
          </cell>
          <cell r="E3165" t="str">
            <v>모름</v>
          </cell>
          <cell r="H3165">
            <v>1000</v>
          </cell>
          <cell r="I3165">
            <v>0</v>
          </cell>
        </row>
        <row r="3166">
          <cell r="C3166" t="str">
            <v>저축은행</v>
          </cell>
          <cell r="E3166" t="str">
            <v>모름</v>
          </cell>
          <cell r="H3166">
            <v>36</v>
          </cell>
          <cell r="I3166">
            <v>10000</v>
          </cell>
        </row>
        <row r="3167">
          <cell r="C3167" t="str">
            <v>저축은행</v>
          </cell>
          <cell r="E3167" t="str">
            <v>모름</v>
          </cell>
          <cell r="H3167">
            <v>53</v>
          </cell>
          <cell r="I3167">
            <v>0</v>
          </cell>
        </row>
        <row r="3168">
          <cell r="C3168" t="str">
            <v>저축은행</v>
          </cell>
          <cell r="E3168" t="str">
            <v>모름</v>
          </cell>
          <cell r="H3168">
            <v>122</v>
          </cell>
          <cell r="I3168">
            <v>0</v>
          </cell>
        </row>
        <row r="3169">
          <cell r="C3169" t="str">
            <v>저축은행</v>
          </cell>
          <cell r="E3169" t="str">
            <v>모름</v>
          </cell>
          <cell r="H3169">
            <v>50</v>
          </cell>
          <cell r="I3169">
            <v>6000</v>
          </cell>
        </row>
        <row r="3170">
          <cell r="C3170" t="str">
            <v>저축은행</v>
          </cell>
          <cell r="E3170" t="str">
            <v>모름</v>
          </cell>
          <cell r="H3170">
            <v>61</v>
          </cell>
          <cell r="I3170">
            <v>8000</v>
          </cell>
        </row>
        <row r="3171">
          <cell r="C3171" t="str">
            <v>저축은행</v>
          </cell>
          <cell r="E3171" t="str">
            <v>모름</v>
          </cell>
          <cell r="H3171">
            <v>60</v>
          </cell>
          <cell r="I3171">
            <v>10000</v>
          </cell>
        </row>
        <row r="3172">
          <cell r="C3172" t="str">
            <v>저축은행</v>
          </cell>
          <cell r="E3172" t="str">
            <v>모름</v>
          </cell>
          <cell r="H3172">
            <v>216</v>
          </cell>
          <cell r="I3172">
            <v>5880</v>
          </cell>
        </row>
        <row r="3173">
          <cell r="C3173" t="str">
            <v>저축은행</v>
          </cell>
          <cell r="E3173" t="str">
            <v>모름</v>
          </cell>
          <cell r="H3173">
            <v>10</v>
          </cell>
          <cell r="I3173">
            <v>0</v>
          </cell>
        </row>
        <row r="3174">
          <cell r="C3174" t="str">
            <v>저축은행</v>
          </cell>
          <cell r="E3174" t="str">
            <v>모름</v>
          </cell>
          <cell r="H3174">
            <v>1000</v>
          </cell>
          <cell r="I3174">
            <v>0</v>
          </cell>
        </row>
        <row r="3175">
          <cell r="C3175" t="str">
            <v>저축은행</v>
          </cell>
          <cell r="E3175" t="str">
            <v>모름</v>
          </cell>
          <cell r="H3175">
            <v>38</v>
          </cell>
          <cell r="I3175">
            <v>8000</v>
          </cell>
        </row>
        <row r="3176">
          <cell r="C3176" t="str">
            <v>저축은행</v>
          </cell>
          <cell r="E3176" t="str">
            <v>모름</v>
          </cell>
          <cell r="H3176">
            <v>68</v>
          </cell>
          <cell r="I3176">
            <v>0</v>
          </cell>
        </row>
        <row r="3177">
          <cell r="C3177" t="str">
            <v>저축은행</v>
          </cell>
          <cell r="E3177" t="str">
            <v>모름</v>
          </cell>
          <cell r="H3177">
            <v>61</v>
          </cell>
          <cell r="I3177">
            <v>8000</v>
          </cell>
        </row>
        <row r="3178">
          <cell r="C3178" t="str">
            <v>저축은행</v>
          </cell>
          <cell r="E3178" t="str">
            <v>모름</v>
          </cell>
          <cell r="H3178">
            <v>86</v>
          </cell>
          <cell r="I3178">
            <v>12000</v>
          </cell>
        </row>
        <row r="3179">
          <cell r="C3179" t="str">
            <v>저축은행</v>
          </cell>
          <cell r="E3179" t="str">
            <v>모름</v>
          </cell>
          <cell r="H3179">
            <v>138</v>
          </cell>
          <cell r="I3179">
            <v>0</v>
          </cell>
        </row>
        <row r="3180">
          <cell r="C3180" t="str">
            <v>저축은행</v>
          </cell>
          <cell r="E3180" t="str">
            <v>모름</v>
          </cell>
          <cell r="H3180">
            <v>46</v>
          </cell>
          <cell r="I3180">
            <v>0</v>
          </cell>
        </row>
        <row r="3181">
          <cell r="C3181" t="str">
            <v>저축은행</v>
          </cell>
          <cell r="E3181" t="str">
            <v>모름</v>
          </cell>
          <cell r="H3181">
            <v>35</v>
          </cell>
          <cell r="I3181">
            <v>6000</v>
          </cell>
        </row>
        <row r="3182">
          <cell r="C3182" t="str">
            <v>저축은행</v>
          </cell>
          <cell r="E3182" t="str">
            <v>모름</v>
          </cell>
          <cell r="H3182">
            <v>61</v>
          </cell>
          <cell r="I3182">
            <v>0</v>
          </cell>
        </row>
        <row r="3183">
          <cell r="C3183" t="str">
            <v>저축은행</v>
          </cell>
          <cell r="E3183" t="str">
            <v>모름</v>
          </cell>
          <cell r="H3183">
            <v>23</v>
          </cell>
          <cell r="I3183">
            <v>0</v>
          </cell>
        </row>
        <row r="3184">
          <cell r="C3184" t="str">
            <v>저축은행</v>
          </cell>
          <cell r="E3184" t="str">
            <v>모름</v>
          </cell>
          <cell r="H3184">
            <v>1000</v>
          </cell>
          <cell r="I3184">
            <v>3200</v>
          </cell>
        </row>
        <row r="3185">
          <cell r="C3185" t="str">
            <v>저축은행</v>
          </cell>
          <cell r="E3185" t="str">
            <v>모름</v>
          </cell>
          <cell r="H3185">
            <v>76</v>
          </cell>
          <cell r="I3185">
            <v>0</v>
          </cell>
        </row>
        <row r="3186">
          <cell r="C3186" t="str">
            <v>저축은행</v>
          </cell>
          <cell r="E3186" t="str">
            <v>모름</v>
          </cell>
          <cell r="H3186">
            <v>1000</v>
          </cell>
          <cell r="I3186">
            <v>3500</v>
          </cell>
        </row>
        <row r="3187">
          <cell r="C3187" t="str">
            <v>저축은행</v>
          </cell>
          <cell r="E3187" t="str">
            <v>모름</v>
          </cell>
          <cell r="H3187">
            <v>9</v>
          </cell>
          <cell r="I3187">
            <v>0</v>
          </cell>
        </row>
        <row r="3188">
          <cell r="C3188" t="str">
            <v>저축은행</v>
          </cell>
          <cell r="E3188" t="str">
            <v>모름</v>
          </cell>
          <cell r="H3188">
            <v>6</v>
          </cell>
          <cell r="I3188">
            <v>0</v>
          </cell>
        </row>
        <row r="3189">
          <cell r="C3189" t="str">
            <v>저축은행</v>
          </cell>
          <cell r="E3189" t="str">
            <v>모름</v>
          </cell>
          <cell r="H3189">
            <v>20</v>
          </cell>
          <cell r="I3189">
            <v>0</v>
          </cell>
        </row>
        <row r="3190">
          <cell r="C3190" t="str">
            <v>저축은행</v>
          </cell>
          <cell r="E3190" t="str">
            <v>모름</v>
          </cell>
          <cell r="H3190">
            <v>51</v>
          </cell>
          <cell r="I3190">
            <v>0</v>
          </cell>
        </row>
        <row r="3191">
          <cell r="C3191" t="str">
            <v>저축은행</v>
          </cell>
          <cell r="E3191" t="str">
            <v>모름</v>
          </cell>
          <cell r="H3191">
            <v>43</v>
          </cell>
          <cell r="I3191">
            <v>0</v>
          </cell>
        </row>
        <row r="3192">
          <cell r="C3192" t="str">
            <v>저축은행</v>
          </cell>
          <cell r="E3192" t="str">
            <v>모름</v>
          </cell>
          <cell r="H3192">
            <v>10</v>
          </cell>
          <cell r="I3192">
            <v>0</v>
          </cell>
        </row>
        <row r="3193">
          <cell r="C3193" t="str">
            <v>저축은행</v>
          </cell>
          <cell r="E3193" t="str">
            <v>모름</v>
          </cell>
          <cell r="H3193">
            <v>141</v>
          </cell>
          <cell r="I3193">
            <v>2500</v>
          </cell>
        </row>
        <row r="3194">
          <cell r="C3194" t="str">
            <v>저축은행</v>
          </cell>
          <cell r="E3194" t="str">
            <v>모름</v>
          </cell>
          <cell r="H3194">
            <v>12</v>
          </cell>
          <cell r="I3194">
            <v>0</v>
          </cell>
        </row>
        <row r="3195">
          <cell r="C3195" t="str">
            <v>저축은행</v>
          </cell>
          <cell r="E3195" t="str">
            <v>모름</v>
          </cell>
          <cell r="H3195">
            <v>182</v>
          </cell>
          <cell r="I3195">
            <v>2000</v>
          </cell>
        </row>
        <row r="3196">
          <cell r="C3196" t="str">
            <v>저축은행</v>
          </cell>
          <cell r="E3196" t="str">
            <v>모름</v>
          </cell>
          <cell r="H3196">
            <v>4</v>
          </cell>
          <cell r="I3196">
            <v>0</v>
          </cell>
        </row>
        <row r="3197">
          <cell r="C3197" t="str">
            <v>저축은행</v>
          </cell>
          <cell r="E3197" t="str">
            <v>모름</v>
          </cell>
          <cell r="H3197">
            <v>1000</v>
          </cell>
          <cell r="I3197">
            <v>4000</v>
          </cell>
        </row>
        <row r="3198">
          <cell r="C3198" t="str">
            <v>저축은행</v>
          </cell>
          <cell r="E3198" t="str">
            <v>모름</v>
          </cell>
          <cell r="H3198">
            <v>23</v>
          </cell>
          <cell r="I3198">
            <v>0</v>
          </cell>
        </row>
        <row r="3199">
          <cell r="C3199" t="str">
            <v>저축은행</v>
          </cell>
          <cell r="E3199" t="str">
            <v>모름</v>
          </cell>
          <cell r="H3199">
            <v>50</v>
          </cell>
          <cell r="I3199">
            <v>2000</v>
          </cell>
        </row>
        <row r="3200">
          <cell r="C3200" t="str">
            <v>저축은행</v>
          </cell>
          <cell r="E3200" t="str">
            <v>모름</v>
          </cell>
          <cell r="H3200">
            <v>2</v>
          </cell>
          <cell r="I3200">
            <v>0</v>
          </cell>
        </row>
        <row r="3201">
          <cell r="C3201" t="str">
            <v>저축은행</v>
          </cell>
          <cell r="E3201" t="str">
            <v>모름</v>
          </cell>
          <cell r="H3201">
            <v>248</v>
          </cell>
          <cell r="I3201">
            <v>3000</v>
          </cell>
        </row>
        <row r="3202">
          <cell r="C3202" t="str">
            <v>저축은행</v>
          </cell>
          <cell r="E3202" t="str">
            <v>모름</v>
          </cell>
          <cell r="H3202">
            <v>31</v>
          </cell>
          <cell r="I3202">
            <v>0</v>
          </cell>
        </row>
        <row r="3203">
          <cell r="C3203" t="str">
            <v>저축은행</v>
          </cell>
          <cell r="E3203" t="str">
            <v>모름</v>
          </cell>
          <cell r="H3203">
            <v>1000</v>
          </cell>
          <cell r="I3203">
            <v>4200</v>
          </cell>
        </row>
        <row r="3204">
          <cell r="C3204" t="str">
            <v>저축은행</v>
          </cell>
          <cell r="E3204" t="str">
            <v>모름</v>
          </cell>
          <cell r="H3204">
            <v>23</v>
          </cell>
          <cell r="I3204">
            <v>0</v>
          </cell>
        </row>
        <row r="3205">
          <cell r="C3205" t="str">
            <v>저축은행</v>
          </cell>
          <cell r="E3205" t="str">
            <v>모름</v>
          </cell>
          <cell r="H3205">
            <v>4</v>
          </cell>
          <cell r="I3205">
            <v>0</v>
          </cell>
        </row>
        <row r="3206">
          <cell r="C3206" t="str">
            <v>저축은행</v>
          </cell>
          <cell r="E3206" t="str">
            <v>모름</v>
          </cell>
          <cell r="H3206">
            <v>485</v>
          </cell>
          <cell r="I3206">
            <v>0</v>
          </cell>
        </row>
        <row r="3207">
          <cell r="C3207" t="str">
            <v>저축은행</v>
          </cell>
          <cell r="E3207" t="str">
            <v>모름</v>
          </cell>
          <cell r="H3207">
            <v>94</v>
          </cell>
          <cell r="I3207">
            <v>0</v>
          </cell>
        </row>
        <row r="3208">
          <cell r="C3208" t="str">
            <v>저축은행</v>
          </cell>
          <cell r="E3208" t="str">
            <v>모름</v>
          </cell>
          <cell r="H3208">
            <v>53</v>
          </cell>
          <cell r="I3208">
            <v>2344</v>
          </cell>
        </row>
        <row r="3209">
          <cell r="C3209" t="str">
            <v>저축은행</v>
          </cell>
          <cell r="E3209" t="str">
            <v>모름</v>
          </cell>
          <cell r="H3209">
            <v>36</v>
          </cell>
          <cell r="I3209">
            <v>0</v>
          </cell>
        </row>
        <row r="3210">
          <cell r="C3210" t="str">
            <v>저축은행</v>
          </cell>
          <cell r="E3210" t="str">
            <v>모름</v>
          </cell>
          <cell r="H3210">
            <v>169</v>
          </cell>
          <cell r="I3210">
            <v>2800</v>
          </cell>
        </row>
        <row r="3211">
          <cell r="C3211" t="str">
            <v>저축은행</v>
          </cell>
          <cell r="E3211" t="str">
            <v>모름</v>
          </cell>
          <cell r="H3211">
            <v>266</v>
          </cell>
          <cell r="I3211">
            <v>1363</v>
          </cell>
        </row>
        <row r="3212">
          <cell r="C3212" t="str">
            <v>저축은행</v>
          </cell>
          <cell r="E3212" t="str">
            <v>모름</v>
          </cell>
          <cell r="H3212">
            <v>1000</v>
          </cell>
          <cell r="I3212">
            <v>0</v>
          </cell>
        </row>
        <row r="3213">
          <cell r="C3213" t="str">
            <v>저축은행</v>
          </cell>
          <cell r="E3213" t="str">
            <v>모름</v>
          </cell>
          <cell r="H3213">
            <v>1000</v>
          </cell>
          <cell r="I3213">
            <v>2000</v>
          </cell>
        </row>
        <row r="3214">
          <cell r="C3214" t="str">
            <v>저축은행</v>
          </cell>
          <cell r="E3214" t="str">
            <v>모름</v>
          </cell>
          <cell r="H3214">
            <v>141</v>
          </cell>
          <cell r="I3214">
            <v>2500</v>
          </cell>
        </row>
        <row r="3215">
          <cell r="C3215" t="str">
            <v>저축은행</v>
          </cell>
          <cell r="E3215" t="str">
            <v>모름</v>
          </cell>
          <cell r="H3215">
            <v>1000</v>
          </cell>
          <cell r="I3215">
            <v>4000</v>
          </cell>
        </row>
        <row r="3216">
          <cell r="C3216" t="str">
            <v>저축은행</v>
          </cell>
          <cell r="E3216" t="str">
            <v>모름</v>
          </cell>
          <cell r="H3216">
            <v>60</v>
          </cell>
          <cell r="I3216">
            <v>1510</v>
          </cell>
        </row>
        <row r="3217">
          <cell r="C3217" t="str">
            <v>저축은행</v>
          </cell>
          <cell r="E3217" t="str">
            <v>모름</v>
          </cell>
          <cell r="H3217">
            <v>28</v>
          </cell>
          <cell r="I3217">
            <v>0</v>
          </cell>
        </row>
        <row r="3218">
          <cell r="C3218" t="str">
            <v>저축은행</v>
          </cell>
          <cell r="E3218" t="str">
            <v>모름</v>
          </cell>
          <cell r="H3218">
            <v>46</v>
          </cell>
          <cell r="I3218">
            <v>0</v>
          </cell>
        </row>
        <row r="3219">
          <cell r="C3219" t="str">
            <v>저축은행</v>
          </cell>
          <cell r="E3219" t="str">
            <v>모름</v>
          </cell>
          <cell r="H3219">
            <v>46</v>
          </cell>
          <cell r="I3219">
            <v>0</v>
          </cell>
        </row>
        <row r="3220">
          <cell r="C3220" t="str">
            <v>저축은행</v>
          </cell>
          <cell r="E3220" t="str">
            <v>모름</v>
          </cell>
          <cell r="H3220">
            <v>1000</v>
          </cell>
          <cell r="I3220">
            <v>0</v>
          </cell>
        </row>
        <row r="3221">
          <cell r="C3221" t="str">
            <v>저축은행</v>
          </cell>
          <cell r="E3221" t="str">
            <v>모름</v>
          </cell>
          <cell r="H3221">
            <v>20</v>
          </cell>
          <cell r="I3221">
            <v>0</v>
          </cell>
        </row>
        <row r="3222">
          <cell r="C3222" t="str">
            <v>저축은행</v>
          </cell>
          <cell r="E3222" t="str">
            <v>모름</v>
          </cell>
          <cell r="H3222">
            <v>46</v>
          </cell>
          <cell r="I3222">
            <v>0</v>
          </cell>
        </row>
        <row r="3223">
          <cell r="C3223" t="str">
            <v>저축은행</v>
          </cell>
          <cell r="E3223" t="str">
            <v>모름</v>
          </cell>
          <cell r="H3223">
            <v>36</v>
          </cell>
          <cell r="I3223">
            <v>0</v>
          </cell>
        </row>
        <row r="3224">
          <cell r="C3224" t="str">
            <v>저축은행</v>
          </cell>
          <cell r="E3224" t="str">
            <v>모름</v>
          </cell>
          <cell r="H3224">
            <v>123</v>
          </cell>
          <cell r="I3224">
            <v>4200</v>
          </cell>
        </row>
        <row r="3225">
          <cell r="C3225" t="str">
            <v>저축은행</v>
          </cell>
          <cell r="E3225" t="str">
            <v>모름</v>
          </cell>
          <cell r="H3225">
            <v>61</v>
          </cell>
          <cell r="I3225">
            <v>7800</v>
          </cell>
        </row>
        <row r="3226">
          <cell r="C3226" t="str">
            <v>저축은행</v>
          </cell>
          <cell r="E3226" t="str">
            <v>모름</v>
          </cell>
          <cell r="H3226">
            <v>46</v>
          </cell>
          <cell r="I3226">
            <v>0</v>
          </cell>
        </row>
        <row r="3227">
          <cell r="C3227" t="str">
            <v>저축은행</v>
          </cell>
          <cell r="E3227" t="str">
            <v>모름</v>
          </cell>
          <cell r="H3227">
            <v>266</v>
          </cell>
          <cell r="I3227">
            <v>7500</v>
          </cell>
        </row>
        <row r="3228">
          <cell r="C3228" t="str">
            <v>저축은행</v>
          </cell>
          <cell r="E3228" t="str">
            <v>모름</v>
          </cell>
          <cell r="H3228">
            <v>172</v>
          </cell>
          <cell r="I3228">
            <v>5500</v>
          </cell>
        </row>
        <row r="3229">
          <cell r="C3229" t="str">
            <v>저축은행</v>
          </cell>
          <cell r="E3229" t="str">
            <v>모름</v>
          </cell>
          <cell r="H3229">
            <v>53</v>
          </cell>
          <cell r="I3229">
            <v>1447</v>
          </cell>
        </row>
        <row r="3230">
          <cell r="C3230" t="str">
            <v>저축은행</v>
          </cell>
          <cell r="E3230" t="str">
            <v>모름</v>
          </cell>
          <cell r="H3230">
            <v>44</v>
          </cell>
          <cell r="I3230">
            <v>0</v>
          </cell>
        </row>
        <row r="3231">
          <cell r="C3231" t="str">
            <v>저축은행</v>
          </cell>
          <cell r="E3231" t="str">
            <v>모름</v>
          </cell>
          <cell r="H3231">
            <v>44</v>
          </cell>
          <cell r="I3231">
            <v>0</v>
          </cell>
        </row>
        <row r="3232">
          <cell r="C3232" t="str">
            <v>저축은행</v>
          </cell>
          <cell r="E3232" t="str">
            <v>모름</v>
          </cell>
          <cell r="H3232">
            <v>1000</v>
          </cell>
          <cell r="I3232">
            <v>0</v>
          </cell>
        </row>
        <row r="3233">
          <cell r="C3233" t="str">
            <v>저축은행</v>
          </cell>
          <cell r="E3233" t="str">
            <v>모름</v>
          </cell>
          <cell r="H3233">
            <v>321</v>
          </cell>
          <cell r="I3233">
            <v>3924</v>
          </cell>
        </row>
        <row r="3234">
          <cell r="C3234" t="str">
            <v>저축은행</v>
          </cell>
          <cell r="E3234" t="str">
            <v>모름</v>
          </cell>
          <cell r="H3234">
            <v>98</v>
          </cell>
          <cell r="I3234">
            <v>0</v>
          </cell>
        </row>
        <row r="3235">
          <cell r="C3235" t="str">
            <v>저축은행</v>
          </cell>
          <cell r="E3235" t="str">
            <v>모름</v>
          </cell>
          <cell r="H3235">
            <v>46</v>
          </cell>
          <cell r="I3235">
            <v>0</v>
          </cell>
        </row>
        <row r="3236">
          <cell r="C3236" t="str">
            <v>저축은행</v>
          </cell>
          <cell r="E3236" t="str">
            <v>모름</v>
          </cell>
          <cell r="H3236">
            <v>46</v>
          </cell>
          <cell r="I3236">
            <v>0</v>
          </cell>
        </row>
        <row r="3237">
          <cell r="C3237" t="str">
            <v>저축은행</v>
          </cell>
          <cell r="E3237" t="str">
            <v>모름</v>
          </cell>
          <cell r="H3237">
            <v>54</v>
          </cell>
          <cell r="I3237">
            <v>6363</v>
          </cell>
        </row>
        <row r="3238">
          <cell r="C3238" t="str">
            <v>저축은행</v>
          </cell>
          <cell r="E3238" t="str">
            <v>모름</v>
          </cell>
          <cell r="H3238">
            <v>60</v>
          </cell>
          <cell r="I3238">
            <v>6000</v>
          </cell>
        </row>
        <row r="3239">
          <cell r="C3239" t="str">
            <v>저축은행</v>
          </cell>
          <cell r="E3239" t="str">
            <v>모름</v>
          </cell>
          <cell r="H3239">
            <v>21</v>
          </cell>
          <cell r="I3239">
            <v>0</v>
          </cell>
        </row>
        <row r="3240">
          <cell r="C3240" t="str">
            <v>저축은행</v>
          </cell>
          <cell r="E3240" t="str">
            <v>모름</v>
          </cell>
          <cell r="H3240">
            <v>21</v>
          </cell>
          <cell r="I3240">
            <v>910</v>
          </cell>
        </row>
        <row r="3241">
          <cell r="C3241" t="str">
            <v>저축은행</v>
          </cell>
          <cell r="E3241" t="str">
            <v>모름</v>
          </cell>
          <cell r="H3241">
            <v>61</v>
          </cell>
          <cell r="I3241">
            <v>6000</v>
          </cell>
        </row>
        <row r="3242">
          <cell r="C3242" t="str">
            <v>저축은행</v>
          </cell>
          <cell r="E3242" t="str">
            <v>모름</v>
          </cell>
          <cell r="H3242">
            <v>54</v>
          </cell>
          <cell r="I3242">
            <v>5800</v>
          </cell>
        </row>
        <row r="3243">
          <cell r="C3243" t="str">
            <v>저축은행</v>
          </cell>
          <cell r="E3243" t="str">
            <v>모름</v>
          </cell>
          <cell r="H3243">
            <v>61</v>
          </cell>
          <cell r="I3243">
            <v>3500</v>
          </cell>
        </row>
        <row r="3244">
          <cell r="C3244" t="str">
            <v>저축은행</v>
          </cell>
          <cell r="E3244" t="str">
            <v>모름</v>
          </cell>
          <cell r="H3244">
            <v>23</v>
          </cell>
          <cell r="I3244">
            <v>0</v>
          </cell>
        </row>
        <row r="3245">
          <cell r="C3245" t="str">
            <v>저축은행</v>
          </cell>
          <cell r="E3245" t="str">
            <v>모름</v>
          </cell>
          <cell r="H3245">
            <v>3</v>
          </cell>
          <cell r="I3245">
            <v>0</v>
          </cell>
        </row>
        <row r="3246">
          <cell r="C3246" t="str">
            <v>저축은행</v>
          </cell>
          <cell r="E3246" t="str">
            <v>모름</v>
          </cell>
          <cell r="H3246">
            <v>86</v>
          </cell>
          <cell r="I3246">
            <v>6763</v>
          </cell>
        </row>
        <row r="3247">
          <cell r="C3247" t="str">
            <v>저축은행</v>
          </cell>
          <cell r="E3247" t="str">
            <v>모름</v>
          </cell>
          <cell r="H3247">
            <v>50</v>
          </cell>
          <cell r="I3247">
            <v>5000</v>
          </cell>
        </row>
        <row r="3248">
          <cell r="C3248" t="str">
            <v>저축은행</v>
          </cell>
          <cell r="E3248" t="str">
            <v>모름</v>
          </cell>
          <cell r="H3248">
            <v>61</v>
          </cell>
          <cell r="I3248">
            <v>11000</v>
          </cell>
        </row>
        <row r="3249">
          <cell r="C3249" t="str">
            <v>저축은행</v>
          </cell>
          <cell r="E3249" t="str">
            <v>모름</v>
          </cell>
          <cell r="H3249">
            <v>111</v>
          </cell>
          <cell r="I3249">
            <v>0</v>
          </cell>
        </row>
        <row r="3250">
          <cell r="C3250" t="str">
            <v>저축은행</v>
          </cell>
          <cell r="E3250" t="str">
            <v>모름</v>
          </cell>
          <cell r="H3250">
            <v>111</v>
          </cell>
          <cell r="I3250">
            <v>0</v>
          </cell>
        </row>
        <row r="3251">
          <cell r="C3251" t="str">
            <v>저축은행</v>
          </cell>
          <cell r="E3251" t="str">
            <v>모름</v>
          </cell>
          <cell r="H3251">
            <v>111</v>
          </cell>
          <cell r="I3251">
            <v>0</v>
          </cell>
        </row>
        <row r="3252">
          <cell r="C3252" t="str">
            <v>저축은행</v>
          </cell>
          <cell r="E3252" t="str">
            <v>모름</v>
          </cell>
          <cell r="H3252">
            <v>326</v>
          </cell>
          <cell r="I3252">
            <v>0</v>
          </cell>
        </row>
        <row r="3253">
          <cell r="C3253" t="str">
            <v>저축은행</v>
          </cell>
          <cell r="E3253" t="str">
            <v>모름</v>
          </cell>
          <cell r="H3253">
            <v>144</v>
          </cell>
          <cell r="I3253">
            <v>2145</v>
          </cell>
        </row>
        <row r="3254">
          <cell r="C3254" t="str">
            <v>저축은행</v>
          </cell>
          <cell r="E3254" t="str">
            <v>모름</v>
          </cell>
          <cell r="H3254">
            <v>46</v>
          </cell>
          <cell r="I3254">
            <v>0</v>
          </cell>
        </row>
        <row r="3255">
          <cell r="C3255" t="str">
            <v>저축은행</v>
          </cell>
          <cell r="E3255" t="str">
            <v>모름</v>
          </cell>
          <cell r="H3255">
            <v>67</v>
          </cell>
          <cell r="I3255">
            <v>0</v>
          </cell>
        </row>
        <row r="3256">
          <cell r="C3256" t="str">
            <v>저축은행</v>
          </cell>
          <cell r="E3256" t="str">
            <v>모름</v>
          </cell>
          <cell r="H3256">
            <v>67</v>
          </cell>
          <cell r="I3256">
            <v>0</v>
          </cell>
        </row>
        <row r="3257">
          <cell r="C3257" t="str">
            <v>저축은행</v>
          </cell>
          <cell r="E3257" t="str">
            <v>모름</v>
          </cell>
          <cell r="H3257">
            <v>133</v>
          </cell>
          <cell r="I3257">
            <v>5000</v>
          </cell>
        </row>
        <row r="3258">
          <cell r="C3258" t="str">
            <v>저축은행</v>
          </cell>
          <cell r="E3258" t="str">
            <v>모름</v>
          </cell>
          <cell r="H3258">
            <v>6</v>
          </cell>
          <cell r="I3258">
            <v>0</v>
          </cell>
        </row>
        <row r="3259">
          <cell r="C3259" t="str">
            <v>저축은행</v>
          </cell>
          <cell r="E3259" t="str">
            <v>모름</v>
          </cell>
          <cell r="H3259">
            <v>1000</v>
          </cell>
          <cell r="I3259">
            <v>1081.5</v>
          </cell>
        </row>
        <row r="3260">
          <cell r="C3260" t="str">
            <v>저축은행</v>
          </cell>
          <cell r="E3260" t="str">
            <v>모름</v>
          </cell>
          <cell r="H3260">
            <v>60</v>
          </cell>
          <cell r="I3260">
            <v>4000</v>
          </cell>
        </row>
        <row r="3261">
          <cell r="C3261" t="str">
            <v>저축은행</v>
          </cell>
          <cell r="E3261" t="str">
            <v>모름</v>
          </cell>
          <cell r="H3261">
            <v>1000</v>
          </cell>
          <cell r="I3261">
            <v>0</v>
          </cell>
        </row>
        <row r="3262">
          <cell r="C3262" t="str">
            <v>저축은행</v>
          </cell>
          <cell r="E3262" t="str">
            <v>모름</v>
          </cell>
          <cell r="H3262">
            <v>83</v>
          </cell>
          <cell r="I3262">
            <v>2605</v>
          </cell>
        </row>
        <row r="3263">
          <cell r="C3263" t="str">
            <v>저축은행</v>
          </cell>
          <cell r="E3263" t="str">
            <v>모름</v>
          </cell>
          <cell r="H3263">
            <v>1000</v>
          </cell>
          <cell r="I3263">
            <v>0</v>
          </cell>
        </row>
        <row r="3264">
          <cell r="C3264" t="str">
            <v>저축은행</v>
          </cell>
          <cell r="E3264" t="str">
            <v>모름</v>
          </cell>
          <cell r="H3264">
            <v>309</v>
          </cell>
          <cell r="I3264">
            <v>2500</v>
          </cell>
        </row>
        <row r="3265">
          <cell r="C3265" t="str">
            <v>저축은행</v>
          </cell>
          <cell r="E3265" t="str">
            <v>모름</v>
          </cell>
          <cell r="H3265">
            <v>51</v>
          </cell>
          <cell r="I3265">
            <v>0</v>
          </cell>
        </row>
        <row r="3266">
          <cell r="C3266" t="str">
            <v>저축은행</v>
          </cell>
          <cell r="E3266" t="str">
            <v>모름</v>
          </cell>
          <cell r="H3266">
            <v>12</v>
          </cell>
          <cell r="I3266">
            <v>0</v>
          </cell>
        </row>
        <row r="3267">
          <cell r="C3267" t="str">
            <v>저축은행</v>
          </cell>
          <cell r="E3267" t="str">
            <v>모름</v>
          </cell>
          <cell r="H3267">
            <v>23</v>
          </cell>
          <cell r="I3267">
            <v>0</v>
          </cell>
        </row>
        <row r="3268">
          <cell r="C3268" t="str">
            <v>저축은행</v>
          </cell>
          <cell r="E3268" t="str">
            <v>모름</v>
          </cell>
          <cell r="H3268">
            <v>309</v>
          </cell>
          <cell r="I3268">
            <v>4000</v>
          </cell>
        </row>
        <row r="3269">
          <cell r="C3269" t="str">
            <v>저축은행</v>
          </cell>
          <cell r="E3269" t="str">
            <v>모름</v>
          </cell>
          <cell r="H3269">
            <v>152</v>
          </cell>
          <cell r="I3269">
            <v>0</v>
          </cell>
        </row>
        <row r="3270">
          <cell r="C3270" t="str">
            <v>저축은행</v>
          </cell>
          <cell r="E3270" t="str">
            <v>모름</v>
          </cell>
          <cell r="H3270">
            <v>50</v>
          </cell>
          <cell r="I3270">
            <v>0</v>
          </cell>
        </row>
        <row r="3271">
          <cell r="C3271" t="str">
            <v>저축은행</v>
          </cell>
          <cell r="E3271" t="str">
            <v>모름</v>
          </cell>
          <cell r="H3271">
            <v>169</v>
          </cell>
          <cell r="I3271">
            <v>5000</v>
          </cell>
        </row>
        <row r="3272">
          <cell r="C3272" t="str">
            <v>저축은행</v>
          </cell>
          <cell r="E3272" t="str">
            <v>모름</v>
          </cell>
          <cell r="H3272">
            <v>2</v>
          </cell>
          <cell r="I3272">
            <v>0</v>
          </cell>
        </row>
        <row r="3273">
          <cell r="C3273" t="str">
            <v>저축은행</v>
          </cell>
          <cell r="E3273" t="str">
            <v>모름</v>
          </cell>
          <cell r="H3273">
            <v>94</v>
          </cell>
          <cell r="I3273">
            <v>2500</v>
          </cell>
        </row>
        <row r="3274">
          <cell r="C3274" t="str">
            <v>저축은행</v>
          </cell>
          <cell r="E3274" t="str">
            <v>모름</v>
          </cell>
          <cell r="H3274">
            <v>1000</v>
          </cell>
          <cell r="I3274">
            <v>0</v>
          </cell>
        </row>
        <row r="3275">
          <cell r="C3275" t="str">
            <v>저축은행</v>
          </cell>
          <cell r="E3275" t="str">
            <v>모름</v>
          </cell>
          <cell r="H3275">
            <v>123</v>
          </cell>
          <cell r="I3275">
            <v>1790</v>
          </cell>
        </row>
        <row r="3276">
          <cell r="C3276" t="str">
            <v>저축은행</v>
          </cell>
          <cell r="E3276" t="str">
            <v>모름</v>
          </cell>
          <cell r="H3276">
            <v>9</v>
          </cell>
          <cell r="I3276">
            <v>0</v>
          </cell>
        </row>
        <row r="3277">
          <cell r="C3277" t="str">
            <v>저축은행</v>
          </cell>
          <cell r="E3277" t="str">
            <v>모름</v>
          </cell>
          <cell r="H3277">
            <v>61</v>
          </cell>
          <cell r="I3277">
            <v>0</v>
          </cell>
        </row>
        <row r="3278">
          <cell r="C3278" t="str">
            <v>저축은행</v>
          </cell>
          <cell r="E3278" t="str">
            <v>모름</v>
          </cell>
          <cell r="H3278">
            <v>61</v>
          </cell>
          <cell r="I3278">
            <v>0</v>
          </cell>
        </row>
        <row r="3279">
          <cell r="C3279" t="str">
            <v>저축은행</v>
          </cell>
          <cell r="E3279" t="str">
            <v>모름</v>
          </cell>
          <cell r="H3279">
            <v>61</v>
          </cell>
          <cell r="I3279">
            <v>0</v>
          </cell>
        </row>
        <row r="3280">
          <cell r="C3280" t="str">
            <v>저축은행</v>
          </cell>
          <cell r="E3280" t="str">
            <v>모름</v>
          </cell>
          <cell r="H3280">
            <v>6</v>
          </cell>
          <cell r="I3280">
            <v>0</v>
          </cell>
        </row>
        <row r="3281">
          <cell r="C3281" t="str">
            <v>저축은행</v>
          </cell>
          <cell r="E3281" t="str">
            <v>모름</v>
          </cell>
          <cell r="H3281">
            <v>83</v>
          </cell>
          <cell r="I3281">
            <v>0</v>
          </cell>
        </row>
        <row r="3282">
          <cell r="C3282" t="str">
            <v>저축은행</v>
          </cell>
          <cell r="E3282" t="str">
            <v>모름</v>
          </cell>
          <cell r="H3282">
            <v>61</v>
          </cell>
          <cell r="I3282">
            <v>0</v>
          </cell>
        </row>
        <row r="3283">
          <cell r="C3283" t="str">
            <v>저축은행</v>
          </cell>
          <cell r="E3283" t="str">
            <v>모름</v>
          </cell>
          <cell r="H3283">
            <v>1000</v>
          </cell>
          <cell r="I3283">
            <v>3500</v>
          </cell>
        </row>
        <row r="3284">
          <cell r="C3284" t="str">
            <v>저축은행</v>
          </cell>
          <cell r="E3284" t="str">
            <v>모름</v>
          </cell>
          <cell r="H3284">
            <v>141</v>
          </cell>
          <cell r="I3284">
            <v>2500</v>
          </cell>
        </row>
        <row r="3285">
          <cell r="C3285" t="str">
            <v>저축은행</v>
          </cell>
          <cell r="E3285" t="str">
            <v>모름</v>
          </cell>
          <cell r="H3285">
            <v>61</v>
          </cell>
          <cell r="I3285">
            <v>0</v>
          </cell>
        </row>
        <row r="3286">
          <cell r="C3286" t="str">
            <v>저축은행</v>
          </cell>
          <cell r="E3286" t="str">
            <v>모름</v>
          </cell>
          <cell r="H3286">
            <v>61</v>
          </cell>
          <cell r="I3286">
            <v>0</v>
          </cell>
        </row>
        <row r="3287">
          <cell r="C3287" t="str">
            <v>저축은행</v>
          </cell>
          <cell r="E3287" t="str">
            <v>모름</v>
          </cell>
          <cell r="H3287">
            <v>61</v>
          </cell>
          <cell r="I3287">
            <v>0</v>
          </cell>
        </row>
        <row r="3288">
          <cell r="C3288" t="str">
            <v>저축은행</v>
          </cell>
          <cell r="E3288" t="str">
            <v>모름</v>
          </cell>
          <cell r="H3288">
            <v>61</v>
          </cell>
          <cell r="I3288">
            <v>0</v>
          </cell>
        </row>
        <row r="3289">
          <cell r="C3289" t="str">
            <v>저축은행</v>
          </cell>
          <cell r="E3289" t="str">
            <v>모름</v>
          </cell>
          <cell r="H3289">
            <v>61</v>
          </cell>
          <cell r="I3289">
            <v>0</v>
          </cell>
        </row>
        <row r="3290">
          <cell r="C3290" t="str">
            <v>저축은행</v>
          </cell>
          <cell r="E3290" t="str">
            <v>모름</v>
          </cell>
          <cell r="H3290">
            <v>61</v>
          </cell>
          <cell r="I3290">
            <v>0</v>
          </cell>
        </row>
        <row r="3291">
          <cell r="C3291" t="str">
            <v>저축은행</v>
          </cell>
          <cell r="E3291" t="str">
            <v>모름</v>
          </cell>
          <cell r="H3291">
            <v>141</v>
          </cell>
          <cell r="I3291">
            <v>2800</v>
          </cell>
        </row>
        <row r="3292">
          <cell r="C3292" t="str">
            <v>저축은행</v>
          </cell>
          <cell r="E3292" t="str">
            <v>모름</v>
          </cell>
          <cell r="H3292">
            <v>141</v>
          </cell>
          <cell r="I3292">
            <v>3500</v>
          </cell>
        </row>
        <row r="3293">
          <cell r="C3293" t="str">
            <v>저축은행</v>
          </cell>
          <cell r="E3293" t="str">
            <v>모름</v>
          </cell>
          <cell r="H3293">
            <v>61</v>
          </cell>
          <cell r="I3293">
            <v>0</v>
          </cell>
        </row>
        <row r="3294">
          <cell r="C3294" t="str">
            <v>저축은행</v>
          </cell>
          <cell r="E3294" t="str">
            <v>모름</v>
          </cell>
          <cell r="H3294">
            <v>61</v>
          </cell>
          <cell r="I3294">
            <v>0</v>
          </cell>
        </row>
        <row r="3295">
          <cell r="C3295" t="str">
            <v>저축은행</v>
          </cell>
          <cell r="E3295" t="str">
            <v>모름</v>
          </cell>
          <cell r="H3295">
            <v>61</v>
          </cell>
          <cell r="I3295">
            <v>0</v>
          </cell>
        </row>
        <row r="3296">
          <cell r="C3296" t="str">
            <v>저축은행</v>
          </cell>
          <cell r="E3296" t="str">
            <v>모름</v>
          </cell>
          <cell r="H3296">
            <v>371</v>
          </cell>
          <cell r="I3296">
            <v>3000</v>
          </cell>
        </row>
        <row r="3297">
          <cell r="C3297" t="str">
            <v>저축은행</v>
          </cell>
          <cell r="E3297" t="str">
            <v>모름</v>
          </cell>
          <cell r="H3297">
            <v>1000</v>
          </cell>
          <cell r="I3297">
            <v>2000</v>
          </cell>
        </row>
        <row r="3298">
          <cell r="C3298" t="str">
            <v>저축은행</v>
          </cell>
          <cell r="E3298" t="str">
            <v>모름</v>
          </cell>
          <cell r="H3298">
            <v>61</v>
          </cell>
          <cell r="I3298">
            <v>0</v>
          </cell>
        </row>
        <row r="3299">
          <cell r="C3299" t="str">
            <v>저축은행</v>
          </cell>
          <cell r="E3299" t="str">
            <v>모름</v>
          </cell>
          <cell r="H3299">
            <v>1</v>
          </cell>
          <cell r="I3299">
            <v>22820</v>
          </cell>
        </row>
        <row r="3300">
          <cell r="C3300" t="str">
            <v>저축은행</v>
          </cell>
          <cell r="E3300" t="str">
            <v>모름</v>
          </cell>
          <cell r="H3300">
            <v>13</v>
          </cell>
          <cell r="I3300">
            <v>26700</v>
          </cell>
        </row>
        <row r="3301">
          <cell r="C3301" t="str">
            <v>저축은행</v>
          </cell>
          <cell r="E3301" t="str">
            <v>모름</v>
          </cell>
          <cell r="H3301">
            <v>13</v>
          </cell>
          <cell r="I3301">
            <v>23677</v>
          </cell>
        </row>
        <row r="3302">
          <cell r="C3302" t="str">
            <v>저축은행</v>
          </cell>
          <cell r="E3302" t="str">
            <v>모름</v>
          </cell>
          <cell r="H3302">
            <v>13</v>
          </cell>
          <cell r="I3302">
            <v>8461</v>
          </cell>
        </row>
        <row r="3303">
          <cell r="C3303" t="str">
            <v>저축은행</v>
          </cell>
          <cell r="E3303" t="str">
            <v>모름</v>
          </cell>
          <cell r="H3303">
            <v>13</v>
          </cell>
          <cell r="I3303">
            <v>12840</v>
          </cell>
        </row>
        <row r="3304">
          <cell r="C3304" t="str">
            <v>저축은행</v>
          </cell>
          <cell r="E3304" t="str">
            <v>모름</v>
          </cell>
          <cell r="H3304">
            <v>13</v>
          </cell>
          <cell r="I3304">
            <v>7819</v>
          </cell>
        </row>
        <row r="3305">
          <cell r="C3305" t="str">
            <v>저축은행</v>
          </cell>
          <cell r="E3305" t="str">
            <v>모름</v>
          </cell>
          <cell r="H3305">
            <v>13</v>
          </cell>
          <cell r="I3305">
            <v>2488</v>
          </cell>
        </row>
        <row r="3306">
          <cell r="C3306" t="str">
            <v>저축은행</v>
          </cell>
          <cell r="E3306" t="str">
            <v>모름</v>
          </cell>
          <cell r="H3306">
            <v>33</v>
          </cell>
          <cell r="I3306">
            <v>24835</v>
          </cell>
        </row>
        <row r="3307">
          <cell r="C3307" t="str">
            <v>저축은행</v>
          </cell>
          <cell r="E3307" t="str">
            <v>모름</v>
          </cell>
          <cell r="H3307">
            <v>33</v>
          </cell>
          <cell r="I3307">
            <v>2427</v>
          </cell>
        </row>
        <row r="3308">
          <cell r="C3308" t="str">
            <v>저축은행</v>
          </cell>
          <cell r="E3308" t="str">
            <v>모름</v>
          </cell>
          <cell r="H3308">
            <v>37</v>
          </cell>
          <cell r="I3308">
            <v>8436</v>
          </cell>
        </row>
        <row r="3309">
          <cell r="C3309" t="str">
            <v>저축은행</v>
          </cell>
          <cell r="E3309" t="str">
            <v>모름</v>
          </cell>
          <cell r="H3309">
            <v>40</v>
          </cell>
          <cell r="I3309">
            <v>2794</v>
          </cell>
        </row>
        <row r="3310">
          <cell r="C3310" t="str">
            <v>저축은행</v>
          </cell>
          <cell r="E3310" t="str">
            <v>모름</v>
          </cell>
          <cell r="H3310">
            <v>40</v>
          </cell>
          <cell r="I3310">
            <v>23386</v>
          </cell>
        </row>
        <row r="3311">
          <cell r="C3311" t="str">
            <v>저축은행</v>
          </cell>
          <cell r="E3311" t="str">
            <v>모름</v>
          </cell>
          <cell r="H3311">
            <v>40</v>
          </cell>
          <cell r="I3311">
            <v>21843</v>
          </cell>
        </row>
        <row r="3312">
          <cell r="C3312" t="str">
            <v>저축은행</v>
          </cell>
          <cell r="E3312" t="str">
            <v>모름</v>
          </cell>
          <cell r="H3312">
            <v>41</v>
          </cell>
          <cell r="I3312">
            <v>31964</v>
          </cell>
        </row>
        <row r="3313">
          <cell r="C3313" t="str">
            <v>저축은행</v>
          </cell>
          <cell r="E3313" t="str">
            <v>모름</v>
          </cell>
          <cell r="H3313">
            <v>41</v>
          </cell>
          <cell r="I3313">
            <v>15658</v>
          </cell>
        </row>
        <row r="3314">
          <cell r="C3314" t="str">
            <v>저축은행</v>
          </cell>
          <cell r="E3314" t="str">
            <v>모름</v>
          </cell>
          <cell r="H3314">
            <v>41</v>
          </cell>
          <cell r="I3314">
            <v>20733</v>
          </cell>
        </row>
        <row r="3315">
          <cell r="C3315" t="str">
            <v>저축은행</v>
          </cell>
          <cell r="E3315" t="str">
            <v>모름</v>
          </cell>
          <cell r="H3315">
            <v>41</v>
          </cell>
          <cell r="I3315">
            <v>26300</v>
          </cell>
        </row>
        <row r="3316">
          <cell r="C3316" t="str">
            <v>저축은행</v>
          </cell>
          <cell r="E3316" t="str">
            <v>모름</v>
          </cell>
          <cell r="H3316">
            <v>41</v>
          </cell>
          <cell r="I3316">
            <v>16425</v>
          </cell>
        </row>
        <row r="3317">
          <cell r="C3317" t="str">
            <v>저축은행</v>
          </cell>
          <cell r="E3317" t="str">
            <v>모름</v>
          </cell>
          <cell r="H3317">
            <v>41</v>
          </cell>
          <cell r="I3317">
            <v>11355</v>
          </cell>
        </row>
        <row r="3318">
          <cell r="C3318" t="str">
            <v>저축은행</v>
          </cell>
          <cell r="E3318" t="str">
            <v>모름</v>
          </cell>
          <cell r="H3318">
            <v>41</v>
          </cell>
          <cell r="I3318">
            <v>12230</v>
          </cell>
        </row>
        <row r="3319">
          <cell r="C3319" t="str">
            <v>저축은행</v>
          </cell>
          <cell r="E3319" t="str">
            <v>모름</v>
          </cell>
          <cell r="H3319">
            <v>41</v>
          </cell>
          <cell r="I3319">
            <v>11022</v>
          </cell>
        </row>
        <row r="3320">
          <cell r="C3320" t="str">
            <v>저축은행</v>
          </cell>
          <cell r="E3320" t="str">
            <v>모름</v>
          </cell>
          <cell r="H3320">
            <v>41</v>
          </cell>
          <cell r="I3320">
            <v>15654</v>
          </cell>
        </row>
        <row r="3321">
          <cell r="C3321" t="str">
            <v>저축은행</v>
          </cell>
          <cell r="E3321" t="str">
            <v>모름</v>
          </cell>
          <cell r="H3321">
            <v>41</v>
          </cell>
          <cell r="I3321">
            <v>12358</v>
          </cell>
        </row>
        <row r="3322">
          <cell r="C3322" t="str">
            <v>저축은행</v>
          </cell>
          <cell r="E3322" t="str">
            <v>모름</v>
          </cell>
          <cell r="H3322">
            <v>41</v>
          </cell>
          <cell r="I3322">
            <v>7000</v>
          </cell>
        </row>
        <row r="3323">
          <cell r="C3323" t="str">
            <v>저축은행</v>
          </cell>
          <cell r="E3323" t="str">
            <v>모름</v>
          </cell>
          <cell r="H3323">
            <v>41</v>
          </cell>
          <cell r="I3323">
            <v>22390</v>
          </cell>
        </row>
        <row r="3324">
          <cell r="C3324" t="str">
            <v>저축은행</v>
          </cell>
          <cell r="E3324" t="str">
            <v>모름</v>
          </cell>
          <cell r="H3324">
            <v>41</v>
          </cell>
          <cell r="I3324">
            <v>21277</v>
          </cell>
        </row>
        <row r="3325">
          <cell r="C3325" t="str">
            <v>저축은행</v>
          </cell>
          <cell r="E3325" t="str">
            <v>모름</v>
          </cell>
          <cell r="H3325">
            <v>41</v>
          </cell>
          <cell r="I3325">
            <v>18786</v>
          </cell>
        </row>
        <row r="3326">
          <cell r="C3326" t="str">
            <v>저축은행</v>
          </cell>
          <cell r="E3326" t="str">
            <v>모름</v>
          </cell>
          <cell r="H3326">
            <v>41</v>
          </cell>
          <cell r="I3326">
            <v>6820</v>
          </cell>
        </row>
        <row r="3327">
          <cell r="C3327" t="str">
            <v>저축은행</v>
          </cell>
          <cell r="E3327" t="str">
            <v>모름</v>
          </cell>
          <cell r="H3327">
            <v>41</v>
          </cell>
          <cell r="I3327">
            <v>5000</v>
          </cell>
        </row>
        <row r="3328">
          <cell r="C3328" t="str">
            <v>저축은행</v>
          </cell>
          <cell r="E3328" t="str">
            <v>모름</v>
          </cell>
          <cell r="H3328">
            <v>62</v>
          </cell>
          <cell r="I3328">
            <v>2750</v>
          </cell>
        </row>
        <row r="3329">
          <cell r="C3329" t="str">
            <v>저축은행</v>
          </cell>
          <cell r="E3329" t="str">
            <v>모름</v>
          </cell>
          <cell r="H3329">
            <v>62</v>
          </cell>
          <cell r="I3329">
            <v>12538</v>
          </cell>
        </row>
        <row r="3330">
          <cell r="C3330" t="str">
            <v>저축은행</v>
          </cell>
          <cell r="E3330" t="str">
            <v>모름</v>
          </cell>
          <cell r="H3330">
            <v>62</v>
          </cell>
          <cell r="I3330">
            <v>22737</v>
          </cell>
        </row>
        <row r="3331">
          <cell r="C3331" t="str">
            <v>저축은행</v>
          </cell>
          <cell r="E3331" t="str">
            <v>모름</v>
          </cell>
          <cell r="H3331">
            <v>62</v>
          </cell>
          <cell r="I3331">
            <v>21810</v>
          </cell>
        </row>
        <row r="3332">
          <cell r="C3332" t="str">
            <v>저축은행</v>
          </cell>
          <cell r="E3332" t="str">
            <v>모름</v>
          </cell>
          <cell r="H3332">
            <v>62</v>
          </cell>
          <cell r="I3332">
            <v>15460</v>
          </cell>
        </row>
        <row r="3333">
          <cell r="C3333" t="str">
            <v>저축은행</v>
          </cell>
          <cell r="E3333" t="str">
            <v>모름</v>
          </cell>
          <cell r="H3333">
            <v>87</v>
          </cell>
          <cell r="I3333">
            <v>3040</v>
          </cell>
        </row>
        <row r="3334">
          <cell r="C3334" t="str">
            <v>저축은행</v>
          </cell>
          <cell r="E3334" t="str">
            <v>모름</v>
          </cell>
          <cell r="H3334">
            <v>87</v>
          </cell>
          <cell r="I3334">
            <v>3202</v>
          </cell>
        </row>
        <row r="3335">
          <cell r="C3335" t="str">
            <v>저축은행</v>
          </cell>
          <cell r="E3335" t="str">
            <v>모름</v>
          </cell>
          <cell r="H3335">
            <v>87</v>
          </cell>
          <cell r="I3335">
            <v>2902</v>
          </cell>
        </row>
        <row r="3336">
          <cell r="C3336" t="str">
            <v>저축은행</v>
          </cell>
          <cell r="E3336" t="str">
            <v>모름</v>
          </cell>
          <cell r="H3336">
            <v>1000</v>
          </cell>
          <cell r="I3336">
            <v>15350</v>
          </cell>
        </row>
        <row r="3337">
          <cell r="C3337" t="str">
            <v>저축은행</v>
          </cell>
          <cell r="E3337" t="str">
            <v>모름</v>
          </cell>
          <cell r="H3337">
            <v>1000</v>
          </cell>
          <cell r="I3337">
            <v>11930</v>
          </cell>
        </row>
        <row r="3338">
          <cell r="C3338" t="str">
            <v>저축은행</v>
          </cell>
          <cell r="E3338" t="str">
            <v>모름</v>
          </cell>
          <cell r="H3338">
            <v>1000</v>
          </cell>
          <cell r="I3338">
            <v>4140</v>
          </cell>
        </row>
        <row r="3339">
          <cell r="C3339" t="str">
            <v>저축은행</v>
          </cell>
          <cell r="E3339" t="str">
            <v>모름</v>
          </cell>
          <cell r="H3339">
            <v>1000</v>
          </cell>
          <cell r="I3339">
            <v>6304</v>
          </cell>
        </row>
        <row r="3340">
          <cell r="C3340" t="str">
            <v>저축은행</v>
          </cell>
          <cell r="E3340" t="str">
            <v>모름</v>
          </cell>
          <cell r="H3340">
            <v>1000</v>
          </cell>
          <cell r="I3340">
            <v>4118</v>
          </cell>
        </row>
        <row r="3341">
          <cell r="C3341" t="str">
            <v>저축은행</v>
          </cell>
          <cell r="E3341" t="str">
            <v>모름</v>
          </cell>
          <cell r="H3341">
            <v>159</v>
          </cell>
          <cell r="I3341">
            <v>18182</v>
          </cell>
        </row>
        <row r="3342">
          <cell r="C3342" t="str">
            <v>저축은행</v>
          </cell>
          <cell r="E3342" t="str">
            <v>모름</v>
          </cell>
          <cell r="H3342">
            <v>1000</v>
          </cell>
          <cell r="I3342">
            <v>4511</v>
          </cell>
        </row>
        <row r="3343">
          <cell r="C3343" t="str">
            <v>저축은행</v>
          </cell>
          <cell r="E3343" t="str">
            <v>모름</v>
          </cell>
          <cell r="H3343">
            <v>18</v>
          </cell>
          <cell r="I3343">
            <v>0</v>
          </cell>
        </row>
        <row r="3344">
          <cell r="C3344" t="str">
            <v>저축은행</v>
          </cell>
          <cell r="E3344" t="str">
            <v>모름</v>
          </cell>
          <cell r="H3344">
            <v>46</v>
          </cell>
          <cell r="I3344">
            <v>0</v>
          </cell>
        </row>
        <row r="3345">
          <cell r="C3345" t="str">
            <v>저축은행</v>
          </cell>
          <cell r="E3345" t="str">
            <v>모름</v>
          </cell>
          <cell r="H3345">
            <v>87</v>
          </cell>
          <cell r="I3345">
            <v>0</v>
          </cell>
        </row>
        <row r="3346">
          <cell r="C3346" t="str">
            <v>저축은행</v>
          </cell>
          <cell r="E3346" t="str">
            <v>모름</v>
          </cell>
          <cell r="H3346">
            <v>1000</v>
          </cell>
          <cell r="I3346">
            <v>0</v>
          </cell>
        </row>
        <row r="3347">
          <cell r="C3347" t="str">
            <v>저축은행</v>
          </cell>
          <cell r="E3347" t="str">
            <v>모름</v>
          </cell>
          <cell r="H3347">
            <v>1000</v>
          </cell>
          <cell r="I3347">
            <v>0</v>
          </cell>
        </row>
        <row r="3348">
          <cell r="C3348" t="str">
            <v>저축은행</v>
          </cell>
          <cell r="E3348" t="str">
            <v>모름</v>
          </cell>
          <cell r="H3348">
            <v>144</v>
          </cell>
          <cell r="I3348">
            <v>2900</v>
          </cell>
        </row>
        <row r="3349">
          <cell r="C3349" t="str">
            <v>저축은행</v>
          </cell>
          <cell r="E3349" t="str">
            <v>모름</v>
          </cell>
          <cell r="H3349">
            <v>3</v>
          </cell>
          <cell r="I3349">
            <v>0</v>
          </cell>
        </row>
        <row r="3350">
          <cell r="C3350" t="str">
            <v>저축은행</v>
          </cell>
          <cell r="E3350" t="str">
            <v>모름</v>
          </cell>
          <cell r="H3350">
            <v>3</v>
          </cell>
          <cell r="I3350">
            <v>0</v>
          </cell>
        </row>
        <row r="3351">
          <cell r="C3351" t="str">
            <v>저축은행</v>
          </cell>
          <cell r="E3351" t="str">
            <v>모름</v>
          </cell>
          <cell r="H3351">
            <v>221</v>
          </cell>
          <cell r="I3351">
            <v>3500</v>
          </cell>
        </row>
        <row r="3352">
          <cell r="C3352" t="str">
            <v>저축은행</v>
          </cell>
          <cell r="E3352" t="str">
            <v>모름</v>
          </cell>
          <cell r="H3352">
            <v>335</v>
          </cell>
          <cell r="I3352">
            <v>8000</v>
          </cell>
        </row>
        <row r="3353">
          <cell r="C3353" t="str">
            <v>저축은행</v>
          </cell>
          <cell r="E3353" t="str">
            <v>모름</v>
          </cell>
          <cell r="H3353">
            <v>1000</v>
          </cell>
          <cell r="I3353">
            <v>3700</v>
          </cell>
        </row>
        <row r="3354">
          <cell r="C3354" t="str">
            <v>저축은행</v>
          </cell>
          <cell r="E3354" t="str">
            <v>모름</v>
          </cell>
          <cell r="H3354">
            <v>84</v>
          </cell>
          <cell r="I3354">
            <v>0</v>
          </cell>
        </row>
        <row r="3355">
          <cell r="C3355" t="str">
            <v>저축은행</v>
          </cell>
          <cell r="E3355" t="str">
            <v>모름</v>
          </cell>
          <cell r="H3355">
            <v>1000</v>
          </cell>
          <cell r="I3355">
            <v>0</v>
          </cell>
        </row>
        <row r="3356">
          <cell r="C3356" t="str">
            <v>저축은행</v>
          </cell>
          <cell r="E3356" t="str">
            <v>모름</v>
          </cell>
          <cell r="H3356">
            <v>4</v>
          </cell>
          <cell r="I3356">
            <v>0</v>
          </cell>
        </row>
        <row r="3357">
          <cell r="C3357" t="str">
            <v>저축은행</v>
          </cell>
          <cell r="E3357" t="str">
            <v>모름</v>
          </cell>
          <cell r="H3357">
            <v>78</v>
          </cell>
          <cell r="I3357">
            <v>0</v>
          </cell>
        </row>
        <row r="3358">
          <cell r="C3358" t="str">
            <v>저축은행</v>
          </cell>
          <cell r="E3358" t="str">
            <v>모름</v>
          </cell>
          <cell r="H3358">
            <v>4</v>
          </cell>
          <cell r="I3358">
            <v>0</v>
          </cell>
        </row>
        <row r="3359">
          <cell r="C3359" t="str">
            <v>저축은행</v>
          </cell>
          <cell r="E3359" t="str">
            <v>모름</v>
          </cell>
          <cell r="H3359">
            <v>1000</v>
          </cell>
          <cell r="I3359">
            <v>0</v>
          </cell>
        </row>
        <row r="3360">
          <cell r="C3360" t="str">
            <v>저축은행</v>
          </cell>
          <cell r="E3360" t="str">
            <v>모름</v>
          </cell>
          <cell r="H3360">
            <v>23</v>
          </cell>
          <cell r="I3360">
            <v>200</v>
          </cell>
        </row>
        <row r="3361">
          <cell r="C3361" t="str">
            <v>저축은행</v>
          </cell>
          <cell r="E3361" t="str">
            <v>모름</v>
          </cell>
          <cell r="H3361">
            <v>1000</v>
          </cell>
          <cell r="I3361">
            <v>0</v>
          </cell>
        </row>
        <row r="3362">
          <cell r="C3362" t="str">
            <v>저축은행</v>
          </cell>
          <cell r="E3362" t="str">
            <v>모름</v>
          </cell>
          <cell r="H3362">
            <v>56</v>
          </cell>
          <cell r="I3362">
            <v>0</v>
          </cell>
        </row>
        <row r="3363">
          <cell r="C3363" t="str">
            <v>저축은행</v>
          </cell>
          <cell r="E3363" t="str">
            <v>모름</v>
          </cell>
          <cell r="H3363">
            <v>41</v>
          </cell>
          <cell r="I3363">
            <v>0</v>
          </cell>
        </row>
        <row r="3364">
          <cell r="C3364" t="str">
            <v>저축은행</v>
          </cell>
          <cell r="E3364" t="str">
            <v>모름</v>
          </cell>
          <cell r="H3364">
            <v>3</v>
          </cell>
          <cell r="I3364">
            <v>0</v>
          </cell>
        </row>
        <row r="3365">
          <cell r="C3365" t="str">
            <v>저축은행</v>
          </cell>
          <cell r="E3365" t="str">
            <v>모름</v>
          </cell>
          <cell r="H3365">
            <v>48</v>
          </cell>
          <cell r="I3365">
            <v>0</v>
          </cell>
        </row>
        <row r="3366">
          <cell r="C3366" t="str">
            <v>저축은행</v>
          </cell>
          <cell r="E3366" t="str">
            <v>모름</v>
          </cell>
          <cell r="H3366">
            <v>86</v>
          </cell>
          <cell r="I3366">
            <v>0</v>
          </cell>
        </row>
        <row r="3367">
          <cell r="C3367" t="str">
            <v>저축은행</v>
          </cell>
          <cell r="E3367" t="str">
            <v>모름</v>
          </cell>
          <cell r="H3367">
            <v>1000</v>
          </cell>
          <cell r="I3367">
            <v>0</v>
          </cell>
        </row>
        <row r="3368">
          <cell r="C3368" t="str">
            <v>저축은행</v>
          </cell>
          <cell r="E3368" t="str">
            <v>모름</v>
          </cell>
          <cell r="H3368">
            <v>133</v>
          </cell>
          <cell r="I3368">
            <v>0</v>
          </cell>
        </row>
        <row r="3369">
          <cell r="C3369" t="str">
            <v>저축은행</v>
          </cell>
          <cell r="E3369" t="str">
            <v>모름</v>
          </cell>
          <cell r="H3369">
            <v>41</v>
          </cell>
          <cell r="I3369">
            <v>0</v>
          </cell>
        </row>
        <row r="3370">
          <cell r="C3370" t="str">
            <v>저축은행</v>
          </cell>
          <cell r="E3370" t="str">
            <v>모름</v>
          </cell>
          <cell r="H3370">
            <v>12</v>
          </cell>
          <cell r="I3370">
            <v>0</v>
          </cell>
        </row>
        <row r="3371">
          <cell r="C3371" t="str">
            <v>저축은행</v>
          </cell>
          <cell r="E3371" t="str">
            <v>모름</v>
          </cell>
          <cell r="H3371">
            <v>182</v>
          </cell>
          <cell r="I3371">
            <v>0</v>
          </cell>
        </row>
        <row r="3372">
          <cell r="C3372" t="str">
            <v>저축은행</v>
          </cell>
          <cell r="E3372" t="str">
            <v>모름</v>
          </cell>
          <cell r="H3372">
            <v>1000</v>
          </cell>
          <cell r="I3372">
            <v>0</v>
          </cell>
        </row>
        <row r="3373">
          <cell r="C3373" t="str">
            <v>저축은행</v>
          </cell>
          <cell r="E3373" t="str">
            <v>모름</v>
          </cell>
          <cell r="H3373">
            <v>84</v>
          </cell>
          <cell r="I3373">
            <v>0</v>
          </cell>
        </row>
        <row r="3374">
          <cell r="C3374" t="str">
            <v>저축은행</v>
          </cell>
          <cell r="E3374" t="str">
            <v>모름</v>
          </cell>
          <cell r="H3374">
            <v>1000</v>
          </cell>
          <cell r="I3374">
            <v>2351</v>
          </cell>
        </row>
        <row r="3375">
          <cell r="C3375" t="str">
            <v>저축은행</v>
          </cell>
          <cell r="E3375" t="str">
            <v>모름</v>
          </cell>
          <cell r="H3375">
            <v>1000</v>
          </cell>
          <cell r="I3375">
            <v>2800</v>
          </cell>
        </row>
        <row r="3376">
          <cell r="C3376" t="str">
            <v>저축은행</v>
          </cell>
          <cell r="E3376" t="str">
            <v>모름</v>
          </cell>
          <cell r="H3376">
            <v>128</v>
          </cell>
          <cell r="I3376">
            <v>0</v>
          </cell>
        </row>
        <row r="3377">
          <cell r="C3377" t="str">
            <v>저축은행</v>
          </cell>
          <cell r="E3377" t="str">
            <v>모름</v>
          </cell>
          <cell r="H3377">
            <v>24</v>
          </cell>
          <cell r="I3377">
            <v>0</v>
          </cell>
        </row>
        <row r="3378">
          <cell r="C3378" t="str">
            <v>저축은행</v>
          </cell>
          <cell r="E3378" t="str">
            <v>모름</v>
          </cell>
          <cell r="H3378">
            <v>84</v>
          </cell>
          <cell r="I3378">
            <v>0</v>
          </cell>
        </row>
        <row r="3379">
          <cell r="C3379" t="str">
            <v>저축은행</v>
          </cell>
          <cell r="E3379" t="str">
            <v>모름</v>
          </cell>
          <cell r="H3379">
            <v>46</v>
          </cell>
          <cell r="I3379">
            <v>0</v>
          </cell>
        </row>
        <row r="3380">
          <cell r="C3380" t="str">
            <v>저축은행</v>
          </cell>
          <cell r="E3380" t="str">
            <v>모름</v>
          </cell>
          <cell r="H3380">
            <v>25</v>
          </cell>
          <cell r="I3380">
            <v>0</v>
          </cell>
        </row>
        <row r="3381">
          <cell r="C3381" t="str">
            <v>저축은행</v>
          </cell>
          <cell r="E3381" t="str">
            <v>모름</v>
          </cell>
          <cell r="H3381">
            <v>3</v>
          </cell>
          <cell r="I3381">
            <v>0</v>
          </cell>
        </row>
        <row r="3382">
          <cell r="C3382" t="str">
            <v>저축은행</v>
          </cell>
          <cell r="E3382" t="str">
            <v>모름</v>
          </cell>
          <cell r="H3382">
            <v>4</v>
          </cell>
          <cell r="I3382">
            <v>0</v>
          </cell>
        </row>
        <row r="3383">
          <cell r="C3383" t="str">
            <v>저축은행</v>
          </cell>
          <cell r="E3383" t="str">
            <v>모름</v>
          </cell>
          <cell r="H3383">
            <v>23</v>
          </cell>
          <cell r="I3383">
            <v>0</v>
          </cell>
        </row>
        <row r="3384">
          <cell r="C3384" t="str">
            <v>저축은행</v>
          </cell>
          <cell r="E3384" t="str">
            <v>모름</v>
          </cell>
          <cell r="H3384">
            <v>61</v>
          </cell>
          <cell r="I3384">
            <v>5150</v>
          </cell>
        </row>
        <row r="3385">
          <cell r="C3385" t="str">
            <v>저축은행</v>
          </cell>
          <cell r="E3385" t="str">
            <v>모름</v>
          </cell>
          <cell r="H3385">
            <v>264</v>
          </cell>
          <cell r="I3385">
            <v>0</v>
          </cell>
        </row>
        <row r="3386">
          <cell r="C3386" t="str">
            <v>저축은행</v>
          </cell>
          <cell r="E3386" t="str">
            <v>모름</v>
          </cell>
          <cell r="H3386">
            <v>1000</v>
          </cell>
          <cell r="I3386">
            <v>0</v>
          </cell>
        </row>
        <row r="3387">
          <cell r="C3387" t="str">
            <v>저축은행</v>
          </cell>
          <cell r="E3387" t="str">
            <v>모름</v>
          </cell>
          <cell r="H3387">
            <v>122</v>
          </cell>
          <cell r="I3387">
            <v>0</v>
          </cell>
        </row>
        <row r="3388">
          <cell r="C3388" t="str">
            <v>저축은행</v>
          </cell>
          <cell r="E3388" t="str">
            <v>모름</v>
          </cell>
          <cell r="H3388">
            <v>12</v>
          </cell>
          <cell r="I3388">
            <v>0</v>
          </cell>
        </row>
        <row r="3389">
          <cell r="C3389" t="str">
            <v>저축은행</v>
          </cell>
          <cell r="E3389" t="str">
            <v>모름</v>
          </cell>
          <cell r="H3389">
            <v>8</v>
          </cell>
          <cell r="I3389">
            <v>0</v>
          </cell>
        </row>
        <row r="3390">
          <cell r="C3390" t="str">
            <v>저축은행</v>
          </cell>
          <cell r="E3390" t="str">
            <v>모름</v>
          </cell>
          <cell r="H3390">
            <v>122</v>
          </cell>
          <cell r="I3390">
            <v>0</v>
          </cell>
        </row>
        <row r="3391">
          <cell r="C3391" t="str">
            <v>저축은행</v>
          </cell>
          <cell r="E3391" t="str">
            <v>모름</v>
          </cell>
          <cell r="H3391">
            <v>23</v>
          </cell>
          <cell r="I3391">
            <v>0</v>
          </cell>
        </row>
        <row r="3392">
          <cell r="C3392" t="str">
            <v>저축은행</v>
          </cell>
          <cell r="E3392" t="str">
            <v>모름</v>
          </cell>
          <cell r="H3392">
            <v>1000</v>
          </cell>
          <cell r="I3392">
            <v>3000</v>
          </cell>
        </row>
        <row r="3393">
          <cell r="C3393" t="str">
            <v>저축은행</v>
          </cell>
          <cell r="E3393" t="str">
            <v>모름</v>
          </cell>
          <cell r="H3393">
            <v>12</v>
          </cell>
          <cell r="I3393">
            <v>0</v>
          </cell>
        </row>
        <row r="3394">
          <cell r="C3394" t="str">
            <v>저축은행</v>
          </cell>
          <cell r="E3394" t="str">
            <v>모름</v>
          </cell>
          <cell r="H3394">
            <v>78</v>
          </cell>
          <cell r="I3394">
            <v>2500</v>
          </cell>
        </row>
        <row r="3395">
          <cell r="C3395" t="str">
            <v>저축은행</v>
          </cell>
          <cell r="E3395" t="str">
            <v>모름</v>
          </cell>
          <cell r="H3395">
            <v>67</v>
          </cell>
          <cell r="I3395">
            <v>0</v>
          </cell>
        </row>
        <row r="3396">
          <cell r="C3396" t="str">
            <v>저축은행</v>
          </cell>
          <cell r="E3396" t="str">
            <v>모름</v>
          </cell>
          <cell r="H3396">
            <v>1000</v>
          </cell>
          <cell r="I3396">
            <v>5450</v>
          </cell>
        </row>
        <row r="3397">
          <cell r="C3397" t="str">
            <v>저축은행</v>
          </cell>
          <cell r="E3397" t="str">
            <v>모름</v>
          </cell>
          <cell r="H3397">
            <v>1000</v>
          </cell>
          <cell r="I3397">
            <v>450</v>
          </cell>
        </row>
        <row r="3398">
          <cell r="C3398" t="str">
            <v>저축은행</v>
          </cell>
          <cell r="E3398" t="str">
            <v>모름</v>
          </cell>
          <cell r="H3398">
            <v>5</v>
          </cell>
          <cell r="I3398">
            <v>0</v>
          </cell>
        </row>
        <row r="3399">
          <cell r="C3399" t="str">
            <v>저축은행</v>
          </cell>
          <cell r="E3399" t="str">
            <v>모름</v>
          </cell>
          <cell r="H3399">
            <v>4</v>
          </cell>
          <cell r="I3399">
            <v>0</v>
          </cell>
        </row>
        <row r="3400">
          <cell r="C3400" t="str">
            <v>저축은행</v>
          </cell>
          <cell r="E3400" t="str">
            <v>모름</v>
          </cell>
          <cell r="H3400">
            <v>494</v>
          </cell>
          <cell r="I3400">
            <v>0</v>
          </cell>
        </row>
        <row r="3401">
          <cell r="C3401" t="str">
            <v>저축은행</v>
          </cell>
          <cell r="E3401" t="str">
            <v>모름</v>
          </cell>
          <cell r="H3401">
            <v>10</v>
          </cell>
          <cell r="I3401">
            <v>0</v>
          </cell>
        </row>
        <row r="3402">
          <cell r="C3402" t="str">
            <v>저축은행</v>
          </cell>
          <cell r="E3402" t="str">
            <v>모름</v>
          </cell>
          <cell r="H3402">
            <v>1000</v>
          </cell>
          <cell r="I3402">
            <v>0</v>
          </cell>
        </row>
        <row r="3403">
          <cell r="C3403" t="str">
            <v>저축은행</v>
          </cell>
          <cell r="E3403" t="str">
            <v>모름</v>
          </cell>
          <cell r="H3403">
            <v>1000</v>
          </cell>
          <cell r="I3403">
            <v>0</v>
          </cell>
        </row>
        <row r="3404">
          <cell r="C3404" t="str">
            <v>저축은행</v>
          </cell>
          <cell r="E3404" t="str">
            <v>모름</v>
          </cell>
          <cell r="H3404">
            <v>51</v>
          </cell>
          <cell r="I3404">
            <v>0</v>
          </cell>
        </row>
        <row r="3405">
          <cell r="C3405" t="str">
            <v>저축은행</v>
          </cell>
          <cell r="E3405" t="str">
            <v>모름</v>
          </cell>
          <cell r="H3405">
            <v>3</v>
          </cell>
          <cell r="I3405">
            <v>0</v>
          </cell>
        </row>
        <row r="3406">
          <cell r="C3406" t="str">
            <v>저축은행</v>
          </cell>
          <cell r="E3406" t="str">
            <v>모름</v>
          </cell>
          <cell r="H3406">
            <v>80</v>
          </cell>
          <cell r="I3406">
            <v>0</v>
          </cell>
        </row>
        <row r="3407">
          <cell r="C3407" t="str">
            <v>저축은행</v>
          </cell>
          <cell r="E3407" t="str">
            <v>모름</v>
          </cell>
          <cell r="H3407">
            <v>13</v>
          </cell>
          <cell r="I3407">
            <v>0</v>
          </cell>
        </row>
        <row r="3408">
          <cell r="C3408" t="str">
            <v>저축은행</v>
          </cell>
          <cell r="E3408" t="str">
            <v>모름</v>
          </cell>
          <cell r="H3408">
            <v>1000</v>
          </cell>
          <cell r="I3408">
            <v>4250</v>
          </cell>
        </row>
        <row r="3409">
          <cell r="C3409" t="str">
            <v>저축은행</v>
          </cell>
          <cell r="E3409" t="str">
            <v>모름</v>
          </cell>
          <cell r="H3409">
            <v>1000</v>
          </cell>
          <cell r="I3409">
            <v>0</v>
          </cell>
        </row>
        <row r="3410">
          <cell r="C3410" t="str">
            <v>저축은행</v>
          </cell>
          <cell r="E3410" t="str">
            <v>모름</v>
          </cell>
          <cell r="H3410">
            <v>1000</v>
          </cell>
          <cell r="I3410">
            <v>0</v>
          </cell>
        </row>
        <row r="3411">
          <cell r="C3411" t="str">
            <v>저축은행</v>
          </cell>
          <cell r="E3411" t="str">
            <v>모름</v>
          </cell>
          <cell r="H3411">
            <v>33</v>
          </cell>
          <cell r="I3411">
            <v>0</v>
          </cell>
        </row>
        <row r="3412">
          <cell r="C3412" t="str">
            <v>저축은행</v>
          </cell>
          <cell r="E3412" t="str">
            <v>모름</v>
          </cell>
          <cell r="H3412">
            <v>53</v>
          </cell>
          <cell r="I3412">
            <v>0</v>
          </cell>
        </row>
        <row r="3413">
          <cell r="C3413" t="str">
            <v>저축은행</v>
          </cell>
          <cell r="E3413" t="str">
            <v>모름</v>
          </cell>
          <cell r="H3413">
            <v>50</v>
          </cell>
          <cell r="I3413">
            <v>15000</v>
          </cell>
        </row>
        <row r="3414">
          <cell r="C3414" t="str">
            <v>저축은행</v>
          </cell>
          <cell r="E3414" t="str">
            <v>모름</v>
          </cell>
          <cell r="H3414">
            <v>22</v>
          </cell>
          <cell r="I3414">
            <v>0</v>
          </cell>
        </row>
        <row r="3415">
          <cell r="C3415" t="str">
            <v>저축은행</v>
          </cell>
          <cell r="E3415" t="str">
            <v>모름</v>
          </cell>
          <cell r="H3415">
            <v>1000</v>
          </cell>
          <cell r="I3415">
            <v>9200</v>
          </cell>
        </row>
        <row r="3416">
          <cell r="C3416" t="str">
            <v>저축은행</v>
          </cell>
          <cell r="E3416" t="str">
            <v>모름</v>
          </cell>
          <cell r="H3416">
            <v>150</v>
          </cell>
          <cell r="I3416">
            <v>20100</v>
          </cell>
        </row>
        <row r="3417">
          <cell r="C3417" t="str">
            <v>저축은행</v>
          </cell>
          <cell r="E3417" t="str">
            <v>모름</v>
          </cell>
          <cell r="H3417">
            <v>5</v>
          </cell>
          <cell r="I3417">
            <v>0</v>
          </cell>
        </row>
        <row r="3418">
          <cell r="C3418" t="str">
            <v>저축은행</v>
          </cell>
          <cell r="E3418" t="str">
            <v>모름</v>
          </cell>
          <cell r="H3418">
            <v>61</v>
          </cell>
          <cell r="I3418">
            <v>12000</v>
          </cell>
        </row>
        <row r="3419">
          <cell r="C3419" t="str">
            <v>저축은행</v>
          </cell>
          <cell r="E3419" t="str">
            <v>모름</v>
          </cell>
          <cell r="H3419">
            <v>1000</v>
          </cell>
          <cell r="I3419">
            <v>9000</v>
          </cell>
        </row>
        <row r="3420">
          <cell r="C3420" t="str">
            <v>저축은행</v>
          </cell>
          <cell r="E3420" t="str">
            <v>모름</v>
          </cell>
          <cell r="H3420">
            <v>154</v>
          </cell>
          <cell r="I3420">
            <v>5500</v>
          </cell>
        </row>
        <row r="3421">
          <cell r="C3421" t="str">
            <v>저축은행</v>
          </cell>
          <cell r="E3421" t="str">
            <v>모름</v>
          </cell>
          <cell r="H3421">
            <v>61</v>
          </cell>
          <cell r="I3421">
            <v>0</v>
          </cell>
        </row>
        <row r="3422">
          <cell r="C3422" t="str">
            <v>저축은행</v>
          </cell>
          <cell r="E3422" t="str">
            <v>모름</v>
          </cell>
          <cell r="H3422">
            <v>150</v>
          </cell>
          <cell r="I3422">
            <v>9000</v>
          </cell>
        </row>
        <row r="3423">
          <cell r="C3423" t="str">
            <v>저축은행</v>
          </cell>
          <cell r="E3423" t="str">
            <v>모름</v>
          </cell>
          <cell r="H3423">
            <v>45</v>
          </cell>
          <cell r="I3423">
            <v>8000</v>
          </cell>
        </row>
        <row r="3424">
          <cell r="C3424" t="str">
            <v>저축은행</v>
          </cell>
          <cell r="E3424" t="str">
            <v>모름</v>
          </cell>
          <cell r="H3424">
            <v>60</v>
          </cell>
          <cell r="I3424">
            <v>8000</v>
          </cell>
        </row>
        <row r="3425">
          <cell r="C3425" t="str">
            <v>저축은행</v>
          </cell>
          <cell r="E3425" t="str">
            <v>모름</v>
          </cell>
          <cell r="H3425">
            <v>83</v>
          </cell>
          <cell r="I3425">
            <v>5000</v>
          </cell>
        </row>
        <row r="3426">
          <cell r="C3426" t="str">
            <v>저축은행</v>
          </cell>
          <cell r="E3426" t="str">
            <v>모름</v>
          </cell>
          <cell r="H3426">
            <v>12</v>
          </cell>
          <cell r="I3426">
            <v>0</v>
          </cell>
        </row>
        <row r="3427">
          <cell r="C3427" t="str">
            <v>저축은행</v>
          </cell>
          <cell r="E3427" t="str">
            <v>모름</v>
          </cell>
          <cell r="H3427">
            <v>4</v>
          </cell>
          <cell r="I3427">
            <v>0</v>
          </cell>
        </row>
        <row r="3428">
          <cell r="C3428" t="str">
            <v>저축은행</v>
          </cell>
          <cell r="E3428" t="str">
            <v>모름</v>
          </cell>
          <cell r="H3428">
            <v>1000</v>
          </cell>
          <cell r="I3428">
            <v>10000</v>
          </cell>
        </row>
        <row r="3429">
          <cell r="C3429" t="str">
            <v>저축은행</v>
          </cell>
          <cell r="E3429" t="str">
            <v>모름</v>
          </cell>
          <cell r="H3429">
            <v>50</v>
          </cell>
          <cell r="I3429">
            <v>0</v>
          </cell>
        </row>
        <row r="3430">
          <cell r="C3430" t="str">
            <v>저축은행</v>
          </cell>
          <cell r="E3430" t="str">
            <v>모름</v>
          </cell>
          <cell r="H3430">
            <v>1000</v>
          </cell>
          <cell r="I3430">
            <v>6000</v>
          </cell>
        </row>
        <row r="3431">
          <cell r="C3431" t="str">
            <v>저축은행</v>
          </cell>
          <cell r="E3431" t="str">
            <v>모름</v>
          </cell>
          <cell r="H3431">
            <v>61</v>
          </cell>
          <cell r="I3431">
            <v>23000</v>
          </cell>
        </row>
        <row r="3432">
          <cell r="C3432" t="str">
            <v>저축은행</v>
          </cell>
          <cell r="E3432" t="str">
            <v>모름</v>
          </cell>
          <cell r="H3432">
            <v>45</v>
          </cell>
          <cell r="I3432">
            <v>6667</v>
          </cell>
        </row>
        <row r="3433">
          <cell r="C3433" t="str">
            <v>저축은행</v>
          </cell>
          <cell r="E3433" t="str">
            <v>모름</v>
          </cell>
          <cell r="H3433">
            <v>46</v>
          </cell>
          <cell r="I3433">
            <v>0</v>
          </cell>
        </row>
        <row r="3434">
          <cell r="C3434" t="str">
            <v>저축은행</v>
          </cell>
          <cell r="E3434" t="str">
            <v>모름</v>
          </cell>
          <cell r="H3434">
            <v>78</v>
          </cell>
          <cell r="I3434">
            <v>8000</v>
          </cell>
        </row>
        <row r="3435">
          <cell r="C3435" t="str">
            <v>저축은행</v>
          </cell>
          <cell r="E3435" t="str">
            <v>모름</v>
          </cell>
          <cell r="H3435">
            <v>61</v>
          </cell>
          <cell r="I3435">
            <v>0</v>
          </cell>
        </row>
        <row r="3436">
          <cell r="C3436" t="str">
            <v>저축은행</v>
          </cell>
          <cell r="E3436" t="str">
            <v>모름</v>
          </cell>
          <cell r="H3436">
            <v>150</v>
          </cell>
          <cell r="I3436">
            <v>21100</v>
          </cell>
        </row>
        <row r="3437">
          <cell r="C3437" t="str">
            <v>저축은행</v>
          </cell>
          <cell r="E3437" t="str">
            <v>모름</v>
          </cell>
          <cell r="H3437">
            <v>60</v>
          </cell>
          <cell r="I3437">
            <v>4529</v>
          </cell>
        </row>
        <row r="3438">
          <cell r="C3438" t="str">
            <v>저축은행</v>
          </cell>
          <cell r="E3438" t="str">
            <v>모름</v>
          </cell>
          <cell r="H3438">
            <v>61</v>
          </cell>
          <cell r="I3438">
            <v>8000</v>
          </cell>
        </row>
        <row r="3439">
          <cell r="C3439" t="str">
            <v>저축은행</v>
          </cell>
          <cell r="E3439" t="str">
            <v>모름</v>
          </cell>
          <cell r="H3439">
            <v>221</v>
          </cell>
          <cell r="I3439">
            <v>10000</v>
          </cell>
        </row>
        <row r="3440">
          <cell r="C3440" t="str">
            <v>저축은행</v>
          </cell>
          <cell r="E3440" t="str">
            <v>모름</v>
          </cell>
          <cell r="H3440">
            <v>263</v>
          </cell>
          <cell r="I3440">
            <v>3782</v>
          </cell>
        </row>
        <row r="3441">
          <cell r="C3441" t="str">
            <v>저축은행</v>
          </cell>
          <cell r="E3441" t="str">
            <v>모름</v>
          </cell>
          <cell r="H3441">
            <v>314</v>
          </cell>
          <cell r="I3441">
            <v>7549</v>
          </cell>
        </row>
        <row r="3442">
          <cell r="C3442" t="str">
            <v>저축은행</v>
          </cell>
          <cell r="E3442" t="str">
            <v>모름</v>
          </cell>
          <cell r="H3442">
            <v>5</v>
          </cell>
          <cell r="I3442">
            <v>0</v>
          </cell>
        </row>
        <row r="3443">
          <cell r="C3443" t="str">
            <v>저축은행</v>
          </cell>
          <cell r="E3443" t="str">
            <v>모름</v>
          </cell>
          <cell r="H3443">
            <v>5</v>
          </cell>
          <cell r="I3443">
            <v>0</v>
          </cell>
        </row>
        <row r="3444">
          <cell r="C3444" t="str">
            <v>저축은행</v>
          </cell>
          <cell r="E3444" t="str">
            <v>모름</v>
          </cell>
          <cell r="H3444">
            <v>10</v>
          </cell>
          <cell r="I3444">
            <v>0</v>
          </cell>
        </row>
        <row r="3445">
          <cell r="C3445" t="str">
            <v>저축은행</v>
          </cell>
          <cell r="E3445" t="str">
            <v>모름</v>
          </cell>
          <cell r="H3445">
            <v>61</v>
          </cell>
          <cell r="I3445">
            <v>0</v>
          </cell>
        </row>
        <row r="3446">
          <cell r="C3446" t="str">
            <v>저축은행</v>
          </cell>
          <cell r="E3446" t="str">
            <v>모름</v>
          </cell>
          <cell r="H3446">
            <v>30</v>
          </cell>
          <cell r="I3446">
            <v>16300</v>
          </cell>
        </row>
        <row r="3447">
          <cell r="C3447" t="str">
            <v>저축은행</v>
          </cell>
          <cell r="E3447" t="str">
            <v>모름</v>
          </cell>
          <cell r="H3447">
            <v>138</v>
          </cell>
          <cell r="I3447">
            <v>0</v>
          </cell>
        </row>
        <row r="3448">
          <cell r="C3448" t="str">
            <v>저축은행</v>
          </cell>
          <cell r="E3448" t="str">
            <v>모름</v>
          </cell>
          <cell r="H3448">
            <v>45</v>
          </cell>
          <cell r="I3448">
            <v>24000</v>
          </cell>
        </row>
        <row r="3449">
          <cell r="C3449" t="str">
            <v>저축은행</v>
          </cell>
          <cell r="E3449" t="str">
            <v>모름</v>
          </cell>
          <cell r="H3449">
            <v>10</v>
          </cell>
          <cell r="I3449">
            <v>0</v>
          </cell>
        </row>
        <row r="3450">
          <cell r="C3450" t="str">
            <v>저축은행</v>
          </cell>
          <cell r="E3450" t="str">
            <v>모름</v>
          </cell>
          <cell r="H3450">
            <v>46</v>
          </cell>
          <cell r="I3450">
            <v>0</v>
          </cell>
        </row>
        <row r="3451">
          <cell r="C3451" t="str">
            <v>저축은행</v>
          </cell>
          <cell r="E3451" t="str">
            <v>모름</v>
          </cell>
          <cell r="H3451">
            <v>20</v>
          </cell>
          <cell r="I3451">
            <v>0</v>
          </cell>
        </row>
        <row r="3452">
          <cell r="C3452" t="str">
            <v>저축은행</v>
          </cell>
          <cell r="E3452" t="str">
            <v>모름</v>
          </cell>
          <cell r="H3452">
            <v>35</v>
          </cell>
          <cell r="I3452">
            <v>17200</v>
          </cell>
        </row>
        <row r="3453">
          <cell r="C3453" t="str">
            <v>저축은행</v>
          </cell>
          <cell r="E3453" t="str">
            <v>모름</v>
          </cell>
          <cell r="H3453">
            <v>106</v>
          </cell>
          <cell r="I3453">
            <v>0</v>
          </cell>
        </row>
        <row r="3454">
          <cell r="C3454" t="str">
            <v>저축은행</v>
          </cell>
          <cell r="E3454" t="str">
            <v>모름</v>
          </cell>
          <cell r="H3454">
            <v>61</v>
          </cell>
          <cell r="I3454">
            <v>8840</v>
          </cell>
        </row>
        <row r="3455">
          <cell r="C3455" t="str">
            <v>저축은행</v>
          </cell>
          <cell r="E3455" t="str">
            <v>모름</v>
          </cell>
          <cell r="H3455">
            <v>1000</v>
          </cell>
          <cell r="I3455">
            <v>0</v>
          </cell>
        </row>
        <row r="3456">
          <cell r="C3456" t="str">
            <v>저축은행</v>
          </cell>
          <cell r="E3456" t="str">
            <v>모름</v>
          </cell>
          <cell r="H3456">
            <v>145</v>
          </cell>
          <cell r="I3456">
            <v>9173</v>
          </cell>
        </row>
        <row r="3457">
          <cell r="C3457" t="str">
            <v>저축은행</v>
          </cell>
          <cell r="E3457" t="str">
            <v>모름</v>
          </cell>
          <cell r="H3457">
            <v>60</v>
          </cell>
          <cell r="I3457">
            <v>8000</v>
          </cell>
        </row>
        <row r="3458">
          <cell r="C3458" t="str">
            <v>저축은행</v>
          </cell>
          <cell r="E3458" t="str">
            <v>모름</v>
          </cell>
          <cell r="H3458">
            <v>61</v>
          </cell>
          <cell r="I3458">
            <v>0</v>
          </cell>
        </row>
        <row r="3459">
          <cell r="C3459" t="str">
            <v>저축은행</v>
          </cell>
          <cell r="E3459" t="str">
            <v>모름</v>
          </cell>
          <cell r="H3459">
            <v>309</v>
          </cell>
          <cell r="I3459">
            <v>8000</v>
          </cell>
        </row>
        <row r="3460">
          <cell r="C3460" t="str">
            <v>저축은행</v>
          </cell>
          <cell r="E3460" t="str">
            <v>모름</v>
          </cell>
          <cell r="H3460">
            <v>45</v>
          </cell>
          <cell r="I3460">
            <v>7200</v>
          </cell>
        </row>
        <row r="3461">
          <cell r="C3461" t="str">
            <v>저축은행</v>
          </cell>
          <cell r="E3461" t="str">
            <v>모름</v>
          </cell>
          <cell r="H3461">
            <v>1000</v>
          </cell>
          <cell r="I3461">
            <v>3188</v>
          </cell>
        </row>
        <row r="3462">
          <cell r="C3462" t="str">
            <v>저축은행</v>
          </cell>
          <cell r="E3462" t="str">
            <v>모름</v>
          </cell>
          <cell r="H3462">
            <v>191</v>
          </cell>
          <cell r="I3462">
            <v>6996</v>
          </cell>
        </row>
        <row r="3463">
          <cell r="C3463" t="str">
            <v>저축은행</v>
          </cell>
          <cell r="E3463" t="str">
            <v>모름</v>
          </cell>
          <cell r="H3463">
            <v>269</v>
          </cell>
          <cell r="I3463">
            <v>1100</v>
          </cell>
        </row>
        <row r="3464">
          <cell r="C3464" t="str">
            <v>저축은행</v>
          </cell>
          <cell r="E3464" t="str">
            <v>모름</v>
          </cell>
          <cell r="H3464">
            <v>150</v>
          </cell>
          <cell r="I3464">
            <v>4000</v>
          </cell>
        </row>
        <row r="3465">
          <cell r="C3465" t="str">
            <v>저축은행</v>
          </cell>
          <cell r="E3465" t="str">
            <v>모름</v>
          </cell>
          <cell r="H3465">
            <v>60</v>
          </cell>
          <cell r="I3465">
            <v>16000</v>
          </cell>
        </row>
        <row r="3466">
          <cell r="C3466" t="str">
            <v>저축은행</v>
          </cell>
          <cell r="E3466" t="str">
            <v>모름</v>
          </cell>
          <cell r="H3466">
            <v>50</v>
          </cell>
          <cell r="I3466">
            <v>0</v>
          </cell>
        </row>
        <row r="3467">
          <cell r="C3467" t="str">
            <v>저축은행</v>
          </cell>
          <cell r="E3467" t="str">
            <v>모름</v>
          </cell>
          <cell r="H3467">
            <v>56</v>
          </cell>
          <cell r="I3467">
            <v>20000</v>
          </cell>
        </row>
        <row r="3468">
          <cell r="C3468" t="str">
            <v>저축은행</v>
          </cell>
          <cell r="E3468" t="str">
            <v>모름</v>
          </cell>
          <cell r="H3468">
            <v>476</v>
          </cell>
          <cell r="I3468">
            <v>8750</v>
          </cell>
        </row>
        <row r="3469">
          <cell r="C3469" t="str">
            <v>저축은행</v>
          </cell>
          <cell r="E3469" t="str">
            <v>모름</v>
          </cell>
          <cell r="H3469">
            <v>50</v>
          </cell>
          <cell r="I3469">
            <v>4000</v>
          </cell>
        </row>
        <row r="3470">
          <cell r="C3470" t="str">
            <v>저축은행</v>
          </cell>
          <cell r="E3470" t="str">
            <v>모름</v>
          </cell>
          <cell r="H3470">
            <v>61</v>
          </cell>
          <cell r="I3470">
            <v>8000</v>
          </cell>
        </row>
        <row r="3471">
          <cell r="C3471" t="str">
            <v>저축은행</v>
          </cell>
          <cell r="E3471" t="str">
            <v>모름</v>
          </cell>
          <cell r="H3471">
            <v>10</v>
          </cell>
          <cell r="I3471">
            <v>0</v>
          </cell>
        </row>
        <row r="3472">
          <cell r="C3472" t="str">
            <v>저축은행</v>
          </cell>
          <cell r="E3472" t="str">
            <v>모름</v>
          </cell>
          <cell r="H3472">
            <v>260</v>
          </cell>
          <cell r="I3472">
            <v>6759</v>
          </cell>
        </row>
        <row r="3473">
          <cell r="C3473" t="str">
            <v>저축은행</v>
          </cell>
          <cell r="E3473" t="str">
            <v>모름</v>
          </cell>
          <cell r="H3473">
            <v>78</v>
          </cell>
          <cell r="I3473">
            <v>8000</v>
          </cell>
        </row>
        <row r="3474">
          <cell r="C3474" t="str">
            <v>저축은행</v>
          </cell>
          <cell r="E3474" t="str">
            <v>모름</v>
          </cell>
          <cell r="H3474">
            <v>1000</v>
          </cell>
          <cell r="I3474">
            <v>0</v>
          </cell>
        </row>
        <row r="3475">
          <cell r="C3475" t="str">
            <v>저축은행</v>
          </cell>
          <cell r="E3475" t="str">
            <v>모름</v>
          </cell>
          <cell r="H3475">
            <v>31</v>
          </cell>
          <cell r="I3475">
            <v>0</v>
          </cell>
        </row>
        <row r="3476">
          <cell r="C3476" t="str">
            <v>저축은행</v>
          </cell>
          <cell r="E3476" t="str">
            <v>모름</v>
          </cell>
          <cell r="H3476">
            <v>38</v>
          </cell>
          <cell r="I3476">
            <v>1400</v>
          </cell>
        </row>
        <row r="3477">
          <cell r="C3477" t="str">
            <v>저축은행</v>
          </cell>
          <cell r="E3477" t="str">
            <v>모름</v>
          </cell>
          <cell r="H3477">
            <v>56</v>
          </cell>
          <cell r="I3477">
            <v>20000</v>
          </cell>
        </row>
        <row r="3478">
          <cell r="C3478" t="str">
            <v>저축은행</v>
          </cell>
          <cell r="E3478" t="str">
            <v>모름</v>
          </cell>
          <cell r="H3478">
            <v>182</v>
          </cell>
          <cell r="I3478">
            <v>5720</v>
          </cell>
        </row>
        <row r="3479">
          <cell r="C3479" t="str">
            <v>저축은행</v>
          </cell>
          <cell r="E3479" t="str">
            <v>모름</v>
          </cell>
          <cell r="H3479">
            <v>61</v>
          </cell>
          <cell r="I3479">
            <v>5100</v>
          </cell>
        </row>
        <row r="3480">
          <cell r="C3480" t="str">
            <v>저축은행</v>
          </cell>
          <cell r="E3480" t="str">
            <v>모름</v>
          </cell>
          <cell r="H3480">
            <v>61</v>
          </cell>
          <cell r="I3480">
            <v>4200</v>
          </cell>
        </row>
        <row r="3481">
          <cell r="C3481" t="str">
            <v>저축은행</v>
          </cell>
          <cell r="E3481" t="str">
            <v>모름</v>
          </cell>
          <cell r="H3481">
            <v>221</v>
          </cell>
          <cell r="I3481">
            <v>9000</v>
          </cell>
        </row>
        <row r="3482">
          <cell r="C3482" t="str">
            <v>저축은행</v>
          </cell>
          <cell r="E3482" t="str">
            <v>모름</v>
          </cell>
          <cell r="H3482">
            <v>150</v>
          </cell>
          <cell r="I3482">
            <v>8000</v>
          </cell>
        </row>
        <row r="3483">
          <cell r="C3483" t="str">
            <v>저축은행</v>
          </cell>
          <cell r="E3483" t="str">
            <v>모름</v>
          </cell>
          <cell r="H3483">
            <v>122</v>
          </cell>
          <cell r="I3483">
            <v>2670</v>
          </cell>
        </row>
        <row r="3484">
          <cell r="C3484" t="str">
            <v>저축은행</v>
          </cell>
          <cell r="E3484" t="str">
            <v>모름</v>
          </cell>
          <cell r="H3484">
            <v>9</v>
          </cell>
          <cell r="I3484">
            <v>0</v>
          </cell>
        </row>
        <row r="3485">
          <cell r="C3485" t="str">
            <v>저축은행</v>
          </cell>
          <cell r="E3485" t="str">
            <v>모름</v>
          </cell>
          <cell r="H3485">
            <v>214</v>
          </cell>
          <cell r="I3485">
            <v>2000</v>
          </cell>
        </row>
        <row r="3486">
          <cell r="C3486" t="str">
            <v>저축은행</v>
          </cell>
          <cell r="E3486" t="str">
            <v>모름</v>
          </cell>
          <cell r="H3486">
            <v>1000</v>
          </cell>
          <cell r="I3486">
            <v>0</v>
          </cell>
        </row>
        <row r="3487">
          <cell r="C3487" t="str">
            <v>저축은행</v>
          </cell>
          <cell r="E3487" t="str">
            <v>모름</v>
          </cell>
          <cell r="H3487">
            <v>1000</v>
          </cell>
          <cell r="I3487">
            <v>0</v>
          </cell>
        </row>
        <row r="3488">
          <cell r="C3488" t="str">
            <v>저축은행</v>
          </cell>
          <cell r="E3488" t="str">
            <v>모름</v>
          </cell>
          <cell r="H3488">
            <v>1000</v>
          </cell>
          <cell r="I3488">
            <v>0</v>
          </cell>
        </row>
        <row r="3489">
          <cell r="C3489" t="str">
            <v>저축은행</v>
          </cell>
          <cell r="E3489" t="str">
            <v>모름</v>
          </cell>
          <cell r="H3489">
            <v>12</v>
          </cell>
          <cell r="I3489">
            <v>0</v>
          </cell>
        </row>
        <row r="3490">
          <cell r="C3490" t="str">
            <v>저축은행</v>
          </cell>
          <cell r="E3490" t="str">
            <v>모름</v>
          </cell>
          <cell r="H3490">
            <v>1000</v>
          </cell>
          <cell r="I3490">
            <v>0</v>
          </cell>
        </row>
        <row r="3491">
          <cell r="C3491" t="str">
            <v>저축은행</v>
          </cell>
          <cell r="E3491" t="str">
            <v>모름</v>
          </cell>
          <cell r="H3491">
            <v>12</v>
          </cell>
          <cell r="I3491">
            <v>0</v>
          </cell>
        </row>
        <row r="3492">
          <cell r="C3492" t="str">
            <v>저축은행</v>
          </cell>
          <cell r="E3492" t="str">
            <v>모름</v>
          </cell>
          <cell r="H3492">
            <v>10</v>
          </cell>
          <cell r="I3492">
            <v>2000</v>
          </cell>
        </row>
        <row r="3493">
          <cell r="C3493" t="str">
            <v>저축은행</v>
          </cell>
          <cell r="E3493" t="str">
            <v>모름</v>
          </cell>
          <cell r="H3493">
            <v>1000</v>
          </cell>
          <cell r="I3493">
            <v>0</v>
          </cell>
        </row>
        <row r="3494">
          <cell r="C3494" t="str">
            <v>저축은행</v>
          </cell>
          <cell r="E3494" t="str">
            <v>모름</v>
          </cell>
          <cell r="H3494">
            <v>44</v>
          </cell>
          <cell r="I3494">
            <v>0</v>
          </cell>
        </row>
        <row r="3495">
          <cell r="C3495" t="str">
            <v>저축은행</v>
          </cell>
          <cell r="E3495" t="str">
            <v>모름</v>
          </cell>
          <cell r="H3495">
            <v>1000</v>
          </cell>
          <cell r="I3495">
            <v>1222</v>
          </cell>
        </row>
        <row r="3496">
          <cell r="C3496" t="str">
            <v>저축은행</v>
          </cell>
          <cell r="E3496" t="str">
            <v>모름</v>
          </cell>
          <cell r="H3496">
            <v>44</v>
          </cell>
          <cell r="I3496">
            <v>3000</v>
          </cell>
        </row>
        <row r="3497">
          <cell r="C3497" t="str">
            <v>저축은행</v>
          </cell>
          <cell r="E3497" t="str">
            <v>모름</v>
          </cell>
          <cell r="H3497">
            <v>23</v>
          </cell>
          <cell r="I3497">
            <v>0</v>
          </cell>
        </row>
        <row r="3498">
          <cell r="C3498" t="str">
            <v>저축은행</v>
          </cell>
          <cell r="E3498" t="str">
            <v>모름</v>
          </cell>
          <cell r="H3498">
            <v>15</v>
          </cell>
          <cell r="I3498">
            <v>0</v>
          </cell>
        </row>
        <row r="3499">
          <cell r="C3499" t="str">
            <v>저축은행</v>
          </cell>
          <cell r="E3499" t="str">
            <v>모름</v>
          </cell>
          <cell r="H3499">
            <v>1000</v>
          </cell>
          <cell r="I3499">
            <v>0</v>
          </cell>
        </row>
        <row r="3500">
          <cell r="C3500" t="str">
            <v>저축은행</v>
          </cell>
          <cell r="E3500" t="str">
            <v>모름</v>
          </cell>
          <cell r="H3500">
            <v>1000</v>
          </cell>
          <cell r="I3500">
            <v>3815</v>
          </cell>
        </row>
        <row r="3501">
          <cell r="C3501" t="str">
            <v>저축은행</v>
          </cell>
          <cell r="E3501" t="str">
            <v>모름</v>
          </cell>
          <cell r="H3501">
            <v>1000</v>
          </cell>
          <cell r="I3501">
            <v>3632</v>
          </cell>
        </row>
        <row r="3502">
          <cell r="C3502" t="str">
            <v>저축은행</v>
          </cell>
          <cell r="E3502" t="str">
            <v>모름</v>
          </cell>
          <cell r="H3502">
            <v>133</v>
          </cell>
          <cell r="I3502">
            <v>2500</v>
          </cell>
        </row>
        <row r="3503">
          <cell r="C3503" t="str">
            <v>저축은행</v>
          </cell>
          <cell r="E3503" t="str">
            <v>모름</v>
          </cell>
          <cell r="H3503">
            <v>44</v>
          </cell>
          <cell r="I3503">
            <v>0</v>
          </cell>
        </row>
        <row r="3504">
          <cell r="C3504" t="str">
            <v>저축은행</v>
          </cell>
          <cell r="E3504" t="str">
            <v>모름</v>
          </cell>
          <cell r="H3504">
            <v>1000</v>
          </cell>
          <cell r="I3504">
            <v>6700</v>
          </cell>
        </row>
        <row r="3505">
          <cell r="C3505" t="str">
            <v>저축은행</v>
          </cell>
          <cell r="E3505" t="str">
            <v>모름</v>
          </cell>
          <cell r="H3505">
            <v>83</v>
          </cell>
          <cell r="I3505">
            <v>0</v>
          </cell>
        </row>
        <row r="3506">
          <cell r="C3506" t="str">
            <v>저축은행</v>
          </cell>
          <cell r="E3506" t="str">
            <v>모름</v>
          </cell>
          <cell r="H3506">
            <v>182</v>
          </cell>
          <cell r="I3506">
            <v>600</v>
          </cell>
        </row>
        <row r="3507">
          <cell r="C3507" t="str">
            <v>저축은행</v>
          </cell>
          <cell r="E3507" t="str">
            <v>모름</v>
          </cell>
          <cell r="H3507">
            <v>1000</v>
          </cell>
          <cell r="I3507">
            <v>6600</v>
          </cell>
        </row>
        <row r="3508">
          <cell r="C3508" t="str">
            <v>저축은행</v>
          </cell>
          <cell r="E3508" t="str">
            <v>모름</v>
          </cell>
          <cell r="H3508">
            <v>182</v>
          </cell>
          <cell r="I3508">
            <v>2000</v>
          </cell>
        </row>
        <row r="3509">
          <cell r="C3509" t="str">
            <v>저축은행</v>
          </cell>
          <cell r="E3509" t="str">
            <v>모름</v>
          </cell>
          <cell r="H3509">
            <v>60</v>
          </cell>
          <cell r="I3509">
            <v>4000</v>
          </cell>
        </row>
        <row r="3510">
          <cell r="C3510" t="str">
            <v>저축은행</v>
          </cell>
          <cell r="E3510" t="str">
            <v>모름</v>
          </cell>
          <cell r="H3510">
            <v>61</v>
          </cell>
          <cell r="I3510">
            <v>4000</v>
          </cell>
        </row>
        <row r="3511">
          <cell r="C3511" t="str">
            <v>저축은행</v>
          </cell>
          <cell r="E3511" t="str">
            <v>모름</v>
          </cell>
          <cell r="H3511">
            <v>123</v>
          </cell>
          <cell r="I3511">
            <v>5200</v>
          </cell>
        </row>
        <row r="3512">
          <cell r="C3512" t="str">
            <v>저축은행</v>
          </cell>
          <cell r="E3512" t="str">
            <v>모름</v>
          </cell>
          <cell r="H3512">
            <v>4</v>
          </cell>
          <cell r="I3512">
            <v>0</v>
          </cell>
        </row>
        <row r="3513">
          <cell r="C3513" t="str">
            <v>저축은행</v>
          </cell>
          <cell r="E3513" t="str">
            <v>모름</v>
          </cell>
          <cell r="H3513">
            <v>78</v>
          </cell>
          <cell r="I3513">
            <v>2000</v>
          </cell>
        </row>
        <row r="3514">
          <cell r="C3514" t="str">
            <v>저축은행</v>
          </cell>
          <cell r="E3514" t="str">
            <v>모름</v>
          </cell>
          <cell r="H3514">
            <v>398</v>
          </cell>
          <cell r="I3514">
            <v>6500</v>
          </cell>
        </row>
        <row r="3515">
          <cell r="C3515" t="str">
            <v>저축은행</v>
          </cell>
          <cell r="E3515" t="str">
            <v>모름</v>
          </cell>
          <cell r="H3515">
            <v>12</v>
          </cell>
          <cell r="I3515">
            <v>0</v>
          </cell>
        </row>
        <row r="3516">
          <cell r="C3516" t="str">
            <v>저축은행</v>
          </cell>
          <cell r="E3516" t="str">
            <v>모름</v>
          </cell>
          <cell r="H3516">
            <v>169</v>
          </cell>
          <cell r="I3516">
            <v>4000</v>
          </cell>
        </row>
        <row r="3517">
          <cell r="C3517" t="str">
            <v>저축은행</v>
          </cell>
          <cell r="E3517" t="str">
            <v>모름</v>
          </cell>
          <cell r="H3517">
            <v>51</v>
          </cell>
          <cell r="I3517">
            <v>4000</v>
          </cell>
        </row>
        <row r="3518">
          <cell r="C3518" t="str">
            <v>저축은행</v>
          </cell>
          <cell r="E3518" t="str">
            <v>모름</v>
          </cell>
          <cell r="H3518">
            <v>53</v>
          </cell>
          <cell r="I3518">
            <v>0</v>
          </cell>
        </row>
        <row r="3519">
          <cell r="C3519" t="str">
            <v>저축은행</v>
          </cell>
          <cell r="E3519" t="str">
            <v>모름</v>
          </cell>
          <cell r="H3519">
            <v>182</v>
          </cell>
          <cell r="I3519">
            <v>1950</v>
          </cell>
        </row>
        <row r="3520">
          <cell r="C3520" t="str">
            <v>저축은행</v>
          </cell>
          <cell r="E3520" t="str">
            <v>모름</v>
          </cell>
          <cell r="H3520">
            <v>3</v>
          </cell>
          <cell r="I3520">
            <v>0</v>
          </cell>
        </row>
        <row r="3521">
          <cell r="C3521" t="str">
            <v>저축은행</v>
          </cell>
          <cell r="E3521" t="str">
            <v>모름</v>
          </cell>
          <cell r="H3521">
            <v>50</v>
          </cell>
          <cell r="I3521">
            <v>3903</v>
          </cell>
        </row>
        <row r="3522">
          <cell r="C3522" t="str">
            <v>저축은행</v>
          </cell>
          <cell r="E3522" t="str">
            <v>모름</v>
          </cell>
          <cell r="H3522">
            <v>25</v>
          </cell>
          <cell r="I3522">
            <v>0</v>
          </cell>
        </row>
        <row r="3523">
          <cell r="C3523" t="str">
            <v>저축은행</v>
          </cell>
          <cell r="E3523" t="str">
            <v>모름</v>
          </cell>
          <cell r="H3523">
            <v>45</v>
          </cell>
          <cell r="I3523">
            <v>4000</v>
          </cell>
        </row>
        <row r="3524">
          <cell r="C3524" t="str">
            <v>저축은행</v>
          </cell>
          <cell r="E3524" t="str">
            <v>모름</v>
          </cell>
          <cell r="H3524">
            <v>78</v>
          </cell>
          <cell r="I3524">
            <v>0</v>
          </cell>
        </row>
        <row r="3525">
          <cell r="C3525" t="str">
            <v>저축은행</v>
          </cell>
          <cell r="E3525" t="str">
            <v>모름</v>
          </cell>
          <cell r="H3525">
            <v>309</v>
          </cell>
          <cell r="I3525">
            <v>0</v>
          </cell>
        </row>
        <row r="3526">
          <cell r="C3526" t="str">
            <v>저축은행</v>
          </cell>
          <cell r="E3526" t="str">
            <v>모름</v>
          </cell>
          <cell r="H3526">
            <v>1000</v>
          </cell>
          <cell r="I3526">
            <v>0</v>
          </cell>
        </row>
        <row r="3527">
          <cell r="C3527" t="str">
            <v>저축은행</v>
          </cell>
          <cell r="E3527" t="str">
            <v>모름</v>
          </cell>
          <cell r="H3527">
            <v>60</v>
          </cell>
          <cell r="I3527">
            <v>0</v>
          </cell>
        </row>
        <row r="3528">
          <cell r="C3528" t="str">
            <v>저축은행</v>
          </cell>
          <cell r="E3528" t="str">
            <v>모름</v>
          </cell>
          <cell r="H3528">
            <v>314</v>
          </cell>
          <cell r="I3528">
            <v>0</v>
          </cell>
        </row>
        <row r="3529">
          <cell r="C3529" t="str">
            <v>저축은행</v>
          </cell>
          <cell r="E3529" t="str">
            <v>모름</v>
          </cell>
          <cell r="H3529">
            <v>30</v>
          </cell>
          <cell r="I3529">
            <v>0</v>
          </cell>
        </row>
        <row r="3530">
          <cell r="C3530" t="str">
            <v>저축은행</v>
          </cell>
          <cell r="E3530" t="str">
            <v>모름</v>
          </cell>
          <cell r="H3530">
            <v>324</v>
          </cell>
          <cell r="I3530">
            <v>0</v>
          </cell>
        </row>
        <row r="3531">
          <cell r="C3531" t="str">
            <v>저축은행</v>
          </cell>
          <cell r="E3531" t="str">
            <v>모름</v>
          </cell>
          <cell r="H3531">
            <v>94</v>
          </cell>
          <cell r="I3531">
            <v>0</v>
          </cell>
        </row>
        <row r="3532">
          <cell r="C3532" t="str">
            <v>저축은행</v>
          </cell>
          <cell r="E3532" t="str">
            <v>모름</v>
          </cell>
          <cell r="H3532">
            <v>31</v>
          </cell>
          <cell r="I3532">
            <v>0</v>
          </cell>
        </row>
        <row r="3533">
          <cell r="C3533" t="str">
            <v>저축은행</v>
          </cell>
          <cell r="E3533" t="str">
            <v>모름</v>
          </cell>
          <cell r="H3533">
            <v>1000</v>
          </cell>
          <cell r="I3533">
            <v>0</v>
          </cell>
        </row>
        <row r="3534">
          <cell r="C3534" t="str">
            <v>저축은행</v>
          </cell>
          <cell r="E3534" t="str">
            <v>모름</v>
          </cell>
          <cell r="H3534">
            <v>23</v>
          </cell>
          <cell r="I3534">
            <v>0</v>
          </cell>
        </row>
        <row r="3535">
          <cell r="C3535" t="str">
            <v>저축은행</v>
          </cell>
          <cell r="E3535" t="str">
            <v>모름</v>
          </cell>
          <cell r="H3535">
            <v>76</v>
          </cell>
          <cell r="I3535">
            <v>0</v>
          </cell>
        </row>
        <row r="3536">
          <cell r="C3536" t="str">
            <v>저축은행</v>
          </cell>
          <cell r="E3536" t="str">
            <v>모름</v>
          </cell>
          <cell r="H3536">
            <v>1000</v>
          </cell>
          <cell r="I3536">
            <v>3200</v>
          </cell>
        </row>
        <row r="3537">
          <cell r="C3537" t="str">
            <v>저축은행</v>
          </cell>
          <cell r="E3537" t="str">
            <v>모름</v>
          </cell>
          <cell r="H3537">
            <v>216</v>
          </cell>
          <cell r="I3537">
            <v>1900</v>
          </cell>
        </row>
        <row r="3538">
          <cell r="C3538" t="str">
            <v>저축은행</v>
          </cell>
          <cell r="E3538" t="str">
            <v>모름</v>
          </cell>
          <cell r="H3538">
            <v>20</v>
          </cell>
          <cell r="I3538">
            <v>0</v>
          </cell>
        </row>
        <row r="3539">
          <cell r="C3539" t="str">
            <v>저축은행</v>
          </cell>
          <cell r="E3539" t="str">
            <v>모름</v>
          </cell>
          <cell r="H3539">
            <v>61</v>
          </cell>
          <cell r="I3539">
            <v>3000</v>
          </cell>
        </row>
        <row r="3540">
          <cell r="C3540" t="str">
            <v>저축은행</v>
          </cell>
          <cell r="E3540" t="str">
            <v>모름</v>
          </cell>
          <cell r="H3540">
            <v>1000</v>
          </cell>
          <cell r="I3540">
            <v>1800</v>
          </cell>
        </row>
        <row r="3541">
          <cell r="C3541" t="str">
            <v>저축은행</v>
          </cell>
          <cell r="E3541" t="str">
            <v>모름</v>
          </cell>
          <cell r="H3541">
            <v>309</v>
          </cell>
          <cell r="I3541">
            <v>3000</v>
          </cell>
        </row>
        <row r="3542">
          <cell r="C3542" t="str">
            <v>저축은행</v>
          </cell>
          <cell r="E3542" t="str">
            <v>모름</v>
          </cell>
          <cell r="H3542">
            <v>50</v>
          </cell>
          <cell r="I3542">
            <v>0</v>
          </cell>
        </row>
        <row r="3543">
          <cell r="C3543" t="str">
            <v>저축은행</v>
          </cell>
          <cell r="E3543" t="str">
            <v>모름</v>
          </cell>
          <cell r="H3543">
            <v>1000</v>
          </cell>
          <cell r="I3543">
            <v>0</v>
          </cell>
        </row>
        <row r="3544">
          <cell r="C3544" t="str">
            <v>저축은행</v>
          </cell>
          <cell r="E3544" t="str">
            <v>모름</v>
          </cell>
          <cell r="H3544">
            <v>21</v>
          </cell>
          <cell r="I3544">
            <v>1000</v>
          </cell>
        </row>
        <row r="3545">
          <cell r="C3545" t="str">
            <v>저축은행</v>
          </cell>
          <cell r="E3545" t="str">
            <v>모름</v>
          </cell>
          <cell r="H3545">
            <v>21</v>
          </cell>
          <cell r="I3545">
            <v>4000</v>
          </cell>
        </row>
        <row r="3546">
          <cell r="C3546" t="str">
            <v>저축은행</v>
          </cell>
          <cell r="E3546" t="str">
            <v>모름</v>
          </cell>
          <cell r="H3546">
            <v>44</v>
          </cell>
          <cell r="I3546">
            <v>0</v>
          </cell>
        </row>
        <row r="3547">
          <cell r="C3547" t="str">
            <v>저축은행</v>
          </cell>
          <cell r="E3547" t="str">
            <v>모름</v>
          </cell>
          <cell r="H3547">
            <v>68</v>
          </cell>
          <cell r="I3547">
            <v>782</v>
          </cell>
        </row>
        <row r="3548">
          <cell r="C3548" t="str">
            <v>저축은행</v>
          </cell>
          <cell r="E3548" t="str">
            <v>모름</v>
          </cell>
          <cell r="H3548">
            <v>60</v>
          </cell>
          <cell r="I3548">
            <v>0</v>
          </cell>
        </row>
        <row r="3549">
          <cell r="C3549" t="str">
            <v>저축은행</v>
          </cell>
          <cell r="E3549" t="str">
            <v>모름</v>
          </cell>
          <cell r="H3549">
            <v>12</v>
          </cell>
          <cell r="I3549">
            <v>0</v>
          </cell>
        </row>
        <row r="3550">
          <cell r="C3550" t="str">
            <v>저축은행</v>
          </cell>
          <cell r="E3550" t="str">
            <v>모름</v>
          </cell>
          <cell r="H3550">
            <v>309</v>
          </cell>
          <cell r="I3550">
            <v>6500</v>
          </cell>
        </row>
        <row r="3551">
          <cell r="C3551" t="str">
            <v>저축은행</v>
          </cell>
          <cell r="E3551" t="str">
            <v>모름</v>
          </cell>
          <cell r="H3551">
            <v>83</v>
          </cell>
          <cell r="I3551">
            <v>1389</v>
          </cell>
        </row>
        <row r="3552">
          <cell r="C3552" t="str">
            <v>저축은행</v>
          </cell>
          <cell r="E3552" t="str">
            <v>모름</v>
          </cell>
          <cell r="H3552">
            <v>51</v>
          </cell>
          <cell r="I3552">
            <v>0</v>
          </cell>
        </row>
        <row r="3553">
          <cell r="C3553" t="str">
            <v>저축은행</v>
          </cell>
          <cell r="E3553" t="str">
            <v>모름</v>
          </cell>
          <cell r="H3553">
            <v>56</v>
          </cell>
          <cell r="I3553">
            <v>0</v>
          </cell>
        </row>
        <row r="3554">
          <cell r="C3554" t="str">
            <v>저축은행</v>
          </cell>
          <cell r="E3554" t="str">
            <v>모름</v>
          </cell>
          <cell r="H3554">
            <v>4</v>
          </cell>
          <cell r="I3554">
            <v>0</v>
          </cell>
        </row>
        <row r="3555">
          <cell r="C3555" t="str">
            <v>저축은행</v>
          </cell>
          <cell r="E3555" t="str">
            <v>모름</v>
          </cell>
          <cell r="H3555">
            <v>4</v>
          </cell>
          <cell r="I3555">
            <v>0</v>
          </cell>
        </row>
        <row r="3556">
          <cell r="C3556" t="str">
            <v>저축은행</v>
          </cell>
          <cell r="E3556" t="str">
            <v>모름</v>
          </cell>
          <cell r="H3556">
            <v>31</v>
          </cell>
          <cell r="I3556">
            <v>0</v>
          </cell>
        </row>
        <row r="3557">
          <cell r="C3557" t="str">
            <v>저축은행</v>
          </cell>
          <cell r="E3557" t="str">
            <v>모름</v>
          </cell>
          <cell r="H3557">
            <v>1000</v>
          </cell>
          <cell r="I3557">
            <v>4409</v>
          </cell>
        </row>
        <row r="3558">
          <cell r="C3558" t="str">
            <v>저축은행</v>
          </cell>
          <cell r="E3558" t="str">
            <v>모름</v>
          </cell>
          <cell r="H3558">
            <v>84</v>
          </cell>
          <cell r="I3558">
            <v>0</v>
          </cell>
        </row>
        <row r="3559">
          <cell r="C3559" t="str">
            <v>저축은행</v>
          </cell>
          <cell r="E3559" t="str">
            <v>모름</v>
          </cell>
          <cell r="H3559">
            <v>23</v>
          </cell>
          <cell r="I3559">
            <v>0</v>
          </cell>
        </row>
        <row r="3560">
          <cell r="C3560" t="str">
            <v>저축은행</v>
          </cell>
          <cell r="E3560" t="str">
            <v>모름</v>
          </cell>
          <cell r="H3560">
            <v>61</v>
          </cell>
          <cell r="I3560">
            <v>2500</v>
          </cell>
        </row>
        <row r="3561">
          <cell r="C3561" t="str">
            <v>저축은행</v>
          </cell>
          <cell r="E3561" t="str">
            <v>모름</v>
          </cell>
          <cell r="H3561">
            <v>1000</v>
          </cell>
          <cell r="I3561">
            <v>4877</v>
          </cell>
        </row>
        <row r="3562">
          <cell r="C3562" t="str">
            <v>저축은행</v>
          </cell>
          <cell r="E3562" t="str">
            <v>모름</v>
          </cell>
          <cell r="H3562">
            <v>50</v>
          </cell>
          <cell r="I3562">
            <v>5000</v>
          </cell>
        </row>
        <row r="3563">
          <cell r="C3563" t="str">
            <v>저축은행</v>
          </cell>
          <cell r="E3563" t="str">
            <v>모름</v>
          </cell>
          <cell r="H3563">
            <v>138</v>
          </cell>
          <cell r="I3563">
            <v>0</v>
          </cell>
        </row>
        <row r="3564">
          <cell r="C3564" t="str">
            <v>저축은행</v>
          </cell>
          <cell r="E3564" t="str">
            <v>모름</v>
          </cell>
          <cell r="H3564">
            <v>2</v>
          </cell>
          <cell r="I3564">
            <v>0</v>
          </cell>
        </row>
        <row r="3565">
          <cell r="C3565" t="str">
            <v>저축은행</v>
          </cell>
          <cell r="E3565" t="str">
            <v>모름</v>
          </cell>
          <cell r="H3565">
            <v>1000</v>
          </cell>
          <cell r="I3565">
            <v>4000</v>
          </cell>
        </row>
        <row r="3566">
          <cell r="C3566" t="str">
            <v>저축은행</v>
          </cell>
          <cell r="E3566" t="str">
            <v>모름</v>
          </cell>
          <cell r="H3566">
            <v>44</v>
          </cell>
          <cell r="I3566">
            <v>0</v>
          </cell>
        </row>
        <row r="3567">
          <cell r="C3567" t="str">
            <v>저축은행</v>
          </cell>
          <cell r="E3567" t="str">
            <v>모름</v>
          </cell>
          <cell r="H3567">
            <v>309</v>
          </cell>
          <cell r="I3567">
            <v>3000</v>
          </cell>
        </row>
        <row r="3568">
          <cell r="C3568" t="str">
            <v>저축은행</v>
          </cell>
          <cell r="E3568" t="str">
            <v>모름</v>
          </cell>
          <cell r="H3568">
            <v>248</v>
          </cell>
          <cell r="I3568">
            <v>4700</v>
          </cell>
        </row>
        <row r="3569">
          <cell r="C3569" t="str">
            <v>저축은행</v>
          </cell>
          <cell r="E3569" t="str">
            <v>모름</v>
          </cell>
          <cell r="H3569">
            <v>27</v>
          </cell>
          <cell r="I3569">
            <v>0</v>
          </cell>
        </row>
        <row r="3570">
          <cell r="C3570" t="str">
            <v>저축은행</v>
          </cell>
          <cell r="E3570" t="str">
            <v>모름</v>
          </cell>
          <cell r="H3570">
            <v>335</v>
          </cell>
          <cell r="I3570">
            <v>5100</v>
          </cell>
        </row>
        <row r="3571">
          <cell r="C3571" t="str">
            <v>저축은행</v>
          </cell>
          <cell r="E3571" t="str">
            <v>모름</v>
          </cell>
          <cell r="H3571">
            <v>23</v>
          </cell>
          <cell r="I3571">
            <v>0</v>
          </cell>
        </row>
        <row r="3572">
          <cell r="C3572" t="str">
            <v>저축은행</v>
          </cell>
          <cell r="E3572" t="str">
            <v>모름</v>
          </cell>
          <cell r="H3572">
            <v>45</v>
          </cell>
          <cell r="I3572">
            <v>5000</v>
          </cell>
        </row>
        <row r="3573">
          <cell r="C3573" t="str">
            <v>저축은행</v>
          </cell>
          <cell r="E3573" t="str">
            <v>모름</v>
          </cell>
          <cell r="H3573">
            <v>61</v>
          </cell>
          <cell r="I3573">
            <v>0</v>
          </cell>
        </row>
        <row r="3574">
          <cell r="C3574" t="str">
            <v>저축은행</v>
          </cell>
          <cell r="E3574" t="str">
            <v>모름</v>
          </cell>
          <cell r="H3574">
            <v>68</v>
          </cell>
          <cell r="I3574">
            <v>0</v>
          </cell>
        </row>
        <row r="3575">
          <cell r="C3575" t="str">
            <v>저축은행</v>
          </cell>
          <cell r="E3575" t="str">
            <v>모름</v>
          </cell>
          <cell r="H3575">
            <v>61</v>
          </cell>
          <cell r="I3575">
            <v>0</v>
          </cell>
        </row>
        <row r="3576">
          <cell r="C3576" t="str">
            <v>저축은행</v>
          </cell>
          <cell r="E3576" t="str">
            <v>모름</v>
          </cell>
          <cell r="H3576">
            <v>45</v>
          </cell>
          <cell r="I3576">
            <v>3500</v>
          </cell>
        </row>
        <row r="3577">
          <cell r="C3577" t="str">
            <v>저축은행</v>
          </cell>
          <cell r="E3577" t="str">
            <v>모름</v>
          </cell>
          <cell r="H3577">
            <v>309</v>
          </cell>
          <cell r="I3577">
            <v>3500</v>
          </cell>
        </row>
        <row r="3578">
          <cell r="C3578" t="str">
            <v>저축은행</v>
          </cell>
          <cell r="E3578" t="str">
            <v>모름</v>
          </cell>
          <cell r="H3578">
            <v>335</v>
          </cell>
          <cell r="I3578">
            <v>7000</v>
          </cell>
        </row>
        <row r="3579">
          <cell r="C3579" t="str">
            <v>저축은행</v>
          </cell>
          <cell r="E3579" t="str">
            <v>모름</v>
          </cell>
          <cell r="H3579">
            <v>35</v>
          </cell>
          <cell r="I3579">
            <v>7000</v>
          </cell>
        </row>
        <row r="3580">
          <cell r="C3580" t="str">
            <v>저축은행</v>
          </cell>
          <cell r="E3580" t="str">
            <v>모름</v>
          </cell>
          <cell r="H3580">
            <v>248</v>
          </cell>
          <cell r="I3580">
            <v>1300</v>
          </cell>
        </row>
        <row r="3581">
          <cell r="C3581" t="str">
            <v>저축은행</v>
          </cell>
          <cell r="E3581" t="str">
            <v>모름</v>
          </cell>
          <cell r="H3581">
            <v>26</v>
          </cell>
          <cell r="I3581">
            <v>0</v>
          </cell>
        </row>
        <row r="3582">
          <cell r="C3582" t="str">
            <v>저축은행</v>
          </cell>
          <cell r="E3582" t="str">
            <v>모름</v>
          </cell>
          <cell r="H3582">
            <v>61</v>
          </cell>
          <cell r="I3582">
            <v>7000</v>
          </cell>
        </row>
        <row r="3583">
          <cell r="C3583" t="str">
            <v>저축은행</v>
          </cell>
          <cell r="E3583" t="str">
            <v>모름</v>
          </cell>
          <cell r="H3583">
            <v>44</v>
          </cell>
          <cell r="I3583">
            <v>0</v>
          </cell>
        </row>
        <row r="3584">
          <cell r="C3584" t="str">
            <v>저축은행</v>
          </cell>
          <cell r="E3584" t="str">
            <v>모름</v>
          </cell>
          <cell r="H3584">
            <v>309</v>
          </cell>
          <cell r="I3584">
            <v>5000</v>
          </cell>
        </row>
        <row r="3585">
          <cell r="C3585" t="str">
            <v>저축은행</v>
          </cell>
          <cell r="E3585" t="str">
            <v>모름</v>
          </cell>
          <cell r="H3585">
            <v>60</v>
          </cell>
          <cell r="I3585">
            <v>6000</v>
          </cell>
        </row>
        <row r="3586">
          <cell r="C3586" t="str">
            <v>저축은행</v>
          </cell>
          <cell r="E3586" t="str">
            <v>모름</v>
          </cell>
          <cell r="H3586">
            <v>61</v>
          </cell>
          <cell r="I3586">
            <v>0</v>
          </cell>
        </row>
        <row r="3587">
          <cell r="C3587" t="str">
            <v>저축은행</v>
          </cell>
          <cell r="E3587" t="str">
            <v>모름</v>
          </cell>
          <cell r="H3587">
            <v>309</v>
          </cell>
          <cell r="I3587">
            <v>2500</v>
          </cell>
        </row>
        <row r="3588">
          <cell r="C3588" t="str">
            <v>저축은행</v>
          </cell>
          <cell r="E3588" t="str">
            <v>모름</v>
          </cell>
          <cell r="H3588">
            <v>1000</v>
          </cell>
          <cell r="I3588">
            <v>0</v>
          </cell>
        </row>
        <row r="3589">
          <cell r="C3589" t="str">
            <v>저축은행</v>
          </cell>
          <cell r="E3589" t="str">
            <v>모름</v>
          </cell>
          <cell r="H3589">
            <v>1</v>
          </cell>
          <cell r="I3589">
            <v>7000</v>
          </cell>
        </row>
        <row r="3590">
          <cell r="C3590" t="str">
            <v>저축은행</v>
          </cell>
          <cell r="E3590" t="str">
            <v>모름</v>
          </cell>
          <cell r="H3590">
            <v>314</v>
          </cell>
          <cell r="I3590">
            <v>6006</v>
          </cell>
        </row>
        <row r="3591">
          <cell r="C3591" t="str">
            <v>저축은행</v>
          </cell>
          <cell r="E3591" t="str">
            <v>모름</v>
          </cell>
          <cell r="H3591">
            <v>36</v>
          </cell>
          <cell r="I3591">
            <v>0</v>
          </cell>
        </row>
        <row r="3592">
          <cell r="C3592" t="str">
            <v>저축은행</v>
          </cell>
          <cell r="E3592" t="str">
            <v>모름</v>
          </cell>
          <cell r="H3592">
            <v>1000</v>
          </cell>
          <cell r="I3592">
            <v>4000</v>
          </cell>
        </row>
        <row r="3593">
          <cell r="C3593" t="str">
            <v>저축은행</v>
          </cell>
          <cell r="E3593" t="str">
            <v>모름</v>
          </cell>
          <cell r="H3593">
            <v>12</v>
          </cell>
          <cell r="I3593">
            <v>0</v>
          </cell>
        </row>
        <row r="3594">
          <cell r="C3594" t="str">
            <v>저축은행</v>
          </cell>
          <cell r="E3594" t="str">
            <v>모름</v>
          </cell>
          <cell r="H3594">
            <v>50</v>
          </cell>
          <cell r="I3594">
            <v>0</v>
          </cell>
        </row>
        <row r="3595">
          <cell r="C3595" t="str">
            <v>저축은행</v>
          </cell>
          <cell r="E3595" t="str">
            <v>모름</v>
          </cell>
          <cell r="H3595">
            <v>141</v>
          </cell>
          <cell r="I3595">
            <v>3500</v>
          </cell>
        </row>
        <row r="3596">
          <cell r="C3596" t="str">
            <v>저축은행</v>
          </cell>
          <cell r="E3596" t="str">
            <v>모름</v>
          </cell>
          <cell r="H3596">
            <v>4</v>
          </cell>
          <cell r="I3596">
            <v>0</v>
          </cell>
        </row>
        <row r="3597">
          <cell r="C3597" t="str">
            <v>저축은행</v>
          </cell>
          <cell r="E3597" t="str">
            <v>모름</v>
          </cell>
          <cell r="H3597">
            <v>4</v>
          </cell>
          <cell r="I3597">
            <v>0</v>
          </cell>
        </row>
        <row r="3598">
          <cell r="C3598" t="str">
            <v>저축은행</v>
          </cell>
          <cell r="E3598" t="str">
            <v>모름</v>
          </cell>
          <cell r="H3598">
            <v>54</v>
          </cell>
          <cell r="I3598">
            <v>0</v>
          </cell>
        </row>
        <row r="3599">
          <cell r="C3599" t="str">
            <v>저축은행</v>
          </cell>
          <cell r="E3599" t="str">
            <v>모름</v>
          </cell>
          <cell r="H3599">
            <v>10</v>
          </cell>
          <cell r="I3599">
            <v>0</v>
          </cell>
        </row>
        <row r="3600">
          <cell r="C3600" t="str">
            <v>저축은행</v>
          </cell>
          <cell r="E3600" t="str">
            <v>모름</v>
          </cell>
          <cell r="H3600">
            <v>1000</v>
          </cell>
          <cell r="I3600">
            <v>0</v>
          </cell>
        </row>
        <row r="3601">
          <cell r="C3601" t="str">
            <v>저축은행</v>
          </cell>
          <cell r="E3601" t="str">
            <v>모름</v>
          </cell>
          <cell r="H3601">
            <v>20</v>
          </cell>
          <cell r="I3601">
            <v>0</v>
          </cell>
        </row>
        <row r="3602">
          <cell r="C3602" t="str">
            <v>저축은행</v>
          </cell>
          <cell r="E3602" t="str">
            <v>모름</v>
          </cell>
          <cell r="H3602">
            <v>35</v>
          </cell>
          <cell r="I3602">
            <v>7000</v>
          </cell>
        </row>
        <row r="3603">
          <cell r="C3603" t="str">
            <v>저축은행</v>
          </cell>
          <cell r="E3603" t="str">
            <v>모름</v>
          </cell>
          <cell r="H3603">
            <v>23</v>
          </cell>
          <cell r="I3603">
            <v>0</v>
          </cell>
        </row>
        <row r="3604">
          <cell r="C3604" t="str">
            <v>저축은행</v>
          </cell>
          <cell r="E3604" t="str">
            <v>모름</v>
          </cell>
          <cell r="H3604">
            <v>44</v>
          </cell>
          <cell r="I3604">
            <v>0</v>
          </cell>
        </row>
        <row r="3605">
          <cell r="C3605" t="str">
            <v>저축은행</v>
          </cell>
          <cell r="E3605" t="str">
            <v>모름</v>
          </cell>
          <cell r="H3605">
            <v>61</v>
          </cell>
          <cell r="I3605">
            <v>3500</v>
          </cell>
        </row>
        <row r="3606">
          <cell r="C3606" t="str">
            <v>저축은행</v>
          </cell>
          <cell r="E3606" t="str">
            <v>모름</v>
          </cell>
          <cell r="H3606">
            <v>35</v>
          </cell>
          <cell r="I3606">
            <v>0</v>
          </cell>
        </row>
        <row r="3607">
          <cell r="C3607" t="str">
            <v>저축은행</v>
          </cell>
          <cell r="E3607" t="str">
            <v>모름</v>
          </cell>
          <cell r="H3607">
            <v>61</v>
          </cell>
          <cell r="I3607">
            <v>0</v>
          </cell>
        </row>
        <row r="3608">
          <cell r="C3608" t="str">
            <v>저축은행</v>
          </cell>
          <cell r="E3608" t="str">
            <v>모름</v>
          </cell>
          <cell r="H3608">
            <v>21</v>
          </cell>
          <cell r="I3608">
            <v>10000</v>
          </cell>
        </row>
        <row r="3609">
          <cell r="C3609" t="str">
            <v>저축은행</v>
          </cell>
          <cell r="E3609" t="str">
            <v>모름</v>
          </cell>
          <cell r="H3609">
            <v>18</v>
          </cell>
          <cell r="I3609">
            <v>0</v>
          </cell>
        </row>
        <row r="3610">
          <cell r="C3610" t="str">
            <v>저축은행</v>
          </cell>
          <cell r="E3610" t="str">
            <v>모름</v>
          </cell>
          <cell r="H3610">
            <v>94</v>
          </cell>
          <cell r="I3610">
            <v>7000</v>
          </cell>
        </row>
        <row r="3611">
          <cell r="C3611" t="str">
            <v>저축은행</v>
          </cell>
          <cell r="E3611" t="str">
            <v>모름</v>
          </cell>
          <cell r="H3611">
            <v>27</v>
          </cell>
          <cell r="I3611">
            <v>0</v>
          </cell>
        </row>
        <row r="3612">
          <cell r="C3612" t="str">
            <v>저축은행</v>
          </cell>
          <cell r="E3612" t="str">
            <v>모름</v>
          </cell>
          <cell r="H3612">
            <v>158</v>
          </cell>
          <cell r="I3612">
            <v>0</v>
          </cell>
        </row>
        <row r="3613">
          <cell r="C3613" t="str">
            <v>저축은행</v>
          </cell>
          <cell r="E3613" t="str">
            <v>모름</v>
          </cell>
          <cell r="H3613">
            <v>4</v>
          </cell>
          <cell r="I3613">
            <v>0</v>
          </cell>
        </row>
        <row r="3614">
          <cell r="C3614" t="str">
            <v>저축은행</v>
          </cell>
          <cell r="E3614" t="str">
            <v>모름</v>
          </cell>
          <cell r="H3614">
            <v>23</v>
          </cell>
          <cell r="I3614">
            <v>0</v>
          </cell>
        </row>
        <row r="3615">
          <cell r="C3615" t="str">
            <v>저축은행</v>
          </cell>
          <cell r="E3615" t="str">
            <v>모름</v>
          </cell>
          <cell r="H3615">
            <v>83</v>
          </cell>
          <cell r="I3615">
            <v>868</v>
          </cell>
        </row>
        <row r="3616">
          <cell r="C3616" t="str">
            <v>저축은행</v>
          </cell>
          <cell r="E3616" t="str">
            <v>모름</v>
          </cell>
          <cell r="H3616">
            <v>324</v>
          </cell>
          <cell r="I3616">
            <v>1000</v>
          </cell>
        </row>
        <row r="3617">
          <cell r="C3617" t="str">
            <v>저축은행</v>
          </cell>
          <cell r="E3617" t="str">
            <v>모름</v>
          </cell>
          <cell r="H3617">
            <v>94</v>
          </cell>
          <cell r="I3617">
            <v>150</v>
          </cell>
        </row>
        <row r="3618">
          <cell r="C3618" t="str">
            <v>저축은행</v>
          </cell>
          <cell r="E3618" t="str">
            <v>모름</v>
          </cell>
          <cell r="H3618">
            <v>214</v>
          </cell>
          <cell r="I3618">
            <v>1000</v>
          </cell>
        </row>
        <row r="3619">
          <cell r="C3619" t="str">
            <v>저축은행</v>
          </cell>
          <cell r="E3619" t="str">
            <v>모름</v>
          </cell>
          <cell r="H3619">
            <v>9</v>
          </cell>
          <cell r="I3619">
            <v>0</v>
          </cell>
        </row>
        <row r="3620">
          <cell r="C3620" t="str">
            <v>저축은행</v>
          </cell>
          <cell r="E3620" t="str">
            <v>모름</v>
          </cell>
          <cell r="H3620">
            <v>152</v>
          </cell>
          <cell r="I3620">
            <v>1900</v>
          </cell>
        </row>
        <row r="3621">
          <cell r="C3621" t="str">
            <v>저축은행</v>
          </cell>
          <cell r="E3621" t="str">
            <v>모름</v>
          </cell>
          <cell r="H3621">
            <v>44</v>
          </cell>
          <cell r="I3621">
            <v>0</v>
          </cell>
        </row>
        <row r="3622">
          <cell r="C3622" t="str">
            <v>저축은행</v>
          </cell>
          <cell r="E3622" t="str">
            <v>모름</v>
          </cell>
          <cell r="H3622">
            <v>191</v>
          </cell>
          <cell r="I3622">
            <v>600</v>
          </cell>
        </row>
        <row r="3623">
          <cell r="C3623" t="str">
            <v>저축은행</v>
          </cell>
          <cell r="E3623" t="str">
            <v>모름</v>
          </cell>
          <cell r="H3623">
            <v>144</v>
          </cell>
          <cell r="I3623">
            <v>1000</v>
          </cell>
        </row>
        <row r="3624">
          <cell r="C3624" t="str">
            <v>저축은행</v>
          </cell>
          <cell r="E3624" t="str">
            <v>모름</v>
          </cell>
          <cell r="H3624">
            <v>324</v>
          </cell>
          <cell r="I3624">
            <v>1500</v>
          </cell>
        </row>
        <row r="3625">
          <cell r="C3625" t="str">
            <v>저축은행</v>
          </cell>
          <cell r="E3625" t="str">
            <v>모름</v>
          </cell>
          <cell r="H3625">
            <v>175</v>
          </cell>
          <cell r="I3625">
            <v>0</v>
          </cell>
        </row>
        <row r="3626">
          <cell r="C3626" t="str">
            <v>저축은행</v>
          </cell>
          <cell r="E3626" t="str">
            <v>모름</v>
          </cell>
          <cell r="H3626">
            <v>175</v>
          </cell>
          <cell r="I3626">
            <v>0</v>
          </cell>
        </row>
        <row r="3627">
          <cell r="C3627" t="str">
            <v>저축은행</v>
          </cell>
          <cell r="E3627" t="str">
            <v>모름</v>
          </cell>
          <cell r="H3627">
            <v>175</v>
          </cell>
          <cell r="I3627">
            <v>0</v>
          </cell>
        </row>
        <row r="3628">
          <cell r="C3628" t="str">
            <v>저축은행</v>
          </cell>
          <cell r="E3628" t="str">
            <v>모름</v>
          </cell>
          <cell r="H3628">
            <v>175</v>
          </cell>
          <cell r="I3628">
            <v>0</v>
          </cell>
        </row>
        <row r="3629">
          <cell r="C3629" t="str">
            <v>저축은행</v>
          </cell>
          <cell r="E3629" t="str">
            <v>모름</v>
          </cell>
          <cell r="H3629">
            <v>87</v>
          </cell>
          <cell r="I3629">
            <v>820</v>
          </cell>
        </row>
        <row r="3630">
          <cell r="C3630" t="str">
            <v>저축은행</v>
          </cell>
          <cell r="E3630" t="str">
            <v>모름</v>
          </cell>
          <cell r="H3630">
            <v>62</v>
          </cell>
          <cell r="I3630">
            <v>9500</v>
          </cell>
        </row>
        <row r="3631">
          <cell r="C3631" t="str">
            <v>저축은행</v>
          </cell>
          <cell r="E3631" t="str">
            <v>모름</v>
          </cell>
          <cell r="H3631">
            <v>41</v>
          </cell>
          <cell r="I3631">
            <v>186</v>
          </cell>
        </row>
        <row r="3632">
          <cell r="C3632" t="str">
            <v>저축은행</v>
          </cell>
          <cell r="E3632" t="str">
            <v>모름</v>
          </cell>
          <cell r="H3632">
            <v>41</v>
          </cell>
          <cell r="I3632">
            <v>4840</v>
          </cell>
        </row>
        <row r="3633">
          <cell r="C3633" t="str">
            <v>저축은행</v>
          </cell>
          <cell r="E3633" t="str">
            <v>모름</v>
          </cell>
          <cell r="H3633">
            <v>1000</v>
          </cell>
          <cell r="I3633">
            <v>10974</v>
          </cell>
        </row>
        <row r="3634">
          <cell r="C3634" t="str">
            <v>저축은행</v>
          </cell>
          <cell r="E3634" t="str">
            <v>모름</v>
          </cell>
          <cell r="H3634">
            <v>40</v>
          </cell>
          <cell r="I3634">
            <v>4973</v>
          </cell>
        </row>
        <row r="3635">
          <cell r="C3635" t="str">
            <v>저축은행</v>
          </cell>
          <cell r="E3635" t="str">
            <v>모름</v>
          </cell>
          <cell r="H3635">
            <v>41</v>
          </cell>
          <cell r="I3635">
            <v>10900</v>
          </cell>
        </row>
        <row r="3636">
          <cell r="C3636" t="str">
            <v>저축은행</v>
          </cell>
          <cell r="E3636" t="str">
            <v>모름</v>
          </cell>
          <cell r="H3636">
            <v>41</v>
          </cell>
          <cell r="I3636">
            <v>17860</v>
          </cell>
        </row>
        <row r="3637">
          <cell r="C3637" t="str">
            <v>저축은행</v>
          </cell>
          <cell r="E3637" t="str">
            <v>모름</v>
          </cell>
          <cell r="H3637">
            <v>1000</v>
          </cell>
          <cell r="I3637">
            <v>940</v>
          </cell>
        </row>
        <row r="3638">
          <cell r="C3638" t="str">
            <v>저축은행</v>
          </cell>
          <cell r="E3638" t="str">
            <v>모름</v>
          </cell>
          <cell r="H3638">
            <v>41</v>
          </cell>
          <cell r="I3638">
            <v>9360</v>
          </cell>
        </row>
        <row r="3639">
          <cell r="C3639" t="str">
            <v>저축은행</v>
          </cell>
          <cell r="E3639" t="str">
            <v>모름</v>
          </cell>
          <cell r="H3639">
            <v>41</v>
          </cell>
          <cell r="I3639">
            <v>5835</v>
          </cell>
        </row>
        <row r="3640">
          <cell r="C3640" t="str">
            <v>저축은행</v>
          </cell>
          <cell r="E3640" t="str">
            <v>모름</v>
          </cell>
          <cell r="H3640">
            <v>41</v>
          </cell>
          <cell r="I3640">
            <v>9380</v>
          </cell>
        </row>
        <row r="3641">
          <cell r="C3641" t="str">
            <v>저축은행</v>
          </cell>
          <cell r="E3641" t="str">
            <v>모름</v>
          </cell>
          <cell r="H3641">
            <v>1000</v>
          </cell>
          <cell r="I3641">
            <v>6010</v>
          </cell>
        </row>
        <row r="3642">
          <cell r="C3642" t="str">
            <v>저축은행</v>
          </cell>
          <cell r="E3642" t="str">
            <v>모름</v>
          </cell>
          <cell r="H3642">
            <v>41</v>
          </cell>
          <cell r="I3642">
            <v>10300</v>
          </cell>
        </row>
        <row r="3643">
          <cell r="C3643" t="str">
            <v>저축은행</v>
          </cell>
          <cell r="E3643" t="str">
            <v>모름</v>
          </cell>
          <cell r="H3643">
            <v>41</v>
          </cell>
          <cell r="I3643">
            <v>10058</v>
          </cell>
        </row>
        <row r="3644">
          <cell r="C3644" t="str">
            <v>저축은행</v>
          </cell>
          <cell r="E3644" t="str">
            <v>모름</v>
          </cell>
          <cell r="H3644">
            <v>37</v>
          </cell>
          <cell r="I3644">
            <v>5000</v>
          </cell>
        </row>
        <row r="3645">
          <cell r="C3645" t="str">
            <v>저축은행</v>
          </cell>
          <cell r="E3645" t="str">
            <v>모름</v>
          </cell>
          <cell r="H3645">
            <v>13</v>
          </cell>
          <cell r="I3645">
            <v>6378</v>
          </cell>
        </row>
        <row r="3646">
          <cell r="C3646" t="str">
            <v>저축은행</v>
          </cell>
          <cell r="E3646" t="str">
            <v>모름</v>
          </cell>
          <cell r="H3646">
            <v>1</v>
          </cell>
          <cell r="I3646">
            <v>15550</v>
          </cell>
        </row>
        <row r="3647">
          <cell r="C3647" t="str">
            <v>저축은행</v>
          </cell>
          <cell r="E3647" t="str">
            <v>모름</v>
          </cell>
          <cell r="H3647">
            <v>87</v>
          </cell>
          <cell r="I3647">
            <v>2510</v>
          </cell>
        </row>
        <row r="3648">
          <cell r="C3648" t="str">
            <v>저축은행</v>
          </cell>
          <cell r="E3648" t="str">
            <v>모름</v>
          </cell>
          <cell r="H3648">
            <v>62</v>
          </cell>
          <cell r="I3648">
            <v>12420</v>
          </cell>
        </row>
        <row r="3649">
          <cell r="C3649" t="str">
            <v>저축은행</v>
          </cell>
          <cell r="E3649" t="str">
            <v>모름</v>
          </cell>
          <cell r="H3649">
            <v>13</v>
          </cell>
          <cell r="I3649">
            <v>280</v>
          </cell>
        </row>
        <row r="3650">
          <cell r="C3650" t="str">
            <v>저축은행</v>
          </cell>
          <cell r="E3650" t="str">
            <v>모름</v>
          </cell>
          <cell r="H3650">
            <v>159</v>
          </cell>
          <cell r="I3650">
            <v>14690</v>
          </cell>
        </row>
        <row r="3651">
          <cell r="C3651" t="str">
            <v>저축은행</v>
          </cell>
          <cell r="E3651" t="str">
            <v>모름</v>
          </cell>
          <cell r="H3651">
            <v>1000</v>
          </cell>
          <cell r="I3651">
            <v>4326</v>
          </cell>
        </row>
        <row r="3652">
          <cell r="C3652" t="str">
            <v>저축은행</v>
          </cell>
          <cell r="E3652" t="str">
            <v>모름</v>
          </cell>
          <cell r="H3652">
            <v>13</v>
          </cell>
          <cell r="I3652">
            <v>2590</v>
          </cell>
        </row>
        <row r="3653">
          <cell r="C3653" t="str">
            <v>저축은행</v>
          </cell>
          <cell r="E3653" t="str">
            <v>모름</v>
          </cell>
          <cell r="H3653">
            <v>62</v>
          </cell>
          <cell r="I3653">
            <v>8730</v>
          </cell>
        </row>
        <row r="3654">
          <cell r="C3654" t="str">
            <v>저축은행</v>
          </cell>
          <cell r="E3654" t="str">
            <v>모름</v>
          </cell>
          <cell r="H3654">
            <v>41</v>
          </cell>
          <cell r="I3654">
            <v>5620</v>
          </cell>
        </row>
        <row r="3655">
          <cell r="C3655" t="str">
            <v>저축은행</v>
          </cell>
          <cell r="E3655" t="str">
            <v>모름</v>
          </cell>
          <cell r="H3655">
            <v>41</v>
          </cell>
          <cell r="I3655">
            <v>1960</v>
          </cell>
        </row>
        <row r="3656">
          <cell r="C3656" t="str">
            <v>저축은행</v>
          </cell>
          <cell r="E3656" t="str">
            <v>모름</v>
          </cell>
          <cell r="H3656">
            <v>33</v>
          </cell>
          <cell r="I3656">
            <v>16512</v>
          </cell>
        </row>
        <row r="3657">
          <cell r="C3657" t="str">
            <v>저축은행</v>
          </cell>
          <cell r="E3657" t="str">
            <v>모름</v>
          </cell>
          <cell r="H3657">
            <v>40</v>
          </cell>
          <cell r="I3657">
            <v>7700</v>
          </cell>
        </row>
        <row r="3658">
          <cell r="C3658" t="str">
            <v>저축은행</v>
          </cell>
          <cell r="E3658" t="str">
            <v>모름</v>
          </cell>
          <cell r="H3658">
            <v>1000</v>
          </cell>
          <cell r="I3658">
            <v>6227</v>
          </cell>
        </row>
        <row r="3659">
          <cell r="C3659" t="str">
            <v>저축은행</v>
          </cell>
          <cell r="E3659" t="str">
            <v>모름</v>
          </cell>
          <cell r="H3659">
            <v>87</v>
          </cell>
          <cell r="I3659">
            <v>4520</v>
          </cell>
        </row>
        <row r="3660">
          <cell r="C3660" t="str">
            <v>저축은행</v>
          </cell>
          <cell r="E3660" t="str">
            <v>모름</v>
          </cell>
          <cell r="H3660">
            <v>62</v>
          </cell>
          <cell r="I3660">
            <v>11421</v>
          </cell>
        </row>
        <row r="3661">
          <cell r="C3661" t="str">
            <v>저축은행</v>
          </cell>
          <cell r="E3661" t="str">
            <v>모름</v>
          </cell>
          <cell r="H3661">
            <v>41</v>
          </cell>
          <cell r="I3661">
            <v>16113</v>
          </cell>
        </row>
        <row r="3662">
          <cell r="C3662" t="str">
            <v>저축은행</v>
          </cell>
          <cell r="E3662" t="str">
            <v>모름</v>
          </cell>
          <cell r="H3662">
            <v>13</v>
          </cell>
          <cell r="I3662">
            <v>3247</v>
          </cell>
        </row>
        <row r="3663">
          <cell r="C3663" t="str">
            <v>저축은행</v>
          </cell>
          <cell r="E3663" t="str">
            <v>모름</v>
          </cell>
          <cell r="H3663">
            <v>40</v>
          </cell>
          <cell r="I3663">
            <v>7790</v>
          </cell>
        </row>
        <row r="3664">
          <cell r="C3664" t="str">
            <v>저축은행</v>
          </cell>
          <cell r="E3664" t="str">
            <v>모름</v>
          </cell>
          <cell r="H3664">
            <v>41</v>
          </cell>
          <cell r="I3664">
            <v>3872</v>
          </cell>
        </row>
        <row r="3665">
          <cell r="C3665" t="str">
            <v>저축은행</v>
          </cell>
          <cell r="E3665" t="str">
            <v>모름</v>
          </cell>
          <cell r="H3665">
            <v>41</v>
          </cell>
          <cell r="I3665">
            <v>6820</v>
          </cell>
        </row>
        <row r="3666">
          <cell r="C3666" t="str">
            <v>저축은행</v>
          </cell>
          <cell r="E3666" t="str">
            <v>모름</v>
          </cell>
          <cell r="H3666">
            <v>41</v>
          </cell>
          <cell r="I3666">
            <v>2060</v>
          </cell>
        </row>
        <row r="3667">
          <cell r="C3667" t="str">
            <v>저축은행</v>
          </cell>
          <cell r="E3667" t="str">
            <v>모름</v>
          </cell>
          <cell r="H3667">
            <v>13</v>
          </cell>
          <cell r="I3667">
            <v>19500</v>
          </cell>
        </row>
        <row r="3668">
          <cell r="C3668" t="str">
            <v>저축은행</v>
          </cell>
          <cell r="E3668" t="str">
            <v>모름</v>
          </cell>
          <cell r="H3668">
            <v>68</v>
          </cell>
          <cell r="I3668">
            <v>0</v>
          </cell>
        </row>
        <row r="3669">
          <cell r="C3669" t="str">
            <v>저축은행</v>
          </cell>
          <cell r="E3669" t="str">
            <v>모름</v>
          </cell>
          <cell r="H3669">
            <v>68</v>
          </cell>
          <cell r="I3669">
            <v>1772</v>
          </cell>
        </row>
        <row r="3670">
          <cell r="C3670" t="str">
            <v>저축은행</v>
          </cell>
          <cell r="E3670" t="str">
            <v>모름</v>
          </cell>
          <cell r="H3670">
            <v>1000</v>
          </cell>
          <cell r="I3670">
            <v>400</v>
          </cell>
        </row>
        <row r="3671">
          <cell r="C3671" t="str">
            <v>저축은행</v>
          </cell>
          <cell r="E3671" t="str">
            <v>모름</v>
          </cell>
          <cell r="H3671">
            <v>150</v>
          </cell>
          <cell r="I3671">
            <v>6000</v>
          </cell>
        </row>
        <row r="3672">
          <cell r="C3672" t="str">
            <v>저축은행</v>
          </cell>
          <cell r="E3672" t="str">
            <v>모름</v>
          </cell>
          <cell r="H3672">
            <v>1000</v>
          </cell>
          <cell r="I3672">
            <v>180</v>
          </cell>
        </row>
        <row r="3673">
          <cell r="C3673" t="str">
            <v>저축은행</v>
          </cell>
          <cell r="E3673" t="str">
            <v>모름</v>
          </cell>
          <cell r="H3673">
            <v>68</v>
          </cell>
          <cell r="I3673">
            <v>2000</v>
          </cell>
        </row>
        <row r="3674">
          <cell r="C3674" t="str">
            <v>저축은행</v>
          </cell>
          <cell r="E3674" t="str">
            <v>모름</v>
          </cell>
          <cell r="H3674">
            <v>201</v>
          </cell>
          <cell r="I3674">
            <v>0</v>
          </cell>
        </row>
        <row r="3675">
          <cell r="C3675" t="str">
            <v>저축은행</v>
          </cell>
          <cell r="E3675" t="str">
            <v>모름</v>
          </cell>
          <cell r="H3675">
            <v>201</v>
          </cell>
          <cell r="I3675">
            <v>0</v>
          </cell>
        </row>
        <row r="3676">
          <cell r="C3676" t="str">
            <v>저축은행</v>
          </cell>
          <cell r="E3676" t="str">
            <v>모름</v>
          </cell>
          <cell r="H3676">
            <v>14</v>
          </cell>
          <cell r="I3676">
            <v>0</v>
          </cell>
        </row>
        <row r="3677">
          <cell r="C3677" t="str">
            <v>저축은행</v>
          </cell>
          <cell r="E3677" t="str">
            <v>모름</v>
          </cell>
          <cell r="H3677">
            <v>14</v>
          </cell>
          <cell r="I3677">
            <v>0</v>
          </cell>
        </row>
        <row r="3678">
          <cell r="C3678" t="str">
            <v>저축은행</v>
          </cell>
          <cell r="E3678" t="str">
            <v>모름</v>
          </cell>
          <cell r="H3678">
            <v>14</v>
          </cell>
          <cell r="I3678">
            <v>0</v>
          </cell>
        </row>
        <row r="3679">
          <cell r="C3679" t="str">
            <v>저축은행</v>
          </cell>
          <cell r="E3679" t="str">
            <v>모름</v>
          </cell>
          <cell r="H3679">
            <v>201</v>
          </cell>
          <cell r="I3679">
            <v>0</v>
          </cell>
        </row>
        <row r="3680">
          <cell r="C3680" t="str">
            <v>저축은행</v>
          </cell>
          <cell r="E3680" t="str">
            <v>모름</v>
          </cell>
          <cell r="H3680">
            <v>201</v>
          </cell>
          <cell r="I3680">
            <v>0</v>
          </cell>
        </row>
        <row r="3681">
          <cell r="C3681" t="str">
            <v>저축은행</v>
          </cell>
          <cell r="E3681" t="str">
            <v>모름</v>
          </cell>
          <cell r="H3681">
            <v>201</v>
          </cell>
          <cell r="I3681">
            <v>0</v>
          </cell>
        </row>
        <row r="3682">
          <cell r="C3682" t="str">
            <v>저축은행</v>
          </cell>
          <cell r="E3682" t="str">
            <v>모름</v>
          </cell>
          <cell r="H3682">
            <v>201</v>
          </cell>
          <cell r="I3682">
            <v>0</v>
          </cell>
        </row>
        <row r="3683">
          <cell r="C3683" t="str">
            <v>저축은행</v>
          </cell>
          <cell r="E3683" t="str">
            <v>모름</v>
          </cell>
          <cell r="H3683">
            <v>201</v>
          </cell>
          <cell r="I3683">
            <v>0</v>
          </cell>
        </row>
        <row r="3684">
          <cell r="C3684" t="str">
            <v>저축은행</v>
          </cell>
          <cell r="E3684" t="str">
            <v>모름</v>
          </cell>
          <cell r="H3684">
            <v>201</v>
          </cell>
          <cell r="I3684">
            <v>0</v>
          </cell>
        </row>
        <row r="3685">
          <cell r="C3685" t="str">
            <v>저축은행</v>
          </cell>
          <cell r="E3685" t="str">
            <v>모름</v>
          </cell>
          <cell r="H3685">
            <v>201</v>
          </cell>
          <cell r="I3685">
            <v>0</v>
          </cell>
        </row>
        <row r="3686">
          <cell r="C3686" t="str">
            <v>저축은행</v>
          </cell>
          <cell r="E3686" t="str">
            <v>모름</v>
          </cell>
          <cell r="H3686">
            <v>201</v>
          </cell>
          <cell r="I3686">
            <v>0</v>
          </cell>
        </row>
        <row r="3687">
          <cell r="C3687" t="str">
            <v>저축은행</v>
          </cell>
          <cell r="E3687" t="str">
            <v>모름</v>
          </cell>
          <cell r="H3687">
            <v>201</v>
          </cell>
          <cell r="I3687">
            <v>0</v>
          </cell>
        </row>
        <row r="3688">
          <cell r="C3688" t="str">
            <v>저축은행</v>
          </cell>
          <cell r="E3688" t="str">
            <v>모름</v>
          </cell>
          <cell r="H3688">
            <v>201</v>
          </cell>
          <cell r="I3688">
            <v>0</v>
          </cell>
        </row>
        <row r="3689">
          <cell r="C3689" t="str">
            <v>저축은행</v>
          </cell>
          <cell r="E3689" t="str">
            <v>모름</v>
          </cell>
          <cell r="H3689">
            <v>201</v>
          </cell>
          <cell r="I3689">
            <v>0</v>
          </cell>
        </row>
        <row r="3690">
          <cell r="C3690" t="str">
            <v>저축은행</v>
          </cell>
          <cell r="E3690" t="str">
            <v>모름</v>
          </cell>
          <cell r="H3690">
            <v>201</v>
          </cell>
          <cell r="I3690">
            <v>0</v>
          </cell>
        </row>
        <row r="3691">
          <cell r="C3691" t="str">
            <v>저축은행</v>
          </cell>
          <cell r="E3691" t="str">
            <v>모름</v>
          </cell>
          <cell r="H3691">
            <v>201</v>
          </cell>
          <cell r="I3691">
            <v>0</v>
          </cell>
        </row>
        <row r="3692">
          <cell r="C3692" t="str">
            <v>저축은행</v>
          </cell>
          <cell r="E3692" t="str">
            <v>모름</v>
          </cell>
          <cell r="H3692">
            <v>201</v>
          </cell>
          <cell r="I3692">
            <v>0</v>
          </cell>
        </row>
        <row r="3693">
          <cell r="C3693" t="str">
            <v>저축은행</v>
          </cell>
          <cell r="E3693" t="str">
            <v>모름</v>
          </cell>
          <cell r="H3693">
            <v>201</v>
          </cell>
          <cell r="I3693">
            <v>0</v>
          </cell>
        </row>
        <row r="3694">
          <cell r="C3694" t="str">
            <v>저축은행</v>
          </cell>
          <cell r="E3694" t="str">
            <v>모름</v>
          </cell>
          <cell r="H3694">
            <v>201</v>
          </cell>
          <cell r="I3694">
            <v>0</v>
          </cell>
        </row>
        <row r="3695">
          <cell r="C3695" t="str">
            <v>저축은행</v>
          </cell>
          <cell r="E3695" t="str">
            <v>모름</v>
          </cell>
          <cell r="H3695">
            <v>201</v>
          </cell>
          <cell r="I3695">
            <v>0</v>
          </cell>
        </row>
        <row r="3696">
          <cell r="C3696" t="str">
            <v>저축은행</v>
          </cell>
          <cell r="E3696" t="str">
            <v>모름</v>
          </cell>
          <cell r="H3696">
            <v>201</v>
          </cell>
          <cell r="I3696">
            <v>0</v>
          </cell>
        </row>
        <row r="3697">
          <cell r="C3697" t="str">
            <v>저축은행</v>
          </cell>
          <cell r="E3697" t="str">
            <v>모름</v>
          </cell>
          <cell r="H3697">
            <v>201</v>
          </cell>
          <cell r="I3697">
            <v>0</v>
          </cell>
        </row>
        <row r="3698">
          <cell r="C3698" t="str">
            <v>저축은행</v>
          </cell>
          <cell r="E3698" t="str">
            <v>모름</v>
          </cell>
          <cell r="H3698">
            <v>201</v>
          </cell>
          <cell r="I3698">
            <v>0</v>
          </cell>
        </row>
        <row r="3699">
          <cell r="C3699" t="str">
            <v>저축은행</v>
          </cell>
          <cell r="E3699" t="str">
            <v>모름</v>
          </cell>
          <cell r="H3699">
            <v>201</v>
          </cell>
          <cell r="I3699">
            <v>0</v>
          </cell>
        </row>
        <row r="3700">
          <cell r="C3700" t="str">
            <v>저축은행</v>
          </cell>
          <cell r="E3700" t="str">
            <v>모름</v>
          </cell>
          <cell r="H3700">
            <v>201</v>
          </cell>
          <cell r="I3700">
            <v>0</v>
          </cell>
        </row>
        <row r="3701">
          <cell r="C3701" t="str">
            <v>저축은행</v>
          </cell>
          <cell r="E3701" t="str">
            <v>모름</v>
          </cell>
          <cell r="H3701">
            <v>201</v>
          </cell>
          <cell r="I3701">
            <v>0</v>
          </cell>
        </row>
        <row r="3702">
          <cell r="C3702" t="str">
            <v>저축은행</v>
          </cell>
          <cell r="E3702" t="str">
            <v>모름</v>
          </cell>
          <cell r="H3702">
            <v>201</v>
          </cell>
          <cell r="I3702">
            <v>0</v>
          </cell>
        </row>
        <row r="3703">
          <cell r="C3703" t="str">
            <v>저축은행</v>
          </cell>
          <cell r="E3703" t="str">
            <v>모름</v>
          </cell>
          <cell r="H3703">
            <v>201</v>
          </cell>
          <cell r="I3703">
            <v>0</v>
          </cell>
        </row>
        <row r="3704">
          <cell r="C3704" t="str">
            <v>저축은행</v>
          </cell>
          <cell r="E3704" t="str">
            <v>모름</v>
          </cell>
          <cell r="H3704">
            <v>201</v>
          </cell>
          <cell r="I3704">
            <v>0</v>
          </cell>
        </row>
        <row r="3705">
          <cell r="C3705" t="str">
            <v>저축은행</v>
          </cell>
          <cell r="E3705" t="str">
            <v>모름</v>
          </cell>
          <cell r="H3705">
            <v>201</v>
          </cell>
          <cell r="I3705">
            <v>0</v>
          </cell>
        </row>
        <row r="3706">
          <cell r="C3706" t="str">
            <v>저축은행</v>
          </cell>
          <cell r="E3706" t="str">
            <v>모름</v>
          </cell>
          <cell r="H3706">
            <v>201</v>
          </cell>
          <cell r="I3706">
            <v>0</v>
          </cell>
        </row>
        <row r="3707">
          <cell r="C3707" t="str">
            <v>저축은행</v>
          </cell>
          <cell r="E3707" t="str">
            <v>모름</v>
          </cell>
          <cell r="H3707">
            <v>201</v>
          </cell>
          <cell r="I3707">
            <v>0</v>
          </cell>
        </row>
        <row r="3708">
          <cell r="C3708" t="str">
            <v>저축은행</v>
          </cell>
          <cell r="E3708" t="str">
            <v>모름</v>
          </cell>
          <cell r="H3708">
            <v>201</v>
          </cell>
          <cell r="I3708">
            <v>0</v>
          </cell>
        </row>
        <row r="3709">
          <cell r="C3709" t="str">
            <v>저축은행</v>
          </cell>
          <cell r="E3709" t="str">
            <v>모름</v>
          </cell>
          <cell r="H3709">
            <v>201</v>
          </cell>
          <cell r="I3709">
            <v>0</v>
          </cell>
        </row>
        <row r="3710">
          <cell r="C3710" t="str">
            <v>저축은행</v>
          </cell>
          <cell r="E3710" t="str">
            <v>모름</v>
          </cell>
          <cell r="H3710">
            <v>201</v>
          </cell>
          <cell r="I3710">
            <v>0</v>
          </cell>
        </row>
        <row r="3711">
          <cell r="C3711" t="str">
            <v>저축은행</v>
          </cell>
          <cell r="E3711" t="str">
            <v>모름</v>
          </cell>
          <cell r="H3711">
            <v>201</v>
          </cell>
          <cell r="I3711">
            <v>0</v>
          </cell>
        </row>
        <row r="3712">
          <cell r="C3712" t="str">
            <v>저축은행</v>
          </cell>
          <cell r="E3712" t="str">
            <v>모름</v>
          </cell>
          <cell r="H3712">
            <v>201</v>
          </cell>
          <cell r="I3712">
            <v>0</v>
          </cell>
        </row>
        <row r="3713">
          <cell r="C3713" t="str">
            <v>저축은행</v>
          </cell>
          <cell r="E3713" t="str">
            <v>모름</v>
          </cell>
          <cell r="H3713">
            <v>201</v>
          </cell>
          <cell r="I3713">
            <v>0</v>
          </cell>
        </row>
        <row r="3714">
          <cell r="C3714" t="str">
            <v>저축은행</v>
          </cell>
          <cell r="E3714" t="str">
            <v>모름</v>
          </cell>
          <cell r="H3714">
            <v>201</v>
          </cell>
          <cell r="I3714">
            <v>0</v>
          </cell>
        </row>
        <row r="3715">
          <cell r="C3715" t="str">
            <v>저축은행</v>
          </cell>
          <cell r="E3715" t="str">
            <v>모름</v>
          </cell>
          <cell r="H3715">
            <v>201</v>
          </cell>
          <cell r="I3715">
            <v>0</v>
          </cell>
        </row>
        <row r="3716">
          <cell r="C3716" t="str">
            <v>저축은행</v>
          </cell>
          <cell r="E3716" t="str">
            <v>모름</v>
          </cell>
          <cell r="H3716">
            <v>201</v>
          </cell>
          <cell r="I3716">
            <v>0</v>
          </cell>
        </row>
        <row r="3717">
          <cell r="C3717" t="str">
            <v>저축은행</v>
          </cell>
          <cell r="E3717" t="str">
            <v>모름</v>
          </cell>
          <cell r="H3717">
            <v>201</v>
          </cell>
          <cell r="I3717">
            <v>0</v>
          </cell>
        </row>
        <row r="3718">
          <cell r="C3718" t="str">
            <v>저축은행</v>
          </cell>
          <cell r="E3718" t="str">
            <v>모름</v>
          </cell>
          <cell r="H3718">
            <v>201</v>
          </cell>
          <cell r="I3718">
            <v>0</v>
          </cell>
        </row>
        <row r="3719">
          <cell r="C3719" t="str">
            <v>저축은행</v>
          </cell>
          <cell r="E3719" t="str">
            <v>모름</v>
          </cell>
          <cell r="H3719">
            <v>201</v>
          </cell>
          <cell r="I3719">
            <v>0</v>
          </cell>
        </row>
        <row r="3720">
          <cell r="C3720" t="str">
            <v>저축은행</v>
          </cell>
          <cell r="E3720" t="str">
            <v>모름</v>
          </cell>
          <cell r="H3720">
            <v>201</v>
          </cell>
          <cell r="I3720">
            <v>0</v>
          </cell>
        </row>
        <row r="3721">
          <cell r="C3721" t="str">
            <v>저축은행</v>
          </cell>
          <cell r="E3721" t="str">
            <v>모름</v>
          </cell>
          <cell r="H3721">
            <v>201</v>
          </cell>
          <cell r="I3721">
            <v>0</v>
          </cell>
        </row>
        <row r="3722">
          <cell r="C3722" t="str">
            <v>저축은행</v>
          </cell>
          <cell r="E3722" t="str">
            <v>모름</v>
          </cell>
          <cell r="H3722">
            <v>201</v>
          </cell>
          <cell r="I3722">
            <v>0</v>
          </cell>
        </row>
        <row r="3723">
          <cell r="C3723" t="str">
            <v>저축은행</v>
          </cell>
          <cell r="E3723" t="str">
            <v>모름</v>
          </cell>
          <cell r="H3723">
            <v>201</v>
          </cell>
          <cell r="I3723">
            <v>0</v>
          </cell>
        </row>
        <row r="3724">
          <cell r="C3724" t="str">
            <v>저축은행</v>
          </cell>
          <cell r="E3724" t="str">
            <v>모름</v>
          </cell>
          <cell r="H3724">
            <v>201</v>
          </cell>
          <cell r="I3724">
            <v>0</v>
          </cell>
        </row>
        <row r="3725">
          <cell r="C3725" t="str">
            <v>저축은행</v>
          </cell>
          <cell r="E3725" t="str">
            <v>모름</v>
          </cell>
          <cell r="H3725">
            <v>201</v>
          </cell>
          <cell r="I3725">
            <v>0</v>
          </cell>
        </row>
        <row r="3726">
          <cell r="C3726" t="str">
            <v>저축은행</v>
          </cell>
          <cell r="E3726" t="str">
            <v>모름</v>
          </cell>
          <cell r="H3726">
            <v>201</v>
          </cell>
          <cell r="I3726">
            <v>0</v>
          </cell>
        </row>
        <row r="3727">
          <cell r="C3727" t="str">
            <v>저축은행</v>
          </cell>
          <cell r="E3727" t="str">
            <v>모름</v>
          </cell>
          <cell r="H3727">
            <v>201</v>
          </cell>
          <cell r="I3727">
            <v>0</v>
          </cell>
        </row>
        <row r="3728">
          <cell r="C3728" t="str">
            <v>저축은행</v>
          </cell>
          <cell r="E3728" t="str">
            <v>모름</v>
          </cell>
          <cell r="H3728">
            <v>201</v>
          </cell>
          <cell r="I3728">
            <v>0</v>
          </cell>
        </row>
        <row r="3729">
          <cell r="C3729" t="str">
            <v>저축은행</v>
          </cell>
          <cell r="E3729" t="str">
            <v>모름</v>
          </cell>
          <cell r="H3729">
            <v>201</v>
          </cell>
          <cell r="I3729">
            <v>0</v>
          </cell>
        </row>
        <row r="3730">
          <cell r="C3730" t="str">
            <v>저축은행</v>
          </cell>
          <cell r="E3730" t="str">
            <v>모름</v>
          </cell>
          <cell r="H3730">
            <v>201</v>
          </cell>
          <cell r="I3730">
            <v>0</v>
          </cell>
        </row>
        <row r="3731">
          <cell r="C3731" t="str">
            <v>저축은행</v>
          </cell>
          <cell r="E3731" t="str">
            <v>모름</v>
          </cell>
          <cell r="H3731">
            <v>201</v>
          </cell>
          <cell r="I3731">
            <v>0</v>
          </cell>
        </row>
        <row r="3732">
          <cell r="C3732" t="str">
            <v>저축은행</v>
          </cell>
          <cell r="E3732" t="str">
            <v>모름</v>
          </cell>
          <cell r="H3732">
            <v>201</v>
          </cell>
          <cell r="I3732">
            <v>0</v>
          </cell>
        </row>
        <row r="3733">
          <cell r="C3733" t="str">
            <v>저축은행</v>
          </cell>
          <cell r="E3733" t="str">
            <v>모름</v>
          </cell>
          <cell r="H3733">
            <v>201</v>
          </cell>
          <cell r="I3733">
            <v>0</v>
          </cell>
        </row>
        <row r="3734">
          <cell r="C3734" t="str">
            <v>저축은행</v>
          </cell>
          <cell r="E3734" t="str">
            <v>모름</v>
          </cell>
          <cell r="H3734">
            <v>201</v>
          </cell>
          <cell r="I3734">
            <v>0</v>
          </cell>
        </row>
        <row r="3735">
          <cell r="C3735" t="str">
            <v>저축은행</v>
          </cell>
          <cell r="E3735" t="str">
            <v>모름</v>
          </cell>
          <cell r="H3735">
            <v>201</v>
          </cell>
          <cell r="I3735">
            <v>0</v>
          </cell>
        </row>
        <row r="3736">
          <cell r="C3736" t="str">
            <v>저축은행</v>
          </cell>
          <cell r="E3736" t="str">
            <v>모름</v>
          </cell>
          <cell r="H3736">
            <v>201</v>
          </cell>
          <cell r="I3736">
            <v>0</v>
          </cell>
        </row>
        <row r="3737">
          <cell r="C3737" t="str">
            <v>저축은행</v>
          </cell>
          <cell r="E3737" t="str">
            <v>모름</v>
          </cell>
          <cell r="H3737">
            <v>201</v>
          </cell>
          <cell r="I3737">
            <v>0</v>
          </cell>
        </row>
        <row r="3738">
          <cell r="C3738" t="str">
            <v>저축은행</v>
          </cell>
          <cell r="E3738" t="str">
            <v>모름</v>
          </cell>
          <cell r="H3738">
            <v>201</v>
          </cell>
          <cell r="I3738">
            <v>0</v>
          </cell>
        </row>
        <row r="3739">
          <cell r="C3739" t="str">
            <v>저축은행</v>
          </cell>
          <cell r="E3739" t="str">
            <v>모름</v>
          </cell>
          <cell r="H3739">
            <v>201</v>
          </cell>
          <cell r="I3739">
            <v>0</v>
          </cell>
        </row>
        <row r="3740">
          <cell r="C3740" t="str">
            <v>저축은행</v>
          </cell>
          <cell r="E3740" t="str">
            <v>모름</v>
          </cell>
          <cell r="H3740">
            <v>201</v>
          </cell>
          <cell r="I3740">
            <v>0</v>
          </cell>
        </row>
        <row r="3741">
          <cell r="C3741" t="str">
            <v>저축은행</v>
          </cell>
          <cell r="E3741" t="str">
            <v>모름</v>
          </cell>
          <cell r="H3741">
            <v>201</v>
          </cell>
          <cell r="I3741">
            <v>0</v>
          </cell>
        </row>
        <row r="3742">
          <cell r="C3742" t="str">
            <v>저축은행</v>
          </cell>
          <cell r="E3742" t="str">
            <v>모름</v>
          </cell>
          <cell r="H3742">
            <v>201</v>
          </cell>
          <cell r="I3742">
            <v>0</v>
          </cell>
        </row>
        <row r="3743">
          <cell r="C3743" t="str">
            <v>저축은행</v>
          </cell>
          <cell r="E3743" t="str">
            <v>모름</v>
          </cell>
          <cell r="H3743">
            <v>201</v>
          </cell>
          <cell r="I3743">
            <v>0</v>
          </cell>
        </row>
        <row r="3744">
          <cell r="C3744" t="str">
            <v>저축은행</v>
          </cell>
          <cell r="E3744" t="str">
            <v>모름</v>
          </cell>
          <cell r="H3744">
            <v>201</v>
          </cell>
          <cell r="I3744">
            <v>0</v>
          </cell>
        </row>
        <row r="3745">
          <cell r="C3745" t="str">
            <v>저축은행</v>
          </cell>
          <cell r="E3745" t="str">
            <v>모름</v>
          </cell>
          <cell r="H3745">
            <v>201</v>
          </cell>
          <cell r="I3745">
            <v>0</v>
          </cell>
        </row>
        <row r="3746">
          <cell r="C3746" t="str">
            <v>저축은행</v>
          </cell>
          <cell r="E3746" t="str">
            <v>모름</v>
          </cell>
          <cell r="H3746">
            <v>201</v>
          </cell>
          <cell r="I3746">
            <v>0</v>
          </cell>
        </row>
        <row r="3747">
          <cell r="C3747" t="str">
            <v>저축은행</v>
          </cell>
          <cell r="E3747" t="str">
            <v>모름</v>
          </cell>
          <cell r="H3747">
            <v>201</v>
          </cell>
          <cell r="I3747">
            <v>0</v>
          </cell>
        </row>
        <row r="3748">
          <cell r="C3748" t="str">
            <v>저축은행</v>
          </cell>
          <cell r="E3748" t="str">
            <v>모름</v>
          </cell>
          <cell r="H3748">
            <v>201</v>
          </cell>
          <cell r="I3748">
            <v>0</v>
          </cell>
        </row>
        <row r="3749">
          <cell r="C3749" t="str">
            <v>저축은행</v>
          </cell>
          <cell r="E3749" t="str">
            <v>모름</v>
          </cell>
          <cell r="H3749">
            <v>201</v>
          </cell>
          <cell r="I3749">
            <v>0</v>
          </cell>
        </row>
        <row r="3750">
          <cell r="C3750" t="str">
            <v>저축은행</v>
          </cell>
          <cell r="E3750" t="str">
            <v>모름</v>
          </cell>
          <cell r="H3750">
            <v>201</v>
          </cell>
          <cell r="I3750">
            <v>0</v>
          </cell>
        </row>
        <row r="3751">
          <cell r="C3751" t="str">
            <v>저축은행</v>
          </cell>
          <cell r="E3751" t="str">
            <v>모름</v>
          </cell>
          <cell r="H3751">
            <v>201</v>
          </cell>
          <cell r="I3751">
            <v>0</v>
          </cell>
        </row>
        <row r="3752">
          <cell r="C3752" t="str">
            <v>저축은행</v>
          </cell>
          <cell r="E3752" t="str">
            <v>모름</v>
          </cell>
          <cell r="H3752">
            <v>201</v>
          </cell>
          <cell r="I3752">
            <v>0</v>
          </cell>
        </row>
        <row r="3753">
          <cell r="C3753" t="str">
            <v>저축은행</v>
          </cell>
          <cell r="E3753" t="str">
            <v>모름</v>
          </cell>
          <cell r="H3753">
            <v>201</v>
          </cell>
          <cell r="I3753">
            <v>0</v>
          </cell>
        </row>
        <row r="3754">
          <cell r="C3754" t="str">
            <v>저축은행</v>
          </cell>
          <cell r="E3754" t="str">
            <v>모름</v>
          </cell>
          <cell r="H3754">
            <v>201</v>
          </cell>
          <cell r="I3754">
            <v>0</v>
          </cell>
        </row>
        <row r="3755">
          <cell r="C3755" t="str">
            <v>저축은행</v>
          </cell>
          <cell r="E3755" t="str">
            <v>모름</v>
          </cell>
          <cell r="H3755">
            <v>201</v>
          </cell>
          <cell r="I3755">
            <v>0</v>
          </cell>
        </row>
        <row r="3756">
          <cell r="C3756" t="str">
            <v>저축은행</v>
          </cell>
          <cell r="E3756" t="str">
            <v>모름</v>
          </cell>
          <cell r="H3756">
            <v>201</v>
          </cell>
          <cell r="I3756">
            <v>0</v>
          </cell>
        </row>
        <row r="3757">
          <cell r="C3757" t="str">
            <v>저축은행</v>
          </cell>
          <cell r="E3757" t="str">
            <v>모름</v>
          </cell>
          <cell r="H3757">
            <v>201</v>
          </cell>
          <cell r="I3757">
            <v>0</v>
          </cell>
        </row>
        <row r="3758">
          <cell r="C3758" t="str">
            <v>저축은행</v>
          </cell>
          <cell r="E3758" t="str">
            <v>모름</v>
          </cell>
          <cell r="H3758">
            <v>201</v>
          </cell>
          <cell r="I3758">
            <v>0</v>
          </cell>
        </row>
        <row r="3759">
          <cell r="C3759" t="str">
            <v>저축은행</v>
          </cell>
          <cell r="E3759" t="str">
            <v>모름</v>
          </cell>
          <cell r="H3759">
            <v>201</v>
          </cell>
          <cell r="I3759">
            <v>0</v>
          </cell>
        </row>
        <row r="3760">
          <cell r="C3760" t="str">
            <v>저축은행</v>
          </cell>
          <cell r="E3760" t="str">
            <v>모름</v>
          </cell>
          <cell r="H3760">
            <v>201</v>
          </cell>
          <cell r="I3760">
            <v>0</v>
          </cell>
        </row>
        <row r="3761">
          <cell r="C3761" t="str">
            <v>저축은행</v>
          </cell>
          <cell r="E3761" t="str">
            <v>모름</v>
          </cell>
          <cell r="H3761">
            <v>201</v>
          </cell>
          <cell r="I3761">
            <v>0</v>
          </cell>
        </row>
        <row r="3762">
          <cell r="C3762" t="str">
            <v>저축은행</v>
          </cell>
          <cell r="E3762" t="str">
            <v>모름</v>
          </cell>
          <cell r="H3762">
            <v>201</v>
          </cell>
          <cell r="I3762">
            <v>0</v>
          </cell>
        </row>
        <row r="3763">
          <cell r="C3763" t="str">
            <v>저축은행</v>
          </cell>
          <cell r="E3763" t="str">
            <v>모름</v>
          </cell>
          <cell r="H3763">
            <v>201</v>
          </cell>
          <cell r="I3763">
            <v>0</v>
          </cell>
        </row>
        <row r="3764">
          <cell r="C3764" t="str">
            <v>저축은행</v>
          </cell>
          <cell r="E3764" t="str">
            <v>모름</v>
          </cell>
          <cell r="H3764">
            <v>201</v>
          </cell>
          <cell r="I3764">
            <v>0</v>
          </cell>
        </row>
        <row r="3765">
          <cell r="C3765" t="str">
            <v>저축은행</v>
          </cell>
          <cell r="E3765" t="str">
            <v>모름</v>
          </cell>
          <cell r="H3765">
            <v>201</v>
          </cell>
          <cell r="I3765">
            <v>0</v>
          </cell>
        </row>
        <row r="3766">
          <cell r="C3766" t="str">
            <v>저축은행</v>
          </cell>
          <cell r="E3766" t="str">
            <v>모름</v>
          </cell>
          <cell r="H3766">
            <v>201</v>
          </cell>
          <cell r="I3766">
            <v>0</v>
          </cell>
        </row>
        <row r="3767">
          <cell r="C3767" t="str">
            <v>저축은행</v>
          </cell>
          <cell r="E3767" t="str">
            <v>모름</v>
          </cell>
          <cell r="H3767">
            <v>201</v>
          </cell>
          <cell r="I3767">
            <v>0</v>
          </cell>
        </row>
        <row r="3768">
          <cell r="C3768" t="str">
            <v>저축은행</v>
          </cell>
          <cell r="E3768" t="str">
            <v>모름</v>
          </cell>
          <cell r="H3768">
            <v>76</v>
          </cell>
          <cell r="I3768">
            <v>0</v>
          </cell>
        </row>
        <row r="3769">
          <cell r="C3769" t="str">
            <v>저축은행</v>
          </cell>
          <cell r="E3769" t="str">
            <v>모름</v>
          </cell>
          <cell r="H3769">
            <v>68</v>
          </cell>
          <cell r="I3769">
            <v>700</v>
          </cell>
        </row>
        <row r="3770">
          <cell r="C3770" t="str">
            <v>저축은행</v>
          </cell>
          <cell r="E3770" t="str">
            <v>모름</v>
          </cell>
          <cell r="H3770">
            <v>326</v>
          </cell>
          <cell r="I3770">
            <v>1273</v>
          </cell>
        </row>
        <row r="3771">
          <cell r="C3771" t="str">
            <v>저축은행</v>
          </cell>
          <cell r="E3771" t="str">
            <v>모름</v>
          </cell>
          <cell r="H3771">
            <v>58</v>
          </cell>
          <cell r="I3771">
            <v>0</v>
          </cell>
        </row>
        <row r="3772">
          <cell r="C3772" t="str">
            <v>저축은행</v>
          </cell>
          <cell r="E3772" t="str">
            <v>모름</v>
          </cell>
          <cell r="H3772">
            <v>40</v>
          </cell>
          <cell r="I3772">
            <v>0</v>
          </cell>
        </row>
        <row r="3773">
          <cell r="C3773" t="str">
            <v>저축은행</v>
          </cell>
          <cell r="E3773" t="str">
            <v>모름</v>
          </cell>
          <cell r="H3773">
            <v>1000</v>
          </cell>
          <cell r="I3773">
            <v>4000</v>
          </cell>
        </row>
        <row r="3774">
          <cell r="C3774" t="str">
            <v>저축은행</v>
          </cell>
          <cell r="E3774" t="str">
            <v>모름</v>
          </cell>
          <cell r="H3774">
            <v>83</v>
          </cell>
          <cell r="I3774">
            <v>2171</v>
          </cell>
        </row>
        <row r="3775">
          <cell r="C3775" t="str">
            <v>저축은행</v>
          </cell>
          <cell r="E3775" t="str">
            <v>모름</v>
          </cell>
          <cell r="H3775">
            <v>1000</v>
          </cell>
          <cell r="I3775">
            <v>0</v>
          </cell>
        </row>
        <row r="3776">
          <cell r="C3776" t="str">
            <v>저축은행</v>
          </cell>
          <cell r="E3776" t="str">
            <v>모름</v>
          </cell>
          <cell r="H3776">
            <v>123</v>
          </cell>
          <cell r="I3776">
            <v>1504</v>
          </cell>
        </row>
        <row r="3777">
          <cell r="C3777" t="str">
            <v>저축은행</v>
          </cell>
          <cell r="E3777" t="str">
            <v>모름</v>
          </cell>
          <cell r="H3777">
            <v>58</v>
          </cell>
          <cell r="I3777">
            <v>0</v>
          </cell>
        </row>
        <row r="3778">
          <cell r="C3778" t="str">
            <v>저축은행</v>
          </cell>
          <cell r="E3778" t="str">
            <v>모름</v>
          </cell>
          <cell r="H3778">
            <v>61</v>
          </cell>
          <cell r="I3778">
            <v>3000</v>
          </cell>
        </row>
        <row r="3779">
          <cell r="C3779" t="str">
            <v>저축은행</v>
          </cell>
          <cell r="E3779" t="str">
            <v>모름</v>
          </cell>
          <cell r="H3779">
            <v>44</v>
          </cell>
          <cell r="I3779">
            <v>0</v>
          </cell>
        </row>
        <row r="3780">
          <cell r="C3780" t="str">
            <v>저축은행</v>
          </cell>
          <cell r="E3780" t="str">
            <v>모름</v>
          </cell>
          <cell r="H3780">
            <v>259</v>
          </cell>
          <cell r="I3780">
            <v>0</v>
          </cell>
        </row>
        <row r="3781">
          <cell r="C3781" t="str">
            <v>저축은행</v>
          </cell>
          <cell r="E3781" t="str">
            <v>모름</v>
          </cell>
          <cell r="H3781">
            <v>1000</v>
          </cell>
          <cell r="I3781">
            <v>3000</v>
          </cell>
        </row>
        <row r="3782">
          <cell r="C3782" t="str">
            <v>저축은행</v>
          </cell>
          <cell r="E3782" t="str">
            <v>모름</v>
          </cell>
          <cell r="H3782">
            <v>248</v>
          </cell>
          <cell r="I3782">
            <v>3000</v>
          </cell>
        </row>
        <row r="3783">
          <cell r="C3783" t="str">
            <v>저축은행</v>
          </cell>
          <cell r="E3783" t="str">
            <v>모름</v>
          </cell>
          <cell r="H3783">
            <v>21</v>
          </cell>
          <cell r="I3783">
            <v>1000</v>
          </cell>
        </row>
        <row r="3784">
          <cell r="C3784" t="str">
            <v>저축은행</v>
          </cell>
          <cell r="E3784" t="str">
            <v>모름</v>
          </cell>
          <cell r="H3784">
            <v>21</v>
          </cell>
          <cell r="I3784">
            <v>4516</v>
          </cell>
        </row>
        <row r="3785">
          <cell r="C3785" t="str">
            <v>저축은행</v>
          </cell>
          <cell r="E3785" t="str">
            <v>모름</v>
          </cell>
          <cell r="H3785">
            <v>46</v>
          </cell>
          <cell r="I3785">
            <v>0</v>
          </cell>
        </row>
        <row r="3786">
          <cell r="C3786" t="str">
            <v>저축은행</v>
          </cell>
          <cell r="E3786" t="str">
            <v>모름</v>
          </cell>
          <cell r="H3786">
            <v>23</v>
          </cell>
          <cell r="I3786">
            <v>0</v>
          </cell>
        </row>
        <row r="3787">
          <cell r="C3787" t="str">
            <v>저축은행</v>
          </cell>
          <cell r="E3787" t="str">
            <v>모름</v>
          </cell>
          <cell r="H3787">
            <v>45</v>
          </cell>
          <cell r="I3787">
            <v>5000</v>
          </cell>
        </row>
        <row r="3788">
          <cell r="C3788" t="str">
            <v>저축은행</v>
          </cell>
          <cell r="E3788" t="str">
            <v>모름</v>
          </cell>
          <cell r="H3788">
            <v>182</v>
          </cell>
          <cell r="I3788">
            <v>5000</v>
          </cell>
        </row>
        <row r="3789">
          <cell r="C3789" t="str">
            <v>저축은행</v>
          </cell>
          <cell r="E3789" t="str">
            <v>모름</v>
          </cell>
          <cell r="H3789">
            <v>61</v>
          </cell>
          <cell r="I3789">
            <v>2500</v>
          </cell>
        </row>
        <row r="3790">
          <cell r="C3790" t="str">
            <v>저축은행</v>
          </cell>
          <cell r="E3790" t="str">
            <v>모름</v>
          </cell>
          <cell r="H3790">
            <v>324</v>
          </cell>
          <cell r="I3790">
            <v>0</v>
          </cell>
        </row>
        <row r="3791">
          <cell r="C3791" t="str">
            <v>저축은행</v>
          </cell>
          <cell r="E3791" t="str">
            <v>모름</v>
          </cell>
          <cell r="H3791">
            <v>36</v>
          </cell>
          <cell r="I3791">
            <v>0</v>
          </cell>
        </row>
        <row r="3792">
          <cell r="C3792" t="str">
            <v>저축은행</v>
          </cell>
          <cell r="E3792" t="str">
            <v>모름</v>
          </cell>
          <cell r="H3792">
            <v>61</v>
          </cell>
          <cell r="I3792">
            <v>0</v>
          </cell>
        </row>
        <row r="3793">
          <cell r="C3793" t="str">
            <v>저축은행</v>
          </cell>
          <cell r="E3793" t="str">
            <v>모름</v>
          </cell>
          <cell r="H3793">
            <v>61</v>
          </cell>
          <cell r="I3793">
            <v>0</v>
          </cell>
        </row>
        <row r="3794">
          <cell r="C3794" t="str">
            <v>저축은행</v>
          </cell>
          <cell r="E3794" t="str">
            <v>모름</v>
          </cell>
          <cell r="H3794">
            <v>141</v>
          </cell>
          <cell r="I3794">
            <v>0</v>
          </cell>
        </row>
        <row r="3795">
          <cell r="C3795" t="str">
            <v>저축은행</v>
          </cell>
          <cell r="E3795" t="str">
            <v>모름</v>
          </cell>
          <cell r="H3795">
            <v>335</v>
          </cell>
          <cell r="I3795">
            <v>1000</v>
          </cell>
        </row>
        <row r="3796">
          <cell r="C3796" t="str">
            <v>저축은행</v>
          </cell>
          <cell r="E3796" t="str">
            <v>모름</v>
          </cell>
          <cell r="H3796">
            <v>2</v>
          </cell>
          <cell r="I3796">
            <v>0</v>
          </cell>
        </row>
        <row r="3797">
          <cell r="C3797" t="str">
            <v>저축은행</v>
          </cell>
          <cell r="E3797" t="str">
            <v>모름</v>
          </cell>
          <cell r="H3797">
            <v>12</v>
          </cell>
          <cell r="I3797">
            <v>0</v>
          </cell>
        </row>
        <row r="3798">
          <cell r="C3798" t="str">
            <v>저축은행</v>
          </cell>
          <cell r="E3798" t="str">
            <v>모름</v>
          </cell>
          <cell r="H3798">
            <v>335</v>
          </cell>
          <cell r="I3798">
            <v>1000</v>
          </cell>
        </row>
        <row r="3799">
          <cell r="C3799" t="str">
            <v>저축은행</v>
          </cell>
          <cell r="E3799" t="str">
            <v>모름</v>
          </cell>
          <cell r="H3799">
            <v>141</v>
          </cell>
          <cell r="I3799">
            <v>2500</v>
          </cell>
        </row>
        <row r="3800">
          <cell r="C3800" t="str">
            <v>저축은행</v>
          </cell>
          <cell r="E3800" t="str">
            <v>모름</v>
          </cell>
          <cell r="H3800">
            <v>54</v>
          </cell>
          <cell r="I3800">
            <v>2800</v>
          </cell>
        </row>
        <row r="3801">
          <cell r="C3801" t="str">
            <v>저축은행</v>
          </cell>
          <cell r="E3801" t="str">
            <v>모름</v>
          </cell>
          <cell r="H3801">
            <v>279</v>
          </cell>
          <cell r="I3801">
            <v>0</v>
          </cell>
        </row>
        <row r="3802">
          <cell r="C3802" t="str">
            <v>저축은행</v>
          </cell>
          <cell r="E3802" t="str">
            <v>모름</v>
          </cell>
          <cell r="H3802">
            <v>1000</v>
          </cell>
          <cell r="I3802">
            <v>2900</v>
          </cell>
        </row>
        <row r="3803">
          <cell r="C3803" t="str">
            <v>저축은행</v>
          </cell>
          <cell r="E3803" t="str">
            <v>모름</v>
          </cell>
          <cell r="H3803">
            <v>141</v>
          </cell>
          <cell r="I3803">
            <v>1500</v>
          </cell>
        </row>
        <row r="3804">
          <cell r="C3804" t="str">
            <v>저축은행</v>
          </cell>
          <cell r="E3804" t="str">
            <v>모름</v>
          </cell>
          <cell r="H3804">
            <v>76</v>
          </cell>
          <cell r="I3804">
            <v>0</v>
          </cell>
        </row>
        <row r="3805">
          <cell r="C3805" t="str">
            <v>저축은행</v>
          </cell>
          <cell r="E3805" t="str">
            <v>모름</v>
          </cell>
          <cell r="H3805">
            <v>61</v>
          </cell>
          <cell r="I3805">
            <v>7000</v>
          </cell>
        </row>
        <row r="3806">
          <cell r="C3806" t="str">
            <v>저축은행</v>
          </cell>
          <cell r="E3806" t="str">
            <v>모름</v>
          </cell>
          <cell r="H3806">
            <v>10</v>
          </cell>
          <cell r="I3806">
            <v>0</v>
          </cell>
        </row>
        <row r="3807">
          <cell r="C3807" t="str">
            <v>저축은행</v>
          </cell>
          <cell r="E3807" t="str">
            <v>모름</v>
          </cell>
          <cell r="H3807">
            <v>194</v>
          </cell>
          <cell r="I3807">
            <v>2310</v>
          </cell>
        </row>
        <row r="3808">
          <cell r="C3808" t="str">
            <v>저축은행</v>
          </cell>
          <cell r="E3808" t="str">
            <v>모름</v>
          </cell>
          <cell r="H3808">
            <v>10</v>
          </cell>
          <cell r="I3808">
            <v>0</v>
          </cell>
        </row>
        <row r="3809">
          <cell r="C3809" t="str">
            <v>저축은행</v>
          </cell>
          <cell r="E3809" t="str">
            <v>모름</v>
          </cell>
          <cell r="H3809">
            <v>314</v>
          </cell>
          <cell r="I3809">
            <v>5705</v>
          </cell>
        </row>
        <row r="3810">
          <cell r="C3810" t="str">
            <v>저축은행</v>
          </cell>
          <cell r="E3810" t="str">
            <v>모름</v>
          </cell>
          <cell r="H3810">
            <v>123</v>
          </cell>
          <cell r="I3810">
            <v>0</v>
          </cell>
        </row>
        <row r="3811">
          <cell r="C3811" t="str">
            <v>저축은행</v>
          </cell>
          <cell r="E3811" t="str">
            <v>모름</v>
          </cell>
          <cell r="H3811">
            <v>61</v>
          </cell>
          <cell r="I3811">
            <v>8000</v>
          </cell>
        </row>
        <row r="3812">
          <cell r="C3812" t="str">
            <v>저축은행</v>
          </cell>
          <cell r="E3812" t="str">
            <v>모름</v>
          </cell>
          <cell r="H3812">
            <v>279</v>
          </cell>
          <cell r="I3812">
            <v>5550</v>
          </cell>
        </row>
        <row r="3813">
          <cell r="C3813" t="str">
            <v>저축은행</v>
          </cell>
          <cell r="E3813" t="str">
            <v>모름</v>
          </cell>
          <cell r="H3813">
            <v>97</v>
          </cell>
          <cell r="I3813">
            <v>2816</v>
          </cell>
        </row>
        <row r="3814">
          <cell r="C3814" t="str">
            <v>저축은행</v>
          </cell>
          <cell r="E3814" t="str">
            <v>모름</v>
          </cell>
          <cell r="H3814">
            <v>17</v>
          </cell>
          <cell r="I3814">
            <v>0</v>
          </cell>
        </row>
        <row r="3815">
          <cell r="C3815" t="str">
            <v>저축은행</v>
          </cell>
          <cell r="E3815" t="str">
            <v>모름</v>
          </cell>
          <cell r="H3815">
            <v>279</v>
          </cell>
          <cell r="I3815">
            <v>0</v>
          </cell>
        </row>
        <row r="3816">
          <cell r="C3816" t="str">
            <v>저축은행</v>
          </cell>
          <cell r="E3816" t="str">
            <v>모름</v>
          </cell>
          <cell r="H3816">
            <v>10</v>
          </cell>
          <cell r="I3816">
            <v>0</v>
          </cell>
        </row>
        <row r="3817">
          <cell r="C3817" t="str">
            <v>저축은행</v>
          </cell>
          <cell r="E3817" t="str">
            <v>모름</v>
          </cell>
          <cell r="H3817">
            <v>260</v>
          </cell>
          <cell r="I3817">
            <v>7005</v>
          </cell>
        </row>
        <row r="3818">
          <cell r="C3818" t="str">
            <v>저축은행</v>
          </cell>
          <cell r="E3818" t="str">
            <v>모름</v>
          </cell>
          <cell r="H3818">
            <v>13</v>
          </cell>
          <cell r="I3818">
            <v>0</v>
          </cell>
        </row>
        <row r="3819">
          <cell r="C3819" t="str">
            <v>저축은행</v>
          </cell>
          <cell r="E3819" t="str">
            <v>모름</v>
          </cell>
          <cell r="H3819">
            <v>61</v>
          </cell>
          <cell r="I3819">
            <v>8000</v>
          </cell>
        </row>
        <row r="3820">
          <cell r="C3820" t="str">
            <v>저축은행</v>
          </cell>
          <cell r="E3820" t="str">
            <v>모름</v>
          </cell>
          <cell r="H3820">
            <v>27</v>
          </cell>
          <cell r="I3820">
            <v>0</v>
          </cell>
        </row>
        <row r="3821">
          <cell r="C3821" t="str">
            <v>저축은행</v>
          </cell>
          <cell r="E3821" t="str">
            <v>모름</v>
          </cell>
          <cell r="H3821">
            <v>90</v>
          </cell>
          <cell r="I3821">
            <v>0</v>
          </cell>
        </row>
        <row r="3822">
          <cell r="C3822" t="str">
            <v>저축은행</v>
          </cell>
          <cell r="E3822" t="str">
            <v>모름</v>
          </cell>
          <cell r="H3822">
            <v>61</v>
          </cell>
          <cell r="I3822">
            <v>8000</v>
          </cell>
        </row>
        <row r="3823">
          <cell r="C3823" t="str">
            <v>저축은행</v>
          </cell>
          <cell r="E3823" t="str">
            <v>모름</v>
          </cell>
          <cell r="H3823">
            <v>50</v>
          </cell>
          <cell r="I3823">
            <v>8000</v>
          </cell>
        </row>
        <row r="3824">
          <cell r="C3824" t="str">
            <v>저축은행</v>
          </cell>
          <cell r="E3824" t="str">
            <v>모름</v>
          </cell>
          <cell r="H3824">
            <v>44</v>
          </cell>
          <cell r="I3824">
            <v>800</v>
          </cell>
        </row>
        <row r="3825">
          <cell r="C3825" t="str">
            <v>저축은행</v>
          </cell>
          <cell r="E3825" t="str">
            <v>모름</v>
          </cell>
          <cell r="H3825">
            <v>38</v>
          </cell>
          <cell r="I3825">
            <v>800</v>
          </cell>
        </row>
        <row r="3826">
          <cell r="C3826" t="str">
            <v>저축은행</v>
          </cell>
          <cell r="E3826" t="str">
            <v>모름</v>
          </cell>
          <cell r="H3826">
            <v>4</v>
          </cell>
          <cell r="I3826">
            <v>0</v>
          </cell>
        </row>
        <row r="3827">
          <cell r="C3827" t="str">
            <v>저축은행</v>
          </cell>
          <cell r="E3827" t="str">
            <v>모름</v>
          </cell>
          <cell r="H3827">
            <v>44</v>
          </cell>
          <cell r="I3827">
            <v>800</v>
          </cell>
        </row>
        <row r="3828">
          <cell r="C3828" t="str">
            <v>저축은행</v>
          </cell>
          <cell r="E3828" t="str">
            <v>모름</v>
          </cell>
          <cell r="H3828">
            <v>50</v>
          </cell>
          <cell r="I3828">
            <v>800</v>
          </cell>
        </row>
        <row r="3829">
          <cell r="C3829" t="str">
            <v>저축은행</v>
          </cell>
          <cell r="E3829" t="str">
            <v>모름</v>
          </cell>
          <cell r="H3829">
            <v>10</v>
          </cell>
          <cell r="I3829">
            <v>800</v>
          </cell>
        </row>
        <row r="3830">
          <cell r="C3830" t="str">
            <v>저축은행</v>
          </cell>
          <cell r="E3830" t="str">
            <v>모름</v>
          </cell>
          <cell r="H3830">
            <v>56</v>
          </cell>
          <cell r="I3830">
            <v>0</v>
          </cell>
        </row>
        <row r="3831">
          <cell r="C3831" t="str">
            <v>저축은행</v>
          </cell>
          <cell r="E3831" t="str">
            <v>모름</v>
          </cell>
          <cell r="H3831">
            <v>36</v>
          </cell>
          <cell r="I3831">
            <v>0</v>
          </cell>
        </row>
        <row r="3832">
          <cell r="C3832" t="str">
            <v>저축은행</v>
          </cell>
          <cell r="E3832" t="str">
            <v>모름</v>
          </cell>
          <cell r="H3832">
            <v>35</v>
          </cell>
          <cell r="I3832">
            <v>0</v>
          </cell>
        </row>
        <row r="3833">
          <cell r="C3833" t="str">
            <v>저축은행</v>
          </cell>
          <cell r="E3833" t="str">
            <v>모름</v>
          </cell>
          <cell r="H3833">
            <v>172</v>
          </cell>
          <cell r="I3833">
            <v>8000</v>
          </cell>
        </row>
        <row r="3834">
          <cell r="C3834" t="str">
            <v>저축은행</v>
          </cell>
          <cell r="E3834" t="str">
            <v>모름</v>
          </cell>
          <cell r="H3834">
            <v>35</v>
          </cell>
          <cell r="I3834">
            <v>8000</v>
          </cell>
        </row>
        <row r="3835">
          <cell r="C3835" t="str">
            <v>저축은행</v>
          </cell>
          <cell r="E3835" t="str">
            <v>모름</v>
          </cell>
          <cell r="H3835">
            <v>21</v>
          </cell>
          <cell r="I3835">
            <v>8000</v>
          </cell>
        </row>
        <row r="3836">
          <cell r="C3836" t="str">
            <v>저축은행</v>
          </cell>
          <cell r="E3836" t="str">
            <v>모름</v>
          </cell>
          <cell r="H3836">
            <v>125</v>
          </cell>
          <cell r="I3836">
            <v>0</v>
          </cell>
        </row>
        <row r="3837">
          <cell r="C3837" t="str">
            <v>저축은행</v>
          </cell>
          <cell r="E3837" t="str">
            <v>모름</v>
          </cell>
          <cell r="H3837">
            <v>44</v>
          </cell>
          <cell r="I3837">
            <v>0</v>
          </cell>
        </row>
        <row r="3838">
          <cell r="C3838" t="str">
            <v>저축은행</v>
          </cell>
          <cell r="E3838" t="str">
            <v>모름</v>
          </cell>
          <cell r="H3838">
            <v>10</v>
          </cell>
          <cell r="I3838">
            <v>800</v>
          </cell>
        </row>
        <row r="3839">
          <cell r="C3839" t="str">
            <v>저축은행</v>
          </cell>
          <cell r="E3839" t="str">
            <v>모름</v>
          </cell>
          <cell r="H3839">
            <v>19</v>
          </cell>
          <cell r="I3839">
            <v>10000</v>
          </cell>
        </row>
        <row r="3840">
          <cell r="C3840" t="str">
            <v>저축은행</v>
          </cell>
          <cell r="E3840" t="str">
            <v>모름</v>
          </cell>
          <cell r="H3840">
            <v>12</v>
          </cell>
          <cell r="I3840">
            <v>0</v>
          </cell>
        </row>
        <row r="3841">
          <cell r="C3841" t="str">
            <v>저축은행</v>
          </cell>
          <cell r="E3841" t="str">
            <v>모름</v>
          </cell>
          <cell r="H3841">
            <v>44</v>
          </cell>
          <cell r="I3841">
            <v>0</v>
          </cell>
        </row>
        <row r="3842">
          <cell r="C3842" t="str">
            <v>저축은행</v>
          </cell>
          <cell r="E3842" t="str">
            <v>모름</v>
          </cell>
          <cell r="H3842">
            <v>83</v>
          </cell>
          <cell r="I3842">
            <v>0</v>
          </cell>
        </row>
        <row r="3843">
          <cell r="C3843" t="str">
            <v>저축은행</v>
          </cell>
          <cell r="E3843" t="str">
            <v>모름</v>
          </cell>
          <cell r="H3843">
            <v>44</v>
          </cell>
          <cell r="I3843">
            <v>0</v>
          </cell>
        </row>
        <row r="3844">
          <cell r="C3844" t="str">
            <v>저축은행</v>
          </cell>
          <cell r="E3844" t="str">
            <v>모름</v>
          </cell>
          <cell r="H3844">
            <v>51</v>
          </cell>
          <cell r="I3844">
            <v>3080</v>
          </cell>
        </row>
        <row r="3845">
          <cell r="C3845" t="str">
            <v>저축은행</v>
          </cell>
          <cell r="E3845" t="str">
            <v>모름</v>
          </cell>
          <cell r="H3845">
            <v>45</v>
          </cell>
          <cell r="I3845">
            <v>4308</v>
          </cell>
        </row>
        <row r="3846">
          <cell r="C3846" t="str">
            <v>저축은행</v>
          </cell>
          <cell r="E3846" t="str">
            <v>모름</v>
          </cell>
          <cell r="H3846">
            <v>68</v>
          </cell>
          <cell r="I3846">
            <v>4800</v>
          </cell>
        </row>
        <row r="3847">
          <cell r="C3847" t="str">
            <v>저축은행</v>
          </cell>
          <cell r="E3847" t="str">
            <v>모름</v>
          </cell>
          <cell r="H3847">
            <v>1000</v>
          </cell>
          <cell r="I3847">
            <v>0</v>
          </cell>
        </row>
        <row r="3848">
          <cell r="C3848" t="str">
            <v>저축은행</v>
          </cell>
          <cell r="E3848" t="str">
            <v>모름</v>
          </cell>
          <cell r="H3848">
            <v>34</v>
          </cell>
          <cell r="I3848">
            <v>0</v>
          </cell>
        </row>
        <row r="3849">
          <cell r="C3849" t="str">
            <v>저축은행</v>
          </cell>
          <cell r="E3849" t="str">
            <v>모름</v>
          </cell>
          <cell r="H3849">
            <v>1000</v>
          </cell>
          <cell r="I3849">
            <v>1200</v>
          </cell>
        </row>
        <row r="3850">
          <cell r="C3850" t="str">
            <v>저축은행</v>
          </cell>
          <cell r="E3850" t="str">
            <v>모름</v>
          </cell>
          <cell r="H3850">
            <v>10</v>
          </cell>
          <cell r="I3850">
            <v>0</v>
          </cell>
        </row>
        <row r="3851">
          <cell r="C3851" t="str">
            <v>저축은행</v>
          </cell>
          <cell r="E3851" t="str">
            <v>모름</v>
          </cell>
          <cell r="H3851">
            <v>50</v>
          </cell>
          <cell r="I3851">
            <v>8000</v>
          </cell>
        </row>
        <row r="3852">
          <cell r="C3852" t="str">
            <v>저축은행</v>
          </cell>
          <cell r="E3852" t="str">
            <v>모름</v>
          </cell>
          <cell r="H3852">
            <v>1000</v>
          </cell>
          <cell r="I3852">
            <v>0</v>
          </cell>
        </row>
        <row r="3853">
          <cell r="C3853" t="str">
            <v>저축은행</v>
          </cell>
          <cell r="E3853" t="str">
            <v>모름</v>
          </cell>
          <cell r="H3853">
            <v>94</v>
          </cell>
          <cell r="I3853">
            <v>8000</v>
          </cell>
        </row>
        <row r="3854">
          <cell r="C3854" t="str">
            <v>저축은행</v>
          </cell>
          <cell r="E3854" t="str">
            <v>모름</v>
          </cell>
          <cell r="H3854">
            <v>10</v>
          </cell>
          <cell r="I3854">
            <v>5000</v>
          </cell>
        </row>
        <row r="3855">
          <cell r="C3855" t="str">
            <v>저축은행</v>
          </cell>
          <cell r="E3855" t="str">
            <v>모름</v>
          </cell>
          <cell r="H3855">
            <v>1000</v>
          </cell>
          <cell r="I3855">
            <v>6000</v>
          </cell>
        </row>
        <row r="3856">
          <cell r="C3856" t="str">
            <v>저축은행</v>
          </cell>
          <cell r="E3856" t="str">
            <v>모름</v>
          </cell>
          <cell r="H3856">
            <v>44</v>
          </cell>
          <cell r="I3856">
            <v>4000</v>
          </cell>
        </row>
        <row r="3857">
          <cell r="C3857" t="str">
            <v>저축은행</v>
          </cell>
          <cell r="E3857" t="str">
            <v>모름</v>
          </cell>
          <cell r="H3857">
            <v>144</v>
          </cell>
          <cell r="I3857">
            <v>1235</v>
          </cell>
        </row>
        <row r="3858">
          <cell r="C3858" t="str">
            <v>저축은행</v>
          </cell>
          <cell r="E3858" t="str">
            <v>모름</v>
          </cell>
          <cell r="H3858">
            <v>78</v>
          </cell>
          <cell r="I3858">
            <v>1200</v>
          </cell>
        </row>
        <row r="3859">
          <cell r="C3859" t="str">
            <v>저축은행</v>
          </cell>
          <cell r="E3859" t="str">
            <v>모름</v>
          </cell>
          <cell r="H3859">
            <v>154</v>
          </cell>
          <cell r="I3859">
            <v>800</v>
          </cell>
        </row>
        <row r="3860">
          <cell r="C3860" t="str">
            <v>저축은행</v>
          </cell>
          <cell r="E3860" t="str">
            <v>모름</v>
          </cell>
          <cell r="H3860">
            <v>61</v>
          </cell>
          <cell r="I3860">
            <v>0</v>
          </cell>
        </row>
        <row r="3861">
          <cell r="C3861" t="str">
            <v>저축은행</v>
          </cell>
          <cell r="E3861" t="str">
            <v>모름</v>
          </cell>
          <cell r="H3861">
            <v>61</v>
          </cell>
          <cell r="I3861">
            <v>1000</v>
          </cell>
        </row>
        <row r="3862">
          <cell r="C3862" t="str">
            <v>저축은행</v>
          </cell>
          <cell r="E3862" t="str">
            <v>모름</v>
          </cell>
          <cell r="H3862">
            <v>39</v>
          </cell>
          <cell r="I3862">
            <v>2572</v>
          </cell>
        </row>
        <row r="3863">
          <cell r="C3863" t="str">
            <v>저축은행</v>
          </cell>
          <cell r="E3863" t="str">
            <v>모름</v>
          </cell>
          <cell r="H3863">
            <v>27</v>
          </cell>
          <cell r="I3863">
            <v>3000</v>
          </cell>
        </row>
        <row r="3864">
          <cell r="C3864" t="str">
            <v>저축은행</v>
          </cell>
          <cell r="E3864" t="str">
            <v>모름</v>
          </cell>
          <cell r="H3864">
            <v>23</v>
          </cell>
          <cell r="I3864">
            <v>0</v>
          </cell>
        </row>
        <row r="3865">
          <cell r="C3865" t="str">
            <v>저축은행</v>
          </cell>
          <cell r="E3865" t="str">
            <v>모름</v>
          </cell>
          <cell r="H3865">
            <v>1000</v>
          </cell>
          <cell r="I3865">
            <v>2500</v>
          </cell>
        </row>
        <row r="3866">
          <cell r="C3866" t="str">
            <v>저축은행</v>
          </cell>
          <cell r="E3866" t="str">
            <v>모름</v>
          </cell>
          <cell r="H3866">
            <v>187</v>
          </cell>
          <cell r="I3866">
            <v>3980</v>
          </cell>
        </row>
        <row r="3867">
          <cell r="C3867" t="str">
            <v>저축은행</v>
          </cell>
          <cell r="E3867" t="str">
            <v>모름</v>
          </cell>
          <cell r="H3867">
            <v>38</v>
          </cell>
          <cell r="I3867">
            <v>0</v>
          </cell>
        </row>
        <row r="3868">
          <cell r="C3868" t="str">
            <v>저축은행</v>
          </cell>
          <cell r="E3868" t="str">
            <v>모름</v>
          </cell>
          <cell r="H3868">
            <v>43</v>
          </cell>
          <cell r="I3868">
            <v>0</v>
          </cell>
        </row>
        <row r="3869">
          <cell r="C3869" t="str">
            <v>저축은행</v>
          </cell>
          <cell r="E3869" t="str">
            <v>모름</v>
          </cell>
          <cell r="H3869">
            <v>18</v>
          </cell>
          <cell r="I3869">
            <v>0</v>
          </cell>
        </row>
        <row r="3870">
          <cell r="C3870" t="str">
            <v>저축은행</v>
          </cell>
          <cell r="E3870" t="str">
            <v>모름</v>
          </cell>
          <cell r="H3870">
            <v>61</v>
          </cell>
          <cell r="I3870">
            <v>5000</v>
          </cell>
        </row>
        <row r="3871">
          <cell r="C3871" t="str">
            <v>저축은행</v>
          </cell>
          <cell r="E3871" t="str">
            <v>모름</v>
          </cell>
          <cell r="H3871">
            <v>60</v>
          </cell>
          <cell r="I3871">
            <v>0</v>
          </cell>
        </row>
        <row r="3872">
          <cell r="C3872" t="str">
            <v>저축은행</v>
          </cell>
          <cell r="E3872" t="str">
            <v>모름</v>
          </cell>
          <cell r="H3872">
            <v>23</v>
          </cell>
          <cell r="I3872">
            <v>5000</v>
          </cell>
        </row>
        <row r="3873">
          <cell r="C3873" t="str">
            <v>저축은행</v>
          </cell>
          <cell r="E3873" t="str">
            <v>모름</v>
          </cell>
          <cell r="H3873">
            <v>61</v>
          </cell>
          <cell r="I3873">
            <v>1000</v>
          </cell>
        </row>
        <row r="3874">
          <cell r="C3874" t="str">
            <v>저축은행</v>
          </cell>
          <cell r="E3874" t="str">
            <v>모름</v>
          </cell>
          <cell r="H3874">
            <v>78</v>
          </cell>
          <cell r="I3874">
            <v>5000</v>
          </cell>
        </row>
        <row r="3875">
          <cell r="C3875" t="str">
            <v>저축은행</v>
          </cell>
          <cell r="E3875" t="str">
            <v>모름</v>
          </cell>
          <cell r="H3875">
            <v>151</v>
          </cell>
          <cell r="I3875">
            <v>2247</v>
          </cell>
        </row>
        <row r="3876">
          <cell r="C3876" t="str">
            <v>저축은행</v>
          </cell>
          <cell r="E3876" t="str">
            <v>모름</v>
          </cell>
          <cell r="H3876">
            <v>151</v>
          </cell>
          <cell r="I3876">
            <v>2873</v>
          </cell>
        </row>
        <row r="3877">
          <cell r="C3877" t="str">
            <v>저축은행</v>
          </cell>
          <cell r="E3877" t="str">
            <v>모름</v>
          </cell>
          <cell r="H3877">
            <v>21</v>
          </cell>
          <cell r="I3877">
            <v>4000</v>
          </cell>
        </row>
        <row r="3878">
          <cell r="C3878" t="str">
            <v>저축은행</v>
          </cell>
          <cell r="E3878" t="str">
            <v>모름</v>
          </cell>
          <cell r="H3878">
            <v>50</v>
          </cell>
          <cell r="I3878">
            <v>0</v>
          </cell>
        </row>
        <row r="3879">
          <cell r="C3879" t="str">
            <v>저축은행</v>
          </cell>
          <cell r="E3879" t="str">
            <v>모름</v>
          </cell>
          <cell r="H3879">
            <v>94</v>
          </cell>
          <cell r="I3879">
            <v>0</v>
          </cell>
        </row>
        <row r="3880">
          <cell r="C3880" t="str">
            <v>저축은행</v>
          </cell>
          <cell r="E3880" t="str">
            <v>모름</v>
          </cell>
          <cell r="H3880">
            <v>13</v>
          </cell>
          <cell r="I3880">
            <v>0</v>
          </cell>
        </row>
        <row r="3881">
          <cell r="C3881" t="str">
            <v>저축은행</v>
          </cell>
          <cell r="E3881" t="str">
            <v>모름</v>
          </cell>
          <cell r="H3881">
            <v>76</v>
          </cell>
          <cell r="I3881">
            <v>0</v>
          </cell>
        </row>
        <row r="3882">
          <cell r="C3882" t="str">
            <v>저축은행</v>
          </cell>
          <cell r="E3882" t="str">
            <v>모름</v>
          </cell>
          <cell r="H3882">
            <v>61</v>
          </cell>
          <cell r="I3882">
            <v>0</v>
          </cell>
        </row>
        <row r="3883">
          <cell r="C3883" t="str">
            <v>저축은행</v>
          </cell>
          <cell r="E3883" t="str">
            <v>모름</v>
          </cell>
          <cell r="H3883">
            <v>40</v>
          </cell>
          <cell r="I3883">
            <v>2000</v>
          </cell>
        </row>
        <row r="3884">
          <cell r="C3884" t="str">
            <v>저축은행</v>
          </cell>
          <cell r="E3884" t="str">
            <v>모름</v>
          </cell>
          <cell r="H3884">
            <v>13</v>
          </cell>
          <cell r="I3884">
            <v>3000</v>
          </cell>
        </row>
        <row r="3885">
          <cell r="C3885" t="str">
            <v>저축은행</v>
          </cell>
          <cell r="E3885" t="str">
            <v>모름</v>
          </cell>
          <cell r="H3885">
            <v>41</v>
          </cell>
          <cell r="I3885">
            <v>2500</v>
          </cell>
        </row>
        <row r="3886">
          <cell r="C3886" t="str">
            <v>저축은행</v>
          </cell>
          <cell r="E3886" t="str">
            <v>모름</v>
          </cell>
          <cell r="H3886">
            <v>60</v>
          </cell>
          <cell r="I3886">
            <v>0</v>
          </cell>
        </row>
        <row r="3887">
          <cell r="C3887" t="str">
            <v>저축은행</v>
          </cell>
          <cell r="E3887" t="str">
            <v>모름</v>
          </cell>
          <cell r="H3887">
            <v>18</v>
          </cell>
          <cell r="I3887">
            <v>0</v>
          </cell>
        </row>
        <row r="3888">
          <cell r="C3888" t="str">
            <v>저축은행</v>
          </cell>
          <cell r="E3888" t="str">
            <v>모름</v>
          </cell>
          <cell r="H3888">
            <v>61</v>
          </cell>
          <cell r="I3888">
            <v>0</v>
          </cell>
        </row>
        <row r="3889">
          <cell r="C3889" t="str">
            <v>저축은행</v>
          </cell>
          <cell r="E3889" t="str">
            <v>모름</v>
          </cell>
          <cell r="H3889">
            <v>61</v>
          </cell>
          <cell r="I3889">
            <v>0</v>
          </cell>
        </row>
        <row r="3890">
          <cell r="C3890" t="str">
            <v>저축은행</v>
          </cell>
          <cell r="E3890" t="str">
            <v>모름</v>
          </cell>
          <cell r="H3890">
            <v>191</v>
          </cell>
          <cell r="I3890">
            <v>0</v>
          </cell>
        </row>
        <row r="3891">
          <cell r="C3891" t="str">
            <v>저축은행</v>
          </cell>
          <cell r="E3891" t="str">
            <v>모름</v>
          </cell>
          <cell r="H3891">
            <v>46</v>
          </cell>
          <cell r="I3891">
            <v>0</v>
          </cell>
        </row>
        <row r="3892">
          <cell r="C3892" t="str">
            <v>저축은행</v>
          </cell>
          <cell r="E3892" t="str">
            <v>모름</v>
          </cell>
          <cell r="H3892">
            <v>76</v>
          </cell>
          <cell r="I3892">
            <v>0</v>
          </cell>
        </row>
        <row r="3893">
          <cell r="C3893" t="str">
            <v>저축은행</v>
          </cell>
          <cell r="E3893" t="str">
            <v>모름</v>
          </cell>
          <cell r="H3893">
            <v>76</v>
          </cell>
          <cell r="I3893">
            <v>0</v>
          </cell>
        </row>
        <row r="3894">
          <cell r="C3894" t="str">
            <v>저축은행</v>
          </cell>
          <cell r="E3894" t="str">
            <v>모름</v>
          </cell>
          <cell r="H3894">
            <v>41</v>
          </cell>
          <cell r="I3894">
            <v>3000</v>
          </cell>
        </row>
        <row r="3895">
          <cell r="C3895" t="str">
            <v>저축은행</v>
          </cell>
          <cell r="E3895" t="str">
            <v>모름</v>
          </cell>
          <cell r="H3895">
            <v>44</v>
          </cell>
          <cell r="I3895">
            <v>2000</v>
          </cell>
        </row>
        <row r="3896">
          <cell r="C3896" t="str">
            <v>저축은행</v>
          </cell>
          <cell r="E3896" t="str">
            <v>모름</v>
          </cell>
          <cell r="H3896">
            <v>61</v>
          </cell>
          <cell r="I3896">
            <v>2000</v>
          </cell>
        </row>
        <row r="3897">
          <cell r="C3897" t="str">
            <v>저축은행</v>
          </cell>
          <cell r="E3897" t="str">
            <v>모름</v>
          </cell>
          <cell r="H3897">
            <v>172</v>
          </cell>
          <cell r="I3897">
            <v>0</v>
          </cell>
        </row>
        <row r="3898">
          <cell r="C3898" t="str">
            <v>저축은행</v>
          </cell>
          <cell r="E3898" t="str">
            <v>모름</v>
          </cell>
          <cell r="H3898">
            <v>56</v>
          </cell>
          <cell r="I3898">
            <v>0</v>
          </cell>
        </row>
        <row r="3899">
          <cell r="C3899" t="str">
            <v>저축은행</v>
          </cell>
          <cell r="E3899" t="str">
            <v>모름</v>
          </cell>
          <cell r="H3899">
            <v>35</v>
          </cell>
          <cell r="I3899">
            <v>2000</v>
          </cell>
        </row>
        <row r="3900">
          <cell r="C3900" t="str">
            <v>저축은행</v>
          </cell>
          <cell r="E3900" t="str">
            <v>모름</v>
          </cell>
          <cell r="H3900">
            <v>21</v>
          </cell>
          <cell r="I3900">
            <v>2000</v>
          </cell>
        </row>
        <row r="3901">
          <cell r="C3901" t="str">
            <v>저축은행</v>
          </cell>
          <cell r="E3901" t="str">
            <v>모름</v>
          </cell>
          <cell r="H3901">
            <v>35</v>
          </cell>
          <cell r="I3901">
            <v>2000</v>
          </cell>
        </row>
        <row r="3902">
          <cell r="C3902" t="str">
            <v>저축은행</v>
          </cell>
          <cell r="E3902" t="str">
            <v>모름</v>
          </cell>
          <cell r="H3902">
            <v>324</v>
          </cell>
          <cell r="I3902">
            <v>0</v>
          </cell>
        </row>
        <row r="3903">
          <cell r="C3903" t="str">
            <v>저축은행</v>
          </cell>
          <cell r="E3903" t="str">
            <v>모름</v>
          </cell>
          <cell r="H3903">
            <v>1000</v>
          </cell>
          <cell r="I3903">
            <v>0</v>
          </cell>
        </row>
        <row r="3904">
          <cell r="C3904" t="str">
            <v>저축은행</v>
          </cell>
          <cell r="E3904" t="str">
            <v>모름</v>
          </cell>
          <cell r="H3904">
            <v>1000</v>
          </cell>
          <cell r="I3904">
            <v>0</v>
          </cell>
        </row>
        <row r="3905">
          <cell r="C3905" t="str">
            <v>저축은행</v>
          </cell>
          <cell r="E3905" t="str">
            <v>모름</v>
          </cell>
          <cell r="H3905">
            <v>75</v>
          </cell>
          <cell r="I3905">
            <v>0</v>
          </cell>
        </row>
        <row r="3906">
          <cell r="C3906" t="str">
            <v>저축은행</v>
          </cell>
          <cell r="E3906" t="str">
            <v>모름</v>
          </cell>
          <cell r="H3906">
            <v>1000</v>
          </cell>
          <cell r="I3906">
            <v>3705</v>
          </cell>
        </row>
        <row r="3907">
          <cell r="C3907" t="str">
            <v>저축은행</v>
          </cell>
          <cell r="E3907" t="str">
            <v>모름</v>
          </cell>
          <cell r="H3907">
            <v>1000</v>
          </cell>
          <cell r="I3907">
            <v>0</v>
          </cell>
        </row>
        <row r="3908">
          <cell r="C3908" t="str">
            <v>저축은행</v>
          </cell>
          <cell r="E3908" t="str">
            <v>모름</v>
          </cell>
          <cell r="H3908">
            <v>60</v>
          </cell>
          <cell r="I3908">
            <v>2000</v>
          </cell>
        </row>
        <row r="3909">
          <cell r="C3909" t="str">
            <v>저축은행</v>
          </cell>
          <cell r="E3909" t="str">
            <v>모름</v>
          </cell>
          <cell r="H3909">
            <v>12</v>
          </cell>
          <cell r="I3909">
            <v>0</v>
          </cell>
        </row>
        <row r="3910">
          <cell r="C3910" t="str">
            <v>저축은행</v>
          </cell>
          <cell r="E3910" t="str">
            <v>모름</v>
          </cell>
          <cell r="H3910">
            <v>169</v>
          </cell>
          <cell r="I3910">
            <v>1500</v>
          </cell>
        </row>
        <row r="3911">
          <cell r="C3911" t="str">
            <v>저축은행</v>
          </cell>
          <cell r="E3911" t="str">
            <v>모름</v>
          </cell>
          <cell r="H3911">
            <v>4</v>
          </cell>
          <cell r="I3911">
            <v>0</v>
          </cell>
        </row>
        <row r="3912">
          <cell r="C3912" t="str">
            <v>저축은행</v>
          </cell>
          <cell r="E3912" t="str">
            <v>모름</v>
          </cell>
          <cell r="H3912">
            <v>1000</v>
          </cell>
          <cell r="I3912">
            <v>1500</v>
          </cell>
        </row>
        <row r="3913">
          <cell r="C3913" t="str">
            <v>저축은행</v>
          </cell>
          <cell r="E3913" t="str">
            <v>모름</v>
          </cell>
          <cell r="H3913">
            <v>56</v>
          </cell>
          <cell r="I3913">
            <v>0</v>
          </cell>
        </row>
        <row r="3914">
          <cell r="C3914" t="str">
            <v>저축은행</v>
          </cell>
          <cell r="E3914" t="str">
            <v>모름</v>
          </cell>
          <cell r="H3914">
            <v>1000</v>
          </cell>
          <cell r="I3914">
            <v>960</v>
          </cell>
        </row>
        <row r="3915">
          <cell r="C3915" t="str">
            <v>저축은행</v>
          </cell>
          <cell r="E3915" t="str">
            <v>모름</v>
          </cell>
          <cell r="H3915">
            <v>244</v>
          </cell>
          <cell r="I3915">
            <v>0</v>
          </cell>
        </row>
        <row r="3916">
          <cell r="C3916" t="str">
            <v>저축은행</v>
          </cell>
          <cell r="E3916" t="str">
            <v>모름</v>
          </cell>
          <cell r="H3916">
            <v>50</v>
          </cell>
          <cell r="I3916">
            <v>0</v>
          </cell>
        </row>
        <row r="3917">
          <cell r="C3917" t="str">
            <v>저축은행</v>
          </cell>
          <cell r="E3917" t="str">
            <v>모름</v>
          </cell>
          <cell r="H3917">
            <v>44</v>
          </cell>
          <cell r="I3917">
            <v>0</v>
          </cell>
        </row>
        <row r="3918">
          <cell r="C3918" t="str">
            <v>저축은행</v>
          </cell>
          <cell r="E3918" t="str">
            <v>모름</v>
          </cell>
          <cell r="H3918">
            <v>1000</v>
          </cell>
          <cell r="I3918">
            <v>0</v>
          </cell>
        </row>
        <row r="3919">
          <cell r="C3919" t="str">
            <v>저축은행</v>
          </cell>
          <cell r="E3919" t="str">
            <v>모름</v>
          </cell>
          <cell r="H3919">
            <v>309</v>
          </cell>
          <cell r="I3919">
            <v>1500</v>
          </cell>
        </row>
        <row r="3920">
          <cell r="C3920" t="str">
            <v>저축은행</v>
          </cell>
          <cell r="E3920" t="str">
            <v>모름</v>
          </cell>
          <cell r="H3920">
            <v>309</v>
          </cell>
          <cell r="I3920">
            <v>2500</v>
          </cell>
        </row>
        <row r="3921">
          <cell r="C3921" t="str">
            <v>저축은행</v>
          </cell>
          <cell r="E3921" t="str">
            <v>모름</v>
          </cell>
          <cell r="H3921">
            <v>83</v>
          </cell>
          <cell r="I3921">
            <v>868</v>
          </cell>
        </row>
        <row r="3922">
          <cell r="C3922" t="str">
            <v>저축은행</v>
          </cell>
          <cell r="E3922" t="str">
            <v>모름</v>
          </cell>
          <cell r="H3922">
            <v>141</v>
          </cell>
          <cell r="I3922">
            <v>1500</v>
          </cell>
        </row>
        <row r="3923">
          <cell r="C3923" t="str">
            <v>저축은행</v>
          </cell>
          <cell r="E3923" t="str">
            <v>모름</v>
          </cell>
          <cell r="H3923">
            <v>120</v>
          </cell>
          <cell r="I3923">
            <v>866</v>
          </cell>
        </row>
        <row r="3924">
          <cell r="C3924" t="str">
            <v>저축은행</v>
          </cell>
          <cell r="E3924" t="str">
            <v>모름</v>
          </cell>
          <cell r="H3924">
            <v>177</v>
          </cell>
          <cell r="I3924">
            <v>2000</v>
          </cell>
        </row>
        <row r="3925">
          <cell r="C3925" t="str">
            <v>저축은행</v>
          </cell>
          <cell r="E3925" t="str">
            <v>모름</v>
          </cell>
          <cell r="H3925">
            <v>152</v>
          </cell>
          <cell r="I3925">
            <v>0</v>
          </cell>
        </row>
        <row r="3926">
          <cell r="C3926" t="str">
            <v>저축은행</v>
          </cell>
          <cell r="E3926" t="str">
            <v>모름</v>
          </cell>
          <cell r="H3926">
            <v>1000</v>
          </cell>
          <cell r="I3926">
            <v>0</v>
          </cell>
        </row>
        <row r="3927">
          <cell r="C3927" t="str">
            <v>저축은행</v>
          </cell>
          <cell r="E3927" t="str">
            <v>모름</v>
          </cell>
          <cell r="H3927">
            <v>44</v>
          </cell>
          <cell r="I3927">
            <v>0</v>
          </cell>
        </row>
        <row r="3928">
          <cell r="C3928" t="str">
            <v>저축은행</v>
          </cell>
          <cell r="E3928" t="str">
            <v>모름</v>
          </cell>
          <cell r="H3928">
            <v>1000</v>
          </cell>
          <cell r="I3928">
            <v>0</v>
          </cell>
        </row>
        <row r="3929">
          <cell r="C3929" t="str">
            <v>저축은행</v>
          </cell>
          <cell r="E3929" t="str">
            <v>모름</v>
          </cell>
          <cell r="H3929">
            <v>169</v>
          </cell>
          <cell r="I3929">
            <v>2500</v>
          </cell>
        </row>
        <row r="3930">
          <cell r="C3930" t="str">
            <v>저축은행</v>
          </cell>
          <cell r="E3930" t="str">
            <v>모름</v>
          </cell>
          <cell r="H3930">
            <v>12</v>
          </cell>
          <cell r="I3930">
            <v>0</v>
          </cell>
        </row>
        <row r="3931">
          <cell r="C3931" t="str">
            <v>저축은행</v>
          </cell>
          <cell r="E3931" t="str">
            <v>모름</v>
          </cell>
          <cell r="H3931">
            <v>60</v>
          </cell>
          <cell r="I3931">
            <v>0</v>
          </cell>
        </row>
        <row r="3932">
          <cell r="C3932" t="str">
            <v>저축은행</v>
          </cell>
          <cell r="E3932" t="str">
            <v>모름</v>
          </cell>
          <cell r="H3932">
            <v>44</v>
          </cell>
          <cell r="I3932">
            <v>0</v>
          </cell>
        </row>
        <row r="3933">
          <cell r="C3933" t="str">
            <v>저축은행</v>
          </cell>
          <cell r="E3933" t="str">
            <v>모름</v>
          </cell>
          <cell r="H3933">
            <v>56</v>
          </cell>
          <cell r="I3933">
            <v>0</v>
          </cell>
        </row>
        <row r="3934">
          <cell r="C3934" t="str">
            <v>저축은행</v>
          </cell>
          <cell r="E3934" t="str">
            <v>모름</v>
          </cell>
          <cell r="H3934">
            <v>4</v>
          </cell>
          <cell r="I3934">
            <v>0</v>
          </cell>
        </row>
        <row r="3935">
          <cell r="C3935" t="str">
            <v>저축은행</v>
          </cell>
          <cell r="E3935" t="str">
            <v>모름</v>
          </cell>
          <cell r="H3935">
            <v>76</v>
          </cell>
          <cell r="I3935">
            <v>3500</v>
          </cell>
        </row>
        <row r="3936">
          <cell r="C3936" t="str">
            <v>저축은행</v>
          </cell>
          <cell r="E3936" t="str">
            <v>모름</v>
          </cell>
          <cell r="H3936">
            <v>3</v>
          </cell>
          <cell r="I3936">
            <v>0</v>
          </cell>
        </row>
        <row r="3937">
          <cell r="C3937" t="str">
            <v>저축은행</v>
          </cell>
          <cell r="E3937" t="str">
            <v>모름</v>
          </cell>
          <cell r="H3937">
            <v>3</v>
          </cell>
          <cell r="I3937">
            <v>0</v>
          </cell>
        </row>
        <row r="3938">
          <cell r="C3938" t="str">
            <v>저축은행</v>
          </cell>
          <cell r="E3938" t="str">
            <v>모름</v>
          </cell>
          <cell r="H3938">
            <v>51</v>
          </cell>
          <cell r="I3938">
            <v>0</v>
          </cell>
        </row>
        <row r="3939">
          <cell r="C3939" t="str">
            <v>저축은행</v>
          </cell>
          <cell r="E3939" t="str">
            <v>모름</v>
          </cell>
          <cell r="H3939">
            <v>51</v>
          </cell>
          <cell r="I3939">
            <v>0</v>
          </cell>
        </row>
        <row r="3940">
          <cell r="C3940" t="str">
            <v>저축은행</v>
          </cell>
          <cell r="E3940" t="str">
            <v>모름</v>
          </cell>
          <cell r="H3940">
            <v>51</v>
          </cell>
          <cell r="I3940">
            <v>0</v>
          </cell>
        </row>
        <row r="3941">
          <cell r="C3941" t="str">
            <v>저축은행</v>
          </cell>
          <cell r="E3941" t="str">
            <v>모름</v>
          </cell>
          <cell r="H3941">
            <v>22</v>
          </cell>
          <cell r="I3941">
            <v>0</v>
          </cell>
        </row>
        <row r="3942">
          <cell r="C3942" t="str">
            <v>저축은행</v>
          </cell>
          <cell r="E3942" t="str">
            <v>모름</v>
          </cell>
          <cell r="H3942">
            <v>22</v>
          </cell>
          <cell r="I3942">
            <v>0</v>
          </cell>
        </row>
        <row r="3943">
          <cell r="C3943" t="str">
            <v>저축은행</v>
          </cell>
          <cell r="E3943" t="str">
            <v>모름</v>
          </cell>
          <cell r="H3943">
            <v>22</v>
          </cell>
          <cell r="I3943">
            <v>0</v>
          </cell>
        </row>
        <row r="3944">
          <cell r="C3944" t="str">
            <v>저축은행</v>
          </cell>
          <cell r="E3944" t="str">
            <v>모름</v>
          </cell>
          <cell r="H3944">
            <v>30</v>
          </cell>
          <cell r="I3944">
            <v>0</v>
          </cell>
        </row>
        <row r="3945">
          <cell r="C3945" t="str">
            <v>저축은행</v>
          </cell>
          <cell r="E3945" t="str">
            <v>모름</v>
          </cell>
          <cell r="H3945">
            <v>30</v>
          </cell>
          <cell r="I3945">
            <v>0</v>
          </cell>
        </row>
        <row r="3946">
          <cell r="C3946" t="str">
            <v>저축은행</v>
          </cell>
          <cell r="E3946" t="str">
            <v>모름</v>
          </cell>
          <cell r="H3946">
            <v>40</v>
          </cell>
          <cell r="I3946">
            <v>0</v>
          </cell>
        </row>
        <row r="3947">
          <cell r="C3947" t="str">
            <v>저축은행</v>
          </cell>
          <cell r="E3947" t="str">
            <v>모름</v>
          </cell>
          <cell r="H3947">
            <v>1000</v>
          </cell>
          <cell r="I3947">
            <v>2800</v>
          </cell>
        </row>
        <row r="3948">
          <cell r="C3948" t="str">
            <v>저축은행</v>
          </cell>
          <cell r="E3948" t="str">
            <v>모름</v>
          </cell>
          <cell r="H3948">
            <v>260</v>
          </cell>
          <cell r="I3948">
            <v>3666</v>
          </cell>
        </row>
        <row r="3949">
          <cell r="C3949" t="str">
            <v>저축은행</v>
          </cell>
          <cell r="E3949" t="str">
            <v>모름</v>
          </cell>
          <cell r="H3949">
            <v>10</v>
          </cell>
          <cell r="I3949">
            <v>0</v>
          </cell>
        </row>
        <row r="3950">
          <cell r="C3950" t="str">
            <v>저축은행</v>
          </cell>
          <cell r="E3950" t="str">
            <v>모름</v>
          </cell>
          <cell r="H3950">
            <v>43</v>
          </cell>
          <cell r="I3950">
            <v>0</v>
          </cell>
        </row>
        <row r="3951">
          <cell r="C3951" t="str">
            <v>저축은행</v>
          </cell>
          <cell r="E3951" t="str">
            <v>모름</v>
          </cell>
          <cell r="H3951">
            <v>61</v>
          </cell>
          <cell r="I3951">
            <v>7000</v>
          </cell>
        </row>
        <row r="3952">
          <cell r="C3952" t="str">
            <v>저축은행</v>
          </cell>
          <cell r="E3952" t="str">
            <v>모름</v>
          </cell>
          <cell r="H3952">
            <v>61</v>
          </cell>
          <cell r="I3952">
            <v>6000</v>
          </cell>
        </row>
        <row r="3953">
          <cell r="C3953" t="str">
            <v>저축은행</v>
          </cell>
          <cell r="E3953" t="str">
            <v>모름</v>
          </cell>
          <cell r="H3953">
            <v>61</v>
          </cell>
          <cell r="I3953">
            <v>4000</v>
          </cell>
        </row>
        <row r="3954">
          <cell r="C3954" t="str">
            <v>저축은행</v>
          </cell>
          <cell r="E3954" t="str">
            <v>모름</v>
          </cell>
          <cell r="H3954">
            <v>44</v>
          </cell>
          <cell r="I3954">
            <v>700</v>
          </cell>
        </row>
        <row r="3955">
          <cell r="C3955" t="str">
            <v>저축은행</v>
          </cell>
          <cell r="E3955" t="str">
            <v>모름</v>
          </cell>
          <cell r="H3955">
            <v>44</v>
          </cell>
          <cell r="I3955">
            <v>700</v>
          </cell>
        </row>
        <row r="3956">
          <cell r="C3956" t="str">
            <v>저축은행</v>
          </cell>
          <cell r="E3956" t="str">
            <v>모름</v>
          </cell>
          <cell r="H3956">
            <v>50</v>
          </cell>
          <cell r="I3956">
            <v>6000</v>
          </cell>
        </row>
        <row r="3957">
          <cell r="C3957" t="str">
            <v>저축은행</v>
          </cell>
          <cell r="E3957" t="str">
            <v>모름</v>
          </cell>
          <cell r="H3957">
            <v>10</v>
          </cell>
          <cell r="I3957">
            <v>200</v>
          </cell>
        </row>
        <row r="3958">
          <cell r="C3958" t="str">
            <v>저축은행</v>
          </cell>
          <cell r="E3958" t="str">
            <v>모름</v>
          </cell>
          <cell r="H3958">
            <v>138</v>
          </cell>
          <cell r="I3958">
            <v>0</v>
          </cell>
        </row>
        <row r="3959">
          <cell r="C3959" t="str">
            <v>저축은행</v>
          </cell>
          <cell r="E3959" t="str">
            <v>모름</v>
          </cell>
          <cell r="H3959">
            <v>61</v>
          </cell>
          <cell r="I3959">
            <v>4000</v>
          </cell>
        </row>
        <row r="3960">
          <cell r="C3960" t="str">
            <v>저축은행</v>
          </cell>
          <cell r="E3960" t="str">
            <v>모름</v>
          </cell>
          <cell r="H3960">
            <v>35</v>
          </cell>
          <cell r="I3960">
            <v>4000</v>
          </cell>
        </row>
        <row r="3961">
          <cell r="C3961" t="str">
            <v>저축은행</v>
          </cell>
          <cell r="E3961" t="str">
            <v>모름</v>
          </cell>
          <cell r="H3961">
            <v>35</v>
          </cell>
          <cell r="I3961">
            <v>750</v>
          </cell>
        </row>
        <row r="3962">
          <cell r="C3962" t="str">
            <v>저축은행</v>
          </cell>
          <cell r="E3962" t="str">
            <v>모름</v>
          </cell>
          <cell r="H3962">
            <v>21</v>
          </cell>
          <cell r="I3962">
            <v>8000</v>
          </cell>
        </row>
        <row r="3963">
          <cell r="C3963" t="str">
            <v>저축은행</v>
          </cell>
          <cell r="E3963" t="str">
            <v>모름</v>
          </cell>
          <cell r="H3963">
            <v>10</v>
          </cell>
          <cell r="I3963">
            <v>800</v>
          </cell>
        </row>
        <row r="3964">
          <cell r="C3964" t="str">
            <v>저축은행</v>
          </cell>
          <cell r="E3964" t="str">
            <v>모름</v>
          </cell>
          <cell r="H3964">
            <v>97</v>
          </cell>
          <cell r="I3964">
            <v>1784</v>
          </cell>
        </row>
        <row r="3965">
          <cell r="C3965" t="str">
            <v>저축은행</v>
          </cell>
          <cell r="E3965" t="str">
            <v>모름</v>
          </cell>
          <cell r="H3965">
            <v>17</v>
          </cell>
          <cell r="I3965">
            <v>0</v>
          </cell>
        </row>
        <row r="3966">
          <cell r="C3966" t="str">
            <v>저축은행</v>
          </cell>
          <cell r="E3966" t="str">
            <v>모름</v>
          </cell>
          <cell r="H3966">
            <v>38</v>
          </cell>
          <cell r="I3966">
            <v>0</v>
          </cell>
        </row>
        <row r="3967">
          <cell r="C3967" t="str">
            <v>저축은행</v>
          </cell>
          <cell r="E3967" t="str">
            <v>모름</v>
          </cell>
          <cell r="H3967">
            <v>62</v>
          </cell>
          <cell r="I3967">
            <v>1000</v>
          </cell>
        </row>
        <row r="3968">
          <cell r="C3968" t="str">
            <v>저축은행</v>
          </cell>
          <cell r="E3968" t="str">
            <v>모름</v>
          </cell>
          <cell r="H3968">
            <v>41</v>
          </cell>
          <cell r="I3968">
            <v>2700</v>
          </cell>
        </row>
        <row r="3969">
          <cell r="C3969" t="str">
            <v>저축은행</v>
          </cell>
          <cell r="E3969" t="str">
            <v>모름</v>
          </cell>
          <cell r="H3969">
            <v>87</v>
          </cell>
          <cell r="I3969">
            <v>2430</v>
          </cell>
        </row>
        <row r="3970">
          <cell r="C3970" t="str">
            <v>저축은행</v>
          </cell>
          <cell r="E3970" t="str">
            <v>모름</v>
          </cell>
          <cell r="H3970">
            <v>41</v>
          </cell>
          <cell r="I3970">
            <v>2000</v>
          </cell>
        </row>
        <row r="3971">
          <cell r="C3971" t="str">
            <v>저축은행</v>
          </cell>
          <cell r="E3971" t="str">
            <v>모름</v>
          </cell>
          <cell r="H3971">
            <v>41</v>
          </cell>
          <cell r="I3971">
            <v>2700</v>
          </cell>
        </row>
        <row r="3972">
          <cell r="C3972" t="str">
            <v>저축은행</v>
          </cell>
          <cell r="E3972" t="str">
            <v>모름</v>
          </cell>
          <cell r="H3972">
            <v>33</v>
          </cell>
          <cell r="I3972">
            <v>2700</v>
          </cell>
        </row>
        <row r="3973">
          <cell r="C3973" t="str">
            <v>저축은행</v>
          </cell>
          <cell r="E3973" t="str">
            <v>모름</v>
          </cell>
          <cell r="H3973">
            <v>87</v>
          </cell>
          <cell r="I3973">
            <v>2000</v>
          </cell>
        </row>
        <row r="3974">
          <cell r="C3974" t="str">
            <v>저축은행</v>
          </cell>
          <cell r="E3974" t="str">
            <v>모름</v>
          </cell>
          <cell r="H3974">
            <v>41</v>
          </cell>
          <cell r="I3974">
            <v>2700</v>
          </cell>
        </row>
        <row r="3975">
          <cell r="C3975" t="str">
            <v>저축은행</v>
          </cell>
          <cell r="E3975" t="str">
            <v>모름</v>
          </cell>
          <cell r="H3975">
            <v>40</v>
          </cell>
          <cell r="I3975">
            <v>2720</v>
          </cell>
        </row>
        <row r="3976">
          <cell r="C3976" t="str">
            <v>저축은행</v>
          </cell>
          <cell r="E3976" t="str">
            <v>모름</v>
          </cell>
          <cell r="H3976">
            <v>41</v>
          </cell>
          <cell r="I3976">
            <v>2700</v>
          </cell>
        </row>
        <row r="3977">
          <cell r="C3977" t="str">
            <v>저축은행</v>
          </cell>
          <cell r="E3977" t="str">
            <v>모름</v>
          </cell>
          <cell r="H3977">
            <v>41</v>
          </cell>
          <cell r="I3977">
            <v>2700</v>
          </cell>
        </row>
        <row r="3978">
          <cell r="C3978" t="str">
            <v>저축은행</v>
          </cell>
          <cell r="E3978" t="str">
            <v>모름</v>
          </cell>
          <cell r="H3978">
            <v>41</v>
          </cell>
          <cell r="I3978">
            <v>2600</v>
          </cell>
        </row>
        <row r="3979">
          <cell r="C3979" t="str">
            <v>저축은행</v>
          </cell>
          <cell r="E3979" t="str">
            <v>모름</v>
          </cell>
          <cell r="H3979">
            <v>41</v>
          </cell>
          <cell r="I3979">
            <v>2700</v>
          </cell>
        </row>
        <row r="3980">
          <cell r="C3980" t="str">
            <v>저축은행</v>
          </cell>
          <cell r="E3980" t="str">
            <v>모름</v>
          </cell>
          <cell r="H3980">
            <v>1000</v>
          </cell>
          <cell r="I3980">
            <v>2000</v>
          </cell>
        </row>
        <row r="3981">
          <cell r="C3981" t="str">
            <v>저축은행</v>
          </cell>
          <cell r="E3981" t="str">
            <v>모름</v>
          </cell>
          <cell r="H3981">
            <v>41</v>
          </cell>
          <cell r="I3981">
            <v>2000</v>
          </cell>
        </row>
        <row r="3982">
          <cell r="C3982" t="str">
            <v>저축은행</v>
          </cell>
          <cell r="E3982" t="str">
            <v>모름</v>
          </cell>
          <cell r="H3982">
            <v>13</v>
          </cell>
          <cell r="I3982">
            <v>2700</v>
          </cell>
        </row>
        <row r="3983">
          <cell r="C3983" t="str">
            <v>저축은행</v>
          </cell>
          <cell r="E3983" t="str">
            <v>모름</v>
          </cell>
          <cell r="H3983">
            <v>1</v>
          </cell>
          <cell r="I3983">
            <v>2000</v>
          </cell>
        </row>
        <row r="3984">
          <cell r="C3984" t="str">
            <v>저축은행</v>
          </cell>
          <cell r="E3984" t="str">
            <v>모름</v>
          </cell>
          <cell r="H3984">
            <v>87</v>
          </cell>
          <cell r="I3984">
            <v>2000</v>
          </cell>
        </row>
        <row r="3985">
          <cell r="C3985" t="str">
            <v>저축은행</v>
          </cell>
          <cell r="E3985" t="str">
            <v>모름</v>
          </cell>
          <cell r="H3985">
            <v>41</v>
          </cell>
          <cell r="I3985">
            <v>2700</v>
          </cell>
        </row>
        <row r="3986">
          <cell r="C3986" t="str">
            <v>저축은행</v>
          </cell>
          <cell r="E3986" t="str">
            <v>모름</v>
          </cell>
          <cell r="H3986">
            <v>13</v>
          </cell>
          <cell r="I3986">
            <v>2700</v>
          </cell>
        </row>
        <row r="3987">
          <cell r="C3987" t="str">
            <v>저축은행</v>
          </cell>
          <cell r="E3987" t="str">
            <v>모름</v>
          </cell>
          <cell r="H3987">
            <v>159</v>
          </cell>
          <cell r="I3987">
            <v>2700</v>
          </cell>
        </row>
        <row r="3988">
          <cell r="C3988" t="str">
            <v>저축은행</v>
          </cell>
          <cell r="E3988" t="str">
            <v>모름</v>
          </cell>
          <cell r="H3988">
            <v>41</v>
          </cell>
          <cell r="I3988">
            <v>2700</v>
          </cell>
        </row>
        <row r="3989">
          <cell r="C3989" t="str">
            <v>저축은행</v>
          </cell>
          <cell r="E3989" t="str">
            <v>모름</v>
          </cell>
          <cell r="H3989">
            <v>13</v>
          </cell>
          <cell r="I3989">
            <v>2500</v>
          </cell>
        </row>
        <row r="3990">
          <cell r="C3990" t="str">
            <v>저축은행</v>
          </cell>
          <cell r="E3990" t="str">
            <v>모름</v>
          </cell>
          <cell r="H3990">
            <v>1000</v>
          </cell>
          <cell r="I3990">
            <v>2700</v>
          </cell>
        </row>
        <row r="3991">
          <cell r="C3991" t="str">
            <v>저축은행</v>
          </cell>
          <cell r="E3991" t="str">
            <v>모름</v>
          </cell>
          <cell r="H3991">
            <v>62</v>
          </cell>
          <cell r="I3991">
            <v>2700</v>
          </cell>
        </row>
        <row r="3992">
          <cell r="C3992" t="str">
            <v>저축은행</v>
          </cell>
          <cell r="E3992" t="str">
            <v>모름</v>
          </cell>
          <cell r="H3992">
            <v>29</v>
          </cell>
          <cell r="I3992">
            <v>3500</v>
          </cell>
        </row>
        <row r="3993">
          <cell r="C3993" t="str">
            <v>저축은행</v>
          </cell>
          <cell r="E3993" t="str">
            <v>모름</v>
          </cell>
          <cell r="H3993">
            <v>10</v>
          </cell>
          <cell r="I3993">
            <v>8000</v>
          </cell>
        </row>
        <row r="3994">
          <cell r="C3994" t="str">
            <v>저축은행</v>
          </cell>
          <cell r="E3994" t="str">
            <v>모름</v>
          </cell>
          <cell r="H3994">
            <v>137</v>
          </cell>
          <cell r="I3994">
            <v>2565</v>
          </cell>
        </row>
        <row r="3995">
          <cell r="C3995" t="str">
            <v>저축은행</v>
          </cell>
          <cell r="E3995" t="str">
            <v>모름</v>
          </cell>
          <cell r="H3995">
            <v>191</v>
          </cell>
          <cell r="I3995">
            <v>3400</v>
          </cell>
        </row>
        <row r="3996">
          <cell r="C3996" t="str">
            <v>저축은행</v>
          </cell>
          <cell r="E3996" t="str">
            <v>모름</v>
          </cell>
          <cell r="H3996">
            <v>95</v>
          </cell>
          <cell r="I3996">
            <v>0</v>
          </cell>
        </row>
        <row r="3997">
          <cell r="C3997" t="str">
            <v>저축은행</v>
          </cell>
          <cell r="E3997" t="str">
            <v>모름</v>
          </cell>
          <cell r="H3997">
            <v>61</v>
          </cell>
          <cell r="I3997">
            <v>8000</v>
          </cell>
        </row>
        <row r="3998">
          <cell r="C3998" t="str">
            <v>저축은행</v>
          </cell>
          <cell r="E3998" t="str">
            <v>모름</v>
          </cell>
          <cell r="H3998">
            <v>45</v>
          </cell>
          <cell r="I3998">
            <v>8000</v>
          </cell>
        </row>
        <row r="3999">
          <cell r="C3999" t="str">
            <v>저축은행</v>
          </cell>
          <cell r="E3999" t="str">
            <v>모름</v>
          </cell>
          <cell r="H3999">
            <v>60</v>
          </cell>
          <cell r="I3999">
            <v>8000</v>
          </cell>
        </row>
        <row r="4000">
          <cell r="C4000" t="str">
            <v>저축은행</v>
          </cell>
          <cell r="E4000" t="str">
            <v>모름</v>
          </cell>
          <cell r="H4000">
            <v>123</v>
          </cell>
          <cell r="I4000">
            <v>7200</v>
          </cell>
        </row>
        <row r="4001">
          <cell r="C4001" t="str">
            <v>저축은행</v>
          </cell>
          <cell r="E4001" t="str">
            <v>모름</v>
          </cell>
          <cell r="H4001">
            <v>150</v>
          </cell>
          <cell r="I4001">
            <v>9000</v>
          </cell>
        </row>
        <row r="4002">
          <cell r="C4002" t="str">
            <v>저축은행</v>
          </cell>
          <cell r="E4002" t="str">
            <v>모름</v>
          </cell>
          <cell r="H4002">
            <v>138</v>
          </cell>
          <cell r="I4002">
            <v>0</v>
          </cell>
        </row>
        <row r="4003">
          <cell r="C4003" t="str">
            <v>저축은행</v>
          </cell>
          <cell r="E4003" t="str">
            <v>모름</v>
          </cell>
          <cell r="H4003">
            <v>216</v>
          </cell>
          <cell r="I4003">
            <v>5880</v>
          </cell>
        </row>
        <row r="4004">
          <cell r="C4004" t="str">
            <v>저축은행</v>
          </cell>
          <cell r="E4004" t="str">
            <v>모름</v>
          </cell>
          <cell r="H4004">
            <v>68</v>
          </cell>
          <cell r="I4004">
            <v>6500</v>
          </cell>
        </row>
        <row r="4005">
          <cell r="C4005" t="str">
            <v>저축은행</v>
          </cell>
          <cell r="E4005" t="str">
            <v>모름</v>
          </cell>
          <cell r="H4005">
            <v>38</v>
          </cell>
          <cell r="I4005">
            <v>0</v>
          </cell>
        </row>
        <row r="4006">
          <cell r="C4006" t="str">
            <v>저축은행</v>
          </cell>
          <cell r="E4006" t="str">
            <v>모름</v>
          </cell>
          <cell r="H4006">
            <v>60</v>
          </cell>
          <cell r="I4006">
            <v>8000</v>
          </cell>
        </row>
        <row r="4007">
          <cell r="C4007" t="str">
            <v>저축은행</v>
          </cell>
          <cell r="E4007" t="str">
            <v>모름</v>
          </cell>
          <cell r="H4007">
            <v>61</v>
          </cell>
          <cell r="I4007">
            <v>4000</v>
          </cell>
        </row>
        <row r="4008">
          <cell r="C4008" t="str">
            <v>저축은행</v>
          </cell>
          <cell r="E4008" t="str">
            <v>모름</v>
          </cell>
          <cell r="H4008">
            <v>61</v>
          </cell>
          <cell r="I4008">
            <v>3202</v>
          </cell>
        </row>
        <row r="4009">
          <cell r="C4009" t="str">
            <v>저축은행</v>
          </cell>
          <cell r="E4009" t="str">
            <v>모름</v>
          </cell>
          <cell r="H4009">
            <v>86</v>
          </cell>
          <cell r="I4009">
            <v>7000</v>
          </cell>
        </row>
        <row r="4010">
          <cell r="C4010" t="str">
            <v>저축은행</v>
          </cell>
          <cell r="E4010" t="str">
            <v>모름</v>
          </cell>
          <cell r="H4010">
            <v>352</v>
          </cell>
          <cell r="I4010">
            <v>4000</v>
          </cell>
        </row>
        <row r="4011">
          <cell r="C4011" t="str">
            <v>저축은행</v>
          </cell>
          <cell r="E4011" t="str">
            <v>모름</v>
          </cell>
          <cell r="H4011">
            <v>50</v>
          </cell>
          <cell r="I4011">
            <v>0</v>
          </cell>
        </row>
        <row r="4012">
          <cell r="C4012" t="str">
            <v>저축은행</v>
          </cell>
          <cell r="E4012" t="str">
            <v>모름</v>
          </cell>
          <cell r="H4012">
            <v>46</v>
          </cell>
          <cell r="I4012">
            <v>0</v>
          </cell>
        </row>
        <row r="4013">
          <cell r="C4013" t="str">
            <v>저축은행</v>
          </cell>
          <cell r="E4013" t="str">
            <v>모름</v>
          </cell>
          <cell r="H4013">
            <v>56</v>
          </cell>
          <cell r="I4013">
            <v>8000</v>
          </cell>
        </row>
        <row r="4014">
          <cell r="C4014" t="str">
            <v>저축은행</v>
          </cell>
          <cell r="E4014" t="str">
            <v>모름</v>
          </cell>
          <cell r="H4014">
            <v>53</v>
          </cell>
          <cell r="I4014">
            <v>2250</v>
          </cell>
        </row>
        <row r="4015">
          <cell r="C4015" t="str">
            <v>저축은행</v>
          </cell>
          <cell r="E4015" t="str">
            <v>모름</v>
          </cell>
          <cell r="H4015">
            <v>1000</v>
          </cell>
          <cell r="I4015">
            <v>8000</v>
          </cell>
        </row>
        <row r="4016">
          <cell r="C4016" t="str">
            <v>저축은행</v>
          </cell>
          <cell r="E4016" t="str">
            <v>모름</v>
          </cell>
          <cell r="H4016">
            <v>123</v>
          </cell>
          <cell r="I4016">
            <v>6000</v>
          </cell>
        </row>
        <row r="4017">
          <cell r="C4017" t="str">
            <v>저축은행</v>
          </cell>
          <cell r="E4017" t="str">
            <v>모름</v>
          </cell>
          <cell r="H4017">
            <v>54</v>
          </cell>
          <cell r="I4017">
            <v>8000</v>
          </cell>
        </row>
        <row r="4018">
          <cell r="C4018" t="str">
            <v>저축은행</v>
          </cell>
          <cell r="E4018" t="str">
            <v>모름</v>
          </cell>
          <cell r="H4018">
            <v>45</v>
          </cell>
          <cell r="I4018">
            <v>7200</v>
          </cell>
        </row>
        <row r="4019">
          <cell r="C4019" t="str">
            <v>저축은행</v>
          </cell>
          <cell r="E4019" t="str">
            <v>모름</v>
          </cell>
          <cell r="H4019">
            <v>60</v>
          </cell>
          <cell r="I4019">
            <v>0</v>
          </cell>
        </row>
        <row r="4020">
          <cell r="C4020" t="str">
            <v>저축은행</v>
          </cell>
          <cell r="E4020" t="str">
            <v>모름</v>
          </cell>
          <cell r="H4020">
            <v>50</v>
          </cell>
          <cell r="I4020">
            <v>6000</v>
          </cell>
        </row>
        <row r="4021">
          <cell r="C4021" t="str">
            <v>저축은행</v>
          </cell>
          <cell r="E4021" t="str">
            <v>모름</v>
          </cell>
          <cell r="H4021">
            <v>50</v>
          </cell>
          <cell r="I4021">
            <v>3000</v>
          </cell>
        </row>
        <row r="4022">
          <cell r="C4022" t="str">
            <v>저축은행</v>
          </cell>
          <cell r="E4022" t="str">
            <v>모름</v>
          </cell>
          <cell r="H4022">
            <v>45</v>
          </cell>
          <cell r="I4022">
            <v>8000</v>
          </cell>
        </row>
        <row r="4023">
          <cell r="C4023" t="str">
            <v>저축은행</v>
          </cell>
          <cell r="E4023" t="str">
            <v>모름</v>
          </cell>
          <cell r="H4023">
            <v>346</v>
          </cell>
          <cell r="I4023">
            <v>0</v>
          </cell>
        </row>
        <row r="4024">
          <cell r="C4024" t="str">
            <v>저축은행</v>
          </cell>
          <cell r="E4024" t="str">
            <v>모름</v>
          </cell>
          <cell r="H4024">
            <v>53</v>
          </cell>
          <cell r="I4024">
            <v>5000</v>
          </cell>
        </row>
        <row r="4025">
          <cell r="C4025" t="str">
            <v>저축은행</v>
          </cell>
          <cell r="E4025" t="str">
            <v>모름</v>
          </cell>
          <cell r="H4025">
            <v>10</v>
          </cell>
          <cell r="I4025">
            <v>5000</v>
          </cell>
        </row>
        <row r="4026">
          <cell r="C4026" t="str">
            <v>저축은행</v>
          </cell>
          <cell r="E4026" t="str">
            <v>모름</v>
          </cell>
          <cell r="H4026">
            <v>36</v>
          </cell>
          <cell r="I4026">
            <v>5000</v>
          </cell>
        </row>
        <row r="4027">
          <cell r="C4027" t="str">
            <v>저축은행</v>
          </cell>
          <cell r="E4027" t="str">
            <v>모름</v>
          </cell>
          <cell r="H4027">
            <v>194</v>
          </cell>
          <cell r="I4027">
            <v>2606</v>
          </cell>
        </row>
        <row r="4028">
          <cell r="C4028" t="str">
            <v>저축은행</v>
          </cell>
          <cell r="E4028" t="str">
            <v>모름</v>
          </cell>
          <cell r="H4028">
            <v>260</v>
          </cell>
          <cell r="I4028">
            <v>7940</v>
          </cell>
        </row>
        <row r="4029">
          <cell r="C4029" t="str">
            <v>저축은행</v>
          </cell>
          <cell r="E4029" t="str">
            <v>모름</v>
          </cell>
          <cell r="H4029">
            <v>54</v>
          </cell>
          <cell r="I4029">
            <v>6364</v>
          </cell>
        </row>
        <row r="4030">
          <cell r="C4030" t="str">
            <v>저축은행</v>
          </cell>
          <cell r="E4030" t="str">
            <v>모름</v>
          </cell>
          <cell r="H4030">
            <v>141</v>
          </cell>
          <cell r="I4030">
            <v>2700</v>
          </cell>
        </row>
        <row r="4031">
          <cell r="C4031" t="str">
            <v>저축은행</v>
          </cell>
          <cell r="E4031" t="str">
            <v>모름</v>
          </cell>
          <cell r="H4031">
            <v>141</v>
          </cell>
          <cell r="I4031">
            <v>2500</v>
          </cell>
        </row>
        <row r="4032">
          <cell r="C4032" t="str">
            <v>저축은행</v>
          </cell>
          <cell r="E4032" t="str">
            <v>모름</v>
          </cell>
          <cell r="H4032">
            <v>194</v>
          </cell>
          <cell r="I4032">
            <v>0</v>
          </cell>
        </row>
        <row r="4033">
          <cell r="C4033" t="str">
            <v>저축은행</v>
          </cell>
          <cell r="E4033" t="str">
            <v>모름</v>
          </cell>
          <cell r="H4033">
            <v>194</v>
          </cell>
          <cell r="I4033">
            <v>0</v>
          </cell>
        </row>
        <row r="4034">
          <cell r="C4034" t="str">
            <v>저축은행</v>
          </cell>
          <cell r="E4034" t="str">
            <v>모름</v>
          </cell>
          <cell r="H4034">
            <v>54</v>
          </cell>
          <cell r="I4034">
            <v>6230</v>
          </cell>
        </row>
        <row r="4035">
          <cell r="C4035" t="str">
            <v>저축은행</v>
          </cell>
          <cell r="E4035" t="str">
            <v>모름</v>
          </cell>
          <cell r="H4035">
            <v>4</v>
          </cell>
          <cell r="I4035">
            <v>0</v>
          </cell>
        </row>
        <row r="4036">
          <cell r="C4036" t="str">
            <v>저축은행</v>
          </cell>
          <cell r="E4036" t="str">
            <v>모름</v>
          </cell>
          <cell r="H4036">
            <v>60</v>
          </cell>
          <cell r="I4036">
            <v>6000</v>
          </cell>
        </row>
        <row r="4037">
          <cell r="C4037" t="str">
            <v>저축은행</v>
          </cell>
          <cell r="E4037" t="str">
            <v>모름</v>
          </cell>
          <cell r="H4037">
            <v>68</v>
          </cell>
          <cell r="I4037">
            <v>0</v>
          </cell>
        </row>
        <row r="4038">
          <cell r="C4038" t="str">
            <v>저축은행</v>
          </cell>
          <cell r="E4038" t="str">
            <v>모름</v>
          </cell>
          <cell r="H4038">
            <v>194</v>
          </cell>
          <cell r="I4038">
            <v>8000</v>
          </cell>
        </row>
        <row r="4039">
          <cell r="C4039" t="str">
            <v>저축은행</v>
          </cell>
          <cell r="E4039" t="str">
            <v>모름</v>
          </cell>
          <cell r="H4039">
            <v>54</v>
          </cell>
          <cell r="I4039">
            <v>5892</v>
          </cell>
        </row>
        <row r="4040">
          <cell r="C4040" t="str">
            <v>저축은행</v>
          </cell>
          <cell r="E4040" t="str">
            <v>모름</v>
          </cell>
          <cell r="H4040">
            <v>56</v>
          </cell>
          <cell r="I4040">
            <v>0</v>
          </cell>
        </row>
        <row r="4041">
          <cell r="C4041" t="str">
            <v>저축은행</v>
          </cell>
          <cell r="E4041" t="str">
            <v>모름</v>
          </cell>
          <cell r="H4041">
            <v>54</v>
          </cell>
          <cell r="I4041">
            <v>3135</v>
          </cell>
        </row>
        <row r="4042">
          <cell r="C4042" t="str">
            <v>저축은행</v>
          </cell>
          <cell r="E4042" t="str">
            <v>모름</v>
          </cell>
          <cell r="H4042">
            <v>50</v>
          </cell>
          <cell r="I4042">
            <v>8000</v>
          </cell>
        </row>
        <row r="4043">
          <cell r="C4043" t="str">
            <v>저축은행</v>
          </cell>
          <cell r="E4043" t="str">
            <v>모름</v>
          </cell>
          <cell r="H4043">
            <v>1000</v>
          </cell>
          <cell r="I4043">
            <v>0</v>
          </cell>
        </row>
        <row r="4044">
          <cell r="C4044" t="str">
            <v>저축은행</v>
          </cell>
          <cell r="E4044" t="str">
            <v>모름</v>
          </cell>
          <cell r="H4044">
            <v>1000</v>
          </cell>
          <cell r="I4044">
            <v>0</v>
          </cell>
        </row>
        <row r="4045">
          <cell r="C4045" t="str">
            <v>저축은행</v>
          </cell>
          <cell r="E4045" t="str">
            <v>모름</v>
          </cell>
          <cell r="H4045">
            <v>1000</v>
          </cell>
          <cell r="I4045">
            <v>0</v>
          </cell>
        </row>
        <row r="4046">
          <cell r="C4046" t="str">
            <v>저축은행</v>
          </cell>
          <cell r="E4046" t="str">
            <v>모름</v>
          </cell>
          <cell r="H4046">
            <v>21</v>
          </cell>
          <cell r="I4046">
            <v>0</v>
          </cell>
        </row>
        <row r="4047">
          <cell r="C4047" t="str">
            <v>저축은행</v>
          </cell>
          <cell r="E4047" t="str">
            <v>모름</v>
          </cell>
          <cell r="H4047">
            <v>1000</v>
          </cell>
          <cell r="I4047">
            <v>1000</v>
          </cell>
        </row>
        <row r="4048">
          <cell r="C4048" t="str">
            <v>저축은행</v>
          </cell>
          <cell r="E4048" t="str">
            <v>모름</v>
          </cell>
          <cell r="H4048">
            <v>56</v>
          </cell>
          <cell r="I4048">
            <v>0</v>
          </cell>
        </row>
        <row r="4049">
          <cell r="C4049" t="str">
            <v>저축은행</v>
          </cell>
          <cell r="E4049" t="str">
            <v>모름</v>
          </cell>
          <cell r="H4049">
            <v>1000</v>
          </cell>
          <cell r="I4049">
            <v>2000</v>
          </cell>
        </row>
        <row r="4050">
          <cell r="C4050" t="str">
            <v>저축은행</v>
          </cell>
          <cell r="E4050" t="str">
            <v>모름</v>
          </cell>
          <cell r="H4050">
            <v>61</v>
          </cell>
          <cell r="I4050">
            <v>0</v>
          </cell>
        </row>
        <row r="4051">
          <cell r="C4051" t="str">
            <v>저축은행</v>
          </cell>
          <cell r="E4051" t="str">
            <v>모름</v>
          </cell>
          <cell r="H4051">
            <v>61</v>
          </cell>
          <cell r="I4051">
            <v>0</v>
          </cell>
        </row>
        <row r="4052">
          <cell r="C4052" t="str">
            <v>저축은행</v>
          </cell>
          <cell r="E4052" t="str">
            <v>모름</v>
          </cell>
          <cell r="H4052">
            <v>51</v>
          </cell>
          <cell r="I4052">
            <v>0</v>
          </cell>
        </row>
        <row r="4053">
          <cell r="C4053" t="str">
            <v>저축은행</v>
          </cell>
          <cell r="E4053" t="str">
            <v>모름</v>
          </cell>
          <cell r="H4053">
            <v>61</v>
          </cell>
          <cell r="I4053">
            <v>2800</v>
          </cell>
        </row>
        <row r="4054">
          <cell r="C4054" t="str">
            <v>저축은행</v>
          </cell>
          <cell r="E4054" t="str">
            <v>모름</v>
          </cell>
          <cell r="H4054">
            <v>61</v>
          </cell>
          <cell r="I4054">
            <v>0</v>
          </cell>
        </row>
        <row r="4055">
          <cell r="C4055" t="str">
            <v>저축은행</v>
          </cell>
          <cell r="E4055" t="str">
            <v>모름</v>
          </cell>
          <cell r="H4055">
            <v>141</v>
          </cell>
          <cell r="I4055">
            <v>0</v>
          </cell>
        </row>
        <row r="4056">
          <cell r="C4056" t="str">
            <v>저축은행</v>
          </cell>
          <cell r="E4056" t="str">
            <v>모름</v>
          </cell>
          <cell r="H4056">
            <v>141</v>
          </cell>
          <cell r="I4056">
            <v>0</v>
          </cell>
        </row>
        <row r="4057">
          <cell r="C4057" t="str">
            <v>저축은행</v>
          </cell>
          <cell r="E4057" t="str">
            <v>모름</v>
          </cell>
          <cell r="H4057">
            <v>83</v>
          </cell>
          <cell r="I4057">
            <v>2431</v>
          </cell>
        </row>
        <row r="4058">
          <cell r="C4058" t="str">
            <v>저축은행</v>
          </cell>
          <cell r="E4058" t="str">
            <v>모름</v>
          </cell>
          <cell r="H4058">
            <v>141</v>
          </cell>
          <cell r="I4058">
            <v>0</v>
          </cell>
        </row>
        <row r="4059">
          <cell r="C4059" t="str">
            <v>저축은행</v>
          </cell>
          <cell r="E4059" t="str">
            <v>모름</v>
          </cell>
          <cell r="H4059">
            <v>83</v>
          </cell>
          <cell r="I4059">
            <v>0</v>
          </cell>
        </row>
        <row r="4060">
          <cell r="C4060" t="str">
            <v>저축은행</v>
          </cell>
          <cell r="E4060" t="str">
            <v>모름</v>
          </cell>
          <cell r="H4060">
            <v>61</v>
          </cell>
          <cell r="I4060">
            <v>2500</v>
          </cell>
        </row>
        <row r="4061">
          <cell r="C4061" t="str">
            <v>저축은행</v>
          </cell>
          <cell r="E4061" t="str">
            <v>모름</v>
          </cell>
          <cell r="H4061">
            <v>61</v>
          </cell>
          <cell r="I4061">
            <v>0</v>
          </cell>
        </row>
        <row r="4062">
          <cell r="C4062" t="str">
            <v>저축은행</v>
          </cell>
          <cell r="E4062" t="str">
            <v>모름</v>
          </cell>
          <cell r="H4062">
            <v>122</v>
          </cell>
          <cell r="I4062">
            <v>1790</v>
          </cell>
        </row>
        <row r="4063">
          <cell r="C4063" t="str">
            <v>저축은행</v>
          </cell>
          <cell r="E4063" t="str">
            <v>모름</v>
          </cell>
          <cell r="H4063">
            <v>141</v>
          </cell>
          <cell r="I4063">
            <v>2500</v>
          </cell>
        </row>
        <row r="4064">
          <cell r="C4064" t="str">
            <v>저축은행</v>
          </cell>
          <cell r="E4064" t="str">
            <v>모름</v>
          </cell>
          <cell r="H4064">
            <v>44</v>
          </cell>
          <cell r="I4064">
            <v>2000</v>
          </cell>
        </row>
        <row r="4065">
          <cell r="C4065" t="str">
            <v>저축은행</v>
          </cell>
          <cell r="E4065" t="str">
            <v>모름</v>
          </cell>
          <cell r="H4065">
            <v>61</v>
          </cell>
          <cell r="I4065">
            <v>2000</v>
          </cell>
        </row>
        <row r="4066">
          <cell r="C4066" t="str">
            <v>저축은행</v>
          </cell>
          <cell r="E4066" t="str">
            <v>모름</v>
          </cell>
          <cell r="H4066">
            <v>50</v>
          </cell>
          <cell r="I4066">
            <v>0</v>
          </cell>
        </row>
        <row r="4067">
          <cell r="C4067" t="str">
            <v>저축은행</v>
          </cell>
          <cell r="E4067" t="str">
            <v>모름</v>
          </cell>
          <cell r="H4067">
            <v>44</v>
          </cell>
          <cell r="I4067">
            <v>0</v>
          </cell>
        </row>
        <row r="4068">
          <cell r="C4068" t="str">
            <v>저축은행</v>
          </cell>
          <cell r="E4068" t="str">
            <v>모름</v>
          </cell>
          <cell r="H4068">
            <v>172</v>
          </cell>
          <cell r="I4068">
            <v>1500</v>
          </cell>
        </row>
        <row r="4069">
          <cell r="C4069" t="str">
            <v>저축은행</v>
          </cell>
          <cell r="E4069" t="str">
            <v>모름</v>
          </cell>
          <cell r="H4069">
            <v>36</v>
          </cell>
          <cell r="I4069">
            <v>0</v>
          </cell>
        </row>
        <row r="4070">
          <cell r="C4070" t="str">
            <v>저축은행</v>
          </cell>
          <cell r="E4070" t="str">
            <v>모름</v>
          </cell>
          <cell r="H4070">
            <v>32</v>
          </cell>
          <cell r="I4070">
            <v>0</v>
          </cell>
        </row>
        <row r="4071">
          <cell r="C4071" t="str">
            <v>저축은행</v>
          </cell>
          <cell r="E4071" t="str">
            <v>모름</v>
          </cell>
          <cell r="H4071">
            <v>46</v>
          </cell>
          <cell r="I4071">
            <v>0</v>
          </cell>
        </row>
        <row r="4072">
          <cell r="C4072" t="str">
            <v>저축은행</v>
          </cell>
          <cell r="E4072" t="str">
            <v>모름</v>
          </cell>
          <cell r="H4072">
            <v>1000</v>
          </cell>
          <cell r="I4072">
            <v>0</v>
          </cell>
        </row>
        <row r="4073">
          <cell r="C4073" t="str">
            <v>저축은행</v>
          </cell>
          <cell r="E4073" t="str">
            <v>모름</v>
          </cell>
          <cell r="H4073">
            <v>93</v>
          </cell>
          <cell r="I4073">
            <v>0</v>
          </cell>
        </row>
        <row r="4074">
          <cell r="C4074" t="str">
            <v>저축은행</v>
          </cell>
          <cell r="E4074" t="str">
            <v>모름</v>
          </cell>
          <cell r="H4074">
            <v>12</v>
          </cell>
          <cell r="I4074">
            <v>0</v>
          </cell>
        </row>
        <row r="4075">
          <cell r="C4075" t="str">
            <v>저축은행</v>
          </cell>
          <cell r="E4075" t="str">
            <v>모름</v>
          </cell>
          <cell r="H4075">
            <v>83</v>
          </cell>
          <cell r="I4075">
            <v>0</v>
          </cell>
        </row>
        <row r="4076">
          <cell r="C4076" t="str">
            <v>저축은행</v>
          </cell>
          <cell r="E4076" t="str">
            <v>모름</v>
          </cell>
          <cell r="H4076">
            <v>1000</v>
          </cell>
          <cell r="I4076">
            <v>0</v>
          </cell>
        </row>
        <row r="4077">
          <cell r="C4077" t="str">
            <v>저축은행</v>
          </cell>
          <cell r="E4077" t="str">
            <v>모름</v>
          </cell>
          <cell r="H4077">
            <v>18</v>
          </cell>
          <cell r="I4077">
            <v>0</v>
          </cell>
        </row>
        <row r="4078">
          <cell r="C4078" t="str">
            <v>저축은행</v>
          </cell>
          <cell r="E4078" t="str">
            <v>모름</v>
          </cell>
          <cell r="H4078">
            <v>51</v>
          </cell>
          <cell r="I4078">
            <v>0</v>
          </cell>
        </row>
        <row r="4079">
          <cell r="C4079" t="str">
            <v>저축은행</v>
          </cell>
          <cell r="E4079" t="str">
            <v>모름</v>
          </cell>
          <cell r="H4079">
            <v>138</v>
          </cell>
          <cell r="I4079">
            <v>0</v>
          </cell>
        </row>
        <row r="4080">
          <cell r="C4080" t="str">
            <v>저축은행</v>
          </cell>
          <cell r="E4080" t="str">
            <v>모름</v>
          </cell>
          <cell r="H4080">
            <v>56</v>
          </cell>
          <cell r="I4080">
            <v>0</v>
          </cell>
        </row>
        <row r="4081">
          <cell r="C4081" t="str">
            <v>저축은행</v>
          </cell>
          <cell r="E4081" t="str">
            <v>모름</v>
          </cell>
          <cell r="H4081">
            <v>93</v>
          </cell>
          <cell r="I4081">
            <v>0</v>
          </cell>
        </row>
        <row r="4082">
          <cell r="C4082" t="str">
            <v>저축은행</v>
          </cell>
          <cell r="E4082" t="str">
            <v>모름</v>
          </cell>
          <cell r="H4082">
            <v>1000</v>
          </cell>
          <cell r="I4082">
            <v>0</v>
          </cell>
        </row>
        <row r="4083">
          <cell r="C4083" t="str">
            <v>저축은행</v>
          </cell>
          <cell r="E4083" t="str">
            <v>모름</v>
          </cell>
          <cell r="H4083">
            <v>61</v>
          </cell>
          <cell r="I4083">
            <v>0</v>
          </cell>
        </row>
        <row r="4084">
          <cell r="C4084" t="str">
            <v>저축은행</v>
          </cell>
          <cell r="E4084" t="str">
            <v>모름</v>
          </cell>
          <cell r="H4084">
            <v>1</v>
          </cell>
          <cell r="I4084">
            <v>0</v>
          </cell>
        </row>
        <row r="4085">
          <cell r="C4085" t="str">
            <v>저축은행</v>
          </cell>
          <cell r="E4085" t="str">
            <v>모름</v>
          </cell>
          <cell r="H4085">
            <v>3</v>
          </cell>
          <cell r="I4085">
            <v>0</v>
          </cell>
        </row>
        <row r="4086">
          <cell r="C4086" t="str">
            <v>저축은행</v>
          </cell>
          <cell r="E4086" t="str">
            <v>모름</v>
          </cell>
          <cell r="H4086">
            <v>10</v>
          </cell>
          <cell r="I4086">
            <v>0</v>
          </cell>
        </row>
        <row r="4087">
          <cell r="C4087" t="str">
            <v>저축은행</v>
          </cell>
          <cell r="E4087" t="str">
            <v>모름</v>
          </cell>
          <cell r="H4087">
            <v>20</v>
          </cell>
          <cell r="I4087">
            <v>0</v>
          </cell>
        </row>
        <row r="4088">
          <cell r="C4088" t="str">
            <v>저축은행</v>
          </cell>
          <cell r="E4088" t="str">
            <v>모름</v>
          </cell>
          <cell r="H4088">
            <v>17</v>
          </cell>
          <cell r="I4088">
            <v>0</v>
          </cell>
        </row>
        <row r="4089">
          <cell r="C4089" t="str">
            <v>저축은행</v>
          </cell>
          <cell r="E4089" t="str">
            <v>모름</v>
          </cell>
          <cell r="H4089">
            <v>65</v>
          </cell>
          <cell r="I4089">
            <v>0</v>
          </cell>
        </row>
        <row r="4090">
          <cell r="C4090" t="str">
            <v>저축은행</v>
          </cell>
          <cell r="E4090" t="str">
            <v>모름</v>
          </cell>
          <cell r="H4090">
            <v>22</v>
          </cell>
          <cell r="I4090">
            <v>0</v>
          </cell>
        </row>
        <row r="4091">
          <cell r="C4091" t="str">
            <v>저축은행</v>
          </cell>
          <cell r="E4091" t="str">
            <v>모름</v>
          </cell>
          <cell r="H4091">
            <v>22</v>
          </cell>
          <cell r="I4091">
            <v>0</v>
          </cell>
        </row>
        <row r="4092">
          <cell r="C4092" t="str">
            <v>저축은행</v>
          </cell>
          <cell r="E4092" t="str">
            <v>모름</v>
          </cell>
          <cell r="H4092">
            <v>32</v>
          </cell>
          <cell r="I4092">
            <v>0</v>
          </cell>
        </row>
        <row r="4093">
          <cell r="C4093" t="str">
            <v>저축은행</v>
          </cell>
          <cell r="E4093" t="str">
            <v>모름</v>
          </cell>
          <cell r="H4093">
            <v>60</v>
          </cell>
          <cell r="I4093">
            <v>0</v>
          </cell>
        </row>
        <row r="4094">
          <cell r="C4094" t="str">
            <v>저축은행</v>
          </cell>
          <cell r="E4094" t="str">
            <v>모름</v>
          </cell>
          <cell r="H4094">
            <v>51</v>
          </cell>
          <cell r="I4094">
            <v>0</v>
          </cell>
        </row>
        <row r="4095">
          <cell r="C4095" t="str">
            <v>저축은행</v>
          </cell>
          <cell r="E4095" t="str">
            <v>모름</v>
          </cell>
          <cell r="H4095">
            <v>1000</v>
          </cell>
          <cell r="I4095">
            <v>0</v>
          </cell>
        </row>
        <row r="4096">
          <cell r="C4096" t="str">
            <v>저축은행</v>
          </cell>
          <cell r="E4096" t="str">
            <v>모름</v>
          </cell>
          <cell r="H4096">
            <v>1000</v>
          </cell>
          <cell r="I4096">
            <v>1000</v>
          </cell>
        </row>
        <row r="4097">
          <cell r="C4097" t="str">
            <v>저축은행</v>
          </cell>
          <cell r="E4097" t="str">
            <v>모름</v>
          </cell>
          <cell r="H4097">
            <v>1000</v>
          </cell>
          <cell r="I4097">
            <v>1000</v>
          </cell>
        </row>
        <row r="4098">
          <cell r="C4098" t="str">
            <v>저축은행</v>
          </cell>
          <cell r="E4098" t="str">
            <v>모름</v>
          </cell>
          <cell r="H4098">
            <v>78</v>
          </cell>
          <cell r="I4098">
            <v>2500</v>
          </cell>
        </row>
        <row r="4099">
          <cell r="C4099" t="str">
            <v>저축은행</v>
          </cell>
          <cell r="E4099" t="str">
            <v>모름</v>
          </cell>
          <cell r="H4099">
            <v>175</v>
          </cell>
          <cell r="I4099">
            <v>0</v>
          </cell>
        </row>
        <row r="4100">
          <cell r="C4100" t="str">
            <v>저축은행</v>
          </cell>
          <cell r="E4100" t="str">
            <v>모름</v>
          </cell>
          <cell r="H4100">
            <v>175</v>
          </cell>
          <cell r="I4100">
            <v>0</v>
          </cell>
        </row>
        <row r="4101">
          <cell r="C4101" t="str">
            <v>저축은행</v>
          </cell>
          <cell r="E4101" t="str">
            <v>모름</v>
          </cell>
          <cell r="H4101">
            <v>78</v>
          </cell>
          <cell r="I4101">
            <v>2000</v>
          </cell>
        </row>
        <row r="4102">
          <cell r="C4102" t="str">
            <v>저축은행</v>
          </cell>
          <cell r="E4102" t="str">
            <v>모름</v>
          </cell>
          <cell r="H4102">
            <v>1000</v>
          </cell>
          <cell r="I4102">
            <v>3700</v>
          </cell>
        </row>
        <row r="4103">
          <cell r="C4103" t="str">
            <v>저축은행</v>
          </cell>
          <cell r="E4103" t="str">
            <v>모름</v>
          </cell>
          <cell r="H4103">
            <v>1000</v>
          </cell>
          <cell r="I4103">
            <v>3700</v>
          </cell>
        </row>
        <row r="4104">
          <cell r="C4104" t="str">
            <v>저축은행</v>
          </cell>
          <cell r="E4104" t="str">
            <v>모름</v>
          </cell>
          <cell r="H4104">
            <v>1000</v>
          </cell>
          <cell r="I4104">
            <v>970</v>
          </cell>
        </row>
        <row r="4105">
          <cell r="C4105" t="str">
            <v>저축은행</v>
          </cell>
          <cell r="E4105" t="str">
            <v>모름</v>
          </cell>
          <cell r="H4105">
            <v>1000</v>
          </cell>
          <cell r="I4105">
            <v>1200</v>
          </cell>
        </row>
        <row r="4106">
          <cell r="C4106" t="str">
            <v>저축은행</v>
          </cell>
          <cell r="E4106" t="str">
            <v>모름</v>
          </cell>
          <cell r="H4106">
            <v>1000</v>
          </cell>
          <cell r="I4106">
            <v>2500</v>
          </cell>
        </row>
        <row r="4107">
          <cell r="C4107" t="str">
            <v>저축은행</v>
          </cell>
          <cell r="E4107" t="str">
            <v>모름</v>
          </cell>
          <cell r="H4107">
            <v>151</v>
          </cell>
          <cell r="I4107">
            <v>2000</v>
          </cell>
        </row>
        <row r="4108">
          <cell r="C4108" t="str">
            <v>저축은행</v>
          </cell>
          <cell r="E4108" t="str">
            <v>모름</v>
          </cell>
          <cell r="H4108">
            <v>45</v>
          </cell>
          <cell r="I4108">
            <v>0</v>
          </cell>
        </row>
        <row r="4109">
          <cell r="C4109" t="str">
            <v>저축은행</v>
          </cell>
          <cell r="E4109" t="str">
            <v>모름</v>
          </cell>
          <cell r="H4109">
            <v>10</v>
          </cell>
          <cell r="I4109">
            <v>0</v>
          </cell>
        </row>
        <row r="4110">
          <cell r="C4110" t="str">
            <v>저축은행</v>
          </cell>
          <cell r="E4110" t="str">
            <v>모름</v>
          </cell>
          <cell r="H4110">
            <v>1000</v>
          </cell>
          <cell r="I4110">
            <v>3500</v>
          </cell>
        </row>
        <row r="4111">
          <cell r="C4111" t="str">
            <v>저축은행</v>
          </cell>
          <cell r="E4111" t="str">
            <v>모름</v>
          </cell>
          <cell r="H4111">
            <v>54</v>
          </cell>
          <cell r="I4111">
            <v>4050</v>
          </cell>
        </row>
        <row r="4112">
          <cell r="C4112" t="str">
            <v>저축은행</v>
          </cell>
          <cell r="E4112" t="str">
            <v>모름</v>
          </cell>
          <cell r="H4112">
            <v>169</v>
          </cell>
          <cell r="I4112">
            <v>5600</v>
          </cell>
        </row>
        <row r="4113">
          <cell r="C4113" t="str">
            <v>저축은행</v>
          </cell>
          <cell r="E4113" t="str">
            <v>모름</v>
          </cell>
          <cell r="H4113">
            <v>138</v>
          </cell>
          <cell r="I4113">
            <v>0</v>
          </cell>
        </row>
        <row r="4114">
          <cell r="C4114" t="str">
            <v>저축은행</v>
          </cell>
          <cell r="E4114" t="str">
            <v>모름</v>
          </cell>
          <cell r="H4114">
            <v>61</v>
          </cell>
          <cell r="I4114">
            <v>0</v>
          </cell>
        </row>
        <row r="4115">
          <cell r="C4115" t="str">
            <v>저축은행</v>
          </cell>
          <cell r="E4115" t="str">
            <v>모름</v>
          </cell>
          <cell r="H4115">
            <v>44</v>
          </cell>
          <cell r="I4115">
            <v>9000</v>
          </cell>
        </row>
        <row r="4116">
          <cell r="C4116" t="str">
            <v>저축은행</v>
          </cell>
          <cell r="E4116" t="str">
            <v>모름</v>
          </cell>
          <cell r="H4116">
            <v>182</v>
          </cell>
          <cell r="I4116">
            <v>7500</v>
          </cell>
        </row>
        <row r="4117">
          <cell r="C4117" t="str">
            <v>저축은행</v>
          </cell>
          <cell r="E4117" t="str">
            <v>모름</v>
          </cell>
          <cell r="H4117">
            <v>12</v>
          </cell>
          <cell r="I4117">
            <v>0</v>
          </cell>
        </row>
        <row r="4118">
          <cell r="C4118" t="str">
            <v>저축은행</v>
          </cell>
          <cell r="E4118" t="str">
            <v>모름</v>
          </cell>
          <cell r="H4118">
            <v>60</v>
          </cell>
          <cell r="I4118">
            <v>0</v>
          </cell>
        </row>
        <row r="4119">
          <cell r="C4119" t="str">
            <v>저축은행</v>
          </cell>
          <cell r="E4119" t="str">
            <v>모름</v>
          </cell>
          <cell r="H4119">
            <v>12</v>
          </cell>
          <cell r="I4119">
            <v>0</v>
          </cell>
        </row>
        <row r="4120">
          <cell r="C4120" t="str">
            <v>저축은행</v>
          </cell>
          <cell r="E4120" t="str">
            <v>모름</v>
          </cell>
          <cell r="H4120">
            <v>78</v>
          </cell>
          <cell r="I4120">
            <v>6300</v>
          </cell>
        </row>
        <row r="4121">
          <cell r="C4121" t="str">
            <v>저축은행</v>
          </cell>
          <cell r="E4121" t="str">
            <v>모름</v>
          </cell>
          <cell r="H4121">
            <v>46</v>
          </cell>
          <cell r="I4121">
            <v>9000</v>
          </cell>
        </row>
        <row r="4122">
          <cell r="C4122" t="str">
            <v>저축은행</v>
          </cell>
          <cell r="E4122" t="str">
            <v>모름</v>
          </cell>
          <cell r="H4122">
            <v>12</v>
          </cell>
          <cell r="I4122">
            <v>0</v>
          </cell>
        </row>
        <row r="4123">
          <cell r="C4123" t="str">
            <v>저축은행</v>
          </cell>
          <cell r="E4123" t="str">
            <v>모름</v>
          </cell>
          <cell r="H4123">
            <v>94</v>
          </cell>
          <cell r="I4123">
            <v>17000</v>
          </cell>
        </row>
        <row r="4124">
          <cell r="C4124" t="str">
            <v>저축은행</v>
          </cell>
          <cell r="E4124" t="str">
            <v>모름</v>
          </cell>
          <cell r="H4124">
            <v>50</v>
          </cell>
          <cell r="I4124">
            <v>5000</v>
          </cell>
        </row>
        <row r="4125">
          <cell r="C4125" t="str">
            <v>저축은행</v>
          </cell>
          <cell r="E4125" t="str">
            <v>모름</v>
          </cell>
          <cell r="H4125">
            <v>94</v>
          </cell>
          <cell r="I4125">
            <v>19000</v>
          </cell>
        </row>
        <row r="4126">
          <cell r="C4126" t="str">
            <v>저축은행</v>
          </cell>
          <cell r="E4126" t="str">
            <v>모름</v>
          </cell>
          <cell r="H4126">
            <v>1</v>
          </cell>
          <cell r="I4126">
            <v>0</v>
          </cell>
        </row>
        <row r="4127">
          <cell r="C4127" t="str">
            <v>저축은행</v>
          </cell>
          <cell r="E4127" t="str">
            <v>모름</v>
          </cell>
          <cell r="H4127">
            <v>125</v>
          </cell>
          <cell r="I4127">
            <v>0</v>
          </cell>
        </row>
        <row r="4128">
          <cell r="C4128" t="str">
            <v>저축은행</v>
          </cell>
          <cell r="E4128" t="str">
            <v>모름</v>
          </cell>
          <cell r="H4128">
            <v>123</v>
          </cell>
          <cell r="I4128">
            <v>0</v>
          </cell>
        </row>
        <row r="4129">
          <cell r="C4129" t="str">
            <v>저축은행</v>
          </cell>
          <cell r="E4129" t="str">
            <v>모름</v>
          </cell>
          <cell r="H4129">
            <v>1000</v>
          </cell>
          <cell r="I4129">
            <v>1922</v>
          </cell>
        </row>
        <row r="4130">
          <cell r="C4130" t="str">
            <v>저축은행</v>
          </cell>
          <cell r="E4130" t="str">
            <v>모름</v>
          </cell>
          <cell r="H4130">
            <v>10</v>
          </cell>
          <cell r="I4130">
            <v>0</v>
          </cell>
        </row>
        <row r="4131">
          <cell r="C4131" t="str">
            <v>저축은행</v>
          </cell>
          <cell r="E4131" t="str">
            <v>모름</v>
          </cell>
          <cell r="H4131">
            <v>33</v>
          </cell>
          <cell r="I4131">
            <v>10000</v>
          </cell>
        </row>
        <row r="4132">
          <cell r="C4132" t="str">
            <v>저축은행</v>
          </cell>
          <cell r="E4132" t="str">
            <v>모름</v>
          </cell>
          <cell r="H4132">
            <v>10</v>
          </cell>
          <cell r="I4132">
            <v>0</v>
          </cell>
        </row>
        <row r="4133">
          <cell r="C4133" t="str">
            <v>저축은행</v>
          </cell>
          <cell r="E4133" t="str">
            <v>모름</v>
          </cell>
          <cell r="H4133">
            <v>44</v>
          </cell>
          <cell r="I4133">
            <v>8000</v>
          </cell>
        </row>
        <row r="4134">
          <cell r="C4134" t="str">
            <v>저축은행</v>
          </cell>
          <cell r="E4134" t="str">
            <v>모름</v>
          </cell>
          <cell r="H4134">
            <v>50</v>
          </cell>
          <cell r="I4134">
            <v>5000</v>
          </cell>
        </row>
        <row r="4135">
          <cell r="C4135" t="str">
            <v>저축은행</v>
          </cell>
          <cell r="E4135" t="str">
            <v>모름</v>
          </cell>
          <cell r="H4135">
            <v>61</v>
          </cell>
          <cell r="I4135">
            <v>0</v>
          </cell>
        </row>
        <row r="4136">
          <cell r="C4136" t="str">
            <v>저축은행</v>
          </cell>
          <cell r="E4136" t="str">
            <v>모름</v>
          </cell>
          <cell r="H4136">
            <v>12</v>
          </cell>
          <cell r="I4136">
            <v>0</v>
          </cell>
        </row>
        <row r="4137">
          <cell r="C4137" t="str">
            <v>저축은행</v>
          </cell>
          <cell r="E4137" t="str">
            <v>모름</v>
          </cell>
          <cell r="H4137">
            <v>60</v>
          </cell>
          <cell r="I4137">
            <v>0</v>
          </cell>
        </row>
        <row r="4138">
          <cell r="C4138" t="str">
            <v>저축은행</v>
          </cell>
          <cell r="E4138" t="str">
            <v>모름</v>
          </cell>
          <cell r="H4138">
            <v>46</v>
          </cell>
          <cell r="I4138">
            <v>8000</v>
          </cell>
        </row>
        <row r="4139">
          <cell r="C4139" t="str">
            <v>저축은행</v>
          </cell>
          <cell r="E4139" t="str">
            <v>모름</v>
          </cell>
          <cell r="H4139">
            <v>12</v>
          </cell>
          <cell r="I4139">
            <v>0</v>
          </cell>
        </row>
        <row r="4140">
          <cell r="C4140" t="str">
            <v>저축은행</v>
          </cell>
          <cell r="E4140" t="str">
            <v>모름</v>
          </cell>
          <cell r="H4140">
            <v>94</v>
          </cell>
          <cell r="I4140">
            <v>6000</v>
          </cell>
        </row>
        <row r="4141">
          <cell r="C4141" t="str">
            <v>저축은행</v>
          </cell>
          <cell r="E4141" t="str">
            <v>모름</v>
          </cell>
          <cell r="H4141">
            <v>1</v>
          </cell>
          <cell r="I4141">
            <v>10000</v>
          </cell>
        </row>
        <row r="4142">
          <cell r="C4142" t="str">
            <v>저축은행</v>
          </cell>
          <cell r="E4142" t="str">
            <v>모름</v>
          </cell>
          <cell r="H4142">
            <v>10</v>
          </cell>
          <cell r="I4142">
            <v>7000</v>
          </cell>
        </row>
        <row r="4143">
          <cell r="C4143" t="str">
            <v>저축은행</v>
          </cell>
          <cell r="E4143" t="str">
            <v>모름</v>
          </cell>
          <cell r="H4143">
            <v>77</v>
          </cell>
          <cell r="I4143">
            <v>6500</v>
          </cell>
        </row>
        <row r="4144">
          <cell r="C4144" t="str">
            <v>저축은행</v>
          </cell>
          <cell r="E4144" t="str">
            <v>모름</v>
          </cell>
          <cell r="H4144">
            <v>321</v>
          </cell>
          <cell r="I4144">
            <v>6145</v>
          </cell>
        </row>
        <row r="4145">
          <cell r="C4145" t="str">
            <v>저축은행</v>
          </cell>
          <cell r="E4145" t="str">
            <v>모름</v>
          </cell>
          <cell r="H4145">
            <v>94</v>
          </cell>
          <cell r="I4145">
            <v>4000</v>
          </cell>
        </row>
        <row r="4146">
          <cell r="C4146" t="str">
            <v>저축은행</v>
          </cell>
          <cell r="E4146" t="str">
            <v>모름</v>
          </cell>
          <cell r="H4146">
            <v>125</v>
          </cell>
          <cell r="I4146">
            <v>0</v>
          </cell>
        </row>
        <row r="4147">
          <cell r="C4147" t="str">
            <v>저축은행</v>
          </cell>
          <cell r="E4147" t="str">
            <v>모름</v>
          </cell>
          <cell r="H4147">
            <v>44</v>
          </cell>
          <cell r="I4147">
            <v>0</v>
          </cell>
        </row>
        <row r="4148">
          <cell r="C4148" t="str">
            <v>저축은행</v>
          </cell>
          <cell r="E4148" t="str">
            <v>모름</v>
          </cell>
          <cell r="H4148">
            <v>44</v>
          </cell>
          <cell r="I4148">
            <v>0</v>
          </cell>
        </row>
        <row r="4149">
          <cell r="C4149" t="str">
            <v>저축은행</v>
          </cell>
          <cell r="E4149" t="str">
            <v>모름</v>
          </cell>
          <cell r="H4149">
            <v>138</v>
          </cell>
          <cell r="I4149">
            <v>0</v>
          </cell>
        </row>
        <row r="4150">
          <cell r="C4150" t="str">
            <v>저축은행</v>
          </cell>
          <cell r="E4150" t="str">
            <v>모름</v>
          </cell>
          <cell r="H4150">
            <v>182</v>
          </cell>
          <cell r="I4150">
            <v>4500</v>
          </cell>
        </row>
        <row r="4151">
          <cell r="C4151" t="str">
            <v>저축은행</v>
          </cell>
          <cell r="E4151" t="str">
            <v>모름</v>
          </cell>
          <cell r="H4151">
            <v>10</v>
          </cell>
          <cell r="I4151">
            <v>0</v>
          </cell>
        </row>
        <row r="4152">
          <cell r="C4152" t="str">
            <v>저축은행</v>
          </cell>
          <cell r="E4152" t="str">
            <v>모름</v>
          </cell>
          <cell r="H4152">
            <v>80</v>
          </cell>
          <cell r="I4152">
            <v>0</v>
          </cell>
        </row>
        <row r="4153">
          <cell r="C4153" t="str">
            <v>저축은행</v>
          </cell>
          <cell r="E4153" t="str">
            <v>모름</v>
          </cell>
          <cell r="H4153">
            <v>60</v>
          </cell>
          <cell r="I4153">
            <v>2500</v>
          </cell>
        </row>
        <row r="4154">
          <cell r="C4154" t="str">
            <v>저축은행</v>
          </cell>
          <cell r="E4154" t="str">
            <v>모름</v>
          </cell>
          <cell r="H4154">
            <v>35</v>
          </cell>
          <cell r="I4154">
            <v>0</v>
          </cell>
        </row>
        <row r="4155">
          <cell r="C4155" t="str">
            <v>저축은행</v>
          </cell>
          <cell r="E4155" t="str">
            <v>모름</v>
          </cell>
          <cell r="H4155">
            <v>68</v>
          </cell>
          <cell r="I4155">
            <v>2500</v>
          </cell>
        </row>
        <row r="4156">
          <cell r="C4156" t="str">
            <v>저축은행</v>
          </cell>
          <cell r="E4156" t="str">
            <v>모름</v>
          </cell>
          <cell r="H4156">
            <v>315</v>
          </cell>
          <cell r="I4156">
            <v>218</v>
          </cell>
        </row>
        <row r="4157">
          <cell r="C4157" t="str">
            <v>저축은행</v>
          </cell>
          <cell r="E4157" t="str">
            <v>모름</v>
          </cell>
          <cell r="H4157">
            <v>45</v>
          </cell>
          <cell r="I4157">
            <v>4500</v>
          </cell>
        </row>
        <row r="4158">
          <cell r="C4158" t="str">
            <v>저축은행</v>
          </cell>
          <cell r="E4158" t="str">
            <v>모름</v>
          </cell>
          <cell r="H4158">
            <v>18</v>
          </cell>
          <cell r="I4158">
            <v>0</v>
          </cell>
        </row>
        <row r="4159">
          <cell r="C4159" t="str">
            <v>저축은행</v>
          </cell>
          <cell r="E4159" t="str">
            <v>모름</v>
          </cell>
          <cell r="H4159">
            <v>35</v>
          </cell>
          <cell r="I4159">
            <v>0</v>
          </cell>
        </row>
        <row r="4160">
          <cell r="C4160" t="str">
            <v>저축은행</v>
          </cell>
          <cell r="E4160" t="str">
            <v>모름</v>
          </cell>
          <cell r="H4160">
            <v>80</v>
          </cell>
          <cell r="I4160">
            <v>0</v>
          </cell>
        </row>
        <row r="4161">
          <cell r="C4161" t="str">
            <v>저축은행</v>
          </cell>
          <cell r="E4161" t="str">
            <v>모름</v>
          </cell>
          <cell r="H4161">
            <v>18</v>
          </cell>
          <cell r="I4161">
            <v>0</v>
          </cell>
        </row>
        <row r="4162">
          <cell r="C4162" t="str">
            <v>저축은행</v>
          </cell>
          <cell r="E4162" t="str">
            <v>모름</v>
          </cell>
          <cell r="H4162">
            <v>169</v>
          </cell>
          <cell r="I4162">
            <v>2424</v>
          </cell>
        </row>
        <row r="4163">
          <cell r="C4163" t="str">
            <v>저축은행</v>
          </cell>
          <cell r="E4163" t="str">
            <v>모름</v>
          </cell>
          <cell r="H4163">
            <v>169</v>
          </cell>
          <cell r="I4163">
            <v>2424</v>
          </cell>
        </row>
        <row r="4164">
          <cell r="C4164" t="str">
            <v>저축은행</v>
          </cell>
          <cell r="E4164" t="str">
            <v>모름</v>
          </cell>
          <cell r="H4164">
            <v>315</v>
          </cell>
          <cell r="I4164">
            <v>218</v>
          </cell>
        </row>
        <row r="4165">
          <cell r="C4165" t="str">
            <v>저축은행</v>
          </cell>
          <cell r="E4165" t="str">
            <v>모름</v>
          </cell>
          <cell r="H4165">
            <v>83</v>
          </cell>
          <cell r="I4165">
            <v>3908</v>
          </cell>
        </row>
        <row r="4166">
          <cell r="C4166" t="str">
            <v>저축은행</v>
          </cell>
          <cell r="E4166" t="str">
            <v>모름</v>
          </cell>
          <cell r="H4166">
            <v>35</v>
          </cell>
          <cell r="I4166">
            <v>6000</v>
          </cell>
        </row>
        <row r="4167">
          <cell r="C4167" t="str">
            <v>저축은행</v>
          </cell>
          <cell r="E4167" t="str">
            <v>모름</v>
          </cell>
          <cell r="H4167">
            <v>21</v>
          </cell>
          <cell r="I4167">
            <v>9000</v>
          </cell>
        </row>
        <row r="4168">
          <cell r="C4168" t="str">
            <v>저축은행</v>
          </cell>
          <cell r="E4168" t="str">
            <v>모름</v>
          </cell>
          <cell r="H4168">
            <v>51</v>
          </cell>
          <cell r="I4168">
            <v>0</v>
          </cell>
        </row>
        <row r="4169">
          <cell r="C4169" t="str">
            <v>저축은행</v>
          </cell>
          <cell r="E4169" t="str">
            <v>모름</v>
          </cell>
          <cell r="H4169">
            <v>4</v>
          </cell>
          <cell r="I4169">
            <v>0</v>
          </cell>
        </row>
        <row r="4170">
          <cell r="C4170" t="str">
            <v>저축은행</v>
          </cell>
          <cell r="E4170" t="str">
            <v>모름</v>
          </cell>
          <cell r="H4170">
            <v>85</v>
          </cell>
          <cell r="I4170">
            <v>0</v>
          </cell>
        </row>
        <row r="4171">
          <cell r="C4171" t="str">
            <v>저축은행</v>
          </cell>
          <cell r="E4171" t="str">
            <v>모름</v>
          </cell>
          <cell r="H4171">
            <v>85</v>
          </cell>
          <cell r="I4171">
            <v>0</v>
          </cell>
        </row>
        <row r="4172">
          <cell r="C4172" t="str">
            <v>저축은행</v>
          </cell>
          <cell r="E4172" t="str">
            <v>모름</v>
          </cell>
          <cell r="H4172">
            <v>54</v>
          </cell>
          <cell r="I4172">
            <v>5000</v>
          </cell>
        </row>
        <row r="4173">
          <cell r="C4173" t="str">
            <v>저축은행</v>
          </cell>
          <cell r="E4173" t="str">
            <v>모름</v>
          </cell>
          <cell r="H4173">
            <v>60</v>
          </cell>
          <cell r="I4173">
            <v>7500</v>
          </cell>
        </row>
        <row r="4174">
          <cell r="C4174" t="str">
            <v>저축은행</v>
          </cell>
          <cell r="E4174" t="str">
            <v>모름</v>
          </cell>
          <cell r="H4174">
            <v>1000</v>
          </cell>
          <cell r="I4174">
            <v>900</v>
          </cell>
        </row>
        <row r="4175">
          <cell r="C4175" t="str">
            <v>저축은행</v>
          </cell>
          <cell r="E4175" t="str">
            <v>모름</v>
          </cell>
          <cell r="H4175">
            <v>76</v>
          </cell>
          <cell r="I4175">
            <v>0</v>
          </cell>
        </row>
        <row r="4176">
          <cell r="C4176" t="str">
            <v>저축은행</v>
          </cell>
          <cell r="E4176" t="str">
            <v>모름</v>
          </cell>
          <cell r="H4176">
            <v>76</v>
          </cell>
          <cell r="I4176">
            <v>0</v>
          </cell>
        </row>
        <row r="4177">
          <cell r="C4177" t="str">
            <v>저축은행</v>
          </cell>
          <cell r="E4177" t="str">
            <v>모름</v>
          </cell>
          <cell r="H4177">
            <v>9</v>
          </cell>
          <cell r="I4177">
            <v>0</v>
          </cell>
        </row>
        <row r="4178">
          <cell r="C4178" t="str">
            <v>저축은행</v>
          </cell>
          <cell r="E4178" t="str">
            <v>모름</v>
          </cell>
          <cell r="H4178">
            <v>44</v>
          </cell>
          <cell r="I4178">
            <v>3500</v>
          </cell>
        </row>
        <row r="4179">
          <cell r="C4179" t="str">
            <v>저축은행</v>
          </cell>
          <cell r="E4179" t="str">
            <v>모름</v>
          </cell>
          <cell r="H4179">
            <v>21</v>
          </cell>
          <cell r="I4179">
            <v>5000</v>
          </cell>
        </row>
        <row r="4180">
          <cell r="C4180" t="str">
            <v>저축은행</v>
          </cell>
          <cell r="E4180" t="str">
            <v>모름</v>
          </cell>
          <cell r="H4180">
            <v>35</v>
          </cell>
          <cell r="I4180">
            <v>3600</v>
          </cell>
        </row>
        <row r="4181">
          <cell r="C4181" t="str">
            <v>저축은행</v>
          </cell>
          <cell r="E4181" t="str">
            <v>모름</v>
          </cell>
          <cell r="H4181">
            <v>94</v>
          </cell>
          <cell r="I4181">
            <v>7000</v>
          </cell>
        </row>
        <row r="4182">
          <cell r="C4182" t="str">
            <v>저축은행</v>
          </cell>
          <cell r="E4182" t="str">
            <v>모름</v>
          </cell>
          <cell r="H4182">
            <v>56</v>
          </cell>
          <cell r="I4182">
            <v>3500</v>
          </cell>
        </row>
        <row r="4183">
          <cell r="C4183" t="str">
            <v>저축은행</v>
          </cell>
          <cell r="E4183" t="str">
            <v>모름</v>
          </cell>
          <cell r="H4183">
            <v>35</v>
          </cell>
          <cell r="I4183">
            <v>4000</v>
          </cell>
        </row>
        <row r="4184">
          <cell r="C4184" t="str">
            <v>저축은행</v>
          </cell>
          <cell r="E4184" t="str">
            <v>모름</v>
          </cell>
          <cell r="H4184">
            <v>45</v>
          </cell>
          <cell r="I4184">
            <v>0</v>
          </cell>
        </row>
        <row r="4185">
          <cell r="C4185" t="str">
            <v>저축은행</v>
          </cell>
          <cell r="E4185" t="str">
            <v>모름</v>
          </cell>
          <cell r="H4185">
            <v>99</v>
          </cell>
          <cell r="I4185">
            <v>0</v>
          </cell>
        </row>
        <row r="4186">
          <cell r="C4186" t="str">
            <v>저축은행</v>
          </cell>
          <cell r="E4186" t="str">
            <v>모름</v>
          </cell>
          <cell r="H4186">
            <v>41</v>
          </cell>
          <cell r="I4186">
            <v>0</v>
          </cell>
        </row>
        <row r="4187">
          <cell r="C4187" t="str">
            <v>저축은행</v>
          </cell>
          <cell r="E4187" t="str">
            <v>모름</v>
          </cell>
          <cell r="H4187">
            <v>41</v>
          </cell>
          <cell r="I4187">
            <v>0</v>
          </cell>
        </row>
        <row r="4188">
          <cell r="C4188" t="str">
            <v>저축은행</v>
          </cell>
          <cell r="E4188" t="str">
            <v>모름</v>
          </cell>
          <cell r="H4188">
            <v>41</v>
          </cell>
          <cell r="I4188">
            <v>0</v>
          </cell>
        </row>
        <row r="4189">
          <cell r="C4189" t="str">
            <v>저축은행</v>
          </cell>
          <cell r="E4189" t="str">
            <v>모름</v>
          </cell>
          <cell r="H4189">
            <v>260</v>
          </cell>
          <cell r="I4189">
            <v>2264</v>
          </cell>
        </row>
        <row r="4190">
          <cell r="C4190" t="str">
            <v>저축은행</v>
          </cell>
          <cell r="E4190" t="str">
            <v>모름</v>
          </cell>
          <cell r="H4190">
            <v>462</v>
          </cell>
          <cell r="I4190">
            <v>5300</v>
          </cell>
        </row>
        <row r="4191">
          <cell r="C4191" t="str">
            <v>저축은행</v>
          </cell>
          <cell r="E4191" t="str">
            <v>모름</v>
          </cell>
          <cell r="H4191">
            <v>4</v>
          </cell>
          <cell r="I4191">
            <v>0</v>
          </cell>
        </row>
        <row r="4192">
          <cell r="C4192" t="str">
            <v>저축은행</v>
          </cell>
          <cell r="E4192" t="str">
            <v>모름</v>
          </cell>
          <cell r="H4192">
            <v>169</v>
          </cell>
          <cell r="I4192">
            <v>5000</v>
          </cell>
        </row>
        <row r="4193">
          <cell r="C4193" t="str">
            <v>저축은행</v>
          </cell>
          <cell r="E4193" t="str">
            <v>모름</v>
          </cell>
          <cell r="H4193">
            <v>46</v>
          </cell>
          <cell r="I4193">
            <v>0</v>
          </cell>
        </row>
        <row r="4194">
          <cell r="C4194" t="str">
            <v>저축은행</v>
          </cell>
          <cell r="E4194" t="str">
            <v>모름</v>
          </cell>
          <cell r="H4194">
            <v>60</v>
          </cell>
          <cell r="I4194">
            <v>6400</v>
          </cell>
        </row>
        <row r="4195">
          <cell r="C4195" t="str">
            <v>저축은행</v>
          </cell>
          <cell r="E4195" t="str">
            <v>모름</v>
          </cell>
          <cell r="H4195">
            <v>7</v>
          </cell>
          <cell r="I4195">
            <v>0</v>
          </cell>
        </row>
        <row r="4196">
          <cell r="C4196" t="str">
            <v>저축은행</v>
          </cell>
          <cell r="E4196" t="str">
            <v>모름</v>
          </cell>
          <cell r="H4196">
            <v>7</v>
          </cell>
          <cell r="I4196">
            <v>0</v>
          </cell>
        </row>
        <row r="4197">
          <cell r="C4197" t="str">
            <v>저축은행</v>
          </cell>
          <cell r="E4197" t="str">
            <v>모름</v>
          </cell>
          <cell r="H4197">
            <v>4</v>
          </cell>
          <cell r="I4197">
            <v>0</v>
          </cell>
        </row>
        <row r="4198">
          <cell r="C4198" t="str">
            <v>저축은행</v>
          </cell>
          <cell r="E4198" t="str">
            <v>모름</v>
          </cell>
          <cell r="H4198">
            <v>138</v>
          </cell>
          <cell r="I4198">
            <v>0</v>
          </cell>
        </row>
        <row r="4199">
          <cell r="C4199" t="str">
            <v>저축은행</v>
          </cell>
          <cell r="E4199" t="str">
            <v>모름</v>
          </cell>
          <cell r="H4199">
            <v>78</v>
          </cell>
          <cell r="I4199">
            <v>4500</v>
          </cell>
        </row>
        <row r="4200">
          <cell r="C4200" t="str">
            <v>저축은행</v>
          </cell>
          <cell r="E4200" t="str">
            <v>모름</v>
          </cell>
          <cell r="H4200">
            <v>43</v>
          </cell>
          <cell r="I4200">
            <v>0</v>
          </cell>
        </row>
        <row r="4201">
          <cell r="C4201" t="str">
            <v>저축은행</v>
          </cell>
          <cell r="E4201" t="str">
            <v>모름</v>
          </cell>
          <cell r="H4201">
            <v>46</v>
          </cell>
          <cell r="I4201">
            <v>0</v>
          </cell>
        </row>
        <row r="4202">
          <cell r="C4202" t="str">
            <v>저축은행</v>
          </cell>
          <cell r="E4202" t="str">
            <v>모름</v>
          </cell>
          <cell r="H4202">
            <v>120</v>
          </cell>
          <cell r="I4202">
            <v>1505</v>
          </cell>
        </row>
        <row r="4203">
          <cell r="C4203" t="str">
            <v>저축은행</v>
          </cell>
          <cell r="E4203" t="str">
            <v>모름</v>
          </cell>
          <cell r="H4203">
            <v>182</v>
          </cell>
          <cell r="I4203">
            <v>3600</v>
          </cell>
        </row>
        <row r="4204">
          <cell r="C4204" t="str">
            <v>저축은행</v>
          </cell>
          <cell r="E4204" t="str">
            <v>모름</v>
          </cell>
          <cell r="H4204">
            <v>84</v>
          </cell>
          <cell r="I4204">
            <v>0</v>
          </cell>
        </row>
        <row r="4205">
          <cell r="C4205" t="str">
            <v>저축은행</v>
          </cell>
          <cell r="E4205" t="str">
            <v>모름</v>
          </cell>
          <cell r="H4205">
            <v>33</v>
          </cell>
          <cell r="I4205">
            <v>9000</v>
          </cell>
        </row>
        <row r="4206">
          <cell r="C4206" t="str">
            <v>저축은행</v>
          </cell>
          <cell r="E4206" t="str">
            <v>모름</v>
          </cell>
          <cell r="H4206">
            <v>45</v>
          </cell>
          <cell r="I4206">
            <v>4000</v>
          </cell>
        </row>
        <row r="4207">
          <cell r="C4207" t="str">
            <v>저축은행</v>
          </cell>
          <cell r="E4207" t="str">
            <v>모름</v>
          </cell>
          <cell r="H4207">
            <v>23</v>
          </cell>
          <cell r="I4207">
            <v>8000</v>
          </cell>
        </row>
        <row r="4208">
          <cell r="C4208" t="str">
            <v>저축은행</v>
          </cell>
          <cell r="E4208" t="str">
            <v>모름</v>
          </cell>
          <cell r="H4208">
            <v>33</v>
          </cell>
          <cell r="I4208">
            <v>4000</v>
          </cell>
        </row>
        <row r="4209">
          <cell r="C4209" t="str">
            <v>저축은행</v>
          </cell>
          <cell r="E4209" t="str">
            <v>모름</v>
          </cell>
          <cell r="H4209">
            <v>29</v>
          </cell>
          <cell r="I4209">
            <v>0</v>
          </cell>
        </row>
        <row r="4210">
          <cell r="C4210" t="str">
            <v>저축은행</v>
          </cell>
          <cell r="E4210" t="str">
            <v>모름</v>
          </cell>
          <cell r="H4210">
            <v>144</v>
          </cell>
          <cell r="I4210">
            <v>8000</v>
          </cell>
        </row>
        <row r="4211">
          <cell r="C4211" t="str">
            <v>저축은행</v>
          </cell>
          <cell r="E4211" t="str">
            <v>모름</v>
          </cell>
          <cell r="H4211">
            <v>54</v>
          </cell>
          <cell r="I4211">
            <v>3000</v>
          </cell>
        </row>
        <row r="4212">
          <cell r="C4212" t="str">
            <v>저축은행</v>
          </cell>
          <cell r="E4212" t="str">
            <v>모름</v>
          </cell>
          <cell r="H4212">
            <v>122</v>
          </cell>
          <cell r="I4212">
            <v>0</v>
          </cell>
        </row>
        <row r="4213">
          <cell r="C4213" t="str">
            <v>저축은행</v>
          </cell>
          <cell r="E4213" t="str">
            <v>모름</v>
          </cell>
          <cell r="H4213">
            <v>56</v>
          </cell>
          <cell r="I4213">
            <v>8000</v>
          </cell>
        </row>
        <row r="4214">
          <cell r="C4214" t="str">
            <v>저축은행</v>
          </cell>
          <cell r="E4214" t="str">
            <v>모름</v>
          </cell>
          <cell r="H4214">
            <v>10</v>
          </cell>
          <cell r="I4214">
            <v>0</v>
          </cell>
        </row>
        <row r="4215">
          <cell r="C4215" t="str">
            <v>저축은행</v>
          </cell>
          <cell r="E4215" t="str">
            <v>모름</v>
          </cell>
          <cell r="H4215">
            <v>36</v>
          </cell>
          <cell r="I4215">
            <v>3000</v>
          </cell>
        </row>
        <row r="4216">
          <cell r="C4216" t="str">
            <v>저축은행</v>
          </cell>
          <cell r="E4216" t="str">
            <v>모름</v>
          </cell>
          <cell r="H4216">
            <v>194</v>
          </cell>
          <cell r="I4216">
            <v>8000</v>
          </cell>
        </row>
        <row r="4217">
          <cell r="C4217" t="str">
            <v>저축은행</v>
          </cell>
          <cell r="E4217" t="str">
            <v>모름</v>
          </cell>
          <cell r="H4217">
            <v>45</v>
          </cell>
          <cell r="I4217">
            <v>10000</v>
          </cell>
        </row>
        <row r="4218">
          <cell r="C4218" t="str">
            <v>저축은행</v>
          </cell>
          <cell r="E4218" t="str">
            <v>모름</v>
          </cell>
          <cell r="H4218">
            <v>137</v>
          </cell>
          <cell r="I4218">
            <v>4400</v>
          </cell>
        </row>
        <row r="4219">
          <cell r="C4219" t="str">
            <v>저축은행</v>
          </cell>
          <cell r="E4219" t="str">
            <v>모름</v>
          </cell>
          <cell r="H4219">
            <v>54</v>
          </cell>
          <cell r="I4219">
            <v>7315</v>
          </cell>
        </row>
        <row r="4220">
          <cell r="C4220" t="str">
            <v>저축은행</v>
          </cell>
          <cell r="E4220" t="str">
            <v>모름</v>
          </cell>
          <cell r="H4220">
            <v>1000</v>
          </cell>
          <cell r="I4220">
            <v>3000</v>
          </cell>
        </row>
        <row r="4221">
          <cell r="C4221" t="str">
            <v>저축은행</v>
          </cell>
          <cell r="E4221" t="str">
            <v>모름</v>
          </cell>
          <cell r="H4221">
            <v>68</v>
          </cell>
          <cell r="I4221">
            <v>13500</v>
          </cell>
        </row>
        <row r="4222">
          <cell r="C4222" t="str">
            <v>저축은행</v>
          </cell>
          <cell r="E4222" t="str">
            <v>모름</v>
          </cell>
          <cell r="H4222">
            <v>260</v>
          </cell>
          <cell r="I4222">
            <v>5015</v>
          </cell>
        </row>
        <row r="4223">
          <cell r="C4223" t="str">
            <v>저축은행</v>
          </cell>
          <cell r="E4223" t="str">
            <v>모름</v>
          </cell>
          <cell r="H4223">
            <v>60</v>
          </cell>
          <cell r="I4223">
            <v>8000</v>
          </cell>
        </row>
        <row r="4224">
          <cell r="C4224" t="str">
            <v>저축은행</v>
          </cell>
          <cell r="E4224" t="str">
            <v>모름</v>
          </cell>
          <cell r="H4224">
            <v>191</v>
          </cell>
          <cell r="I4224">
            <v>8000</v>
          </cell>
        </row>
        <row r="4225">
          <cell r="C4225" t="str">
            <v>저축은행</v>
          </cell>
          <cell r="E4225" t="str">
            <v>모름</v>
          </cell>
          <cell r="H4225">
            <v>194</v>
          </cell>
          <cell r="I4225">
            <v>0</v>
          </cell>
        </row>
        <row r="4226">
          <cell r="C4226" t="str">
            <v>저축은행</v>
          </cell>
          <cell r="E4226" t="str">
            <v>모름</v>
          </cell>
          <cell r="H4226">
            <v>54</v>
          </cell>
          <cell r="I4226">
            <v>3000</v>
          </cell>
        </row>
        <row r="4227">
          <cell r="C4227" t="str">
            <v>저축은행</v>
          </cell>
          <cell r="E4227" t="str">
            <v>모름</v>
          </cell>
          <cell r="H4227">
            <v>120</v>
          </cell>
          <cell r="I4227">
            <v>6287</v>
          </cell>
        </row>
        <row r="4228">
          <cell r="C4228" t="str">
            <v>저축은행</v>
          </cell>
          <cell r="E4228" t="str">
            <v>모름</v>
          </cell>
          <cell r="H4228">
            <v>345</v>
          </cell>
          <cell r="I4228">
            <v>7650</v>
          </cell>
        </row>
        <row r="4229">
          <cell r="C4229" t="str">
            <v>저축은행</v>
          </cell>
          <cell r="E4229" t="str">
            <v>모름</v>
          </cell>
          <cell r="H4229">
            <v>194</v>
          </cell>
          <cell r="I4229">
            <v>0</v>
          </cell>
        </row>
        <row r="4230">
          <cell r="C4230" t="str">
            <v>저축은행</v>
          </cell>
          <cell r="E4230" t="str">
            <v>모름</v>
          </cell>
          <cell r="H4230">
            <v>53</v>
          </cell>
          <cell r="I4230">
            <v>2000</v>
          </cell>
        </row>
        <row r="4231">
          <cell r="C4231" t="str">
            <v>저축은행</v>
          </cell>
          <cell r="E4231" t="str">
            <v>모름</v>
          </cell>
          <cell r="H4231">
            <v>1000</v>
          </cell>
          <cell r="I4231">
            <v>0</v>
          </cell>
        </row>
        <row r="4232">
          <cell r="C4232" t="str">
            <v>저축은행</v>
          </cell>
          <cell r="E4232" t="str">
            <v>모름</v>
          </cell>
          <cell r="H4232">
            <v>30</v>
          </cell>
          <cell r="I4232">
            <v>12465</v>
          </cell>
        </row>
        <row r="4233">
          <cell r="C4233" t="str">
            <v>저축은행</v>
          </cell>
          <cell r="E4233" t="str">
            <v>모름</v>
          </cell>
          <cell r="H4233">
            <v>1000</v>
          </cell>
          <cell r="I4233">
            <v>5500</v>
          </cell>
        </row>
        <row r="4234">
          <cell r="C4234" t="str">
            <v>저축은행</v>
          </cell>
          <cell r="E4234" t="str">
            <v>모름</v>
          </cell>
          <cell r="H4234">
            <v>61</v>
          </cell>
          <cell r="I4234">
            <v>8000</v>
          </cell>
        </row>
        <row r="4235">
          <cell r="C4235" t="str">
            <v>저축은행</v>
          </cell>
          <cell r="E4235" t="str">
            <v>모름</v>
          </cell>
          <cell r="H4235">
            <v>144</v>
          </cell>
          <cell r="I4235">
            <v>7554</v>
          </cell>
        </row>
        <row r="4236">
          <cell r="C4236" t="str">
            <v>저축은행</v>
          </cell>
          <cell r="E4236" t="str">
            <v>모름</v>
          </cell>
          <cell r="H4236">
            <v>53</v>
          </cell>
          <cell r="I4236">
            <v>0</v>
          </cell>
        </row>
        <row r="4237">
          <cell r="C4237" t="str">
            <v>저축은행</v>
          </cell>
          <cell r="E4237" t="str">
            <v>모름</v>
          </cell>
          <cell r="H4237">
            <v>35</v>
          </cell>
          <cell r="I4237">
            <v>3000</v>
          </cell>
        </row>
        <row r="4238">
          <cell r="C4238" t="str">
            <v>저축은행</v>
          </cell>
          <cell r="E4238" t="str">
            <v>모름</v>
          </cell>
          <cell r="H4238">
            <v>21</v>
          </cell>
          <cell r="I4238">
            <v>9000</v>
          </cell>
        </row>
        <row r="4239">
          <cell r="C4239" t="str">
            <v>저축은행</v>
          </cell>
          <cell r="E4239" t="str">
            <v>모름</v>
          </cell>
          <cell r="H4239">
            <v>53</v>
          </cell>
          <cell r="I4239">
            <v>2250</v>
          </cell>
        </row>
        <row r="4240">
          <cell r="C4240" t="str">
            <v>저축은행</v>
          </cell>
          <cell r="E4240" t="str">
            <v>모름</v>
          </cell>
          <cell r="H4240">
            <v>95</v>
          </cell>
          <cell r="I4240">
            <v>8000</v>
          </cell>
        </row>
        <row r="4241">
          <cell r="C4241" t="str">
            <v>저축은행</v>
          </cell>
          <cell r="E4241" t="str">
            <v>모름</v>
          </cell>
          <cell r="H4241">
            <v>61</v>
          </cell>
          <cell r="I4241">
            <v>8000</v>
          </cell>
        </row>
        <row r="4242">
          <cell r="C4242" t="str">
            <v>저축은행</v>
          </cell>
          <cell r="E4242" t="str">
            <v>모름</v>
          </cell>
          <cell r="H4242">
            <v>60</v>
          </cell>
          <cell r="I4242">
            <v>6000</v>
          </cell>
        </row>
        <row r="4243">
          <cell r="C4243" t="str">
            <v>저축은행</v>
          </cell>
          <cell r="E4243" t="str">
            <v>모름</v>
          </cell>
          <cell r="H4243">
            <v>45</v>
          </cell>
          <cell r="I4243">
            <v>4500</v>
          </cell>
        </row>
        <row r="4244">
          <cell r="C4244" t="str">
            <v>저축은행</v>
          </cell>
          <cell r="E4244" t="str">
            <v>모름</v>
          </cell>
          <cell r="H4244">
            <v>61</v>
          </cell>
          <cell r="I4244">
            <v>8000</v>
          </cell>
        </row>
        <row r="4245">
          <cell r="C4245" t="str">
            <v>저축은행</v>
          </cell>
          <cell r="E4245" t="str">
            <v>모름</v>
          </cell>
          <cell r="H4245">
            <v>60</v>
          </cell>
          <cell r="I4245">
            <v>12000</v>
          </cell>
        </row>
        <row r="4246">
          <cell r="C4246" t="str">
            <v>저축은행</v>
          </cell>
          <cell r="E4246" t="str">
            <v>모름</v>
          </cell>
          <cell r="H4246">
            <v>1000</v>
          </cell>
          <cell r="I4246">
            <v>1600</v>
          </cell>
        </row>
        <row r="4247">
          <cell r="C4247" t="str">
            <v>저축은행</v>
          </cell>
          <cell r="E4247" t="str">
            <v>모름</v>
          </cell>
          <cell r="H4247">
            <v>194</v>
          </cell>
          <cell r="I4247">
            <v>726</v>
          </cell>
        </row>
        <row r="4248">
          <cell r="C4248" t="str">
            <v>저축은행</v>
          </cell>
          <cell r="E4248" t="str">
            <v>모름</v>
          </cell>
          <cell r="H4248">
            <v>256</v>
          </cell>
          <cell r="I4248">
            <v>4971</v>
          </cell>
        </row>
        <row r="4249">
          <cell r="C4249" t="str">
            <v>저축은행</v>
          </cell>
          <cell r="E4249" t="str">
            <v>모름</v>
          </cell>
          <cell r="H4249">
            <v>23</v>
          </cell>
          <cell r="I4249">
            <v>0</v>
          </cell>
        </row>
        <row r="4250">
          <cell r="C4250" t="str">
            <v>저축은행</v>
          </cell>
          <cell r="E4250" t="str">
            <v>모름</v>
          </cell>
          <cell r="H4250">
            <v>12</v>
          </cell>
          <cell r="I4250">
            <v>0</v>
          </cell>
        </row>
        <row r="4251">
          <cell r="C4251" t="str">
            <v>저축은행</v>
          </cell>
          <cell r="E4251" t="str">
            <v>모름</v>
          </cell>
          <cell r="H4251">
            <v>4</v>
          </cell>
          <cell r="I4251">
            <v>0</v>
          </cell>
        </row>
        <row r="4252">
          <cell r="C4252" t="str">
            <v>저축은행</v>
          </cell>
          <cell r="E4252" t="str">
            <v>모름</v>
          </cell>
          <cell r="H4252">
            <v>1000</v>
          </cell>
          <cell r="I4252">
            <v>4580</v>
          </cell>
        </row>
        <row r="4253">
          <cell r="C4253" t="str">
            <v>저축은행</v>
          </cell>
          <cell r="E4253" t="str">
            <v>모름</v>
          </cell>
          <cell r="H4253">
            <v>1000</v>
          </cell>
          <cell r="I4253">
            <v>2600</v>
          </cell>
        </row>
        <row r="4254">
          <cell r="C4254" t="str">
            <v>저축은행</v>
          </cell>
          <cell r="E4254" t="str">
            <v>모름</v>
          </cell>
          <cell r="H4254">
            <v>38</v>
          </cell>
          <cell r="I4254">
            <v>0</v>
          </cell>
        </row>
        <row r="4255">
          <cell r="C4255" t="str">
            <v>저축은행</v>
          </cell>
          <cell r="E4255" t="str">
            <v>모름</v>
          </cell>
          <cell r="H4255">
            <v>1000</v>
          </cell>
          <cell r="I4255">
            <v>8000</v>
          </cell>
        </row>
        <row r="4256">
          <cell r="C4256" t="str">
            <v>저축은행</v>
          </cell>
          <cell r="E4256" t="str">
            <v>모름</v>
          </cell>
          <cell r="H4256">
            <v>50</v>
          </cell>
          <cell r="I4256">
            <v>8000</v>
          </cell>
        </row>
        <row r="4257">
          <cell r="C4257" t="str">
            <v>저축은행</v>
          </cell>
          <cell r="E4257" t="str">
            <v>모름</v>
          </cell>
          <cell r="H4257">
            <v>122</v>
          </cell>
          <cell r="I4257">
            <v>0</v>
          </cell>
        </row>
        <row r="4258">
          <cell r="C4258" t="str">
            <v>저축은행</v>
          </cell>
          <cell r="E4258" t="str">
            <v>모름</v>
          </cell>
          <cell r="H4258">
            <v>50</v>
          </cell>
          <cell r="I4258">
            <v>3000</v>
          </cell>
        </row>
        <row r="4259">
          <cell r="C4259" t="str">
            <v>저축은행</v>
          </cell>
          <cell r="E4259" t="str">
            <v>모름</v>
          </cell>
          <cell r="H4259">
            <v>86</v>
          </cell>
          <cell r="I4259">
            <v>7000</v>
          </cell>
        </row>
        <row r="4260">
          <cell r="C4260" t="str">
            <v>저축은행</v>
          </cell>
          <cell r="E4260" t="str">
            <v>모름</v>
          </cell>
          <cell r="H4260">
            <v>50</v>
          </cell>
          <cell r="I4260">
            <v>7000</v>
          </cell>
        </row>
        <row r="4261">
          <cell r="C4261" t="str">
            <v>저축은행</v>
          </cell>
          <cell r="E4261" t="str">
            <v>모름</v>
          </cell>
          <cell r="H4261">
            <v>50</v>
          </cell>
          <cell r="I4261">
            <v>0</v>
          </cell>
        </row>
        <row r="4262">
          <cell r="C4262" t="str">
            <v>저축은행</v>
          </cell>
          <cell r="E4262" t="str">
            <v>모름</v>
          </cell>
          <cell r="H4262">
            <v>10</v>
          </cell>
          <cell r="I4262">
            <v>0</v>
          </cell>
        </row>
        <row r="4263">
          <cell r="C4263" t="str">
            <v>저축은행</v>
          </cell>
          <cell r="E4263" t="str">
            <v>모름</v>
          </cell>
          <cell r="H4263">
            <v>54</v>
          </cell>
          <cell r="I4263">
            <v>6364</v>
          </cell>
        </row>
        <row r="4264">
          <cell r="C4264" t="str">
            <v>저축은행</v>
          </cell>
          <cell r="E4264" t="str">
            <v>모름</v>
          </cell>
          <cell r="H4264">
            <v>54</v>
          </cell>
          <cell r="I4264">
            <v>8000</v>
          </cell>
        </row>
        <row r="4265">
          <cell r="C4265" t="str">
            <v>저축은행</v>
          </cell>
          <cell r="E4265" t="str">
            <v>모름</v>
          </cell>
          <cell r="H4265">
            <v>138</v>
          </cell>
          <cell r="I4265">
            <v>5000</v>
          </cell>
        </row>
        <row r="4266">
          <cell r="C4266" t="str">
            <v>저축은행</v>
          </cell>
          <cell r="E4266" t="str">
            <v>모름</v>
          </cell>
          <cell r="H4266">
            <v>1000</v>
          </cell>
          <cell r="I4266">
            <v>3873</v>
          </cell>
        </row>
        <row r="4267">
          <cell r="C4267" t="str">
            <v>저축은행</v>
          </cell>
          <cell r="E4267" t="str">
            <v>모름</v>
          </cell>
          <cell r="H4267">
            <v>10</v>
          </cell>
          <cell r="I4267">
            <v>0</v>
          </cell>
        </row>
        <row r="4268">
          <cell r="C4268" t="str">
            <v>저축은행</v>
          </cell>
          <cell r="E4268" t="str">
            <v>모름</v>
          </cell>
          <cell r="H4268">
            <v>34</v>
          </cell>
          <cell r="I4268">
            <v>15000</v>
          </cell>
        </row>
        <row r="4269">
          <cell r="C4269" t="str">
            <v>저축은행</v>
          </cell>
          <cell r="E4269" t="str">
            <v>모름</v>
          </cell>
          <cell r="H4269">
            <v>41</v>
          </cell>
          <cell r="I4269">
            <v>0</v>
          </cell>
        </row>
        <row r="4270">
          <cell r="C4270" t="str">
            <v>저축은행</v>
          </cell>
          <cell r="E4270" t="str">
            <v>모름</v>
          </cell>
          <cell r="H4270">
            <v>14</v>
          </cell>
          <cell r="I4270">
            <v>0</v>
          </cell>
        </row>
        <row r="4271">
          <cell r="C4271" t="str">
            <v>저축은행</v>
          </cell>
          <cell r="E4271" t="str">
            <v>모름</v>
          </cell>
          <cell r="H4271">
            <v>44</v>
          </cell>
          <cell r="I4271">
            <v>0</v>
          </cell>
        </row>
        <row r="4272">
          <cell r="C4272" t="str">
            <v>저축은행</v>
          </cell>
          <cell r="E4272" t="str">
            <v>모름</v>
          </cell>
          <cell r="H4272">
            <v>169</v>
          </cell>
          <cell r="I4272">
            <v>20000</v>
          </cell>
        </row>
        <row r="4273">
          <cell r="C4273" t="str">
            <v>저축은행</v>
          </cell>
          <cell r="E4273" t="str">
            <v>모름</v>
          </cell>
          <cell r="H4273">
            <v>50</v>
          </cell>
          <cell r="I4273">
            <v>0</v>
          </cell>
        </row>
        <row r="4274">
          <cell r="C4274" t="str">
            <v>저축은행</v>
          </cell>
          <cell r="E4274" t="str">
            <v>모름</v>
          </cell>
          <cell r="H4274">
            <v>50</v>
          </cell>
          <cell r="I4274">
            <v>0</v>
          </cell>
        </row>
        <row r="4275">
          <cell r="C4275" t="str">
            <v>저축은행</v>
          </cell>
          <cell r="E4275" t="str">
            <v>모름</v>
          </cell>
          <cell r="H4275">
            <v>125</v>
          </cell>
          <cell r="I4275">
            <v>0</v>
          </cell>
        </row>
        <row r="4276">
          <cell r="C4276" t="str">
            <v>저축은행</v>
          </cell>
          <cell r="E4276" t="str">
            <v>모름</v>
          </cell>
          <cell r="H4276">
            <v>44</v>
          </cell>
          <cell r="I4276">
            <v>10000</v>
          </cell>
        </row>
        <row r="4277">
          <cell r="C4277" t="str">
            <v>저축은행</v>
          </cell>
          <cell r="E4277" t="str">
            <v>모름</v>
          </cell>
          <cell r="H4277">
            <v>61</v>
          </cell>
          <cell r="I4277">
            <v>13000</v>
          </cell>
        </row>
        <row r="4278">
          <cell r="C4278" t="str">
            <v>저축은행</v>
          </cell>
          <cell r="E4278" t="str">
            <v>모름</v>
          </cell>
          <cell r="H4278">
            <v>195</v>
          </cell>
          <cell r="I4278">
            <v>14500</v>
          </cell>
        </row>
        <row r="4279">
          <cell r="C4279" t="str">
            <v>저축은행</v>
          </cell>
          <cell r="E4279" t="str">
            <v>모름</v>
          </cell>
          <cell r="H4279">
            <v>94</v>
          </cell>
          <cell r="I4279">
            <v>3000</v>
          </cell>
        </row>
        <row r="4280">
          <cell r="C4280" t="str">
            <v>저축은행</v>
          </cell>
          <cell r="E4280" t="str">
            <v>모름</v>
          </cell>
          <cell r="H4280">
            <v>68</v>
          </cell>
          <cell r="I4280">
            <v>8000</v>
          </cell>
        </row>
        <row r="4281">
          <cell r="C4281" t="str">
            <v>저축은행</v>
          </cell>
          <cell r="E4281" t="str">
            <v>모름</v>
          </cell>
          <cell r="H4281">
            <v>45</v>
          </cell>
          <cell r="I4281">
            <v>1166</v>
          </cell>
        </row>
        <row r="4282">
          <cell r="C4282" t="str">
            <v>저축은행</v>
          </cell>
          <cell r="E4282" t="str">
            <v>모름</v>
          </cell>
          <cell r="H4282">
            <v>60</v>
          </cell>
          <cell r="I4282">
            <v>1400</v>
          </cell>
        </row>
        <row r="4283">
          <cell r="C4283" t="str">
            <v>저축은행</v>
          </cell>
          <cell r="E4283" t="str">
            <v>모름</v>
          </cell>
          <cell r="H4283">
            <v>38</v>
          </cell>
          <cell r="I4283">
            <v>8000</v>
          </cell>
        </row>
        <row r="4284">
          <cell r="C4284" t="str">
            <v>저축은행</v>
          </cell>
          <cell r="E4284" t="str">
            <v>모름</v>
          </cell>
          <cell r="H4284">
            <v>30</v>
          </cell>
          <cell r="I4284">
            <v>7671</v>
          </cell>
        </row>
        <row r="4285">
          <cell r="C4285" t="str">
            <v>저축은행</v>
          </cell>
          <cell r="E4285" t="str">
            <v>모름</v>
          </cell>
          <cell r="H4285">
            <v>53</v>
          </cell>
          <cell r="I4285">
            <v>1024</v>
          </cell>
        </row>
        <row r="4286">
          <cell r="C4286" t="str">
            <v>저축은행</v>
          </cell>
          <cell r="E4286" t="str">
            <v>모름</v>
          </cell>
          <cell r="H4286">
            <v>61</v>
          </cell>
          <cell r="I4286">
            <v>5124</v>
          </cell>
        </row>
        <row r="4287">
          <cell r="C4287" t="str">
            <v>저축은행</v>
          </cell>
          <cell r="E4287" t="str">
            <v>모름</v>
          </cell>
          <cell r="H4287">
            <v>60</v>
          </cell>
          <cell r="I4287">
            <v>8000</v>
          </cell>
        </row>
        <row r="4288">
          <cell r="C4288" t="str">
            <v>저축은행</v>
          </cell>
          <cell r="E4288" t="str">
            <v>모름</v>
          </cell>
          <cell r="H4288">
            <v>1000</v>
          </cell>
          <cell r="I4288">
            <v>8000</v>
          </cell>
        </row>
        <row r="4289">
          <cell r="C4289" t="str">
            <v>저축은행</v>
          </cell>
          <cell r="E4289" t="str">
            <v>모름</v>
          </cell>
          <cell r="H4289">
            <v>68</v>
          </cell>
          <cell r="I4289">
            <v>1500</v>
          </cell>
        </row>
        <row r="4290">
          <cell r="C4290" t="str">
            <v>저축은행</v>
          </cell>
          <cell r="E4290" t="str">
            <v>모름</v>
          </cell>
          <cell r="H4290">
            <v>61</v>
          </cell>
          <cell r="I4290">
            <v>8000</v>
          </cell>
        </row>
        <row r="4291">
          <cell r="C4291" t="str">
            <v>저축은행</v>
          </cell>
          <cell r="E4291" t="str">
            <v>모름</v>
          </cell>
          <cell r="H4291">
            <v>61</v>
          </cell>
          <cell r="I4291">
            <v>7000</v>
          </cell>
        </row>
        <row r="4292">
          <cell r="C4292" t="str">
            <v>저축은행</v>
          </cell>
          <cell r="E4292" t="str">
            <v>모름</v>
          </cell>
          <cell r="H4292">
            <v>150</v>
          </cell>
          <cell r="I4292">
            <v>8000</v>
          </cell>
        </row>
        <row r="4293">
          <cell r="C4293" t="str">
            <v>저축은행</v>
          </cell>
          <cell r="E4293" t="str">
            <v>모름</v>
          </cell>
          <cell r="H4293">
            <v>50</v>
          </cell>
          <cell r="I4293">
            <v>8000</v>
          </cell>
        </row>
        <row r="4294">
          <cell r="C4294" t="str">
            <v>저축은행</v>
          </cell>
          <cell r="E4294" t="str">
            <v>모름</v>
          </cell>
          <cell r="H4294">
            <v>50</v>
          </cell>
          <cell r="I4294">
            <v>5000</v>
          </cell>
        </row>
        <row r="4295">
          <cell r="C4295" t="str">
            <v>저축은행</v>
          </cell>
          <cell r="E4295" t="str">
            <v>모름</v>
          </cell>
          <cell r="H4295">
            <v>50</v>
          </cell>
          <cell r="I4295">
            <v>2500</v>
          </cell>
        </row>
        <row r="4296">
          <cell r="C4296" t="str">
            <v>저축은행</v>
          </cell>
          <cell r="E4296" t="str">
            <v>모름</v>
          </cell>
          <cell r="H4296">
            <v>54</v>
          </cell>
          <cell r="I4296">
            <v>8000</v>
          </cell>
        </row>
        <row r="4297">
          <cell r="C4297" t="str">
            <v>저축은행</v>
          </cell>
          <cell r="E4297" t="str">
            <v>모름</v>
          </cell>
          <cell r="H4297">
            <v>23</v>
          </cell>
          <cell r="I4297">
            <v>0</v>
          </cell>
        </row>
        <row r="4298">
          <cell r="C4298" t="str">
            <v>저축은행</v>
          </cell>
          <cell r="E4298" t="str">
            <v>모름</v>
          </cell>
          <cell r="H4298">
            <v>1000</v>
          </cell>
          <cell r="I4298">
            <v>2300</v>
          </cell>
        </row>
        <row r="4299">
          <cell r="C4299" t="str">
            <v>저축은행</v>
          </cell>
          <cell r="E4299" t="str">
            <v>모름</v>
          </cell>
          <cell r="H4299">
            <v>1000</v>
          </cell>
          <cell r="I4299">
            <v>0</v>
          </cell>
        </row>
        <row r="4300">
          <cell r="C4300" t="str">
            <v>저축은행</v>
          </cell>
          <cell r="E4300" t="str">
            <v>모름</v>
          </cell>
          <cell r="H4300">
            <v>1000</v>
          </cell>
          <cell r="I4300">
            <v>0</v>
          </cell>
        </row>
        <row r="4301">
          <cell r="C4301" t="str">
            <v>저축은행</v>
          </cell>
          <cell r="E4301" t="str">
            <v>모름</v>
          </cell>
          <cell r="H4301">
            <v>1000</v>
          </cell>
          <cell r="I4301">
            <v>2500</v>
          </cell>
        </row>
        <row r="4302">
          <cell r="C4302" t="str">
            <v>저축은행</v>
          </cell>
          <cell r="E4302" t="str">
            <v>모름</v>
          </cell>
          <cell r="H4302">
            <v>1000</v>
          </cell>
          <cell r="I4302">
            <v>1600</v>
          </cell>
        </row>
        <row r="4303">
          <cell r="C4303" t="str">
            <v>저축은행</v>
          </cell>
          <cell r="E4303" t="str">
            <v>모름</v>
          </cell>
          <cell r="H4303">
            <v>1000</v>
          </cell>
          <cell r="I4303">
            <v>1800</v>
          </cell>
        </row>
        <row r="4304">
          <cell r="C4304" t="str">
            <v>저축은행</v>
          </cell>
          <cell r="E4304" t="str">
            <v>모름</v>
          </cell>
          <cell r="H4304">
            <v>1000</v>
          </cell>
          <cell r="I4304">
            <v>950</v>
          </cell>
        </row>
        <row r="4305">
          <cell r="C4305" t="str">
            <v>저축은행</v>
          </cell>
          <cell r="E4305" t="str">
            <v>모름</v>
          </cell>
          <cell r="H4305">
            <v>1000</v>
          </cell>
          <cell r="I4305">
            <v>1620</v>
          </cell>
        </row>
        <row r="4306">
          <cell r="C4306" t="str">
            <v>저축은행</v>
          </cell>
          <cell r="E4306" t="str">
            <v>모름</v>
          </cell>
          <cell r="H4306">
            <v>481</v>
          </cell>
          <cell r="I4306">
            <v>2300</v>
          </cell>
        </row>
        <row r="4307">
          <cell r="C4307" t="str">
            <v>저축은행</v>
          </cell>
          <cell r="E4307" t="str">
            <v>모름</v>
          </cell>
          <cell r="H4307">
            <v>1000</v>
          </cell>
          <cell r="I4307">
            <v>1100</v>
          </cell>
        </row>
        <row r="4308">
          <cell r="C4308" t="str">
            <v>저축은행</v>
          </cell>
          <cell r="E4308" t="str">
            <v>모름</v>
          </cell>
          <cell r="H4308">
            <v>1000</v>
          </cell>
          <cell r="I4308">
            <v>0</v>
          </cell>
        </row>
        <row r="4309">
          <cell r="C4309" t="str">
            <v>저축은행</v>
          </cell>
          <cell r="E4309" t="str">
            <v>모름</v>
          </cell>
          <cell r="H4309">
            <v>1000</v>
          </cell>
          <cell r="I4309">
            <v>600</v>
          </cell>
        </row>
        <row r="4310">
          <cell r="C4310" t="str">
            <v>저축은행</v>
          </cell>
          <cell r="E4310" t="str">
            <v>모름</v>
          </cell>
          <cell r="H4310">
            <v>1000</v>
          </cell>
          <cell r="I4310">
            <v>600</v>
          </cell>
        </row>
        <row r="4311">
          <cell r="C4311" t="str">
            <v>저축은행</v>
          </cell>
          <cell r="E4311" t="str">
            <v>모름</v>
          </cell>
          <cell r="H4311">
            <v>1000</v>
          </cell>
          <cell r="I4311">
            <v>3300</v>
          </cell>
        </row>
        <row r="4312">
          <cell r="C4312" t="str">
            <v>저축은행</v>
          </cell>
          <cell r="E4312" t="str">
            <v>모름</v>
          </cell>
          <cell r="H4312">
            <v>1000</v>
          </cell>
          <cell r="I4312">
            <v>0</v>
          </cell>
        </row>
        <row r="4313">
          <cell r="C4313" t="str">
            <v>저축은행</v>
          </cell>
          <cell r="E4313" t="str">
            <v>모름</v>
          </cell>
          <cell r="H4313">
            <v>410</v>
          </cell>
          <cell r="I4313">
            <v>6000</v>
          </cell>
        </row>
        <row r="4314">
          <cell r="C4314" t="str">
            <v>저축은행</v>
          </cell>
          <cell r="E4314" t="str">
            <v>모름</v>
          </cell>
          <cell r="H4314">
            <v>1000</v>
          </cell>
          <cell r="I4314">
            <v>5300</v>
          </cell>
        </row>
        <row r="4315">
          <cell r="C4315" t="str">
            <v>저축은행</v>
          </cell>
          <cell r="E4315" t="str">
            <v>모름</v>
          </cell>
          <cell r="H4315">
            <v>51</v>
          </cell>
          <cell r="I4315">
            <v>0</v>
          </cell>
        </row>
        <row r="4316">
          <cell r="C4316" t="str">
            <v>저축은행</v>
          </cell>
          <cell r="E4316" t="str">
            <v>모름</v>
          </cell>
          <cell r="H4316">
            <v>8</v>
          </cell>
          <cell r="I4316">
            <v>0</v>
          </cell>
        </row>
        <row r="4317">
          <cell r="C4317" t="str">
            <v>저축은행</v>
          </cell>
          <cell r="E4317" t="str">
            <v>모름</v>
          </cell>
          <cell r="H4317">
            <v>61</v>
          </cell>
          <cell r="I4317">
            <v>0</v>
          </cell>
        </row>
        <row r="4318">
          <cell r="C4318" t="str">
            <v>저축은행</v>
          </cell>
          <cell r="E4318" t="str">
            <v>모름</v>
          </cell>
          <cell r="H4318">
            <v>46</v>
          </cell>
          <cell r="I4318">
            <v>0</v>
          </cell>
        </row>
        <row r="4319">
          <cell r="C4319" t="str">
            <v>저축은행</v>
          </cell>
          <cell r="E4319" t="str">
            <v>모름</v>
          </cell>
          <cell r="H4319">
            <v>2</v>
          </cell>
          <cell r="I4319">
            <v>0</v>
          </cell>
        </row>
        <row r="4320">
          <cell r="C4320" t="str">
            <v>저축은행</v>
          </cell>
          <cell r="E4320" t="str">
            <v>모름</v>
          </cell>
          <cell r="H4320">
            <v>10</v>
          </cell>
          <cell r="I4320">
            <v>0</v>
          </cell>
        </row>
        <row r="4321">
          <cell r="C4321" t="str">
            <v>저축은행</v>
          </cell>
          <cell r="E4321" t="str">
            <v>모름</v>
          </cell>
          <cell r="H4321">
            <v>10</v>
          </cell>
          <cell r="I4321">
            <v>0</v>
          </cell>
        </row>
        <row r="4322">
          <cell r="C4322" t="str">
            <v>저축은행</v>
          </cell>
          <cell r="E4322" t="str">
            <v>모름</v>
          </cell>
          <cell r="H4322">
            <v>12</v>
          </cell>
          <cell r="I4322">
            <v>0</v>
          </cell>
        </row>
        <row r="4323">
          <cell r="C4323" t="str">
            <v>저축은행</v>
          </cell>
          <cell r="E4323" t="str">
            <v>모름</v>
          </cell>
          <cell r="H4323">
            <v>12</v>
          </cell>
          <cell r="I4323">
            <v>0</v>
          </cell>
        </row>
        <row r="4324">
          <cell r="C4324" t="str">
            <v>저축은행</v>
          </cell>
          <cell r="E4324" t="str">
            <v>모름</v>
          </cell>
          <cell r="H4324">
            <v>4</v>
          </cell>
          <cell r="I4324">
            <v>0</v>
          </cell>
        </row>
        <row r="4325">
          <cell r="C4325" t="str">
            <v>저축은행</v>
          </cell>
          <cell r="E4325" t="str">
            <v>모름</v>
          </cell>
          <cell r="H4325">
            <v>60</v>
          </cell>
          <cell r="I4325">
            <v>14000</v>
          </cell>
        </row>
        <row r="4326">
          <cell r="C4326" t="str">
            <v>저축은행</v>
          </cell>
          <cell r="E4326" t="str">
            <v>모름</v>
          </cell>
          <cell r="H4326">
            <v>78</v>
          </cell>
          <cell r="I4326">
            <v>8000</v>
          </cell>
        </row>
        <row r="4327">
          <cell r="C4327" t="str">
            <v>저축은행</v>
          </cell>
          <cell r="E4327" t="str">
            <v>모름</v>
          </cell>
          <cell r="H4327">
            <v>45</v>
          </cell>
          <cell r="I4327">
            <v>5500</v>
          </cell>
        </row>
        <row r="4328">
          <cell r="C4328" t="str">
            <v>저축은행</v>
          </cell>
          <cell r="E4328" t="str">
            <v>모름</v>
          </cell>
          <cell r="H4328">
            <v>10</v>
          </cell>
          <cell r="I4328">
            <v>0</v>
          </cell>
        </row>
        <row r="4329">
          <cell r="C4329" t="str">
            <v>저축은행</v>
          </cell>
          <cell r="E4329" t="str">
            <v>모름</v>
          </cell>
          <cell r="H4329">
            <v>45</v>
          </cell>
          <cell r="I4329">
            <v>16000</v>
          </cell>
        </row>
        <row r="4330">
          <cell r="C4330" t="str">
            <v>저축은행</v>
          </cell>
          <cell r="E4330" t="str">
            <v>모름</v>
          </cell>
          <cell r="H4330">
            <v>2</v>
          </cell>
          <cell r="I4330">
            <v>0</v>
          </cell>
        </row>
        <row r="4331">
          <cell r="C4331" t="str">
            <v>저축은행</v>
          </cell>
          <cell r="E4331" t="str">
            <v>모름</v>
          </cell>
          <cell r="H4331">
            <v>21</v>
          </cell>
          <cell r="I4331">
            <v>8000</v>
          </cell>
        </row>
        <row r="4332">
          <cell r="C4332" t="str">
            <v>저축은행</v>
          </cell>
          <cell r="E4332" t="str">
            <v>모름</v>
          </cell>
          <cell r="H4332">
            <v>1000</v>
          </cell>
          <cell r="I4332">
            <v>15000</v>
          </cell>
        </row>
        <row r="4333">
          <cell r="C4333" t="str">
            <v>저축은행</v>
          </cell>
          <cell r="E4333" t="str">
            <v>모름</v>
          </cell>
          <cell r="H4333">
            <v>46</v>
          </cell>
          <cell r="I4333">
            <v>0</v>
          </cell>
        </row>
        <row r="4334">
          <cell r="C4334" t="str">
            <v>저축은행</v>
          </cell>
          <cell r="E4334" t="str">
            <v>모름</v>
          </cell>
          <cell r="H4334">
            <v>45</v>
          </cell>
          <cell r="I4334">
            <v>3500</v>
          </cell>
        </row>
        <row r="4335">
          <cell r="C4335" t="str">
            <v>저축은행</v>
          </cell>
          <cell r="E4335" t="str">
            <v>모름</v>
          </cell>
          <cell r="H4335">
            <v>462</v>
          </cell>
          <cell r="I4335">
            <v>8000</v>
          </cell>
        </row>
        <row r="4336">
          <cell r="C4336" t="str">
            <v>저축은행</v>
          </cell>
          <cell r="E4336" t="str">
            <v>모름</v>
          </cell>
          <cell r="H4336">
            <v>37</v>
          </cell>
          <cell r="I4336">
            <v>0</v>
          </cell>
        </row>
        <row r="4337">
          <cell r="C4337" t="str">
            <v>저축은행</v>
          </cell>
          <cell r="E4337" t="str">
            <v>모름</v>
          </cell>
          <cell r="H4337">
            <v>141</v>
          </cell>
          <cell r="I4337">
            <v>5500</v>
          </cell>
        </row>
        <row r="4338">
          <cell r="C4338" t="str">
            <v>저축은행</v>
          </cell>
          <cell r="E4338" t="str">
            <v>모름</v>
          </cell>
          <cell r="H4338">
            <v>44</v>
          </cell>
          <cell r="I4338">
            <v>0</v>
          </cell>
        </row>
        <row r="4339">
          <cell r="C4339" t="str">
            <v>저축은행</v>
          </cell>
          <cell r="E4339" t="str">
            <v>모름</v>
          </cell>
          <cell r="H4339">
            <v>1000</v>
          </cell>
          <cell r="I4339">
            <v>15000</v>
          </cell>
        </row>
        <row r="4340">
          <cell r="C4340" t="str">
            <v>저축은행</v>
          </cell>
          <cell r="E4340" t="str">
            <v>모름</v>
          </cell>
          <cell r="H4340">
            <v>44</v>
          </cell>
          <cell r="I4340">
            <v>0</v>
          </cell>
        </row>
        <row r="4341">
          <cell r="C4341" t="str">
            <v>저축은행</v>
          </cell>
          <cell r="E4341" t="str">
            <v>모름</v>
          </cell>
          <cell r="H4341">
            <v>38</v>
          </cell>
          <cell r="I4341">
            <v>13000</v>
          </cell>
        </row>
        <row r="4342">
          <cell r="C4342" t="str">
            <v>저축은행</v>
          </cell>
          <cell r="E4342" t="str">
            <v>모름</v>
          </cell>
          <cell r="H4342">
            <v>485</v>
          </cell>
          <cell r="I4342">
            <v>7000</v>
          </cell>
        </row>
        <row r="4343">
          <cell r="C4343" t="str">
            <v>저축은행</v>
          </cell>
          <cell r="E4343" t="str">
            <v>모름</v>
          </cell>
          <cell r="H4343">
            <v>17</v>
          </cell>
          <cell r="I4343">
            <v>0</v>
          </cell>
        </row>
        <row r="4344">
          <cell r="C4344" t="str">
            <v>저축은행</v>
          </cell>
          <cell r="E4344" t="str">
            <v>모름</v>
          </cell>
          <cell r="H4344">
            <v>60</v>
          </cell>
          <cell r="I4344">
            <v>13000</v>
          </cell>
        </row>
        <row r="4345">
          <cell r="C4345" t="str">
            <v>저축은행</v>
          </cell>
          <cell r="E4345" t="str">
            <v>모름</v>
          </cell>
          <cell r="H4345">
            <v>141</v>
          </cell>
          <cell r="I4345">
            <v>7500</v>
          </cell>
        </row>
        <row r="4346">
          <cell r="C4346" t="str">
            <v>저축은행</v>
          </cell>
          <cell r="E4346" t="str">
            <v>모름</v>
          </cell>
          <cell r="H4346">
            <v>45</v>
          </cell>
          <cell r="I4346">
            <v>7000</v>
          </cell>
        </row>
        <row r="4347">
          <cell r="C4347" t="str">
            <v>저축은행</v>
          </cell>
          <cell r="E4347" t="str">
            <v>모름</v>
          </cell>
          <cell r="H4347">
            <v>1000</v>
          </cell>
          <cell r="I4347">
            <v>0</v>
          </cell>
        </row>
        <row r="4348">
          <cell r="C4348" t="str">
            <v>저축은행</v>
          </cell>
          <cell r="E4348" t="str">
            <v>모름</v>
          </cell>
          <cell r="H4348">
            <v>78</v>
          </cell>
          <cell r="I4348">
            <v>1000</v>
          </cell>
        </row>
        <row r="4349">
          <cell r="C4349" t="str">
            <v>저축은행</v>
          </cell>
          <cell r="E4349" t="str">
            <v>모름</v>
          </cell>
          <cell r="H4349">
            <v>78</v>
          </cell>
          <cell r="I4349">
            <v>2500</v>
          </cell>
        </row>
        <row r="4350">
          <cell r="C4350" t="str">
            <v>저축은행</v>
          </cell>
          <cell r="E4350" t="str">
            <v>모름</v>
          </cell>
          <cell r="H4350">
            <v>2</v>
          </cell>
          <cell r="I4350">
            <v>0</v>
          </cell>
        </row>
        <row r="4351">
          <cell r="C4351" t="str">
            <v>저축은행</v>
          </cell>
          <cell r="E4351" t="str">
            <v>모름</v>
          </cell>
          <cell r="H4351">
            <v>46</v>
          </cell>
          <cell r="I4351">
            <v>0</v>
          </cell>
        </row>
        <row r="4352">
          <cell r="C4352" t="str">
            <v>저축은행</v>
          </cell>
          <cell r="E4352" t="str">
            <v>모름</v>
          </cell>
          <cell r="H4352">
            <v>8</v>
          </cell>
          <cell r="I4352">
            <v>0</v>
          </cell>
        </row>
        <row r="4353">
          <cell r="C4353" t="str">
            <v>저축은행</v>
          </cell>
          <cell r="E4353" t="str">
            <v>모름</v>
          </cell>
          <cell r="H4353">
            <v>60</v>
          </cell>
          <cell r="I4353">
            <v>0</v>
          </cell>
        </row>
        <row r="4354">
          <cell r="C4354" t="str">
            <v>저축은행</v>
          </cell>
          <cell r="E4354" t="str">
            <v>모름</v>
          </cell>
          <cell r="H4354">
            <v>12</v>
          </cell>
          <cell r="I4354">
            <v>0</v>
          </cell>
        </row>
        <row r="4355">
          <cell r="C4355" t="str">
            <v>저축은행</v>
          </cell>
          <cell r="E4355" t="str">
            <v>모름</v>
          </cell>
          <cell r="H4355">
            <v>51</v>
          </cell>
          <cell r="I4355">
            <v>0</v>
          </cell>
        </row>
        <row r="4356">
          <cell r="C4356" t="str">
            <v>저축은행</v>
          </cell>
          <cell r="E4356" t="str">
            <v>모름</v>
          </cell>
          <cell r="H4356">
            <v>49</v>
          </cell>
          <cell r="I4356">
            <v>0</v>
          </cell>
        </row>
        <row r="4357">
          <cell r="C4357" t="str">
            <v>저축은행</v>
          </cell>
          <cell r="E4357" t="str">
            <v>모름</v>
          </cell>
          <cell r="H4357">
            <v>10</v>
          </cell>
          <cell r="I4357">
            <v>0</v>
          </cell>
        </row>
        <row r="4358">
          <cell r="C4358" t="str">
            <v>저축은행</v>
          </cell>
          <cell r="E4358" t="str">
            <v>모름</v>
          </cell>
          <cell r="H4358">
            <v>49</v>
          </cell>
          <cell r="I4358">
            <v>0</v>
          </cell>
        </row>
        <row r="4359">
          <cell r="C4359" t="str">
            <v>저축은행</v>
          </cell>
          <cell r="E4359" t="str">
            <v>모름</v>
          </cell>
          <cell r="H4359">
            <v>12</v>
          </cell>
          <cell r="I4359">
            <v>0</v>
          </cell>
        </row>
        <row r="4360">
          <cell r="C4360" t="str">
            <v>저축은행</v>
          </cell>
          <cell r="E4360" t="str">
            <v>모름</v>
          </cell>
          <cell r="H4360">
            <v>248</v>
          </cell>
          <cell r="I4360">
            <v>6700</v>
          </cell>
        </row>
        <row r="4361">
          <cell r="C4361" t="str">
            <v>저축은행</v>
          </cell>
          <cell r="E4361" t="str">
            <v>모름</v>
          </cell>
          <cell r="H4361">
            <v>4</v>
          </cell>
          <cell r="I4361">
            <v>0</v>
          </cell>
        </row>
        <row r="4362">
          <cell r="C4362" t="str">
            <v>저축은행</v>
          </cell>
          <cell r="E4362" t="str">
            <v>모름</v>
          </cell>
          <cell r="H4362">
            <v>45</v>
          </cell>
          <cell r="I4362">
            <v>0</v>
          </cell>
        </row>
        <row r="4363">
          <cell r="C4363" t="str">
            <v>저축은행</v>
          </cell>
          <cell r="E4363" t="str">
            <v>모름</v>
          </cell>
          <cell r="H4363">
            <v>485</v>
          </cell>
          <cell r="I4363">
            <v>2000</v>
          </cell>
        </row>
        <row r="4364">
          <cell r="C4364" t="str">
            <v>저축은행</v>
          </cell>
          <cell r="E4364" t="str">
            <v>모름</v>
          </cell>
          <cell r="H4364">
            <v>35</v>
          </cell>
          <cell r="I4364">
            <v>10000</v>
          </cell>
        </row>
        <row r="4365">
          <cell r="C4365" t="str">
            <v>저축은행</v>
          </cell>
          <cell r="E4365" t="str">
            <v>모름</v>
          </cell>
          <cell r="H4365">
            <v>34</v>
          </cell>
          <cell r="I4365">
            <v>0</v>
          </cell>
        </row>
        <row r="4366">
          <cell r="C4366" t="str">
            <v>저축은행</v>
          </cell>
          <cell r="E4366" t="str">
            <v>모름</v>
          </cell>
          <cell r="H4366">
            <v>279</v>
          </cell>
          <cell r="I4366">
            <v>5900</v>
          </cell>
        </row>
        <row r="4367">
          <cell r="C4367" t="str">
            <v>저축은행</v>
          </cell>
          <cell r="E4367" t="str">
            <v>모름</v>
          </cell>
          <cell r="H4367">
            <v>37</v>
          </cell>
          <cell r="I4367">
            <v>0</v>
          </cell>
        </row>
        <row r="4368">
          <cell r="C4368" t="str">
            <v>저축은행</v>
          </cell>
          <cell r="E4368" t="str">
            <v>모름</v>
          </cell>
          <cell r="H4368">
            <v>462</v>
          </cell>
          <cell r="I4368">
            <v>11600</v>
          </cell>
        </row>
        <row r="4369">
          <cell r="C4369" t="str">
            <v>저축은행</v>
          </cell>
          <cell r="E4369" t="str">
            <v>모름</v>
          </cell>
          <cell r="H4369">
            <v>45</v>
          </cell>
          <cell r="I4369">
            <v>5000</v>
          </cell>
        </row>
        <row r="4370">
          <cell r="C4370" t="str">
            <v>저축은행</v>
          </cell>
          <cell r="E4370" t="str">
            <v>모름</v>
          </cell>
          <cell r="H4370">
            <v>1000</v>
          </cell>
          <cell r="I4370">
            <v>1500</v>
          </cell>
        </row>
        <row r="4371">
          <cell r="C4371" t="str">
            <v>저축은행</v>
          </cell>
          <cell r="E4371" t="str">
            <v>모름</v>
          </cell>
          <cell r="H4371">
            <v>44</v>
          </cell>
          <cell r="I4371">
            <v>0</v>
          </cell>
        </row>
        <row r="4372">
          <cell r="C4372" t="str">
            <v>저축은행</v>
          </cell>
          <cell r="E4372" t="str">
            <v>모름</v>
          </cell>
          <cell r="H4372">
            <v>38</v>
          </cell>
          <cell r="I4372">
            <v>2600</v>
          </cell>
        </row>
        <row r="4373">
          <cell r="C4373" t="str">
            <v>저축은행</v>
          </cell>
          <cell r="E4373" t="str">
            <v>모름</v>
          </cell>
          <cell r="H4373">
            <v>1000</v>
          </cell>
          <cell r="I4373">
            <v>14300</v>
          </cell>
        </row>
        <row r="4374">
          <cell r="C4374" t="str">
            <v>저축은행</v>
          </cell>
          <cell r="E4374" t="str">
            <v>모름</v>
          </cell>
          <cell r="H4374">
            <v>60</v>
          </cell>
          <cell r="I4374">
            <v>3000</v>
          </cell>
        </row>
        <row r="4375">
          <cell r="C4375" t="str">
            <v>저축은행</v>
          </cell>
          <cell r="E4375" t="str">
            <v>모름</v>
          </cell>
          <cell r="H4375">
            <v>45</v>
          </cell>
          <cell r="I4375">
            <v>13000</v>
          </cell>
        </row>
        <row r="4376">
          <cell r="C4376" t="str">
            <v>저축은행</v>
          </cell>
          <cell r="E4376" t="str">
            <v>모름</v>
          </cell>
          <cell r="H4376">
            <v>23</v>
          </cell>
          <cell r="I4376">
            <v>0</v>
          </cell>
        </row>
        <row r="4377">
          <cell r="C4377" t="str">
            <v>저축은행</v>
          </cell>
          <cell r="E4377" t="str">
            <v>모름</v>
          </cell>
          <cell r="H4377">
            <v>45</v>
          </cell>
          <cell r="I4377">
            <v>8000</v>
          </cell>
        </row>
        <row r="4378">
          <cell r="C4378" t="str">
            <v>저축은행</v>
          </cell>
          <cell r="E4378" t="str">
            <v>모름</v>
          </cell>
          <cell r="H4378">
            <v>33</v>
          </cell>
          <cell r="I4378">
            <v>8000</v>
          </cell>
        </row>
        <row r="4379">
          <cell r="C4379" t="str">
            <v>저축은행</v>
          </cell>
          <cell r="E4379" t="str">
            <v>모름</v>
          </cell>
          <cell r="H4379">
            <v>10</v>
          </cell>
          <cell r="I4379">
            <v>800</v>
          </cell>
        </row>
        <row r="4380">
          <cell r="C4380" t="str">
            <v>저축은행</v>
          </cell>
          <cell r="E4380" t="str">
            <v>모름</v>
          </cell>
          <cell r="H4380">
            <v>111</v>
          </cell>
          <cell r="I4380">
            <v>0</v>
          </cell>
        </row>
        <row r="4381">
          <cell r="C4381" t="str">
            <v>저축은행</v>
          </cell>
          <cell r="E4381" t="str">
            <v>모름</v>
          </cell>
          <cell r="H4381">
            <v>1000</v>
          </cell>
          <cell r="I4381">
            <v>6000</v>
          </cell>
        </row>
        <row r="4382">
          <cell r="C4382" t="str">
            <v>저축은행</v>
          </cell>
          <cell r="E4382" t="str">
            <v>모름</v>
          </cell>
          <cell r="H4382">
            <v>77</v>
          </cell>
          <cell r="I4382">
            <v>7500</v>
          </cell>
        </row>
        <row r="4383">
          <cell r="C4383" t="str">
            <v>저축은행</v>
          </cell>
          <cell r="E4383" t="str">
            <v>모름</v>
          </cell>
          <cell r="H4383">
            <v>1000</v>
          </cell>
          <cell r="I4383">
            <v>8000</v>
          </cell>
        </row>
        <row r="4384">
          <cell r="C4384" t="str">
            <v>저축은행</v>
          </cell>
          <cell r="E4384" t="str">
            <v>모름</v>
          </cell>
          <cell r="H4384">
            <v>345</v>
          </cell>
          <cell r="I4384">
            <v>2000</v>
          </cell>
        </row>
        <row r="4385">
          <cell r="C4385" t="str">
            <v>저축은행</v>
          </cell>
          <cell r="E4385" t="str">
            <v>모름</v>
          </cell>
          <cell r="H4385">
            <v>195</v>
          </cell>
          <cell r="I4385">
            <v>6100</v>
          </cell>
        </row>
        <row r="4386">
          <cell r="C4386" t="str">
            <v>저축은행</v>
          </cell>
          <cell r="E4386" t="str">
            <v>모름</v>
          </cell>
          <cell r="H4386">
            <v>158</v>
          </cell>
          <cell r="I4386">
            <v>4500</v>
          </cell>
        </row>
        <row r="4387">
          <cell r="C4387" t="str">
            <v>저축은행</v>
          </cell>
          <cell r="E4387" t="str">
            <v>모름</v>
          </cell>
          <cell r="H4387">
            <v>46</v>
          </cell>
          <cell r="I4387">
            <v>0</v>
          </cell>
        </row>
        <row r="4388">
          <cell r="C4388" t="str">
            <v>저축은행</v>
          </cell>
          <cell r="E4388" t="str">
            <v>모름</v>
          </cell>
          <cell r="H4388">
            <v>61</v>
          </cell>
          <cell r="I4388">
            <v>8000</v>
          </cell>
        </row>
        <row r="4389">
          <cell r="C4389" t="str">
            <v>저축은행</v>
          </cell>
          <cell r="E4389" t="str">
            <v>모름</v>
          </cell>
          <cell r="H4389">
            <v>77</v>
          </cell>
          <cell r="I4389">
            <v>0</v>
          </cell>
        </row>
        <row r="4390">
          <cell r="C4390" t="str">
            <v>저축은행</v>
          </cell>
          <cell r="E4390" t="str">
            <v>모름</v>
          </cell>
          <cell r="H4390">
            <v>30</v>
          </cell>
          <cell r="I4390">
            <v>7613</v>
          </cell>
        </row>
        <row r="4391">
          <cell r="C4391" t="str">
            <v>저축은행</v>
          </cell>
          <cell r="E4391" t="str">
            <v>모름</v>
          </cell>
          <cell r="H4391">
            <v>60</v>
          </cell>
          <cell r="I4391">
            <v>8000</v>
          </cell>
        </row>
        <row r="4392">
          <cell r="C4392" t="str">
            <v>저축은행</v>
          </cell>
          <cell r="E4392" t="str">
            <v>모름</v>
          </cell>
          <cell r="H4392">
            <v>138</v>
          </cell>
          <cell r="I4392">
            <v>0</v>
          </cell>
        </row>
        <row r="4393">
          <cell r="C4393" t="str">
            <v>저축은행</v>
          </cell>
          <cell r="E4393" t="str">
            <v>모름</v>
          </cell>
          <cell r="H4393">
            <v>9</v>
          </cell>
          <cell r="I4393">
            <v>0</v>
          </cell>
        </row>
        <row r="4394">
          <cell r="C4394" t="str">
            <v>저축은행</v>
          </cell>
          <cell r="E4394" t="str">
            <v>모름</v>
          </cell>
          <cell r="H4394">
            <v>25</v>
          </cell>
          <cell r="I4394">
            <v>0</v>
          </cell>
        </row>
        <row r="4395">
          <cell r="C4395" t="str">
            <v>저축은행</v>
          </cell>
          <cell r="E4395" t="str">
            <v>모름</v>
          </cell>
          <cell r="H4395">
            <v>1000</v>
          </cell>
          <cell r="I4395">
            <v>0</v>
          </cell>
        </row>
        <row r="4396">
          <cell r="C4396" t="str">
            <v>저축은행</v>
          </cell>
          <cell r="E4396" t="str">
            <v>모름</v>
          </cell>
          <cell r="H4396">
            <v>60</v>
          </cell>
          <cell r="I4396">
            <v>6000</v>
          </cell>
        </row>
        <row r="4397">
          <cell r="C4397" t="str">
            <v>저축은행</v>
          </cell>
          <cell r="E4397" t="str">
            <v>모름</v>
          </cell>
          <cell r="H4397">
            <v>54</v>
          </cell>
          <cell r="I4397">
            <v>0</v>
          </cell>
        </row>
        <row r="4398">
          <cell r="C4398" t="str">
            <v>저축은행</v>
          </cell>
          <cell r="E4398" t="str">
            <v>모름</v>
          </cell>
          <cell r="H4398">
            <v>46</v>
          </cell>
          <cell r="I4398">
            <v>0</v>
          </cell>
        </row>
        <row r="4399">
          <cell r="C4399" t="str">
            <v>저축은행</v>
          </cell>
          <cell r="E4399" t="str">
            <v>모름</v>
          </cell>
          <cell r="H4399">
            <v>83</v>
          </cell>
          <cell r="I4399">
            <v>7500</v>
          </cell>
        </row>
        <row r="4400">
          <cell r="C4400" t="str">
            <v>저축은행</v>
          </cell>
          <cell r="E4400" t="str">
            <v>모름</v>
          </cell>
          <cell r="H4400">
            <v>182</v>
          </cell>
          <cell r="I4400">
            <v>0</v>
          </cell>
        </row>
        <row r="4401">
          <cell r="C4401" t="str">
            <v>저축은행</v>
          </cell>
          <cell r="E4401" t="str">
            <v>모름</v>
          </cell>
          <cell r="H4401">
            <v>1000</v>
          </cell>
          <cell r="I4401">
            <v>0</v>
          </cell>
        </row>
        <row r="4402">
          <cell r="C4402" t="str">
            <v>저축은행</v>
          </cell>
          <cell r="E4402" t="str">
            <v>모름</v>
          </cell>
          <cell r="H4402">
            <v>46</v>
          </cell>
          <cell r="I4402">
            <v>0</v>
          </cell>
        </row>
        <row r="4403">
          <cell r="C4403" t="str">
            <v>저축은행</v>
          </cell>
          <cell r="E4403" t="str">
            <v>모름</v>
          </cell>
          <cell r="H4403">
            <v>120</v>
          </cell>
          <cell r="I4403">
            <v>7500</v>
          </cell>
        </row>
        <row r="4404">
          <cell r="C4404" t="str">
            <v>저축은행</v>
          </cell>
          <cell r="E4404" t="str">
            <v>모름</v>
          </cell>
          <cell r="H4404">
            <v>31</v>
          </cell>
          <cell r="I4404">
            <v>0</v>
          </cell>
        </row>
        <row r="4405">
          <cell r="C4405" t="str">
            <v>저축은행</v>
          </cell>
          <cell r="E4405" t="str">
            <v>모름</v>
          </cell>
          <cell r="H4405">
            <v>398</v>
          </cell>
          <cell r="I4405">
            <v>8000</v>
          </cell>
        </row>
        <row r="4406">
          <cell r="C4406" t="str">
            <v>저축은행</v>
          </cell>
          <cell r="E4406" t="str">
            <v>모름</v>
          </cell>
          <cell r="H4406">
            <v>152</v>
          </cell>
          <cell r="I4406">
            <v>0</v>
          </cell>
        </row>
        <row r="4407">
          <cell r="C4407" t="str">
            <v>저축은행</v>
          </cell>
          <cell r="E4407" t="str">
            <v>모름</v>
          </cell>
          <cell r="H4407">
            <v>1000</v>
          </cell>
          <cell r="I4407">
            <v>8000</v>
          </cell>
        </row>
        <row r="4408">
          <cell r="C4408" t="str">
            <v>저축은행</v>
          </cell>
          <cell r="E4408" t="str">
            <v>모름</v>
          </cell>
          <cell r="H4408">
            <v>169</v>
          </cell>
          <cell r="I4408">
            <v>8000</v>
          </cell>
        </row>
        <row r="4409">
          <cell r="C4409" t="str">
            <v>저축은행</v>
          </cell>
          <cell r="E4409" t="str">
            <v>모름</v>
          </cell>
          <cell r="H4409">
            <v>36</v>
          </cell>
          <cell r="I4409">
            <v>0</v>
          </cell>
        </row>
        <row r="4410">
          <cell r="C4410" t="str">
            <v>저축은행</v>
          </cell>
          <cell r="E4410" t="str">
            <v>모름</v>
          </cell>
          <cell r="H4410">
            <v>56</v>
          </cell>
          <cell r="I4410">
            <v>8000</v>
          </cell>
        </row>
        <row r="4411">
          <cell r="C4411" t="str">
            <v>저축은행</v>
          </cell>
          <cell r="E4411" t="str">
            <v>모름</v>
          </cell>
          <cell r="H4411">
            <v>123</v>
          </cell>
          <cell r="I4411">
            <v>0</v>
          </cell>
        </row>
        <row r="4412">
          <cell r="C4412" t="str">
            <v>저축은행</v>
          </cell>
          <cell r="E4412" t="str">
            <v>모름</v>
          </cell>
          <cell r="H4412">
            <v>144</v>
          </cell>
          <cell r="I4412">
            <v>2236</v>
          </cell>
        </row>
        <row r="4413">
          <cell r="C4413" t="str">
            <v>저축은행</v>
          </cell>
          <cell r="E4413" t="str">
            <v>모름</v>
          </cell>
          <cell r="H4413">
            <v>1000</v>
          </cell>
          <cell r="I4413">
            <v>4348</v>
          </cell>
        </row>
        <row r="4414">
          <cell r="C4414" t="str">
            <v>저축은행</v>
          </cell>
          <cell r="E4414" t="str">
            <v>모름</v>
          </cell>
          <cell r="H4414">
            <v>87</v>
          </cell>
          <cell r="I4414">
            <v>0</v>
          </cell>
        </row>
        <row r="4415">
          <cell r="C4415" t="str">
            <v>저축은행</v>
          </cell>
          <cell r="E4415" t="str">
            <v>모름</v>
          </cell>
          <cell r="H4415">
            <v>326</v>
          </cell>
          <cell r="I4415">
            <v>6820</v>
          </cell>
        </row>
        <row r="4416">
          <cell r="C4416" t="str">
            <v>저축은행</v>
          </cell>
          <cell r="E4416" t="str">
            <v>모름</v>
          </cell>
          <cell r="H4416">
            <v>1000</v>
          </cell>
          <cell r="I4416">
            <v>0</v>
          </cell>
        </row>
        <row r="4417">
          <cell r="C4417" t="str">
            <v>저축은행</v>
          </cell>
          <cell r="E4417" t="str">
            <v>모름</v>
          </cell>
          <cell r="H4417">
            <v>10</v>
          </cell>
          <cell r="I4417">
            <v>700</v>
          </cell>
        </row>
        <row r="4418">
          <cell r="C4418" t="str">
            <v>저축은행</v>
          </cell>
          <cell r="E4418" t="str">
            <v>모름</v>
          </cell>
          <cell r="H4418">
            <v>1</v>
          </cell>
          <cell r="I4418">
            <v>800</v>
          </cell>
        </row>
        <row r="4419">
          <cell r="C4419" t="str">
            <v>증권</v>
          </cell>
          <cell r="E4419" t="str">
            <v>교보증권</v>
          </cell>
          <cell r="H4419">
            <v>1000</v>
          </cell>
          <cell r="I4419">
            <v>0</v>
          </cell>
        </row>
        <row r="4420">
          <cell r="C4420" t="str">
            <v>증권</v>
          </cell>
          <cell r="E4420" t="str">
            <v>교보증권</v>
          </cell>
          <cell r="H4420">
            <v>489</v>
          </cell>
          <cell r="I4420">
            <v>4000</v>
          </cell>
        </row>
        <row r="4421">
          <cell r="C4421" t="str">
            <v>증권</v>
          </cell>
          <cell r="E4421" t="str">
            <v>교보증권</v>
          </cell>
          <cell r="H4421">
            <v>138</v>
          </cell>
          <cell r="I4421">
            <v>0</v>
          </cell>
        </row>
        <row r="4422">
          <cell r="C4422" t="str">
            <v>증권</v>
          </cell>
          <cell r="E4422" t="str">
            <v>교보증권</v>
          </cell>
          <cell r="H4422">
            <v>10</v>
          </cell>
          <cell r="I4422">
            <v>0</v>
          </cell>
        </row>
        <row r="4423">
          <cell r="C4423" t="str">
            <v>증권</v>
          </cell>
          <cell r="E4423" t="str">
            <v>우리투자증권</v>
          </cell>
          <cell r="H4423">
            <v>1000</v>
          </cell>
          <cell r="I4423">
            <v>0</v>
          </cell>
        </row>
        <row r="4424">
          <cell r="C4424" t="str">
            <v>증권</v>
          </cell>
          <cell r="E4424" t="str">
            <v>우리투자증권</v>
          </cell>
          <cell r="H4424">
            <v>1000</v>
          </cell>
          <cell r="I4424">
            <v>0</v>
          </cell>
        </row>
        <row r="4425">
          <cell r="C4425" t="str">
            <v>증권</v>
          </cell>
          <cell r="E4425" t="str">
            <v>우리투자증권</v>
          </cell>
          <cell r="H4425">
            <v>1000</v>
          </cell>
          <cell r="I4425">
            <v>0</v>
          </cell>
        </row>
        <row r="4426">
          <cell r="C4426" t="str">
            <v>증권</v>
          </cell>
          <cell r="E4426" t="str">
            <v>우리투자증권</v>
          </cell>
          <cell r="H4426">
            <v>1000</v>
          </cell>
          <cell r="I4426">
            <v>0</v>
          </cell>
        </row>
        <row r="4427">
          <cell r="C4427" t="str">
            <v>증권</v>
          </cell>
          <cell r="E4427" t="str">
            <v>우리투자증권</v>
          </cell>
          <cell r="H4427">
            <v>1000</v>
          </cell>
          <cell r="I4427">
            <v>0</v>
          </cell>
        </row>
        <row r="4428">
          <cell r="C4428" t="str">
            <v>증권</v>
          </cell>
          <cell r="E4428" t="str">
            <v>우리투자증권</v>
          </cell>
          <cell r="H4428">
            <v>46</v>
          </cell>
          <cell r="I4428">
            <v>700</v>
          </cell>
        </row>
        <row r="4429">
          <cell r="C4429" t="str">
            <v>증권</v>
          </cell>
          <cell r="E4429" t="str">
            <v>우리투자증권</v>
          </cell>
          <cell r="H4429">
            <v>27</v>
          </cell>
          <cell r="I4429">
            <v>0</v>
          </cell>
        </row>
        <row r="4430">
          <cell r="C4430" t="str">
            <v>증권</v>
          </cell>
          <cell r="E4430" t="str">
            <v>우리투자증권</v>
          </cell>
          <cell r="H4430">
            <v>12</v>
          </cell>
          <cell r="I4430">
            <v>0</v>
          </cell>
        </row>
        <row r="4431">
          <cell r="C4431" t="str">
            <v>증권</v>
          </cell>
          <cell r="E4431" t="str">
            <v>우리투자증권</v>
          </cell>
          <cell r="H4431">
            <v>34</v>
          </cell>
          <cell r="I4431">
            <v>22000</v>
          </cell>
        </row>
        <row r="4432">
          <cell r="C4432" t="str">
            <v>증권</v>
          </cell>
          <cell r="E4432" t="str">
            <v>우리투자증권</v>
          </cell>
          <cell r="H4432">
            <v>32</v>
          </cell>
          <cell r="I4432">
            <v>0</v>
          </cell>
        </row>
        <row r="4433">
          <cell r="C4433" t="str">
            <v>증권</v>
          </cell>
          <cell r="E4433" t="str">
            <v>우리투자증권</v>
          </cell>
          <cell r="H4433">
            <v>1000</v>
          </cell>
          <cell r="I4433">
            <v>0</v>
          </cell>
        </row>
        <row r="4434">
          <cell r="C4434" t="str">
            <v>증권</v>
          </cell>
          <cell r="E4434" t="str">
            <v>우리투자증권</v>
          </cell>
          <cell r="H4434">
            <v>1000</v>
          </cell>
          <cell r="I4434">
            <v>0</v>
          </cell>
        </row>
        <row r="4435">
          <cell r="C4435" t="str">
            <v>증권</v>
          </cell>
          <cell r="E4435" t="str">
            <v>우리투자증권</v>
          </cell>
          <cell r="H4435">
            <v>87</v>
          </cell>
          <cell r="I4435">
            <v>10000</v>
          </cell>
        </row>
        <row r="4436">
          <cell r="C4436" t="str">
            <v>증권</v>
          </cell>
          <cell r="E4436" t="str">
            <v>우리투자증권</v>
          </cell>
          <cell r="H4436">
            <v>25</v>
          </cell>
          <cell r="I4436">
            <v>0</v>
          </cell>
        </row>
        <row r="4437">
          <cell r="C4437" t="str">
            <v>증권</v>
          </cell>
          <cell r="E4437" t="str">
            <v>우리투자증권</v>
          </cell>
          <cell r="H4437">
            <v>25</v>
          </cell>
          <cell r="I4437">
            <v>0</v>
          </cell>
        </row>
        <row r="4438">
          <cell r="C4438" t="str">
            <v>증권</v>
          </cell>
          <cell r="E4438" t="str">
            <v>우리투자증권</v>
          </cell>
          <cell r="H4438">
            <v>1000</v>
          </cell>
          <cell r="I4438">
            <v>1500</v>
          </cell>
        </row>
        <row r="4439">
          <cell r="C4439" t="str">
            <v>증권</v>
          </cell>
          <cell r="E4439" t="str">
            <v>우리투자증권</v>
          </cell>
          <cell r="H4439">
            <v>1000</v>
          </cell>
          <cell r="I4439">
            <v>7500</v>
          </cell>
        </row>
        <row r="4440">
          <cell r="C4440" t="str">
            <v>증권</v>
          </cell>
          <cell r="E4440" t="str">
            <v>우리투자증권</v>
          </cell>
          <cell r="H4440">
            <v>192</v>
          </cell>
          <cell r="I4440">
            <v>0</v>
          </cell>
        </row>
        <row r="4441">
          <cell r="C4441" t="str">
            <v>증권</v>
          </cell>
          <cell r="E4441" t="str">
            <v>우리투자증권</v>
          </cell>
          <cell r="H4441">
            <v>194</v>
          </cell>
          <cell r="I4441">
            <v>30000</v>
          </cell>
        </row>
        <row r="4442">
          <cell r="C4442" t="str">
            <v>증권</v>
          </cell>
          <cell r="E4442" t="str">
            <v>우리투자증권</v>
          </cell>
          <cell r="H4442">
            <v>1000</v>
          </cell>
          <cell r="I4442">
            <v>0</v>
          </cell>
        </row>
        <row r="4443">
          <cell r="C4443" t="str">
            <v>증권</v>
          </cell>
          <cell r="E4443" t="str">
            <v>우리투자증권</v>
          </cell>
          <cell r="H4443">
            <v>1000</v>
          </cell>
          <cell r="I4443">
            <v>0</v>
          </cell>
        </row>
        <row r="4444">
          <cell r="C4444" t="str">
            <v>증권</v>
          </cell>
          <cell r="E4444" t="str">
            <v>우리투자증권</v>
          </cell>
          <cell r="H4444">
            <v>1000</v>
          </cell>
          <cell r="I4444">
            <v>0</v>
          </cell>
        </row>
        <row r="4445">
          <cell r="C4445" t="str">
            <v>증권</v>
          </cell>
          <cell r="E4445" t="str">
            <v>우리투자증권</v>
          </cell>
          <cell r="H4445">
            <v>371</v>
          </cell>
          <cell r="I4445">
            <v>0</v>
          </cell>
        </row>
        <row r="4446">
          <cell r="C4446" t="str">
            <v>증권</v>
          </cell>
          <cell r="E4446" t="str">
            <v>우리투자증권</v>
          </cell>
          <cell r="H4446">
            <v>44</v>
          </cell>
          <cell r="I4446">
            <v>20000</v>
          </cell>
        </row>
        <row r="4447">
          <cell r="C4447" t="str">
            <v>증권</v>
          </cell>
          <cell r="E4447" t="str">
            <v>우리투자증권</v>
          </cell>
          <cell r="H4447">
            <v>172</v>
          </cell>
          <cell r="I4447">
            <v>20000</v>
          </cell>
        </row>
        <row r="4448">
          <cell r="C4448" t="str">
            <v>증권</v>
          </cell>
          <cell r="E4448" t="str">
            <v>우리투자증권</v>
          </cell>
          <cell r="H4448">
            <v>151</v>
          </cell>
          <cell r="I4448">
            <v>2570</v>
          </cell>
        </row>
        <row r="4449">
          <cell r="C4449" t="str">
            <v>증권</v>
          </cell>
          <cell r="E4449" t="str">
            <v>우리투자증권</v>
          </cell>
          <cell r="H4449">
            <v>38</v>
          </cell>
          <cell r="I4449">
            <v>20000</v>
          </cell>
        </row>
        <row r="4450">
          <cell r="C4450" t="str">
            <v>증권</v>
          </cell>
          <cell r="E4450" t="str">
            <v>우리투자증권</v>
          </cell>
          <cell r="H4450">
            <v>1000</v>
          </cell>
          <cell r="I4450">
            <v>0</v>
          </cell>
        </row>
        <row r="4451">
          <cell r="C4451" t="str">
            <v>증권</v>
          </cell>
          <cell r="E4451" t="str">
            <v>동부증권</v>
          </cell>
          <cell r="H4451">
            <v>44</v>
          </cell>
          <cell r="I4451">
            <v>0</v>
          </cell>
        </row>
        <row r="4452">
          <cell r="C4452" t="str">
            <v>증권</v>
          </cell>
          <cell r="E4452" t="str">
            <v>대신증권</v>
          </cell>
          <cell r="H4452">
            <v>35</v>
          </cell>
          <cell r="I4452">
            <v>10000</v>
          </cell>
        </row>
        <row r="4453">
          <cell r="C4453" t="str">
            <v>증권</v>
          </cell>
          <cell r="E4453" t="str">
            <v>동양종금</v>
          </cell>
          <cell r="H4453">
            <v>41</v>
          </cell>
          <cell r="I4453">
            <v>5000</v>
          </cell>
        </row>
        <row r="4454">
          <cell r="C4454" t="str">
            <v>증권</v>
          </cell>
          <cell r="E4454" t="str">
            <v>동양종금</v>
          </cell>
          <cell r="H4454">
            <v>41</v>
          </cell>
          <cell r="I4454">
            <v>2200</v>
          </cell>
        </row>
        <row r="4455">
          <cell r="C4455" t="str">
            <v>증권</v>
          </cell>
          <cell r="E4455" t="str">
            <v>동양종금</v>
          </cell>
          <cell r="H4455">
            <v>41</v>
          </cell>
          <cell r="I4455">
            <v>15000</v>
          </cell>
        </row>
        <row r="4456">
          <cell r="C4456" t="str">
            <v>증권</v>
          </cell>
          <cell r="E4456" t="str">
            <v>동양종금</v>
          </cell>
          <cell r="H4456">
            <v>8</v>
          </cell>
          <cell r="I4456">
            <v>0</v>
          </cell>
        </row>
        <row r="4457">
          <cell r="C4457" t="str">
            <v>증권</v>
          </cell>
          <cell r="E4457" t="str">
            <v>동양종금</v>
          </cell>
          <cell r="H4457">
            <v>18</v>
          </cell>
          <cell r="I4457">
            <v>20000</v>
          </cell>
        </row>
        <row r="4458">
          <cell r="C4458" t="str">
            <v>증권</v>
          </cell>
          <cell r="E4458" t="str">
            <v>동양종금</v>
          </cell>
          <cell r="H4458">
            <v>35</v>
          </cell>
          <cell r="I4458">
            <v>14800</v>
          </cell>
        </row>
        <row r="4459">
          <cell r="C4459" t="str">
            <v>증권</v>
          </cell>
          <cell r="E4459" t="str">
            <v>동양종금</v>
          </cell>
          <cell r="H4459">
            <v>29</v>
          </cell>
          <cell r="I4459">
            <v>8574</v>
          </cell>
        </row>
        <row r="4460">
          <cell r="C4460" t="str">
            <v>증권</v>
          </cell>
          <cell r="E4460" t="str">
            <v>동양종금</v>
          </cell>
          <cell r="H4460">
            <v>87</v>
          </cell>
          <cell r="I4460">
            <v>10700</v>
          </cell>
        </row>
        <row r="4461">
          <cell r="C4461" t="str">
            <v>증권</v>
          </cell>
          <cell r="E4461" t="str">
            <v>동양종금</v>
          </cell>
          <cell r="H4461">
            <v>43</v>
          </cell>
          <cell r="I4461">
            <v>0</v>
          </cell>
        </row>
        <row r="4462">
          <cell r="C4462" t="str">
            <v>증권</v>
          </cell>
          <cell r="E4462" t="str">
            <v>동양종금</v>
          </cell>
          <cell r="H4462">
            <v>32</v>
          </cell>
          <cell r="I4462">
            <v>26819</v>
          </cell>
        </row>
        <row r="4463">
          <cell r="C4463" t="str">
            <v>증권</v>
          </cell>
          <cell r="E4463" t="str">
            <v>동양종금</v>
          </cell>
          <cell r="H4463">
            <v>10</v>
          </cell>
          <cell r="I4463">
            <v>8050</v>
          </cell>
        </row>
        <row r="4464">
          <cell r="C4464" t="str">
            <v>증권</v>
          </cell>
          <cell r="E4464" t="str">
            <v>동양종금</v>
          </cell>
          <cell r="H4464">
            <v>44</v>
          </cell>
          <cell r="I4464">
            <v>13000</v>
          </cell>
        </row>
        <row r="4465">
          <cell r="C4465" t="str">
            <v>증권</v>
          </cell>
          <cell r="E4465" t="str">
            <v>동양종금</v>
          </cell>
          <cell r="H4465">
            <v>14</v>
          </cell>
          <cell r="I4465">
            <v>10000</v>
          </cell>
        </row>
        <row r="4466">
          <cell r="C4466" t="str">
            <v>증권</v>
          </cell>
          <cell r="E4466" t="str">
            <v>동양종금</v>
          </cell>
          <cell r="H4466">
            <v>249</v>
          </cell>
          <cell r="I4466">
            <v>0</v>
          </cell>
        </row>
        <row r="4467">
          <cell r="C4467" t="str">
            <v>증권</v>
          </cell>
          <cell r="E4467" t="str">
            <v>동양종금</v>
          </cell>
          <cell r="H4467">
            <v>10</v>
          </cell>
          <cell r="I4467">
            <v>40000</v>
          </cell>
        </row>
        <row r="4468">
          <cell r="C4468" t="str">
            <v>증권</v>
          </cell>
          <cell r="E4468" t="str">
            <v>동양종금</v>
          </cell>
          <cell r="H4468">
            <v>29</v>
          </cell>
          <cell r="I4468">
            <v>20000</v>
          </cell>
        </row>
        <row r="4469">
          <cell r="C4469" t="str">
            <v>증권</v>
          </cell>
          <cell r="E4469" t="str">
            <v>동양종금</v>
          </cell>
          <cell r="H4469">
            <v>1000</v>
          </cell>
          <cell r="I4469">
            <v>20000</v>
          </cell>
        </row>
        <row r="4470">
          <cell r="C4470" t="str">
            <v>증권</v>
          </cell>
          <cell r="E4470" t="str">
            <v>동양종금</v>
          </cell>
          <cell r="H4470">
            <v>44</v>
          </cell>
          <cell r="I4470">
            <v>26000</v>
          </cell>
        </row>
        <row r="4471">
          <cell r="C4471" t="str">
            <v>증권</v>
          </cell>
          <cell r="E4471" t="str">
            <v>동양종금</v>
          </cell>
          <cell r="H4471">
            <v>35</v>
          </cell>
          <cell r="I4471">
            <v>30000</v>
          </cell>
        </row>
        <row r="4472">
          <cell r="C4472" t="str">
            <v>증권</v>
          </cell>
          <cell r="E4472" t="str">
            <v>동양종금</v>
          </cell>
          <cell r="H4472">
            <v>40</v>
          </cell>
          <cell r="I4472">
            <v>30000</v>
          </cell>
        </row>
        <row r="4473">
          <cell r="C4473" t="str">
            <v>증권</v>
          </cell>
          <cell r="E4473" t="str">
            <v>동양종금</v>
          </cell>
          <cell r="H4473">
            <v>333</v>
          </cell>
          <cell r="I4473">
            <v>19500</v>
          </cell>
        </row>
        <row r="4474">
          <cell r="C4474" t="str">
            <v>증권</v>
          </cell>
          <cell r="E4474" t="str">
            <v>동양종금</v>
          </cell>
          <cell r="H4474">
            <v>10</v>
          </cell>
          <cell r="I4474">
            <v>8600</v>
          </cell>
        </row>
        <row r="4475">
          <cell r="C4475" t="str">
            <v>증권</v>
          </cell>
          <cell r="E4475" t="str">
            <v>동양종금</v>
          </cell>
          <cell r="H4475">
            <v>18</v>
          </cell>
          <cell r="I4475">
            <v>10000</v>
          </cell>
        </row>
        <row r="4476">
          <cell r="C4476" t="str">
            <v>증권</v>
          </cell>
          <cell r="E4476" t="str">
            <v>동양종금</v>
          </cell>
          <cell r="H4476">
            <v>258</v>
          </cell>
          <cell r="I4476">
            <v>20000</v>
          </cell>
        </row>
        <row r="4477">
          <cell r="C4477" t="str">
            <v>증권</v>
          </cell>
          <cell r="E4477" t="str">
            <v>동양종금</v>
          </cell>
          <cell r="H4477">
            <v>1000</v>
          </cell>
          <cell r="I4477">
            <v>0</v>
          </cell>
        </row>
        <row r="4478">
          <cell r="C4478" t="str">
            <v>증권</v>
          </cell>
          <cell r="E4478" t="str">
            <v>동양종금</v>
          </cell>
          <cell r="H4478">
            <v>56</v>
          </cell>
          <cell r="I4478">
            <v>10800</v>
          </cell>
        </row>
        <row r="4479">
          <cell r="C4479" t="str">
            <v>증권</v>
          </cell>
          <cell r="E4479" t="str">
            <v>동양종금</v>
          </cell>
          <cell r="H4479">
            <v>3</v>
          </cell>
          <cell r="I4479">
            <v>40000</v>
          </cell>
        </row>
        <row r="4480">
          <cell r="C4480" t="str">
            <v>증권</v>
          </cell>
          <cell r="E4480" t="str">
            <v>동양종금</v>
          </cell>
          <cell r="H4480">
            <v>44</v>
          </cell>
          <cell r="I4480">
            <v>17419</v>
          </cell>
        </row>
        <row r="4481">
          <cell r="C4481" t="str">
            <v>증권</v>
          </cell>
          <cell r="E4481" t="str">
            <v>동양종금</v>
          </cell>
          <cell r="H4481">
            <v>30</v>
          </cell>
          <cell r="I4481">
            <v>20000</v>
          </cell>
        </row>
        <row r="4482">
          <cell r="C4482" t="str">
            <v>증권</v>
          </cell>
          <cell r="E4482" t="str">
            <v>동양종금</v>
          </cell>
          <cell r="H4482">
            <v>44</v>
          </cell>
          <cell r="I4482">
            <v>12000</v>
          </cell>
        </row>
        <row r="4483">
          <cell r="C4483" t="str">
            <v>증권</v>
          </cell>
          <cell r="E4483" t="str">
            <v>동양종금</v>
          </cell>
          <cell r="H4483">
            <v>21</v>
          </cell>
          <cell r="I4483">
            <v>2000</v>
          </cell>
        </row>
        <row r="4484">
          <cell r="C4484" t="str">
            <v>증권</v>
          </cell>
          <cell r="E4484" t="str">
            <v>동양종금</v>
          </cell>
          <cell r="H4484">
            <v>10</v>
          </cell>
          <cell r="I4484">
            <v>10000</v>
          </cell>
        </row>
        <row r="4485">
          <cell r="C4485" t="str">
            <v>증권</v>
          </cell>
          <cell r="E4485" t="str">
            <v>동양종금</v>
          </cell>
          <cell r="H4485">
            <v>333</v>
          </cell>
          <cell r="I4485">
            <v>24000</v>
          </cell>
        </row>
        <row r="4486">
          <cell r="C4486" t="str">
            <v>증권</v>
          </cell>
          <cell r="E4486" t="str">
            <v>동양종금</v>
          </cell>
          <cell r="H4486">
            <v>41</v>
          </cell>
          <cell r="I4486">
            <v>30000</v>
          </cell>
        </row>
        <row r="4487">
          <cell r="C4487" t="str">
            <v>증권</v>
          </cell>
          <cell r="E4487" t="str">
            <v>동양종금</v>
          </cell>
          <cell r="H4487">
            <v>1000</v>
          </cell>
          <cell r="I4487">
            <v>0</v>
          </cell>
        </row>
        <row r="4488">
          <cell r="C4488" t="str">
            <v>증권</v>
          </cell>
          <cell r="E4488" t="str">
            <v>동양종금</v>
          </cell>
          <cell r="H4488">
            <v>44</v>
          </cell>
          <cell r="I4488">
            <v>3500</v>
          </cell>
        </row>
        <row r="4489">
          <cell r="C4489" t="str">
            <v>증권</v>
          </cell>
          <cell r="E4489" t="str">
            <v>동양종금</v>
          </cell>
          <cell r="H4489">
            <v>14</v>
          </cell>
          <cell r="I4489">
            <v>7006</v>
          </cell>
        </row>
        <row r="4490">
          <cell r="C4490" t="str">
            <v>증권</v>
          </cell>
          <cell r="E4490" t="str">
            <v>동양종금</v>
          </cell>
          <cell r="H4490">
            <v>18</v>
          </cell>
          <cell r="I4490">
            <v>1200</v>
          </cell>
        </row>
        <row r="4491">
          <cell r="C4491" t="str">
            <v>증권</v>
          </cell>
          <cell r="E4491" t="str">
            <v>동양종금</v>
          </cell>
          <cell r="H4491">
            <v>333</v>
          </cell>
          <cell r="I4491">
            <v>16000</v>
          </cell>
        </row>
        <row r="4492">
          <cell r="C4492" t="str">
            <v>증권</v>
          </cell>
          <cell r="E4492" t="str">
            <v>동양종금</v>
          </cell>
          <cell r="H4492">
            <v>1000</v>
          </cell>
          <cell r="I4492">
            <v>16800</v>
          </cell>
        </row>
        <row r="4493">
          <cell r="C4493" t="str">
            <v>증권</v>
          </cell>
          <cell r="E4493" t="str">
            <v>동양종금</v>
          </cell>
          <cell r="H4493">
            <v>333</v>
          </cell>
          <cell r="I4493">
            <v>20600</v>
          </cell>
        </row>
        <row r="4494">
          <cell r="C4494" t="str">
            <v>증권</v>
          </cell>
          <cell r="E4494" t="str">
            <v>동양종금</v>
          </cell>
          <cell r="H4494">
            <v>87</v>
          </cell>
          <cell r="I4494">
            <v>20000</v>
          </cell>
        </row>
        <row r="4495">
          <cell r="C4495" t="str">
            <v>증권</v>
          </cell>
          <cell r="E4495" t="str">
            <v>동양종금</v>
          </cell>
          <cell r="H4495">
            <v>333</v>
          </cell>
          <cell r="I4495">
            <v>16500</v>
          </cell>
        </row>
        <row r="4496">
          <cell r="C4496" t="str">
            <v>증권</v>
          </cell>
          <cell r="E4496" t="str">
            <v>동양종금</v>
          </cell>
          <cell r="H4496">
            <v>27</v>
          </cell>
          <cell r="I4496">
            <v>0</v>
          </cell>
        </row>
        <row r="4497">
          <cell r="C4497" t="str">
            <v>증권</v>
          </cell>
          <cell r="E4497" t="str">
            <v>동양종금</v>
          </cell>
          <cell r="H4497">
            <v>1000</v>
          </cell>
          <cell r="I4497">
            <v>17100</v>
          </cell>
        </row>
        <row r="4498">
          <cell r="C4498" t="str">
            <v>증권</v>
          </cell>
          <cell r="E4498" t="str">
            <v>동양종금</v>
          </cell>
          <cell r="H4498">
            <v>44</v>
          </cell>
          <cell r="I4498">
            <v>30000</v>
          </cell>
        </row>
        <row r="4499">
          <cell r="C4499" t="str">
            <v>증권</v>
          </cell>
          <cell r="E4499" t="str">
            <v>동양종금</v>
          </cell>
          <cell r="H4499">
            <v>10</v>
          </cell>
          <cell r="I4499">
            <v>14025</v>
          </cell>
        </row>
        <row r="4500">
          <cell r="C4500" t="str">
            <v>증권</v>
          </cell>
          <cell r="E4500" t="str">
            <v>동양종금</v>
          </cell>
          <cell r="H4500">
            <v>14</v>
          </cell>
          <cell r="I4500">
            <v>13000</v>
          </cell>
        </row>
        <row r="4501">
          <cell r="C4501" t="str">
            <v>증권</v>
          </cell>
          <cell r="E4501" t="str">
            <v>동양종금</v>
          </cell>
          <cell r="H4501">
            <v>263</v>
          </cell>
          <cell r="I4501">
            <v>10000</v>
          </cell>
        </row>
        <row r="4502">
          <cell r="C4502" t="str">
            <v>증권</v>
          </cell>
          <cell r="E4502" t="str">
            <v>동양종금</v>
          </cell>
          <cell r="H4502">
            <v>1000</v>
          </cell>
          <cell r="I4502">
            <v>0</v>
          </cell>
        </row>
        <row r="4503">
          <cell r="C4503" t="str">
            <v>증권</v>
          </cell>
          <cell r="E4503" t="str">
            <v>동양종금</v>
          </cell>
          <cell r="H4503">
            <v>41</v>
          </cell>
          <cell r="I4503">
            <v>7600</v>
          </cell>
        </row>
        <row r="4504">
          <cell r="C4504" t="str">
            <v>증권</v>
          </cell>
          <cell r="E4504" t="str">
            <v>동양종금</v>
          </cell>
          <cell r="H4504">
            <v>1</v>
          </cell>
          <cell r="I4504">
            <v>6750</v>
          </cell>
        </row>
        <row r="4505">
          <cell r="C4505" t="str">
            <v>증권</v>
          </cell>
          <cell r="E4505" t="str">
            <v>동양종금</v>
          </cell>
          <cell r="H4505">
            <v>1000</v>
          </cell>
          <cell r="I4505">
            <v>0</v>
          </cell>
        </row>
        <row r="4506">
          <cell r="C4506" t="str">
            <v>증권</v>
          </cell>
          <cell r="E4506" t="str">
            <v>동양종금</v>
          </cell>
          <cell r="H4506">
            <v>1000</v>
          </cell>
          <cell r="I4506">
            <v>0</v>
          </cell>
        </row>
        <row r="4507">
          <cell r="C4507" t="str">
            <v>증권</v>
          </cell>
          <cell r="E4507" t="str">
            <v>동양종금</v>
          </cell>
          <cell r="H4507">
            <v>40</v>
          </cell>
          <cell r="I4507">
            <v>14500</v>
          </cell>
        </row>
        <row r="4508">
          <cell r="C4508" t="str">
            <v>증권</v>
          </cell>
          <cell r="E4508" t="str">
            <v>동양종금</v>
          </cell>
          <cell r="H4508">
            <v>76</v>
          </cell>
          <cell r="I4508">
            <v>2000</v>
          </cell>
        </row>
        <row r="4509">
          <cell r="C4509" t="str">
            <v>증권</v>
          </cell>
          <cell r="E4509" t="str">
            <v>동양종금</v>
          </cell>
          <cell r="H4509">
            <v>18</v>
          </cell>
          <cell r="I4509">
            <v>15000</v>
          </cell>
        </row>
        <row r="4510">
          <cell r="C4510" t="str">
            <v>증권</v>
          </cell>
          <cell r="E4510" t="str">
            <v>미래에셋증권</v>
          </cell>
          <cell r="H4510">
            <v>1000</v>
          </cell>
          <cell r="I4510">
            <v>0</v>
          </cell>
        </row>
        <row r="4511">
          <cell r="C4511" t="str">
            <v>증권</v>
          </cell>
          <cell r="E4511" t="str">
            <v>유진투자</v>
          </cell>
          <cell r="H4511">
            <v>1000</v>
          </cell>
          <cell r="I4511">
            <v>0</v>
          </cell>
        </row>
        <row r="4512">
          <cell r="C4512" t="str">
            <v>증권</v>
          </cell>
          <cell r="E4512" t="str">
            <v>유진투자</v>
          </cell>
          <cell r="H4512">
            <v>1000</v>
          </cell>
          <cell r="I4512">
            <v>0</v>
          </cell>
        </row>
        <row r="4513">
          <cell r="C4513" t="str">
            <v>증권</v>
          </cell>
          <cell r="E4513" t="str">
            <v>유진투자</v>
          </cell>
          <cell r="H4513">
            <v>1000</v>
          </cell>
          <cell r="I4513">
            <v>0</v>
          </cell>
        </row>
        <row r="4514">
          <cell r="C4514" t="str">
            <v>증권</v>
          </cell>
          <cell r="E4514" t="str">
            <v>유진투자</v>
          </cell>
          <cell r="H4514">
            <v>1000</v>
          </cell>
          <cell r="I4514">
            <v>0</v>
          </cell>
        </row>
        <row r="4515">
          <cell r="C4515" t="str">
            <v>증권</v>
          </cell>
          <cell r="E4515" t="str">
            <v>유진투자</v>
          </cell>
          <cell r="H4515">
            <v>1000</v>
          </cell>
          <cell r="I4515">
            <v>0</v>
          </cell>
        </row>
        <row r="4516">
          <cell r="C4516" t="str">
            <v>증권</v>
          </cell>
          <cell r="E4516" t="str">
            <v>유진투자</v>
          </cell>
          <cell r="H4516">
            <v>1000</v>
          </cell>
          <cell r="I4516">
            <v>0</v>
          </cell>
        </row>
        <row r="4517">
          <cell r="C4517" t="str">
            <v>증권</v>
          </cell>
          <cell r="E4517" t="str">
            <v>유진투자</v>
          </cell>
          <cell r="H4517">
            <v>1000</v>
          </cell>
          <cell r="I4517">
            <v>0</v>
          </cell>
        </row>
        <row r="4518">
          <cell r="C4518" t="str">
            <v>증권</v>
          </cell>
          <cell r="E4518" t="str">
            <v>한양증권</v>
          </cell>
          <cell r="H4518">
            <v>234</v>
          </cell>
          <cell r="I4518">
            <v>5384</v>
          </cell>
        </row>
        <row r="4519">
          <cell r="C4519" t="str">
            <v>증권</v>
          </cell>
          <cell r="E4519" t="str">
            <v>한양증권</v>
          </cell>
          <cell r="H4519">
            <v>172</v>
          </cell>
          <cell r="I4519">
            <v>1200</v>
          </cell>
        </row>
        <row r="4520">
          <cell r="C4520" t="str">
            <v>증권</v>
          </cell>
          <cell r="E4520" t="str">
            <v>한양증권</v>
          </cell>
          <cell r="H4520">
            <v>44</v>
          </cell>
          <cell r="I4520">
            <v>1200</v>
          </cell>
        </row>
        <row r="4521">
          <cell r="C4521" t="str">
            <v>증권</v>
          </cell>
          <cell r="E4521" t="str">
            <v>한양증권</v>
          </cell>
          <cell r="H4521">
            <v>1000</v>
          </cell>
          <cell r="I4521">
            <v>0</v>
          </cell>
        </row>
        <row r="4522">
          <cell r="C4522" t="str">
            <v>증권</v>
          </cell>
          <cell r="E4522" t="str">
            <v>NH투자증권</v>
          </cell>
          <cell r="H4522">
            <v>1000</v>
          </cell>
          <cell r="I4522">
            <v>0</v>
          </cell>
        </row>
        <row r="4523">
          <cell r="C4523" t="str">
            <v>증권</v>
          </cell>
          <cell r="E4523" t="str">
            <v>NH투자증권</v>
          </cell>
          <cell r="H4523">
            <v>1000</v>
          </cell>
          <cell r="I4523">
            <v>0</v>
          </cell>
        </row>
        <row r="4524">
          <cell r="C4524" t="str">
            <v>증권</v>
          </cell>
          <cell r="E4524" t="str">
            <v>NH투자증권</v>
          </cell>
          <cell r="H4524">
            <v>1000</v>
          </cell>
          <cell r="I4524">
            <v>0</v>
          </cell>
        </row>
        <row r="4525">
          <cell r="C4525" t="str">
            <v>증권</v>
          </cell>
          <cell r="E4525" t="str">
            <v>NH투자증권</v>
          </cell>
          <cell r="H4525">
            <v>61</v>
          </cell>
          <cell r="I4525">
            <v>10227</v>
          </cell>
        </row>
        <row r="4526">
          <cell r="C4526" t="str">
            <v>증권</v>
          </cell>
          <cell r="E4526" t="str">
            <v>골든브릿지증권</v>
          </cell>
          <cell r="H4526">
            <v>345</v>
          </cell>
          <cell r="I4526">
            <v>5400</v>
          </cell>
        </row>
        <row r="4527">
          <cell r="C4527" t="str">
            <v>증권</v>
          </cell>
          <cell r="E4527" t="str">
            <v>골든브릿지증권</v>
          </cell>
          <cell r="H4527">
            <v>41</v>
          </cell>
          <cell r="I4527">
            <v>0</v>
          </cell>
        </row>
        <row r="4528">
          <cell r="C4528" t="str">
            <v>증권</v>
          </cell>
          <cell r="E4528" t="str">
            <v>골든브릿지증권</v>
          </cell>
          <cell r="H4528">
            <v>1000</v>
          </cell>
          <cell r="I4528">
            <v>0</v>
          </cell>
        </row>
        <row r="4529">
          <cell r="C4529" t="str">
            <v>증권</v>
          </cell>
          <cell r="E4529" t="str">
            <v>굿모닝신한증권</v>
          </cell>
          <cell r="H4529">
            <v>1</v>
          </cell>
          <cell r="I4529">
            <v>0</v>
          </cell>
        </row>
        <row r="4530">
          <cell r="C4530" t="str">
            <v>증권</v>
          </cell>
          <cell r="E4530" t="str">
            <v>굿모닝신한증권</v>
          </cell>
          <cell r="H4530">
            <v>1000</v>
          </cell>
          <cell r="I4530">
            <v>0</v>
          </cell>
        </row>
        <row r="4531">
          <cell r="C4531" t="str">
            <v>증권</v>
          </cell>
          <cell r="E4531" t="str">
            <v>굿모닝신한증권</v>
          </cell>
          <cell r="H4531">
            <v>1000</v>
          </cell>
          <cell r="I4531">
            <v>0</v>
          </cell>
        </row>
        <row r="4532">
          <cell r="C4532" t="str">
            <v>증권</v>
          </cell>
          <cell r="E4532" t="str">
            <v>굿모닝신한증권</v>
          </cell>
          <cell r="H4532">
            <v>1000</v>
          </cell>
          <cell r="I4532">
            <v>0</v>
          </cell>
        </row>
        <row r="4533">
          <cell r="C4533" t="str">
            <v>증권</v>
          </cell>
          <cell r="E4533" t="str">
            <v>굿모닝신한증권</v>
          </cell>
          <cell r="H4533">
            <v>12</v>
          </cell>
          <cell r="I4533">
            <v>0</v>
          </cell>
        </row>
        <row r="4534">
          <cell r="C4534" t="str">
            <v>증권</v>
          </cell>
          <cell r="E4534" t="str">
            <v>굿모닝신한증권</v>
          </cell>
          <cell r="H4534">
            <v>28</v>
          </cell>
          <cell r="I4534">
            <v>0</v>
          </cell>
        </row>
        <row r="4535">
          <cell r="C4535" t="str">
            <v>증권</v>
          </cell>
          <cell r="E4535" t="str">
            <v>굿모닝신한증권</v>
          </cell>
          <cell r="H4535">
            <v>1000</v>
          </cell>
          <cell r="I4535">
            <v>0</v>
          </cell>
        </row>
        <row r="4536">
          <cell r="C4536" t="str">
            <v>증권</v>
          </cell>
          <cell r="E4536" t="str">
            <v>굿모닝신한증권</v>
          </cell>
          <cell r="H4536">
            <v>1000</v>
          </cell>
          <cell r="I4536">
            <v>0</v>
          </cell>
        </row>
        <row r="4537">
          <cell r="C4537" t="str">
            <v>증권</v>
          </cell>
          <cell r="E4537" t="str">
            <v>굿모닝신한증권</v>
          </cell>
          <cell r="H4537">
            <v>1000</v>
          </cell>
          <cell r="I4537">
            <v>0</v>
          </cell>
        </row>
        <row r="4538">
          <cell r="C4538" t="str">
            <v>증권</v>
          </cell>
          <cell r="E4538" t="str">
            <v>굿모닝신한증권</v>
          </cell>
          <cell r="H4538">
            <v>8</v>
          </cell>
          <cell r="I4538">
            <v>0</v>
          </cell>
        </row>
        <row r="4539">
          <cell r="C4539" t="str">
            <v>증권</v>
          </cell>
          <cell r="E4539" t="str">
            <v>굿모닝신한증권</v>
          </cell>
          <cell r="H4539">
            <v>1000</v>
          </cell>
          <cell r="I4539">
            <v>0</v>
          </cell>
        </row>
        <row r="4540">
          <cell r="C4540" t="str">
            <v>증권</v>
          </cell>
          <cell r="E4540" t="str">
            <v>굿모닝신한증권</v>
          </cell>
          <cell r="H4540">
            <v>22</v>
          </cell>
          <cell r="I4540">
            <v>11800</v>
          </cell>
        </row>
        <row r="4541">
          <cell r="C4541" t="str">
            <v>증권</v>
          </cell>
          <cell r="E4541" t="str">
            <v>굿모닝신한증권</v>
          </cell>
          <cell r="H4541">
            <v>41</v>
          </cell>
          <cell r="I4541">
            <v>0</v>
          </cell>
        </row>
        <row r="4542">
          <cell r="C4542" t="str">
            <v>증권</v>
          </cell>
          <cell r="E4542" t="str">
            <v>굿모닝신한증권</v>
          </cell>
          <cell r="H4542">
            <v>1000</v>
          </cell>
          <cell r="I4542">
            <v>0</v>
          </cell>
        </row>
        <row r="4543">
          <cell r="C4543" t="str">
            <v>증권</v>
          </cell>
          <cell r="E4543" t="str">
            <v>굿모닝신한증권</v>
          </cell>
          <cell r="H4543">
            <v>1000</v>
          </cell>
          <cell r="I4543">
            <v>0</v>
          </cell>
        </row>
        <row r="4544">
          <cell r="C4544" t="str">
            <v>증권</v>
          </cell>
          <cell r="E4544" t="str">
            <v>현대증권</v>
          </cell>
          <cell r="H4544">
            <v>41</v>
          </cell>
          <cell r="I4544">
            <v>5000</v>
          </cell>
        </row>
        <row r="4545">
          <cell r="C4545" t="str">
            <v>증권</v>
          </cell>
          <cell r="E4545" t="str">
            <v>현대증권</v>
          </cell>
          <cell r="H4545">
            <v>10</v>
          </cell>
          <cell r="I4545">
            <v>10000</v>
          </cell>
        </row>
        <row r="4546">
          <cell r="C4546" t="str">
            <v>증권</v>
          </cell>
          <cell r="E4546" t="str">
            <v>현대증권</v>
          </cell>
          <cell r="H4546">
            <v>1000</v>
          </cell>
          <cell r="I4546">
            <v>0</v>
          </cell>
        </row>
        <row r="4547">
          <cell r="C4547" t="str">
            <v>증권</v>
          </cell>
          <cell r="E4547" t="str">
            <v>현대증권</v>
          </cell>
          <cell r="H4547">
            <v>1000</v>
          </cell>
          <cell r="I4547">
            <v>0</v>
          </cell>
        </row>
        <row r="4548">
          <cell r="C4548" t="str">
            <v>증권</v>
          </cell>
          <cell r="E4548" t="str">
            <v>현대증권</v>
          </cell>
          <cell r="H4548">
            <v>23</v>
          </cell>
          <cell r="I4548">
            <v>10000</v>
          </cell>
        </row>
        <row r="4549">
          <cell r="C4549" t="str">
            <v>증권</v>
          </cell>
          <cell r="E4549" t="str">
            <v>현대증권</v>
          </cell>
          <cell r="H4549">
            <v>1000</v>
          </cell>
          <cell r="I4549">
            <v>0</v>
          </cell>
        </row>
        <row r="4550">
          <cell r="C4550" t="str">
            <v>증권</v>
          </cell>
          <cell r="E4550" t="str">
            <v>현대증권</v>
          </cell>
          <cell r="H4550">
            <v>150</v>
          </cell>
          <cell r="I4550">
            <v>30000</v>
          </cell>
        </row>
        <row r="4551">
          <cell r="C4551" t="str">
            <v>증권</v>
          </cell>
          <cell r="E4551" t="str">
            <v>현대차IB</v>
          </cell>
          <cell r="H4551">
            <v>12</v>
          </cell>
          <cell r="I4551">
            <v>0</v>
          </cell>
        </row>
        <row r="4552">
          <cell r="C4552" t="str">
            <v>증권</v>
          </cell>
          <cell r="E4552" t="str">
            <v>하나IB</v>
          </cell>
          <cell r="H4552">
            <v>1000</v>
          </cell>
          <cell r="I4552">
            <v>5000</v>
          </cell>
        </row>
        <row r="4553">
          <cell r="C4553" t="str">
            <v>증권</v>
          </cell>
          <cell r="E4553" t="str">
            <v>하나IB</v>
          </cell>
          <cell r="H4553">
            <v>182</v>
          </cell>
          <cell r="I4553">
            <v>3800</v>
          </cell>
        </row>
        <row r="4554">
          <cell r="C4554" t="str">
            <v>증권</v>
          </cell>
          <cell r="E4554" t="str">
            <v>대우증권</v>
          </cell>
          <cell r="H4554">
            <v>1000</v>
          </cell>
          <cell r="I4554">
            <v>0</v>
          </cell>
        </row>
        <row r="4555">
          <cell r="C4555" t="str">
            <v>증권</v>
          </cell>
          <cell r="E4555" t="str">
            <v>대우증권</v>
          </cell>
          <cell r="H4555">
            <v>1000</v>
          </cell>
          <cell r="I4555">
            <v>0</v>
          </cell>
        </row>
        <row r="4556">
          <cell r="C4556" t="str">
            <v>증권</v>
          </cell>
          <cell r="E4556" t="str">
            <v>대우증권</v>
          </cell>
          <cell r="H4556">
            <v>1000</v>
          </cell>
          <cell r="I4556">
            <v>0</v>
          </cell>
        </row>
        <row r="4557">
          <cell r="C4557" t="str">
            <v>증권</v>
          </cell>
          <cell r="E4557" t="str">
            <v>대우증권</v>
          </cell>
          <cell r="H4557">
            <v>61</v>
          </cell>
          <cell r="I4557">
            <v>780</v>
          </cell>
        </row>
        <row r="4558">
          <cell r="C4558" t="str">
            <v>증권</v>
          </cell>
          <cell r="E4558" t="str">
            <v>대우증권</v>
          </cell>
          <cell r="H4558">
            <v>1000</v>
          </cell>
          <cell r="I4558">
            <v>0</v>
          </cell>
        </row>
        <row r="4559">
          <cell r="C4559" t="str">
            <v>증권</v>
          </cell>
          <cell r="E4559" t="str">
            <v>대우증권</v>
          </cell>
          <cell r="H4559">
            <v>1000</v>
          </cell>
          <cell r="I4559">
            <v>0</v>
          </cell>
        </row>
        <row r="4560">
          <cell r="C4560" t="str">
            <v>증권</v>
          </cell>
          <cell r="E4560" t="str">
            <v>대우증권</v>
          </cell>
          <cell r="H4560">
            <v>1000</v>
          </cell>
          <cell r="I4560">
            <v>0</v>
          </cell>
        </row>
        <row r="4561">
          <cell r="C4561" t="str">
            <v>증권</v>
          </cell>
          <cell r="E4561" t="str">
            <v>대우증권</v>
          </cell>
          <cell r="H4561">
            <v>1000</v>
          </cell>
          <cell r="I4561">
            <v>0</v>
          </cell>
        </row>
        <row r="4562">
          <cell r="C4562" t="str">
            <v>증권</v>
          </cell>
          <cell r="E4562" t="str">
            <v>대우증권</v>
          </cell>
          <cell r="H4562">
            <v>1000</v>
          </cell>
          <cell r="I4562">
            <v>0</v>
          </cell>
        </row>
        <row r="4563">
          <cell r="C4563" t="str">
            <v>증권</v>
          </cell>
          <cell r="E4563" t="str">
            <v>대우증권</v>
          </cell>
          <cell r="H4563">
            <v>41</v>
          </cell>
          <cell r="I4563">
            <v>20000</v>
          </cell>
        </row>
        <row r="4564">
          <cell r="C4564" t="str">
            <v>증권</v>
          </cell>
          <cell r="E4564" t="str">
            <v>부국증권</v>
          </cell>
          <cell r="H4564">
            <v>1000</v>
          </cell>
          <cell r="I4564">
            <v>1400</v>
          </cell>
        </row>
        <row r="4565">
          <cell r="C4565" t="str">
            <v>증권</v>
          </cell>
          <cell r="E4565" t="str">
            <v>부국증권</v>
          </cell>
          <cell r="H4565">
            <v>41</v>
          </cell>
          <cell r="I4565">
            <v>18000</v>
          </cell>
        </row>
        <row r="4566">
          <cell r="C4566" t="str">
            <v>증권</v>
          </cell>
          <cell r="E4566" t="str">
            <v>부국증권</v>
          </cell>
          <cell r="H4566">
            <v>1000</v>
          </cell>
          <cell r="I4566">
            <v>2000</v>
          </cell>
        </row>
        <row r="4567">
          <cell r="C4567" t="str">
            <v>증권</v>
          </cell>
          <cell r="E4567" t="str">
            <v>부국증권</v>
          </cell>
          <cell r="H4567">
            <v>1000</v>
          </cell>
          <cell r="I4567">
            <v>500</v>
          </cell>
        </row>
        <row r="4568">
          <cell r="C4568" t="str">
            <v>증권</v>
          </cell>
          <cell r="E4568" t="str">
            <v>부국증권</v>
          </cell>
          <cell r="H4568">
            <v>1000</v>
          </cell>
          <cell r="I4568">
            <v>2000</v>
          </cell>
        </row>
        <row r="4569">
          <cell r="C4569" t="str">
            <v>증권</v>
          </cell>
          <cell r="E4569" t="str">
            <v>부국증권</v>
          </cell>
          <cell r="H4569">
            <v>1</v>
          </cell>
          <cell r="I4569">
            <v>0</v>
          </cell>
        </row>
        <row r="4570">
          <cell r="C4570" t="str">
            <v>증권</v>
          </cell>
          <cell r="E4570" t="str">
            <v>부국증권</v>
          </cell>
          <cell r="H4570">
            <v>1000</v>
          </cell>
          <cell r="I4570">
            <v>10000</v>
          </cell>
        </row>
        <row r="4571">
          <cell r="C4571" t="str">
            <v>증권</v>
          </cell>
          <cell r="E4571" t="str">
            <v>부국증권</v>
          </cell>
          <cell r="H4571">
            <v>1000</v>
          </cell>
          <cell r="I4571">
            <v>24000</v>
          </cell>
        </row>
        <row r="4572">
          <cell r="C4572" t="str">
            <v>증권</v>
          </cell>
          <cell r="E4572" t="str">
            <v>KB투자증권</v>
          </cell>
          <cell r="H4572">
            <v>1</v>
          </cell>
          <cell r="I4572">
            <v>100</v>
          </cell>
        </row>
        <row r="4573">
          <cell r="C4573" t="str">
            <v>증권</v>
          </cell>
          <cell r="E4573" t="str">
            <v>KB투자증권</v>
          </cell>
          <cell r="H4573">
            <v>1000</v>
          </cell>
          <cell r="I4573">
            <v>0</v>
          </cell>
        </row>
        <row r="4574">
          <cell r="C4574" t="str">
            <v>증권</v>
          </cell>
          <cell r="E4574" t="str">
            <v>KB투자증권</v>
          </cell>
          <cell r="H4574">
            <v>1000</v>
          </cell>
          <cell r="I4574">
            <v>0</v>
          </cell>
        </row>
        <row r="4575">
          <cell r="C4575" t="str">
            <v>증권</v>
          </cell>
          <cell r="E4575" t="str">
            <v>KB투자증권</v>
          </cell>
          <cell r="H4575">
            <v>1000</v>
          </cell>
          <cell r="I4575">
            <v>0</v>
          </cell>
        </row>
        <row r="4576">
          <cell r="C4576" t="str">
            <v>증권</v>
          </cell>
          <cell r="E4576" t="str">
            <v>KB투자증권</v>
          </cell>
          <cell r="H4576">
            <v>22</v>
          </cell>
          <cell r="I4576">
            <v>4500</v>
          </cell>
        </row>
        <row r="4577">
          <cell r="C4577" t="str">
            <v>증권</v>
          </cell>
          <cell r="E4577" t="str">
            <v>키움증권</v>
          </cell>
          <cell r="H4577">
            <v>1000</v>
          </cell>
          <cell r="I4577">
            <v>0</v>
          </cell>
        </row>
        <row r="4578">
          <cell r="C4578" t="str">
            <v>증권</v>
          </cell>
          <cell r="E4578" t="str">
            <v>키움증권</v>
          </cell>
          <cell r="H4578">
            <v>1000</v>
          </cell>
          <cell r="I4578">
            <v>0</v>
          </cell>
        </row>
        <row r="4579">
          <cell r="C4579" t="str">
            <v>증권</v>
          </cell>
          <cell r="E4579" t="str">
            <v>키움증권</v>
          </cell>
          <cell r="H4579">
            <v>1000</v>
          </cell>
          <cell r="I4579">
            <v>0</v>
          </cell>
        </row>
        <row r="4580">
          <cell r="C4580" t="str">
            <v>은행</v>
          </cell>
          <cell r="E4580" t="str">
            <v>경남은행</v>
          </cell>
          <cell r="H4580">
            <v>76</v>
          </cell>
          <cell r="I4580">
            <v>36500</v>
          </cell>
        </row>
        <row r="4581">
          <cell r="C4581" t="str">
            <v>은행</v>
          </cell>
          <cell r="E4581" t="str">
            <v>경남은행</v>
          </cell>
          <cell r="H4581">
            <v>20</v>
          </cell>
          <cell r="I4581">
            <v>15000</v>
          </cell>
        </row>
        <row r="4582">
          <cell r="C4582" t="str">
            <v>은행</v>
          </cell>
          <cell r="E4582" t="str">
            <v>경남은행</v>
          </cell>
          <cell r="H4582">
            <v>19</v>
          </cell>
          <cell r="I4582">
            <v>14000</v>
          </cell>
        </row>
        <row r="4583">
          <cell r="C4583" t="str">
            <v>은행</v>
          </cell>
          <cell r="E4583" t="str">
            <v>경남은행</v>
          </cell>
          <cell r="H4583">
            <v>56</v>
          </cell>
          <cell r="I4583">
            <v>16000</v>
          </cell>
        </row>
        <row r="4584">
          <cell r="C4584" t="str">
            <v>은행</v>
          </cell>
          <cell r="E4584" t="str">
            <v>경남은행</v>
          </cell>
          <cell r="H4584">
            <v>34</v>
          </cell>
          <cell r="I4584">
            <v>14000</v>
          </cell>
        </row>
        <row r="4585">
          <cell r="C4585" t="str">
            <v>은행</v>
          </cell>
          <cell r="E4585" t="str">
            <v>경남은행</v>
          </cell>
          <cell r="H4585">
            <v>19</v>
          </cell>
          <cell r="I4585">
            <v>19000</v>
          </cell>
        </row>
        <row r="4586">
          <cell r="C4586" t="str">
            <v>은행</v>
          </cell>
          <cell r="E4586" t="str">
            <v>경남은행</v>
          </cell>
          <cell r="H4586">
            <v>19</v>
          </cell>
          <cell r="I4586">
            <v>64000</v>
          </cell>
        </row>
        <row r="4587">
          <cell r="C4587" t="str">
            <v>은행</v>
          </cell>
          <cell r="E4587" t="str">
            <v>경남은행</v>
          </cell>
          <cell r="H4587">
            <v>25</v>
          </cell>
          <cell r="I4587">
            <v>50000</v>
          </cell>
        </row>
        <row r="4588">
          <cell r="C4588" t="str">
            <v>은행</v>
          </cell>
          <cell r="E4588" t="str">
            <v>경남은행</v>
          </cell>
          <cell r="H4588">
            <v>52</v>
          </cell>
          <cell r="I4588">
            <v>10000</v>
          </cell>
        </row>
        <row r="4589">
          <cell r="C4589" t="str">
            <v>은행</v>
          </cell>
          <cell r="E4589" t="str">
            <v>경남은행</v>
          </cell>
          <cell r="H4589">
            <v>52</v>
          </cell>
          <cell r="I4589">
            <v>70000</v>
          </cell>
        </row>
        <row r="4590">
          <cell r="C4590" t="str">
            <v>은행</v>
          </cell>
          <cell r="E4590" t="str">
            <v>경남은행</v>
          </cell>
          <cell r="H4590">
            <v>20</v>
          </cell>
          <cell r="I4590">
            <v>30000</v>
          </cell>
        </row>
        <row r="4591">
          <cell r="C4591" t="str">
            <v>은행</v>
          </cell>
          <cell r="E4591" t="str">
            <v>경남은행</v>
          </cell>
          <cell r="H4591">
            <v>52</v>
          </cell>
          <cell r="I4591">
            <v>10000</v>
          </cell>
        </row>
        <row r="4592">
          <cell r="C4592" t="str">
            <v>은행</v>
          </cell>
          <cell r="E4592" t="str">
            <v>경남은행</v>
          </cell>
          <cell r="H4592">
            <v>51</v>
          </cell>
          <cell r="I4592">
            <v>50000</v>
          </cell>
        </row>
        <row r="4593">
          <cell r="C4593" t="str">
            <v>은행</v>
          </cell>
          <cell r="E4593" t="str">
            <v>경남은행</v>
          </cell>
          <cell r="H4593">
            <v>13</v>
          </cell>
          <cell r="I4593">
            <v>100000</v>
          </cell>
        </row>
        <row r="4594">
          <cell r="C4594" t="str">
            <v>은행</v>
          </cell>
          <cell r="E4594" t="str">
            <v>경남은행</v>
          </cell>
          <cell r="H4594">
            <v>38</v>
          </cell>
          <cell r="I4594">
            <v>26000</v>
          </cell>
        </row>
        <row r="4595">
          <cell r="C4595" t="str">
            <v>은행</v>
          </cell>
          <cell r="E4595" t="str">
            <v>경남은행</v>
          </cell>
          <cell r="H4595">
            <v>52</v>
          </cell>
          <cell r="I4595">
            <v>70000</v>
          </cell>
        </row>
        <row r="4596">
          <cell r="C4596" t="str">
            <v>은행</v>
          </cell>
          <cell r="E4596" t="str">
            <v>경남은행</v>
          </cell>
          <cell r="H4596">
            <v>20</v>
          </cell>
          <cell r="I4596">
            <v>110000</v>
          </cell>
        </row>
        <row r="4597">
          <cell r="C4597" t="str">
            <v>은행</v>
          </cell>
          <cell r="E4597" t="str">
            <v>경남은행</v>
          </cell>
          <cell r="H4597">
            <v>19</v>
          </cell>
          <cell r="I4597">
            <v>72000</v>
          </cell>
        </row>
        <row r="4598">
          <cell r="C4598" t="str">
            <v>은행</v>
          </cell>
          <cell r="E4598" t="str">
            <v>경남은행</v>
          </cell>
          <cell r="H4598">
            <v>44</v>
          </cell>
          <cell r="I4598">
            <v>45000</v>
          </cell>
        </row>
        <row r="4599">
          <cell r="C4599" t="str">
            <v>은행</v>
          </cell>
          <cell r="E4599" t="str">
            <v>경남은행</v>
          </cell>
          <cell r="H4599">
            <v>9</v>
          </cell>
          <cell r="I4599">
            <v>31000</v>
          </cell>
        </row>
        <row r="4600">
          <cell r="C4600" t="str">
            <v>은행</v>
          </cell>
          <cell r="E4600" t="str">
            <v>경남은행</v>
          </cell>
          <cell r="H4600">
            <v>33</v>
          </cell>
          <cell r="I4600">
            <v>60000</v>
          </cell>
        </row>
        <row r="4601">
          <cell r="C4601" t="str">
            <v>은행</v>
          </cell>
          <cell r="E4601" t="str">
            <v>경남은행</v>
          </cell>
          <cell r="H4601">
            <v>37</v>
          </cell>
          <cell r="I4601">
            <v>56000</v>
          </cell>
        </row>
        <row r="4602">
          <cell r="C4602" t="str">
            <v>은행</v>
          </cell>
          <cell r="E4602" t="str">
            <v>광주은행</v>
          </cell>
          <cell r="H4602">
            <v>43</v>
          </cell>
          <cell r="I4602">
            <v>35000</v>
          </cell>
        </row>
        <row r="4603">
          <cell r="C4603" t="str">
            <v>은행</v>
          </cell>
          <cell r="E4603" t="str">
            <v>광주은행</v>
          </cell>
          <cell r="H4603">
            <v>10</v>
          </cell>
          <cell r="I4603">
            <v>38000</v>
          </cell>
        </row>
        <row r="4604">
          <cell r="C4604" t="str">
            <v>은행</v>
          </cell>
          <cell r="E4604" t="str">
            <v>광주은행</v>
          </cell>
          <cell r="H4604">
            <v>36</v>
          </cell>
          <cell r="I4604">
            <v>12000</v>
          </cell>
        </row>
        <row r="4605">
          <cell r="C4605" t="str">
            <v>은행</v>
          </cell>
          <cell r="E4605" t="str">
            <v>광주은행</v>
          </cell>
          <cell r="H4605">
            <v>10</v>
          </cell>
          <cell r="I4605">
            <v>39000</v>
          </cell>
        </row>
        <row r="4606">
          <cell r="C4606" t="str">
            <v>은행</v>
          </cell>
          <cell r="E4606" t="str">
            <v>광주은행</v>
          </cell>
          <cell r="H4606">
            <v>22</v>
          </cell>
          <cell r="I4606">
            <v>20000</v>
          </cell>
        </row>
        <row r="4607">
          <cell r="C4607" t="str">
            <v>은행</v>
          </cell>
          <cell r="E4607" t="str">
            <v>광주은행</v>
          </cell>
          <cell r="H4607">
            <v>30</v>
          </cell>
          <cell r="I4607">
            <v>25000</v>
          </cell>
        </row>
        <row r="4608">
          <cell r="C4608" t="str">
            <v>은행</v>
          </cell>
          <cell r="E4608" t="str">
            <v>광주은행</v>
          </cell>
          <cell r="H4608">
            <v>23</v>
          </cell>
          <cell r="I4608">
            <v>50000</v>
          </cell>
        </row>
        <row r="4609">
          <cell r="C4609" t="str">
            <v>은행</v>
          </cell>
          <cell r="E4609" t="str">
            <v>광주은행</v>
          </cell>
          <cell r="H4609">
            <v>61</v>
          </cell>
          <cell r="I4609">
            <v>17500</v>
          </cell>
        </row>
        <row r="4610">
          <cell r="C4610" t="str">
            <v>은행</v>
          </cell>
          <cell r="E4610" t="str">
            <v>광주은행</v>
          </cell>
          <cell r="H4610">
            <v>36</v>
          </cell>
          <cell r="I4610">
            <v>58000</v>
          </cell>
        </row>
        <row r="4611">
          <cell r="C4611" t="str">
            <v>은행</v>
          </cell>
          <cell r="E4611" t="str">
            <v>광주은행</v>
          </cell>
          <cell r="H4611">
            <v>23</v>
          </cell>
          <cell r="I4611">
            <v>32000</v>
          </cell>
        </row>
        <row r="4612">
          <cell r="C4612" t="str">
            <v>은행</v>
          </cell>
          <cell r="E4612" t="str">
            <v>광주은행</v>
          </cell>
          <cell r="H4612">
            <v>44</v>
          </cell>
          <cell r="I4612">
            <v>40000</v>
          </cell>
        </row>
        <row r="4613">
          <cell r="C4613" t="str">
            <v>은행</v>
          </cell>
          <cell r="E4613" t="str">
            <v>광주은행</v>
          </cell>
          <cell r="H4613">
            <v>36</v>
          </cell>
          <cell r="I4613">
            <v>45000</v>
          </cell>
        </row>
        <row r="4614">
          <cell r="C4614" t="str">
            <v>은행</v>
          </cell>
          <cell r="E4614" t="str">
            <v>광주은행</v>
          </cell>
          <cell r="H4614">
            <v>1000</v>
          </cell>
          <cell r="I4614">
            <v>45000</v>
          </cell>
        </row>
        <row r="4615">
          <cell r="C4615" t="str">
            <v>은행</v>
          </cell>
          <cell r="E4615" t="str">
            <v>광주은행</v>
          </cell>
          <cell r="H4615">
            <v>17</v>
          </cell>
          <cell r="I4615">
            <v>25000</v>
          </cell>
        </row>
        <row r="4616">
          <cell r="C4616" t="str">
            <v>은행</v>
          </cell>
          <cell r="E4616" t="str">
            <v>광주은행</v>
          </cell>
          <cell r="H4616">
            <v>20</v>
          </cell>
          <cell r="I4616">
            <v>30000</v>
          </cell>
        </row>
        <row r="4617">
          <cell r="C4617" t="str">
            <v>은행</v>
          </cell>
          <cell r="E4617" t="str">
            <v>광주은행</v>
          </cell>
          <cell r="H4617">
            <v>52</v>
          </cell>
          <cell r="I4617">
            <v>45000</v>
          </cell>
        </row>
        <row r="4618">
          <cell r="C4618" t="str">
            <v>은행</v>
          </cell>
          <cell r="E4618" t="str">
            <v>광주은행</v>
          </cell>
          <cell r="H4618">
            <v>44</v>
          </cell>
          <cell r="I4618">
            <v>105000</v>
          </cell>
        </row>
        <row r="4619">
          <cell r="C4619" t="str">
            <v>은행</v>
          </cell>
          <cell r="E4619" t="str">
            <v>광주은행</v>
          </cell>
          <cell r="H4619">
            <v>5</v>
          </cell>
          <cell r="I4619">
            <v>41500</v>
          </cell>
        </row>
        <row r="4620">
          <cell r="C4620" t="str">
            <v>은행</v>
          </cell>
          <cell r="E4620" t="str">
            <v>광주은행</v>
          </cell>
          <cell r="H4620">
            <v>5</v>
          </cell>
          <cell r="I4620">
            <v>27000</v>
          </cell>
        </row>
        <row r="4621">
          <cell r="C4621" t="str">
            <v>은행</v>
          </cell>
          <cell r="E4621" t="str">
            <v>대구은행</v>
          </cell>
          <cell r="H4621">
            <v>3</v>
          </cell>
          <cell r="I4621">
            <v>35000</v>
          </cell>
        </row>
        <row r="4622">
          <cell r="C4622" t="str">
            <v>은행</v>
          </cell>
          <cell r="E4622" t="str">
            <v>대구은행</v>
          </cell>
          <cell r="H4622">
            <v>22</v>
          </cell>
          <cell r="I4622">
            <v>63000</v>
          </cell>
        </row>
        <row r="4623">
          <cell r="C4623" t="str">
            <v>은행</v>
          </cell>
          <cell r="E4623" t="str">
            <v>신한은행</v>
          </cell>
          <cell r="H4623">
            <v>1000</v>
          </cell>
          <cell r="I4623">
            <v>0</v>
          </cell>
        </row>
        <row r="4624">
          <cell r="C4624" t="str">
            <v>은행</v>
          </cell>
          <cell r="E4624" t="str">
            <v>신한은행</v>
          </cell>
          <cell r="H4624">
            <v>5</v>
          </cell>
          <cell r="I4624">
            <v>39000</v>
          </cell>
        </row>
        <row r="4625">
          <cell r="C4625" t="str">
            <v>은행</v>
          </cell>
          <cell r="E4625" t="str">
            <v>신한은행</v>
          </cell>
          <cell r="H4625">
            <v>1000</v>
          </cell>
          <cell r="I4625">
            <v>0</v>
          </cell>
        </row>
        <row r="4626">
          <cell r="C4626" t="str">
            <v>은행</v>
          </cell>
          <cell r="E4626" t="str">
            <v>신한은행</v>
          </cell>
          <cell r="H4626">
            <v>1000</v>
          </cell>
          <cell r="I4626">
            <v>0</v>
          </cell>
        </row>
        <row r="4627">
          <cell r="C4627" t="str">
            <v>은행</v>
          </cell>
          <cell r="E4627" t="str">
            <v>신한은행</v>
          </cell>
          <cell r="H4627">
            <v>6</v>
          </cell>
          <cell r="I4627">
            <v>19000</v>
          </cell>
        </row>
        <row r="4628">
          <cell r="C4628" t="str">
            <v>은행</v>
          </cell>
          <cell r="E4628" t="str">
            <v>신한은행</v>
          </cell>
          <cell r="H4628">
            <v>1000</v>
          </cell>
          <cell r="I4628">
            <v>0</v>
          </cell>
        </row>
        <row r="4629">
          <cell r="C4629" t="str">
            <v>은행</v>
          </cell>
          <cell r="E4629" t="str">
            <v>신한은행</v>
          </cell>
          <cell r="H4629">
            <v>1000</v>
          </cell>
          <cell r="I4629">
            <v>0</v>
          </cell>
        </row>
        <row r="4630">
          <cell r="C4630" t="str">
            <v>은행</v>
          </cell>
          <cell r="E4630" t="str">
            <v>신한은행</v>
          </cell>
          <cell r="H4630">
            <v>1000</v>
          </cell>
          <cell r="I4630">
            <v>0</v>
          </cell>
        </row>
        <row r="4631">
          <cell r="C4631" t="str">
            <v>은행</v>
          </cell>
          <cell r="E4631" t="str">
            <v>신한은행</v>
          </cell>
          <cell r="H4631">
            <v>1000</v>
          </cell>
          <cell r="I4631">
            <v>0</v>
          </cell>
        </row>
        <row r="4632">
          <cell r="C4632" t="str">
            <v>은행</v>
          </cell>
          <cell r="E4632" t="str">
            <v>신한은행</v>
          </cell>
          <cell r="H4632">
            <v>1000</v>
          </cell>
          <cell r="I4632">
            <v>0</v>
          </cell>
        </row>
        <row r="4633">
          <cell r="C4633" t="str">
            <v>은행</v>
          </cell>
          <cell r="E4633" t="str">
            <v>신한은행</v>
          </cell>
          <cell r="H4633">
            <v>1000</v>
          </cell>
          <cell r="I4633">
            <v>0</v>
          </cell>
        </row>
        <row r="4634">
          <cell r="C4634" t="str">
            <v>은행</v>
          </cell>
          <cell r="E4634" t="str">
            <v>신한은행</v>
          </cell>
          <cell r="H4634">
            <v>1000</v>
          </cell>
          <cell r="I4634">
            <v>0</v>
          </cell>
        </row>
        <row r="4635">
          <cell r="C4635" t="str">
            <v>은행</v>
          </cell>
          <cell r="E4635" t="str">
            <v>신한은행</v>
          </cell>
          <cell r="H4635">
            <v>1000</v>
          </cell>
          <cell r="I4635">
            <v>0</v>
          </cell>
        </row>
        <row r="4636">
          <cell r="C4636" t="str">
            <v>은행</v>
          </cell>
          <cell r="E4636" t="str">
            <v>신한은행</v>
          </cell>
          <cell r="H4636">
            <v>1000</v>
          </cell>
          <cell r="I4636">
            <v>0</v>
          </cell>
        </row>
        <row r="4637">
          <cell r="C4637" t="str">
            <v>은행</v>
          </cell>
          <cell r="E4637" t="str">
            <v>신한은행</v>
          </cell>
          <cell r="H4637">
            <v>1000</v>
          </cell>
          <cell r="I4637">
            <v>0</v>
          </cell>
        </row>
        <row r="4638">
          <cell r="C4638" t="str">
            <v>은행</v>
          </cell>
          <cell r="E4638" t="str">
            <v>신한은행</v>
          </cell>
          <cell r="H4638">
            <v>1000</v>
          </cell>
          <cell r="I4638">
            <v>0</v>
          </cell>
        </row>
        <row r="4639">
          <cell r="C4639" t="str">
            <v>은행</v>
          </cell>
          <cell r="E4639" t="str">
            <v>신한은행</v>
          </cell>
          <cell r="H4639">
            <v>23</v>
          </cell>
          <cell r="I4639">
            <v>72000</v>
          </cell>
        </row>
        <row r="4640">
          <cell r="C4640" t="str">
            <v>은행</v>
          </cell>
          <cell r="E4640" t="str">
            <v>신한은행</v>
          </cell>
          <cell r="H4640">
            <v>1000</v>
          </cell>
          <cell r="I4640">
            <v>0</v>
          </cell>
        </row>
        <row r="4641">
          <cell r="C4641" t="str">
            <v>은행</v>
          </cell>
          <cell r="E4641" t="str">
            <v>신한은행</v>
          </cell>
          <cell r="H4641">
            <v>1000</v>
          </cell>
          <cell r="I4641">
            <v>0</v>
          </cell>
        </row>
        <row r="4642">
          <cell r="C4642" t="str">
            <v>은행</v>
          </cell>
          <cell r="E4642" t="str">
            <v>신한은행</v>
          </cell>
          <cell r="H4642">
            <v>4</v>
          </cell>
          <cell r="I4642">
            <v>150000</v>
          </cell>
        </row>
        <row r="4643">
          <cell r="C4643" t="str">
            <v>은행</v>
          </cell>
          <cell r="E4643" t="str">
            <v>신한은행</v>
          </cell>
          <cell r="H4643">
            <v>1000</v>
          </cell>
          <cell r="I4643">
            <v>0</v>
          </cell>
        </row>
        <row r="4644">
          <cell r="C4644" t="str">
            <v>은행</v>
          </cell>
          <cell r="E4644" t="str">
            <v>신한은행</v>
          </cell>
          <cell r="H4644">
            <v>1000</v>
          </cell>
          <cell r="I4644">
            <v>0</v>
          </cell>
        </row>
        <row r="4645">
          <cell r="C4645" t="str">
            <v>은행</v>
          </cell>
          <cell r="E4645" t="str">
            <v>신한은행</v>
          </cell>
          <cell r="H4645">
            <v>1000</v>
          </cell>
          <cell r="I4645">
            <v>0</v>
          </cell>
        </row>
        <row r="4646">
          <cell r="C4646" t="str">
            <v>은행</v>
          </cell>
          <cell r="E4646" t="str">
            <v>신한은행</v>
          </cell>
          <cell r="H4646">
            <v>1000</v>
          </cell>
          <cell r="I4646">
            <v>0</v>
          </cell>
        </row>
        <row r="4647">
          <cell r="C4647" t="str">
            <v>은행</v>
          </cell>
          <cell r="E4647" t="str">
            <v>신한은행</v>
          </cell>
          <cell r="H4647">
            <v>6</v>
          </cell>
          <cell r="I4647">
            <v>95000</v>
          </cell>
        </row>
        <row r="4648">
          <cell r="C4648" t="str">
            <v>은행</v>
          </cell>
          <cell r="E4648" t="str">
            <v>신한은행</v>
          </cell>
          <cell r="H4648">
            <v>1</v>
          </cell>
          <cell r="I4648">
            <v>31400</v>
          </cell>
        </row>
        <row r="4649">
          <cell r="C4649" t="str">
            <v>은행</v>
          </cell>
          <cell r="E4649" t="str">
            <v>신한은행</v>
          </cell>
          <cell r="H4649">
            <v>20</v>
          </cell>
          <cell r="I4649">
            <v>38000</v>
          </cell>
        </row>
        <row r="4650">
          <cell r="C4650" t="str">
            <v>은행</v>
          </cell>
          <cell r="E4650" t="str">
            <v>신한은행</v>
          </cell>
          <cell r="H4650">
            <v>21</v>
          </cell>
          <cell r="I4650">
            <v>35000</v>
          </cell>
        </row>
        <row r="4651">
          <cell r="C4651" t="str">
            <v>은행</v>
          </cell>
          <cell r="E4651" t="str">
            <v>신한은행</v>
          </cell>
          <cell r="H4651">
            <v>21</v>
          </cell>
          <cell r="I4651">
            <v>31000</v>
          </cell>
        </row>
        <row r="4652">
          <cell r="C4652" t="str">
            <v>은행</v>
          </cell>
          <cell r="E4652" t="str">
            <v>신한은행</v>
          </cell>
          <cell r="H4652">
            <v>1000</v>
          </cell>
          <cell r="I4652">
            <v>200000</v>
          </cell>
        </row>
        <row r="4653">
          <cell r="C4653" t="str">
            <v>은행</v>
          </cell>
          <cell r="E4653" t="str">
            <v>신한은행</v>
          </cell>
          <cell r="H4653">
            <v>23</v>
          </cell>
          <cell r="I4653">
            <v>12800</v>
          </cell>
        </row>
        <row r="4654">
          <cell r="C4654" t="str">
            <v>은행</v>
          </cell>
          <cell r="E4654" t="str">
            <v>신한은행</v>
          </cell>
          <cell r="H4654">
            <v>33</v>
          </cell>
          <cell r="I4654">
            <v>45000</v>
          </cell>
        </row>
        <row r="4655">
          <cell r="C4655" t="str">
            <v>은행</v>
          </cell>
          <cell r="E4655" t="str">
            <v>신한은행</v>
          </cell>
          <cell r="H4655">
            <v>1000</v>
          </cell>
          <cell r="I4655">
            <v>0</v>
          </cell>
        </row>
        <row r="4656">
          <cell r="C4656" t="str">
            <v>은행</v>
          </cell>
          <cell r="E4656" t="str">
            <v>외환은행</v>
          </cell>
          <cell r="H4656">
            <v>1000</v>
          </cell>
          <cell r="I4656">
            <v>0</v>
          </cell>
        </row>
        <row r="4657">
          <cell r="C4657" t="str">
            <v>은행</v>
          </cell>
          <cell r="E4657" t="str">
            <v>외환은행</v>
          </cell>
          <cell r="H4657">
            <v>44</v>
          </cell>
          <cell r="I4657">
            <v>13000</v>
          </cell>
        </row>
        <row r="4658">
          <cell r="C4658" t="str">
            <v>은행</v>
          </cell>
          <cell r="E4658" t="str">
            <v>외환은행</v>
          </cell>
          <cell r="H4658">
            <v>53</v>
          </cell>
          <cell r="I4658">
            <v>8000</v>
          </cell>
        </row>
        <row r="4659">
          <cell r="C4659" t="str">
            <v>은행</v>
          </cell>
          <cell r="E4659" t="str">
            <v>외환은행</v>
          </cell>
          <cell r="H4659">
            <v>1000</v>
          </cell>
          <cell r="I4659">
            <v>0</v>
          </cell>
        </row>
        <row r="4660">
          <cell r="C4660" t="str">
            <v>은행</v>
          </cell>
          <cell r="E4660" t="str">
            <v>외환은행</v>
          </cell>
          <cell r="H4660">
            <v>1</v>
          </cell>
          <cell r="I4660">
            <v>21000</v>
          </cell>
        </row>
        <row r="4661">
          <cell r="C4661" t="str">
            <v>은행</v>
          </cell>
          <cell r="E4661" t="str">
            <v>외환은행</v>
          </cell>
          <cell r="H4661">
            <v>1</v>
          </cell>
          <cell r="I4661">
            <v>36000</v>
          </cell>
        </row>
        <row r="4662">
          <cell r="C4662" t="str">
            <v>은행</v>
          </cell>
          <cell r="E4662" t="str">
            <v>외환은행</v>
          </cell>
          <cell r="H4662">
            <v>8</v>
          </cell>
          <cell r="I4662">
            <v>58000</v>
          </cell>
        </row>
        <row r="4663">
          <cell r="C4663" t="str">
            <v>은행</v>
          </cell>
          <cell r="E4663" t="str">
            <v>외환은행</v>
          </cell>
          <cell r="H4663">
            <v>1000</v>
          </cell>
          <cell r="I4663">
            <v>0</v>
          </cell>
        </row>
        <row r="4664">
          <cell r="C4664" t="str">
            <v>은행</v>
          </cell>
          <cell r="E4664" t="str">
            <v>외환은행</v>
          </cell>
          <cell r="H4664">
            <v>1000</v>
          </cell>
          <cell r="I4664">
            <v>0</v>
          </cell>
        </row>
        <row r="4665">
          <cell r="C4665" t="str">
            <v>은행</v>
          </cell>
          <cell r="E4665" t="str">
            <v>외환은행</v>
          </cell>
          <cell r="H4665">
            <v>70</v>
          </cell>
          <cell r="I4665">
            <v>20000</v>
          </cell>
        </row>
        <row r="4666">
          <cell r="C4666" t="str">
            <v>은행</v>
          </cell>
          <cell r="E4666" t="str">
            <v>외환은행</v>
          </cell>
          <cell r="H4666">
            <v>50</v>
          </cell>
          <cell r="I4666">
            <v>5000</v>
          </cell>
        </row>
        <row r="4667">
          <cell r="C4667" t="str">
            <v>은행</v>
          </cell>
          <cell r="E4667" t="str">
            <v>외환은행</v>
          </cell>
          <cell r="H4667">
            <v>52</v>
          </cell>
          <cell r="I4667">
            <v>6000</v>
          </cell>
        </row>
        <row r="4668">
          <cell r="C4668" t="str">
            <v>은행</v>
          </cell>
          <cell r="E4668" t="str">
            <v>외환은행</v>
          </cell>
          <cell r="H4668">
            <v>1000</v>
          </cell>
          <cell r="I4668">
            <v>0</v>
          </cell>
        </row>
        <row r="4669">
          <cell r="C4669" t="str">
            <v>은행</v>
          </cell>
          <cell r="E4669" t="str">
            <v>외환은행</v>
          </cell>
          <cell r="H4669">
            <v>34</v>
          </cell>
          <cell r="I4669">
            <v>22000</v>
          </cell>
        </row>
        <row r="4670">
          <cell r="C4670" t="str">
            <v>은행</v>
          </cell>
          <cell r="E4670" t="str">
            <v>외환은행</v>
          </cell>
          <cell r="H4670">
            <v>38</v>
          </cell>
          <cell r="I4670">
            <v>36000</v>
          </cell>
        </row>
        <row r="4671">
          <cell r="C4671" t="str">
            <v>은행</v>
          </cell>
          <cell r="E4671" t="str">
            <v>외환은행</v>
          </cell>
          <cell r="H4671">
            <v>1000</v>
          </cell>
          <cell r="I4671">
            <v>0</v>
          </cell>
        </row>
        <row r="4672">
          <cell r="C4672" t="str">
            <v>은행</v>
          </cell>
          <cell r="E4672" t="str">
            <v>외환은행</v>
          </cell>
          <cell r="H4672">
            <v>1000</v>
          </cell>
          <cell r="I4672">
            <v>0</v>
          </cell>
        </row>
        <row r="4673">
          <cell r="C4673" t="str">
            <v>은행</v>
          </cell>
          <cell r="E4673" t="str">
            <v>외환은행</v>
          </cell>
          <cell r="H4673">
            <v>34</v>
          </cell>
          <cell r="I4673">
            <v>50000</v>
          </cell>
        </row>
        <row r="4674">
          <cell r="C4674" t="str">
            <v>은행</v>
          </cell>
          <cell r="E4674" t="str">
            <v>외환은행</v>
          </cell>
          <cell r="H4674">
            <v>1000</v>
          </cell>
          <cell r="I4674">
            <v>0</v>
          </cell>
        </row>
        <row r="4675">
          <cell r="C4675" t="str">
            <v>은행</v>
          </cell>
          <cell r="E4675" t="str">
            <v>외환은행</v>
          </cell>
          <cell r="H4675">
            <v>44</v>
          </cell>
          <cell r="I4675">
            <v>59000</v>
          </cell>
        </row>
        <row r="4676">
          <cell r="C4676" t="str">
            <v>은행</v>
          </cell>
          <cell r="E4676" t="str">
            <v>외환은행</v>
          </cell>
          <cell r="H4676">
            <v>1</v>
          </cell>
          <cell r="I4676">
            <v>86000</v>
          </cell>
        </row>
        <row r="4677">
          <cell r="C4677" t="str">
            <v>은행</v>
          </cell>
          <cell r="E4677" t="str">
            <v>외환은행</v>
          </cell>
          <cell r="H4677">
            <v>34</v>
          </cell>
          <cell r="I4677">
            <v>3000</v>
          </cell>
        </row>
        <row r="4678">
          <cell r="C4678" t="str">
            <v>은행</v>
          </cell>
          <cell r="E4678" t="str">
            <v>외환은행</v>
          </cell>
          <cell r="H4678">
            <v>34</v>
          </cell>
          <cell r="I4678">
            <v>7000</v>
          </cell>
        </row>
        <row r="4679">
          <cell r="C4679" t="str">
            <v>은행</v>
          </cell>
          <cell r="E4679" t="str">
            <v>외환은행</v>
          </cell>
          <cell r="H4679">
            <v>1</v>
          </cell>
          <cell r="I4679">
            <v>50000</v>
          </cell>
        </row>
        <row r="4680">
          <cell r="C4680" t="str">
            <v>은행</v>
          </cell>
          <cell r="E4680" t="str">
            <v>외환은행</v>
          </cell>
          <cell r="H4680">
            <v>32</v>
          </cell>
          <cell r="I4680">
            <v>6000</v>
          </cell>
        </row>
        <row r="4681">
          <cell r="C4681" t="str">
            <v>은행</v>
          </cell>
          <cell r="E4681" t="str">
            <v>외환은행</v>
          </cell>
          <cell r="H4681">
            <v>1000</v>
          </cell>
          <cell r="I4681">
            <v>0</v>
          </cell>
        </row>
        <row r="4682">
          <cell r="C4682" t="str">
            <v>은행</v>
          </cell>
          <cell r="E4682" t="str">
            <v>외환은행</v>
          </cell>
          <cell r="H4682">
            <v>14</v>
          </cell>
          <cell r="I4682">
            <v>8900</v>
          </cell>
        </row>
        <row r="4683">
          <cell r="C4683" t="str">
            <v>은행</v>
          </cell>
          <cell r="E4683" t="str">
            <v>외환은행</v>
          </cell>
          <cell r="H4683">
            <v>52</v>
          </cell>
          <cell r="I4683">
            <v>28000</v>
          </cell>
        </row>
        <row r="4684">
          <cell r="C4684" t="str">
            <v>은행</v>
          </cell>
          <cell r="E4684" t="str">
            <v>외환은행</v>
          </cell>
          <cell r="H4684">
            <v>38</v>
          </cell>
          <cell r="I4684">
            <v>45000</v>
          </cell>
        </row>
        <row r="4685">
          <cell r="C4685" t="str">
            <v>은행</v>
          </cell>
          <cell r="E4685" t="str">
            <v>외환은행</v>
          </cell>
          <cell r="H4685">
            <v>52</v>
          </cell>
          <cell r="I4685">
            <v>15000</v>
          </cell>
        </row>
        <row r="4686">
          <cell r="C4686" t="str">
            <v>은행</v>
          </cell>
          <cell r="E4686" t="str">
            <v>외환은행</v>
          </cell>
          <cell r="H4686">
            <v>52</v>
          </cell>
          <cell r="I4686">
            <v>20000</v>
          </cell>
        </row>
        <row r="4687">
          <cell r="C4687" t="str">
            <v>은행</v>
          </cell>
          <cell r="E4687" t="str">
            <v>외환은행</v>
          </cell>
          <cell r="H4687">
            <v>5</v>
          </cell>
          <cell r="I4687">
            <v>54800</v>
          </cell>
        </row>
        <row r="4688">
          <cell r="C4688" t="str">
            <v>은행</v>
          </cell>
          <cell r="E4688" t="str">
            <v>외환은행</v>
          </cell>
          <cell r="H4688">
            <v>10</v>
          </cell>
          <cell r="I4688">
            <v>15500</v>
          </cell>
        </row>
        <row r="4689">
          <cell r="C4689" t="str">
            <v>은행</v>
          </cell>
          <cell r="E4689" t="str">
            <v>외환은행</v>
          </cell>
          <cell r="H4689">
            <v>1000</v>
          </cell>
          <cell r="I4689">
            <v>0</v>
          </cell>
        </row>
        <row r="4690">
          <cell r="C4690" t="str">
            <v>은행</v>
          </cell>
          <cell r="E4690" t="str">
            <v>외환은행</v>
          </cell>
          <cell r="H4690">
            <v>20</v>
          </cell>
          <cell r="I4690">
            <v>65000</v>
          </cell>
        </row>
        <row r="4691">
          <cell r="C4691" t="str">
            <v>은행</v>
          </cell>
          <cell r="E4691" t="str">
            <v>외환은행</v>
          </cell>
          <cell r="H4691">
            <v>52</v>
          </cell>
          <cell r="I4691">
            <v>30000</v>
          </cell>
        </row>
        <row r="4692">
          <cell r="C4692" t="str">
            <v>은행</v>
          </cell>
          <cell r="E4692" t="str">
            <v>외환은행</v>
          </cell>
          <cell r="H4692">
            <v>1000</v>
          </cell>
          <cell r="I4692">
            <v>0</v>
          </cell>
        </row>
        <row r="4693">
          <cell r="C4693" t="str">
            <v>은행</v>
          </cell>
          <cell r="E4693" t="str">
            <v>외환은행</v>
          </cell>
          <cell r="H4693">
            <v>1000</v>
          </cell>
          <cell r="I4693">
            <v>0</v>
          </cell>
        </row>
        <row r="4694">
          <cell r="C4694" t="str">
            <v>은행</v>
          </cell>
          <cell r="E4694" t="str">
            <v>외환은행</v>
          </cell>
          <cell r="H4694">
            <v>44</v>
          </cell>
          <cell r="I4694">
            <v>85000</v>
          </cell>
        </row>
        <row r="4695">
          <cell r="C4695" t="str">
            <v>은행</v>
          </cell>
          <cell r="E4695" t="str">
            <v>외환은행</v>
          </cell>
          <cell r="H4695">
            <v>1000</v>
          </cell>
          <cell r="I4695">
            <v>40000</v>
          </cell>
        </row>
        <row r="4696">
          <cell r="C4696" t="str">
            <v>은행</v>
          </cell>
          <cell r="E4696" t="str">
            <v>외환은행</v>
          </cell>
          <cell r="H4696">
            <v>1000</v>
          </cell>
          <cell r="I4696">
            <v>0</v>
          </cell>
        </row>
        <row r="4697">
          <cell r="C4697" t="str">
            <v>은행</v>
          </cell>
          <cell r="E4697" t="str">
            <v>외환은행</v>
          </cell>
          <cell r="H4697">
            <v>43</v>
          </cell>
          <cell r="I4697">
            <v>41000</v>
          </cell>
        </row>
        <row r="4698">
          <cell r="C4698" t="str">
            <v>은행</v>
          </cell>
          <cell r="E4698" t="str">
            <v>외환은행</v>
          </cell>
          <cell r="H4698">
            <v>21</v>
          </cell>
          <cell r="I4698">
            <v>30000</v>
          </cell>
        </row>
        <row r="4699">
          <cell r="C4699" t="str">
            <v>은행</v>
          </cell>
          <cell r="E4699" t="str">
            <v>외환은행</v>
          </cell>
          <cell r="H4699">
            <v>1000</v>
          </cell>
          <cell r="I4699">
            <v>0</v>
          </cell>
        </row>
        <row r="4700">
          <cell r="C4700" t="str">
            <v>은행</v>
          </cell>
          <cell r="E4700" t="str">
            <v>외환은행</v>
          </cell>
          <cell r="H4700">
            <v>25</v>
          </cell>
          <cell r="I4700">
            <v>25000</v>
          </cell>
        </row>
        <row r="4701">
          <cell r="C4701" t="str">
            <v>은행</v>
          </cell>
          <cell r="E4701" t="str">
            <v>외환은행</v>
          </cell>
          <cell r="H4701">
            <v>44</v>
          </cell>
          <cell r="I4701">
            <v>6000</v>
          </cell>
        </row>
        <row r="4702">
          <cell r="C4702" t="str">
            <v>은행</v>
          </cell>
          <cell r="E4702" t="str">
            <v>외환은행</v>
          </cell>
          <cell r="H4702">
            <v>44</v>
          </cell>
          <cell r="I4702">
            <v>10500</v>
          </cell>
        </row>
        <row r="4703">
          <cell r="C4703" t="str">
            <v>은행</v>
          </cell>
          <cell r="E4703" t="str">
            <v>외환은행</v>
          </cell>
          <cell r="H4703">
            <v>44</v>
          </cell>
          <cell r="I4703">
            <v>90000</v>
          </cell>
        </row>
        <row r="4704">
          <cell r="C4704" t="str">
            <v>은행</v>
          </cell>
          <cell r="E4704" t="str">
            <v>외환은행</v>
          </cell>
          <cell r="H4704">
            <v>1000</v>
          </cell>
          <cell r="I4704">
            <v>0</v>
          </cell>
        </row>
        <row r="4705">
          <cell r="C4705" t="str">
            <v>은행</v>
          </cell>
          <cell r="E4705" t="str">
            <v>외환은행</v>
          </cell>
          <cell r="H4705">
            <v>1000</v>
          </cell>
          <cell r="I4705">
            <v>0</v>
          </cell>
        </row>
        <row r="4706">
          <cell r="C4706" t="str">
            <v>은행</v>
          </cell>
          <cell r="E4706" t="str">
            <v>외환은행</v>
          </cell>
          <cell r="H4706">
            <v>1000</v>
          </cell>
          <cell r="I4706">
            <v>0</v>
          </cell>
        </row>
        <row r="4707">
          <cell r="C4707" t="str">
            <v>은행</v>
          </cell>
          <cell r="E4707" t="str">
            <v>외환은행</v>
          </cell>
          <cell r="H4707">
            <v>1000</v>
          </cell>
          <cell r="I4707">
            <v>0</v>
          </cell>
        </row>
        <row r="4708">
          <cell r="C4708" t="str">
            <v>은행</v>
          </cell>
          <cell r="E4708" t="str">
            <v>외환은행</v>
          </cell>
          <cell r="H4708">
            <v>44</v>
          </cell>
          <cell r="I4708">
            <v>59000</v>
          </cell>
        </row>
        <row r="4709">
          <cell r="C4709" t="str">
            <v>은행</v>
          </cell>
          <cell r="E4709" t="str">
            <v>외환은행</v>
          </cell>
          <cell r="H4709">
            <v>1</v>
          </cell>
          <cell r="I4709">
            <v>200000</v>
          </cell>
        </row>
        <row r="4710">
          <cell r="C4710" t="str">
            <v>은행</v>
          </cell>
          <cell r="E4710" t="str">
            <v>외환은행</v>
          </cell>
          <cell r="H4710">
            <v>18</v>
          </cell>
          <cell r="I4710">
            <v>200000</v>
          </cell>
        </row>
        <row r="4711">
          <cell r="C4711" t="str">
            <v>은행</v>
          </cell>
          <cell r="E4711" t="str">
            <v>외환은행</v>
          </cell>
          <cell r="H4711">
            <v>13</v>
          </cell>
          <cell r="I4711">
            <v>25000</v>
          </cell>
        </row>
        <row r="4712">
          <cell r="C4712" t="str">
            <v>은행</v>
          </cell>
          <cell r="E4712" t="str">
            <v>외환은행</v>
          </cell>
          <cell r="H4712">
            <v>1000</v>
          </cell>
          <cell r="I4712">
            <v>0</v>
          </cell>
        </row>
        <row r="4713">
          <cell r="C4713" t="str">
            <v>은행</v>
          </cell>
          <cell r="E4713" t="str">
            <v>외환은행</v>
          </cell>
          <cell r="H4713">
            <v>1000</v>
          </cell>
          <cell r="I4713">
            <v>0</v>
          </cell>
        </row>
        <row r="4714">
          <cell r="C4714" t="str">
            <v>은행</v>
          </cell>
          <cell r="E4714" t="str">
            <v>외환은행</v>
          </cell>
          <cell r="H4714">
            <v>1000</v>
          </cell>
          <cell r="I4714">
            <v>0</v>
          </cell>
        </row>
        <row r="4715">
          <cell r="C4715" t="str">
            <v>은행</v>
          </cell>
          <cell r="E4715" t="str">
            <v>외환은행</v>
          </cell>
          <cell r="H4715">
            <v>1000</v>
          </cell>
          <cell r="I4715">
            <v>0</v>
          </cell>
        </row>
        <row r="4716">
          <cell r="C4716" t="str">
            <v>은행</v>
          </cell>
          <cell r="E4716" t="str">
            <v>외환은행</v>
          </cell>
          <cell r="H4716">
            <v>10</v>
          </cell>
          <cell r="I4716">
            <v>25000</v>
          </cell>
        </row>
        <row r="4717">
          <cell r="C4717" t="str">
            <v>은행</v>
          </cell>
          <cell r="E4717" t="str">
            <v>외환은행</v>
          </cell>
          <cell r="H4717">
            <v>1000</v>
          </cell>
          <cell r="I4717">
            <v>0</v>
          </cell>
        </row>
        <row r="4718">
          <cell r="C4718" t="str">
            <v>은행</v>
          </cell>
          <cell r="E4718" t="str">
            <v>외환은행</v>
          </cell>
          <cell r="H4718">
            <v>46</v>
          </cell>
          <cell r="I4718">
            <v>180000</v>
          </cell>
        </row>
        <row r="4719">
          <cell r="C4719" t="str">
            <v>은행</v>
          </cell>
          <cell r="E4719" t="str">
            <v>외환은행</v>
          </cell>
          <cell r="H4719">
            <v>44</v>
          </cell>
          <cell r="I4719">
            <v>35000</v>
          </cell>
        </row>
        <row r="4720">
          <cell r="C4720" t="str">
            <v>은행</v>
          </cell>
          <cell r="E4720" t="str">
            <v>외환은행</v>
          </cell>
          <cell r="H4720">
            <v>3</v>
          </cell>
          <cell r="I4720">
            <v>150000</v>
          </cell>
        </row>
        <row r="4721">
          <cell r="C4721" t="str">
            <v>은행</v>
          </cell>
          <cell r="E4721" t="str">
            <v>외환은행</v>
          </cell>
          <cell r="H4721">
            <v>16</v>
          </cell>
          <cell r="I4721">
            <v>29000</v>
          </cell>
        </row>
        <row r="4722">
          <cell r="C4722" t="str">
            <v>은행</v>
          </cell>
          <cell r="E4722" t="str">
            <v>외환은행</v>
          </cell>
          <cell r="H4722">
            <v>20</v>
          </cell>
          <cell r="I4722">
            <v>23000</v>
          </cell>
        </row>
        <row r="4723">
          <cell r="C4723" t="str">
            <v>은행</v>
          </cell>
          <cell r="E4723" t="str">
            <v>외환은행</v>
          </cell>
          <cell r="H4723">
            <v>32</v>
          </cell>
          <cell r="I4723">
            <v>50000</v>
          </cell>
        </row>
        <row r="4724">
          <cell r="C4724" t="str">
            <v>은행</v>
          </cell>
          <cell r="E4724" t="str">
            <v>외환은행</v>
          </cell>
          <cell r="H4724">
            <v>20</v>
          </cell>
          <cell r="I4724">
            <v>29000</v>
          </cell>
        </row>
        <row r="4725">
          <cell r="C4725" t="str">
            <v>은행</v>
          </cell>
          <cell r="E4725" t="str">
            <v>외환은행</v>
          </cell>
          <cell r="H4725">
            <v>21</v>
          </cell>
          <cell r="I4725">
            <v>25000</v>
          </cell>
        </row>
        <row r="4726">
          <cell r="C4726" t="str">
            <v>은행</v>
          </cell>
          <cell r="E4726" t="str">
            <v>외환은행</v>
          </cell>
          <cell r="H4726">
            <v>13</v>
          </cell>
          <cell r="I4726">
            <v>24000</v>
          </cell>
        </row>
        <row r="4727">
          <cell r="C4727" t="str">
            <v>은행</v>
          </cell>
          <cell r="E4727" t="str">
            <v>외환은행</v>
          </cell>
          <cell r="H4727">
            <v>30</v>
          </cell>
          <cell r="I4727">
            <v>50000</v>
          </cell>
        </row>
        <row r="4728">
          <cell r="C4728" t="str">
            <v>은행</v>
          </cell>
          <cell r="E4728" t="str">
            <v>외환은행</v>
          </cell>
          <cell r="H4728">
            <v>22</v>
          </cell>
          <cell r="I4728">
            <v>30000</v>
          </cell>
        </row>
        <row r="4729">
          <cell r="C4729" t="str">
            <v>은행</v>
          </cell>
          <cell r="E4729" t="str">
            <v>외환은행</v>
          </cell>
          <cell r="H4729">
            <v>20</v>
          </cell>
          <cell r="I4729">
            <v>53000</v>
          </cell>
        </row>
        <row r="4730">
          <cell r="C4730" t="str">
            <v>은행</v>
          </cell>
          <cell r="E4730" t="str">
            <v>외환은행</v>
          </cell>
          <cell r="H4730">
            <v>1000</v>
          </cell>
          <cell r="I4730">
            <v>0</v>
          </cell>
        </row>
        <row r="4731">
          <cell r="C4731" t="str">
            <v>은행</v>
          </cell>
          <cell r="E4731" t="str">
            <v>외환은행</v>
          </cell>
          <cell r="H4731">
            <v>44</v>
          </cell>
          <cell r="I4731">
            <v>60000</v>
          </cell>
        </row>
        <row r="4732">
          <cell r="C4732" t="str">
            <v>은행</v>
          </cell>
          <cell r="E4732" t="str">
            <v>하나은행</v>
          </cell>
          <cell r="H4732">
            <v>29</v>
          </cell>
          <cell r="I4732">
            <v>10000</v>
          </cell>
        </row>
        <row r="4733">
          <cell r="C4733" t="str">
            <v>은행</v>
          </cell>
          <cell r="E4733" t="str">
            <v>하나은행</v>
          </cell>
          <cell r="H4733">
            <v>14</v>
          </cell>
          <cell r="I4733">
            <v>157000</v>
          </cell>
        </row>
        <row r="4734">
          <cell r="C4734" t="str">
            <v>은행</v>
          </cell>
          <cell r="E4734" t="str">
            <v>하나은행</v>
          </cell>
          <cell r="H4734">
            <v>1000</v>
          </cell>
          <cell r="I4734">
            <v>0</v>
          </cell>
        </row>
        <row r="4735">
          <cell r="C4735" t="str">
            <v>은행</v>
          </cell>
          <cell r="E4735" t="str">
            <v>하나은행</v>
          </cell>
          <cell r="H4735">
            <v>1000</v>
          </cell>
          <cell r="I4735">
            <v>0</v>
          </cell>
        </row>
        <row r="4736">
          <cell r="C4736" t="str">
            <v>은행</v>
          </cell>
          <cell r="E4736" t="str">
            <v>하나은행</v>
          </cell>
          <cell r="H4736">
            <v>1000</v>
          </cell>
          <cell r="I4736">
            <v>0</v>
          </cell>
        </row>
        <row r="4737">
          <cell r="C4737" t="str">
            <v>은행</v>
          </cell>
          <cell r="E4737" t="str">
            <v>하나은행</v>
          </cell>
          <cell r="H4737">
            <v>1000</v>
          </cell>
          <cell r="I4737">
            <v>0</v>
          </cell>
        </row>
        <row r="4738">
          <cell r="C4738" t="str">
            <v>은행</v>
          </cell>
          <cell r="E4738" t="str">
            <v>하나은행</v>
          </cell>
          <cell r="H4738">
            <v>1000</v>
          </cell>
          <cell r="I4738">
            <v>0</v>
          </cell>
        </row>
        <row r="4739">
          <cell r="C4739" t="str">
            <v>은행</v>
          </cell>
          <cell r="E4739" t="str">
            <v>하나은행</v>
          </cell>
          <cell r="H4739">
            <v>51</v>
          </cell>
          <cell r="I4739">
            <v>90000</v>
          </cell>
        </row>
        <row r="4740">
          <cell r="C4740" t="str">
            <v>은행</v>
          </cell>
          <cell r="E4740" t="str">
            <v>하나은행</v>
          </cell>
          <cell r="H4740">
            <v>1000</v>
          </cell>
          <cell r="I4740">
            <v>0</v>
          </cell>
        </row>
        <row r="4741">
          <cell r="C4741" t="str">
            <v>은행</v>
          </cell>
          <cell r="E4741" t="str">
            <v>하나은행</v>
          </cell>
          <cell r="H4741">
            <v>25</v>
          </cell>
          <cell r="I4741">
            <v>60000</v>
          </cell>
        </row>
        <row r="4742">
          <cell r="C4742" t="str">
            <v>은행</v>
          </cell>
          <cell r="E4742" t="str">
            <v>하나은행</v>
          </cell>
          <cell r="H4742">
            <v>52</v>
          </cell>
          <cell r="I4742">
            <v>25000</v>
          </cell>
        </row>
        <row r="4743">
          <cell r="C4743" t="str">
            <v>은행</v>
          </cell>
          <cell r="E4743" t="str">
            <v>하나은행</v>
          </cell>
          <cell r="H4743">
            <v>1000</v>
          </cell>
          <cell r="I4743">
            <v>0</v>
          </cell>
        </row>
        <row r="4744">
          <cell r="C4744" t="str">
            <v>은행</v>
          </cell>
          <cell r="E4744" t="str">
            <v>하나은행</v>
          </cell>
          <cell r="H4744">
            <v>1000</v>
          </cell>
          <cell r="I4744">
            <v>0</v>
          </cell>
        </row>
        <row r="4745">
          <cell r="C4745" t="str">
            <v>은행</v>
          </cell>
          <cell r="E4745" t="str">
            <v>하나은행</v>
          </cell>
          <cell r="H4745">
            <v>16</v>
          </cell>
          <cell r="I4745">
            <v>30000</v>
          </cell>
        </row>
        <row r="4746">
          <cell r="C4746" t="str">
            <v>은행</v>
          </cell>
          <cell r="E4746" t="str">
            <v>하나은행</v>
          </cell>
          <cell r="H4746">
            <v>1000</v>
          </cell>
          <cell r="I4746">
            <v>0</v>
          </cell>
        </row>
        <row r="4747">
          <cell r="C4747" t="str">
            <v>은행</v>
          </cell>
          <cell r="E4747" t="str">
            <v>우리은행</v>
          </cell>
          <cell r="H4747">
            <v>52</v>
          </cell>
          <cell r="I4747">
            <v>76000</v>
          </cell>
        </row>
        <row r="4748">
          <cell r="C4748" t="str">
            <v>은행</v>
          </cell>
          <cell r="E4748" t="str">
            <v>우리은행</v>
          </cell>
          <cell r="H4748">
            <v>1000</v>
          </cell>
          <cell r="I4748">
            <v>0</v>
          </cell>
        </row>
        <row r="4749">
          <cell r="C4749" t="str">
            <v>은행</v>
          </cell>
          <cell r="E4749" t="str">
            <v>우리은행</v>
          </cell>
          <cell r="H4749">
            <v>1000</v>
          </cell>
          <cell r="I4749">
            <v>0</v>
          </cell>
        </row>
        <row r="4750">
          <cell r="C4750" t="str">
            <v>은행</v>
          </cell>
          <cell r="E4750" t="str">
            <v>우리은행</v>
          </cell>
          <cell r="H4750">
            <v>1000</v>
          </cell>
          <cell r="I4750">
            <v>0</v>
          </cell>
        </row>
        <row r="4751">
          <cell r="C4751" t="str">
            <v>은행</v>
          </cell>
          <cell r="E4751" t="str">
            <v>우리은행</v>
          </cell>
          <cell r="H4751">
            <v>1000</v>
          </cell>
          <cell r="I4751">
            <v>0</v>
          </cell>
        </row>
        <row r="4752">
          <cell r="C4752" t="str">
            <v>은행</v>
          </cell>
          <cell r="E4752" t="str">
            <v>우리은행</v>
          </cell>
          <cell r="H4752">
            <v>1000</v>
          </cell>
          <cell r="I4752">
            <v>0</v>
          </cell>
        </row>
        <row r="4753">
          <cell r="C4753" t="str">
            <v>은행</v>
          </cell>
          <cell r="E4753" t="str">
            <v>우리은행</v>
          </cell>
          <cell r="H4753">
            <v>22</v>
          </cell>
          <cell r="I4753">
            <v>40000</v>
          </cell>
        </row>
        <row r="4754">
          <cell r="C4754" t="str">
            <v>은행</v>
          </cell>
          <cell r="E4754" t="str">
            <v>우리은행</v>
          </cell>
          <cell r="H4754">
            <v>22</v>
          </cell>
          <cell r="I4754">
            <v>50000</v>
          </cell>
        </row>
        <row r="4755">
          <cell r="C4755" t="str">
            <v>은행</v>
          </cell>
          <cell r="E4755" t="str">
            <v>우리은행</v>
          </cell>
          <cell r="H4755">
            <v>16</v>
          </cell>
          <cell r="I4755">
            <v>55000</v>
          </cell>
        </row>
        <row r="4756">
          <cell r="C4756" t="str">
            <v>은행</v>
          </cell>
          <cell r="E4756" t="str">
            <v>우리은행</v>
          </cell>
          <cell r="H4756">
            <v>1000</v>
          </cell>
          <cell r="I4756">
            <v>0</v>
          </cell>
        </row>
        <row r="4757">
          <cell r="C4757" t="str">
            <v>은행</v>
          </cell>
          <cell r="E4757" t="str">
            <v>우리은행</v>
          </cell>
          <cell r="H4757">
            <v>1000</v>
          </cell>
          <cell r="I4757">
            <v>0</v>
          </cell>
        </row>
        <row r="4758">
          <cell r="C4758" t="str">
            <v>은행</v>
          </cell>
          <cell r="E4758" t="str">
            <v>우리은행</v>
          </cell>
          <cell r="H4758">
            <v>1000</v>
          </cell>
          <cell r="I4758">
            <v>0</v>
          </cell>
        </row>
        <row r="4759">
          <cell r="C4759" t="str">
            <v>은행</v>
          </cell>
          <cell r="E4759" t="str">
            <v>우리은행</v>
          </cell>
          <cell r="H4759">
            <v>1000</v>
          </cell>
          <cell r="I4759">
            <v>0</v>
          </cell>
        </row>
        <row r="4760">
          <cell r="C4760" t="str">
            <v>은행</v>
          </cell>
          <cell r="E4760" t="str">
            <v>우리은행</v>
          </cell>
          <cell r="H4760">
            <v>10</v>
          </cell>
          <cell r="I4760">
            <v>43000</v>
          </cell>
        </row>
        <row r="4761">
          <cell r="C4761" t="str">
            <v>은행</v>
          </cell>
          <cell r="E4761" t="str">
            <v>우리은행</v>
          </cell>
          <cell r="H4761">
            <v>1000</v>
          </cell>
          <cell r="I4761">
            <v>0</v>
          </cell>
        </row>
        <row r="4762">
          <cell r="C4762" t="str">
            <v>은행</v>
          </cell>
          <cell r="E4762" t="str">
            <v>우리은행</v>
          </cell>
          <cell r="H4762">
            <v>1000</v>
          </cell>
          <cell r="I4762">
            <v>0</v>
          </cell>
        </row>
        <row r="4763">
          <cell r="C4763" t="str">
            <v>은행</v>
          </cell>
          <cell r="E4763" t="str">
            <v>우리은행</v>
          </cell>
          <cell r="H4763">
            <v>1000</v>
          </cell>
          <cell r="I4763">
            <v>0</v>
          </cell>
        </row>
        <row r="4764">
          <cell r="C4764" t="str">
            <v>은행</v>
          </cell>
          <cell r="E4764" t="str">
            <v>우리은행</v>
          </cell>
          <cell r="H4764">
            <v>1000</v>
          </cell>
          <cell r="I4764">
            <v>0</v>
          </cell>
        </row>
        <row r="4765">
          <cell r="C4765" t="str">
            <v>은행</v>
          </cell>
          <cell r="E4765" t="str">
            <v>우리은행</v>
          </cell>
          <cell r="H4765">
            <v>44</v>
          </cell>
          <cell r="I4765">
            <v>380000</v>
          </cell>
        </row>
        <row r="4766">
          <cell r="C4766" t="str">
            <v>은행</v>
          </cell>
          <cell r="E4766" t="str">
            <v>우리은행</v>
          </cell>
          <cell r="H4766">
            <v>172</v>
          </cell>
          <cell r="I4766">
            <v>380000</v>
          </cell>
        </row>
        <row r="4767">
          <cell r="C4767" t="str">
            <v>은행</v>
          </cell>
          <cell r="E4767" t="str">
            <v>우리은행</v>
          </cell>
          <cell r="H4767">
            <v>13</v>
          </cell>
          <cell r="I4767">
            <v>35500</v>
          </cell>
        </row>
        <row r="4768">
          <cell r="C4768" t="str">
            <v>은행</v>
          </cell>
          <cell r="E4768" t="str">
            <v>우리은행</v>
          </cell>
          <cell r="H4768">
            <v>1000</v>
          </cell>
          <cell r="I4768">
            <v>0</v>
          </cell>
        </row>
        <row r="4769">
          <cell r="C4769" t="str">
            <v>은행</v>
          </cell>
          <cell r="E4769" t="str">
            <v>우리은행</v>
          </cell>
          <cell r="H4769">
            <v>1000</v>
          </cell>
          <cell r="I4769">
            <v>0</v>
          </cell>
        </row>
        <row r="4770">
          <cell r="C4770" t="str">
            <v>은행</v>
          </cell>
          <cell r="E4770" t="str">
            <v>우리은행</v>
          </cell>
          <cell r="H4770">
            <v>1000</v>
          </cell>
          <cell r="I4770">
            <v>0</v>
          </cell>
        </row>
        <row r="4771">
          <cell r="C4771" t="str">
            <v>은행</v>
          </cell>
          <cell r="E4771" t="str">
            <v>우리은행</v>
          </cell>
          <cell r="H4771">
            <v>1000</v>
          </cell>
          <cell r="I4771">
            <v>0</v>
          </cell>
        </row>
        <row r="4772">
          <cell r="C4772" t="str">
            <v>은행</v>
          </cell>
          <cell r="E4772" t="str">
            <v>우리은행</v>
          </cell>
          <cell r="H4772">
            <v>1000</v>
          </cell>
          <cell r="I4772">
            <v>0</v>
          </cell>
        </row>
        <row r="4773">
          <cell r="C4773" t="str">
            <v>은행</v>
          </cell>
          <cell r="E4773" t="str">
            <v>우리은행</v>
          </cell>
          <cell r="H4773">
            <v>1000</v>
          </cell>
          <cell r="I4773">
            <v>0</v>
          </cell>
        </row>
        <row r="4774">
          <cell r="C4774" t="str">
            <v>은행</v>
          </cell>
          <cell r="E4774" t="str">
            <v>우리은행</v>
          </cell>
          <cell r="H4774">
            <v>1000</v>
          </cell>
          <cell r="I4774">
            <v>0</v>
          </cell>
        </row>
        <row r="4775">
          <cell r="C4775" t="str">
            <v>은행</v>
          </cell>
          <cell r="E4775" t="str">
            <v>우리은행</v>
          </cell>
          <cell r="H4775">
            <v>1000</v>
          </cell>
          <cell r="I4775">
            <v>0</v>
          </cell>
        </row>
        <row r="4776">
          <cell r="C4776" t="str">
            <v>은행</v>
          </cell>
          <cell r="E4776" t="str">
            <v>우리은행</v>
          </cell>
          <cell r="H4776">
            <v>1000</v>
          </cell>
          <cell r="I4776">
            <v>0</v>
          </cell>
        </row>
        <row r="4777">
          <cell r="C4777" t="str">
            <v>은행</v>
          </cell>
          <cell r="E4777" t="str">
            <v>우리은행</v>
          </cell>
          <cell r="H4777">
            <v>1000</v>
          </cell>
          <cell r="I4777">
            <v>0</v>
          </cell>
        </row>
        <row r="4778">
          <cell r="C4778" t="str">
            <v>은행</v>
          </cell>
          <cell r="E4778" t="str">
            <v>우리은행</v>
          </cell>
          <cell r="H4778">
            <v>40</v>
          </cell>
          <cell r="I4778">
            <v>1000</v>
          </cell>
        </row>
        <row r="4779">
          <cell r="C4779" t="str">
            <v>은행</v>
          </cell>
          <cell r="E4779" t="str">
            <v>우리은행</v>
          </cell>
          <cell r="H4779">
            <v>35</v>
          </cell>
          <cell r="I4779">
            <v>1000</v>
          </cell>
        </row>
        <row r="4780">
          <cell r="C4780" t="str">
            <v>은행</v>
          </cell>
          <cell r="E4780" t="str">
            <v>우리은행</v>
          </cell>
          <cell r="H4780">
            <v>1000</v>
          </cell>
          <cell r="I4780">
            <v>0</v>
          </cell>
        </row>
        <row r="4781">
          <cell r="C4781" t="str">
            <v>은행</v>
          </cell>
          <cell r="E4781" t="str">
            <v>우리은행</v>
          </cell>
          <cell r="H4781">
            <v>1000</v>
          </cell>
          <cell r="I4781">
            <v>0</v>
          </cell>
        </row>
        <row r="4782">
          <cell r="C4782" t="str">
            <v>은행</v>
          </cell>
          <cell r="E4782" t="str">
            <v>우리은행</v>
          </cell>
          <cell r="H4782">
            <v>18</v>
          </cell>
          <cell r="I4782">
            <v>53000</v>
          </cell>
        </row>
        <row r="4783">
          <cell r="C4783" t="str">
            <v>은행</v>
          </cell>
          <cell r="E4783" t="str">
            <v>우리은행</v>
          </cell>
          <cell r="H4783">
            <v>1000</v>
          </cell>
          <cell r="I4783">
            <v>0</v>
          </cell>
        </row>
        <row r="4784">
          <cell r="C4784" t="str">
            <v>은행</v>
          </cell>
          <cell r="E4784" t="str">
            <v>우리은행</v>
          </cell>
          <cell r="H4784">
            <v>1000</v>
          </cell>
          <cell r="I4784">
            <v>0</v>
          </cell>
        </row>
        <row r="4785">
          <cell r="C4785" t="str">
            <v>은행</v>
          </cell>
          <cell r="E4785" t="str">
            <v>우리은행</v>
          </cell>
          <cell r="H4785">
            <v>1000</v>
          </cell>
          <cell r="I4785">
            <v>0</v>
          </cell>
        </row>
        <row r="4786">
          <cell r="C4786" t="str">
            <v>은행</v>
          </cell>
          <cell r="E4786" t="str">
            <v>우리은행</v>
          </cell>
          <cell r="H4786">
            <v>1000</v>
          </cell>
          <cell r="I4786">
            <v>0</v>
          </cell>
        </row>
        <row r="4787">
          <cell r="C4787" t="str">
            <v>은행</v>
          </cell>
          <cell r="E4787" t="str">
            <v>우리은행</v>
          </cell>
          <cell r="H4787">
            <v>1000</v>
          </cell>
          <cell r="I4787">
            <v>0</v>
          </cell>
        </row>
        <row r="4788">
          <cell r="C4788" t="str">
            <v>은행</v>
          </cell>
          <cell r="E4788" t="str">
            <v>우리은행</v>
          </cell>
          <cell r="H4788">
            <v>1000</v>
          </cell>
          <cell r="I4788">
            <v>0</v>
          </cell>
        </row>
        <row r="4789">
          <cell r="C4789" t="str">
            <v>은행</v>
          </cell>
          <cell r="E4789" t="str">
            <v>우리은행</v>
          </cell>
          <cell r="H4789">
            <v>1000</v>
          </cell>
          <cell r="I4789">
            <v>0</v>
          </cell>
        </row>
        <row r="4790">
          <cell r="C4790" t="str">
            <v>은행</v>
          </cell>
          <cell r="E4790" t="str">
            <v>우리은행</v>
          </cell>
          <cell r="H4790">
            <v>1000</v>
          </cell>
          <cell r="I4790">
            <v>0</v>
          </cell>
        </row>
        <row r="4791">
          <cell r="C4791" t="str">
            <v>은행</v>
          </cell>
          <cell r="E4791" t="str">
            <v>우리은행</v>
          </cell>
          <cell r="H4791">
            <v>1000</v>
          </cell>
          <cell r="I4791">
            <v>0</v>
          </cell>
        </row>
        <row r="4792">
          <cell r="C4792" t="str">
            <v>은행</v>
          </cell>
          <cell r="E4792" t="str">
            <v>우리은행</v>
          </cell>
          <cell r="H4792">
            <v>1000</v>
          </cell>
          <cell r="I4792">
            <v>0</v>
          </cell>
        </row>
        <row r="4793">
          <cell r="C4793" t="str">
            <v>은행</v>
          </cell>
          <cell r="E4793" t="str">
            <v>우리은행</v>
          </cell>
          <cell r="H4793">
            <v>1000</v>
          </cell>
          <cell r="I4793">
            <v>0</v>
          </cell>
        </row>
        <row r="4794">
          <cell r="C4794" t="str">
            <v>은행</v>
          </cell>
          <cell r="E4794" t="str">
            <v>우리은행</v>
          </cell>
          <cell r="H4794">
            <v>1000</v>
          </cell>
          <cell r="I4794">
            <v>0</v>
          </cell>
        </row>
        <row r="4795">
          <cell r="C4795" t="str">
            <v>은행</v>
          </cell>
          <cell r="E4795" t="str">
            <v>우리은행</v>
          </cell>
          <cell r="H4795">
            <v>1000</v>
          </cell>
          <cell r="I4795">
            <v>0</v>
          </cell>
        </row>
        <row r="4796">
          <cell r="C4796" t="str">
            <v>은행</v>
          </cell>
          <cell r="E4796" t="str">
            <v>국민은행</v>
          </cell>
          <cell r="H4796">
            <v>21</v>
          </cell>
          <cell r="I4796">
            <v>90000</v>
          </cell>
        </row>
        <row r="4797">
          <cell r="C4797" t="str">
            <v>은행</v>
          </cell>
          <cell r="E4797" t="str">
            <v>국민은행</v>
          </cell>
          <cell r="H4797">
            <v>1000</v>
          </cell>
          <cell r="I4797">
            <v>0</v>
          </cell>
        </row>
        <row r="4798">
          <cell r="C4798" t="str">
            <v>은행</v>
          </cell>
          <cell r="E4798" t="str">
            <v>국민은행</v>
          </cell>
          <cell r="H4798">
            <v>1000</v>
          </cell>
          <cell r="I4798">
            <v>0</v>
          </cell>
        </row>
        <row r="4799">
          <cell r="C4799" t="str">
            <v>은행</v>
          </cell>
          <cell r="E4799" t="str">
            <v>국민은행</v>
          </cell>
          <cell r="H4799">
            <v>1000</v>
          </cell>
          <cell r="I4799">
            <v>0</v>
          </cell>
        </row>
        <row r="4800">
          <cell r="C4800" t="str">
            <v>은행</v>
          </cell>
          <cell r="E4800" t="str">
            <v>국민은행</v>
          </cell>
          <cell r="H4800">
            <v>1000</v>
          </cell>
          <cell r="I4800">
            <v>0</v>
          </cell>
        </row>
        <row r="4801">
          <cell r="C4801" t="str">
            <v>은행</v>
          </cell>
          <cell r="E4801" t="str">
            <v>국민은행</v>
          </cell>
          <cell r="H4801">
            <v>1000</v>
          </cell>
          <cell r="I4801">
            <v>0</v>
          </cell>
        </row>
        <row r="4802">
          <cell r="C4802" t="str">
            <v>은행</v>
          </cell>
          <cell r="E4802" t="str">
            <v>국민은행</v>
          </cell>
          <cell r="H4802">
            <v>40</v>
          </cell>
          <cell r="I4802">
            <v>60000</v>
          </cell>
        </row>
        <row r="4803">
          <cell r="C4803" t="str">
            <v>은행</v>
          </cell>
          <cell r="E4803" t="str">
            <v>국민은행</v>
          </cell>
          <cell r="H4803">
            <v>1000</v>
          </cell>
          <cell r="I4803">
            <v>0</v>
          </cell>
        </row>
        <row r="4804">
          <cell r="C4804" t="str">
            <v>은행</v>
          </cell>
          <cell r="E4804" t="str">
            <v>국민은행</v>
          </cell>
          <cell r="H4804">
            <v>138</v>
          </cell>
          <cell r="I4804">
            <v>31000</v>
          </cell>
        </row>
        <row r="4805">
          <cell r="C4805" t="str">
            <v>은행</v>
          </cell>
          <cell r="E4805" t="str">
            <v>국민은행</v>
          </cell>
          <cell r="H4805">
            <v>10</v>
          </cell>
          <cell r="I4805">
            <v>46000</v>
          </cell>
        </row>
        <row r="4806">
          <cell r="C4806" t="str">
            <v>은행</v>
          </cell>
          <cell r="E4806" t="str">
            <v>국민은행</v>
          </cell>
          <cell r="H4806">
            <v>46</v>
          </cell>
          <cell r="I4806">
            <v>100000</v>
          </cell>
        </row>
        <row r="4807">
          <cell r="C4807" t="str">
            <v>은행</v>
          </cell>
          <cell r="E4807" t="str">
            <v>국민은행</v>
          </cell>
          <cell r="H4807">
            <v>22</v>
          </cell>
          <cell r="I4807">
            <v>27000</v>
          </cell>
        </row>
        <row r="4808">
          <cell r="C4808" t="str">
            <v>은행</v>
          </cell>
          <cell r="E4808" t="str">
            <v>국민은행</v>
          </cell>
          <cell r="H4808">
            <v>22</v>
          </cell>
          <cell r="I4808">
            <v>240000</v>
          </cell>
        </row>
        <row r="4809">
          <cell r="C4809" t="str">
            <v>은행</v>
          </cell>
          <cell r="E4809" t="str">
            <v>국민은행</v>
          </cell>
          <cell r="H4809">
            <v>25</v>
          </cell>
          <cell r="I4809">
            <v>30000</v>
          </cell>
        </row>
        <row r="4810">
          <cell r="C4810" t="str">
            <v>은행</v>
          </cell>
          <cell r="E4810" t="str">
            <v>국민은행</v>
          </cell>
          <cell r="H4810">
            <v>17</v>
          </cell>
          <cell r="I4810">
            <v>70000</v>
          </cell>
        </row>
        <row r="4811">
          <cell r="C4811" t="str">
            <v>은행</v>
          </cell>
          <cell r="E4811" t="str">
            <v>국민은행</v>
          </cell>
          <cell r="H4811">
            <v>46</v>
          </cell>
          <cell r="I4811">
            <v>100000</v>
          </cell>
        </row>
        <row r="4812">
          <cell r="C4812" t="str">
            <v>은행</v>
          </cell>
          <cell r="E4812" t="str">
            <v>국민은행</v>
          </cell>
          <cell r="H4812">
            <v>1000</v>
          </cell>
          <cell r="I4812">
            <v>0</v>
          </cell>
        </row>
        <row r="4813">
          <cell r="C4813" t="str">
            <v>은행</v>
          </cell>
          <cell r="E4813" t="str">
            <v>국민은행</v>
          </cell>
          <cell r="H4813">
            <v>1000</v>
          </cell>
          <cell r="I4813">
            <v>0</v>
          </cell>
        </row>
        <row r="4814">
          <cell r="C4814" t="str">
            <v>은행</v>
          </cell>
          <cell r="E4814" t="str">
            <v>국민은행</v>
          </cell>
          <cell r="H4814">
            <v>13</v>
          </cell>
          <cell r="I4814">
            <v>110000</v>
          </cell>
        </row>
        <row r="4815">
          <cell r="C4815" t="str">
            <v>은행</v>
          </cell>
          <cell r="E4815" t="str">
            <v>국민은행</v>
          </cell>
          <cell r="H4815">
            <v>44</v>
          </cell>
          <cell r="I4815">
            <v>27000</v>
          </cell>
        </row>
        <row r="4816">
          <cell r="C4816" t="str">
            <v>은행</v>
          </cell>
          <cell r="E4816" t="str">
            <v>국민은행</v>
          </cell>
          <cell r="H4816">
            <v>46</v>
          </cell>
          <cell r="I4816">
            <v>113500</v>
          </cell>
        </row>
        <row r="4817">
          <cell r="C4817" t="str">
            <v>은행</v>
          </cell>
          <cell r="E4817" t="str">
            <v>국민은행</v>
          </cell>
          <cell r="H4817">
            <v>1000</v>
          </cell>
          <cell r="I4817">
            <v>0</v>
          </cell>
        </row>
        <row r="4818">
          <cell r="C4818" t="str">
            <v>은행</v>
          </cell>
          <cell r="E4818" t="str">
            <v>국민은행</v>
          </cell>
          <cell r="H4818">
            <v>1000</v>
          </cell>
          <cell r="I4818">
            <v>0</v>
          </cell>
        </row>
        <row r="4819">
          <cell r="C4819" t="str">
            <v>은행</v>
          </cell>
          <cell r="E4819" t="str">
            <v>국민은행</v>
          </cell>
          <cell r="H4819">
            <v>1000</v>
          </cell>
          <cell r="I4819">
            <v>0</v>
          </cell>
        </row>
        <row r="4820">
          <cell r="C4820" t="str">
            <v>은행</v>
          </cell>
          <cell r="E4820" t="str">
            <v>국민은행</v>
          </cell>
          <cell r="H4820">
            <v>1000</v>
          </cell>
          <cell r="I4820">
            <v>50000</v>
          </cell>
        </row>
        <row r="4821">
          <cell r="C4821" t="str">
            <v>은행</v>
          </cell>
          <cell r="E4821" t="str">
            <v>국민은행</v>
          </cell>
          <cell r="H4821">
            <v>40</v>
          </cell>
          <cell r="I4821">
            <v>22000</v>
          </cell>
        </row>
        <row r="4822">
          <cell r="C4822" t="str">
            <v>은행</v>
          </cell>
          <cell r="E4822" t="str">
            <v>국민은행</v>
          </cell>
          <cell r="H4822">
            <v>5</v>
          </cell>
          <cell r="I4822">
            <v>60000</v>
          </cell>
        </row>
        <row r="4823">
          <cell r="C4823" t="str">
            <v>은행</v>
          </cell>
          <cell r="E4823" t="str">
            <v>국민은행</v>
          </cell>
          <cell r="H4823">
            <v>52</v>
          </cell>
          <cell r="I4823">
            <v>49000</v>
          </cell>
        </row>
        <row r="4824">
          <cell r="C4824" t="str">
            <v>은행</v>
          </cell>
          <cell r="E4824" t="str">
            <v>국민은행</v>
          </cell>
          <cell r="H4824">
            <v>29</v>
          </cell>
          <cell r="I4824">
            <v>40000</v>
          </cell>
        </row>
        <row r="4825">
          <cell r="C4825" t="str">
            <v>은행</v>
          </cell>
          <cell r="E4825" t="str">
            <v>국민은행</v>
          </cell>
          <cell r="H4825">
            <v>39</v>
          </cell>
          <cell r="I4825">
            <v>40000</v>
          </cell>
        </row>
        <row r="4826">
          <cell r="C4826" t="str">
            <v>은행</v>
          </cell>
          <cell r="E4826" t="str">
            <v>국민은행</v>
          </cell>
          <cell r="H4826">
            <v>29</v>
          </cell>
          <cell r="I4826">
            <v>60000</v>
          </cell>
        </row>
        <row r="4827">
          <cell r="C4827" t="str">
            <v>은행</v>
          </cell>
          <cell r="E4827" t="str">
            <v>국민은행</v>
          </cell>
          <cell r="H4827">
            <v>39</v>
          </cell>
          <cell r="I4827">
            <v>60000</v>
          </cell>
        </row>
        <row r="4828">
          <cell r="C4828" t="str">
            <v>은행</v>
          </cell>
          <cell r="E4828" t="str">
            <v>국민은행</v>
          </cell>
          <cell r="H4828">
            <v>40</v>
          </cell>
          <cell r="I4828">
            <v>35000</v>
          </cell>
        </row>
        <row r="4829">
          <cell r="C4829" t="str">
            <v>은행</v>
          </cell>
          <cell r="E4829" t="str">
            <v>국민은행</v>
          </cell>
          <cell r="H4829">
            <v>40</v>
          </cell>
          <cell r="I4829">
            <v>13000</v>
          </cell>
        </row>
        <row r="4830">
          <cell r="C4830" t="str">
            <v>은행</v>
          </cell>
          <cell r="E4830" t="str">
            <v>국민은행</v>
          </cell>
          <cell r="H4830">
            <v>40</v>
          </cell>
          <cell r="I4830">
            <v>50000</v>
          </cell>
        </row>
        <row r="4831">
          <cell r="C4831" t="str">
            <v>은행</v>
          </cell>
          <cell r="E4831" t="str">
            <v>국민은행</v>
          </cell>
          <cell r="H4831">
            <v>40</v>
          </cell>
          <cell r="I4831">
            <v>21500</v>
          </cell>
        </row>
        <row r="4832">
          <cell r="C4832" t="str">
            <v>은행</v>
          </cell>
          <cell r="E4832" t="str">
            <v>국민은행</v>
          </cell>
          <cell r="H4832">
            <v>20</v>
          </cell>
          <cell r="I4832">
            <v>37000</v>
          </cell>
        </row>
        <row r="4833">
          <cell r="C4833" t="str">
            <v>은행</v>
          </cell>
          <cell r="E4833" t="str">
            <v>국민은행</v>
          </cell>
          <cell r="H4833">
            <v>51</v>
          </cell>
          <cell r="I4833">
            <v>22000</v>
          </cell>
        </row>
        <row r="4834">
          <cell r="C4834" t="str">
            <v>은행</v>
          </cell>
          <cell r="E4834" t="str">
            <v>국민은행</v>
          </cell>
          <cell r="H4834">
            <v>1</v>
          </cell>
          <cell r="I4834">
            <v>18000</v>
          </cell>
        </row>
        <row r="4835">
          <cell r="C4835" t="str">
            <v>은행</v>
          </cell>
          <cell r="E4835" t="str">
            <v>산업은행</v>
          </cell>
          <cell r="H4835">
            <v>50</v>
          </cell>
          <cell r="I4835">
            <v>210000</v>
          </cell>
        </row>
        <row r="4836">
          <cell r="C4836" t="str">
            <v>은행</v>
          </cell>
          <cell r="E4836" t="str">
            <v>산업은행</v>
          </cell>
          <cell r="H4836">
            <v>1000</v>
          </cell>
          <cell r="I4836">
            <v>0</v>
          </cell>
        </row>
        <row r="4837">
          <cell r="C4837" t="str">
            <v>은행</v>
          </cell>
          <cell r="E4837" t="str">
            <v>산업은행</v>
          </cell>
          <cell r="H4837">
            <v>1000</v>
          </cell>
          <cell r="I4837">
            <v>0</v>
          </cell>
        </row>
        <row r="4838">
          <cell r="C4838" t="str">
            <v>은행</v>
          </cell>
          <cell r="E4838" t="str">
            <v>산업은행</v>
          </cell>
          <cell r="H4838">
            <v>1000</v>
          </cell>
          <cell r="I4838">
            <v>0</v>
          </cell>
        </row>
        <row r="4839">
          <cell r="C4839" t="str">
            <v>은행</v>
          </cell>
          <cell r="E4839" t="str">
            <v>산업은행</v>
          </cell>
          <cell r="H4839">
            <v>5</v>
          </cell>
          <cell r="I4839">
            <v>80000</v>
          </cell>
        </row>
        <row r="4840">
          <cell r="C4840" t="str">
            <v>은행</v>
          </cell>
          <cell r="E4840" t="str">
            <v>산업은행</v>
          </cell>
          <cell r="H4840">
            <v>1000</v>
          </cell>
          <cell r="I4840">
            <v>38000</v>
          </cell>
        </row>
        <row r="4841">
          <cell r="C4841" t="str">
            <v>은행</v>
          </cell>
          <cell r="E4841" t="str">
            <v>산업은행</v>
          </cell>
          <cell r="H4841">
            <v>1000</v>
          </cell>
          <cell r="I4841">
            <v>38000</v>
          </cell>
        </row>
        <row r="4842">
          <cell r="C4842" t="str">
            <v>은행</v>
          </cell>
          <cell r="E4842" t="str">
            <v>산업은행</v>
          </cell>
          <cell r="H4842">
            <v>1000</v>
          </cell>
          <cell r="I4842">
            <v>0</v>
          </cell>
        </row>
        <row r="4843">
          <cell r="C4843" t="str">
            <v>은행</v>
          </cell>
          <cell r="E4843" t="str">
            <v>산업은행</v>
          </cell>
          <cell r="H4843">
            <v>1000</v>
          </cell>
          <cell r="I4843">
            <v>0</v>
          </cell>
        </row>
        <row r="4844">
          <cell r="C4844" t="str">
            <v>은행</v>
          </cell>
          <cell r="E4844" t="str">
            <v>산업은행</v>
          </cell>
          <cell r="H4844">
            <v>1000</v>
          </cell>
          <cell r="I4844">
            <v>0</v>
          </cell>
        </row>
        <row r="4845">
          <cell r="C4845" t="str">
            <v>은행</v>
          </cell>
          <cell r="E4845" t="str">
            <v>산업은행</v>
          </cell>
          <cell r="H4845">
            <v>1000</v>
          </cell>
          <cell r="I4845">
            <v>0</v>
          </cell>
        </row>
        <row r="4846">
          <cell r="C4846" t="str">
            <v>은행</v>
          </cell>
          <cell r="E4846" t="str">
            <v>수협중앙회</v>
          </cell>
          <cell r="H4846">
            <v>1000</v>
          </cell>
          <cell r="I4846">
            <v>0</v>
          </cell>
        </row>
        <row r="4847">
          <cell r="C4847" t="str">
            <v>은행</v>
          </cell>
          <cell r="E4847" t="str">
            <v>수협중앙회</v>
          </cell>
          <cell r="H4847">
            <v>1000</v>
          </cell>
          <cell r="I4847">
            <v>0</v>
          </cell>
        </row>
        <row r="4848">
          <cell r="C4848" t="str">
            <v>은행</v>
          </cell>
          <cell r="E4848" t="str">
            <v>수협중앙회</v>
          </cell>
          <cell r="H4848">
            <v>1000</v>
          </cell>
          <cell r="I4848">
            <v>0</v>
          </cell>
        </row>
        <row r="4849">
          <cell r="C4849" t="str">
            <v>은행</v>
          </cell>
          <cell r="E4849" t="str">
            <v>수협중앙회</v>
          </cell>
          <cell r="H4849">
            <v>1000</v>
          </cell>
          <cell r="I4849">
            <v>0</v>
          </cell>
        </row>
        <row r="4850">
          <cell r="C4850" t="str">
            <v>은행</v>
          </cell>
          <cell r="E4850" t="str">
            <v>수협중앙회</v>
          </cell>
          <cell r="H4850">
            <v>1000</v>
          </cell>
          <cell r="I4850">
            <v>0</v>
          </cell>
        </row>
        <row r="4851">
          <cell r="C4851" t="str">
            <v>은행</v>
          </cell>
          <cell r="E4851" t="str">
            <v>기업은행</v>
          </cell>
          <cell r="H4851">
            <v>1000</v>
          </cell>
          <cell r="I4851">
            <v>0</v>
          </cell>
        </row>
        <row r="4852">
          <cell r="C4852" t="str">
            <v>은행</v>
          </cell>
          <cell r="E4852" t="str">
            <v>농협중앙회</v>
          </cell>
          <cell r="H4852">
            <v>40</v>
          </cell>
          <cell r="I4852">
            <v>50000</v>
          </cell>
        </row>
        <row r="4853">
          <cell r="C4853" t="str">
            <v>은행</v>
          </cell>
          <cell r="E4853" t="str">
            <v>농협중앙회</v>
          </cell>
          <cell r="H4853">
            <v>35</v>
          </cell>
          <cell r="I4853">
            <v>50000</v>
          </cell>
        </row>
        <row r="4854">
          <cell r="C4854" t="str">
            <v>은행</v>
          </cell>
          <cell r="E4854" t="str">
            <v>농협중앙회</v>
          </cell>
          <cell r="H4854">
            <v>40</v>
          </cell>
          <cell r="I4854">
            <v>500</v>
          </cell>
        </row>
        <row r="4855">
          <cell r="C4855" t="str">
            <v>은행</v>
          </cell>
          <cell r="E4855" t="str">
            <v>농협중앙회</v>
          </cell>
          <cell r="H4855">
            <v>35</v>
          </cell>
          <cell r="I4855">
            <v>500</v>
          </cell>
        </row>
        <row r="4856">
          <cell r="C4856" t="str">
            <v>은행</v>
          </cell>
          <cell r="E4856" t="str">
            <v>농협중앙회</v>
          </cell>
          <cell r="H4856">
            <v>13</v>
          </cell>
          <cell r="I4856">
            <v>70000</v>
          </cell>
        </row>
        <row r="4857">
          <cell r="C4857" t="str">
            <v>은행</v>
          </cell>
          <cell r="E4857" t="str">
            <v>농협중앙회</v>
          </cell>
          <cell r="H4857">
            <v>45</v>
          </cell>
          <cell r="I4857">
            <v>15000</v>
          </cell>
        </row>
        <row r="4858">
          <cell r="C4858" t="str">
            <v>은행</v>
          </cell>
          <cell r="E4858" t="str">
            <v>농협중앙회</v>
          </cell>
          <cell r="H4858">
            <v>8</v>
          </cell>
          <cell r="I4858">
            <v>91300</v>
          </cell>
        </row>
        <row r="4859">
          <cell r="C4859" t="str">
            <v>증권</v>
          </cell>
          <cell r="E4859" t="str">
            <v>우리투자증권</v>
          </cell>
          <cell r="H4859">
            <v>5</v>
          </cell>
          <cell r="I4859">
            <v>31400</v>
          </cell>
        </row>
        <row r="4860">
          <cell r="C4860" t="str">
            <v>증권</v>
          </cell>
          <cell r="E4860" t="str">
            <v>우리투자증권</v>
          </cell>
          <cell r="H4860">
            <v>3</v>
          </cell>
          <cell r="I4860">
            <v>38000</v>
          </cell>
        </row>
        <row r="4861">
          <cell r="C4861" t="str">
            <v>증권</v>
          </cell>
          <cell r="E4861" t="str">
            <v>우리투자증권</v>
          </cell>
          <cell r="H4861">
            <v>3</v>
          </cell>
          <cell r="I4861">
            <v>15500</v>
          </cell>
        </row>
        <row r="4862">
          <cell r="C4862" t="str">
            <v>증권</v>
          </cell>
          <cell r="E4862" t="str">
            <v>우리투자증권</v>
          </cell>
          <cell r="H4862">
            <v>3</v>
          </cell>
          <cell r="I4862">
            <v>200000</v>
          </cell>
        </row>
        <row r="4863">
          <cell r="C4863" t="str">
            <v>증권</v>
          </cell>
          <cell r="E4863" t="str">
            <v>우리투자증권</v>
          </cell>
          <cell r="H4863">
            <v>3</v>
          </cell>
          <cell r="I4863">
            <v>90000</v>
          </cell>
        </row>
        <row r="4864">
          <cell r="C4864" t="str">
            <v>증권</v>
          </cell>
          <cell r="E4864" t="str">
            <v>우리투자증권</v>
          </cell>
          <cell r="H4864">
            <v>31</v>
          </cell>
          <cell r="I4864">
            <v>44000</v>
          </cell>
        </row>
        <row r="4865">
          <cell r="C4865" t="str">
            <v>증권</v>
          </cell>
          <cell r="E4865" t="str">
            <v>우리투자증권</v>
          </cell>
          <cell r="H4865">
            <v>1</v>
          </cell>
          <cell r="I4865">
            <v>77000</v>
          </cell>
        </row>
        <row r="4866">
          <cell r="C4866" t="str">
            <v>증권</v>
          </cell>
          <cell r="E4866" t="str">
            <v>우리투자증권</v>
          </cell>
          <cell r="H4866">
            <v>1</v>
          </cell>
          <cell r="I4866">
            <v>0</v>
          </cell>
        </row>
        <row r="4867">
          <cell r="C4867" t="str">
            <v>증권</v>
          </cell>
          <cell r="E4867" t="str">
            <v>하나대투증권</v>
          </cell>
          <cell r="H4867">
            <v>5</v>
          </cell>
          <cell r="I4867">
            <v>144000</v>
          </cell>
        </row>
        <row r="4868">
          <cell r="C4868" t="str">
            <v>증권</v>
          </cell>
          <cell r="E4868" t="str">
            <v>대우증권</v>
          </cell>
          <cell r="H4868">
            <v>5</v>
          </cell>
          <cell r="I4868">
            <v>0</v>
          </cell>
        </row>
        <row r="4869">
          <cell r="C4869" t="str">
            <v>증권</v>
          </cell>
          <cell r="E4869" t="str">
            <v>대우증권</v>
          </cell>
          <cell r="H4869">
            <v>5</v>
          </cell>
          <cell r="I4869">
            <v>0</v>
          </cell>
        </row>
        <row r="4870">
          <cell r="C4870" t="str">
            <v>증권</v>
          </cell>
          <cell r="E4870" t="str">
            <v>부국증권</v>
          </cell>
          <cell r="H4870">
            <v>56</v>
          </cell>
          <cell r="I4870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2. 담보명세"/>
      <sheetName val="인건비"/>
      <sheetName val="정산표"/>
      <sheetName val="코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전체내역"/>
      <sheetName val="출금실적"/>
      <sheetName val="공통속성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COMPS"/>
      <sheetName val="6 취합중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표지어음"/>
      <sheetName val="분개장"/>
      <sheetName val="HR 8.PJ건강"/>
      <sheetName val="HR 1.PJ기본급"/>
      <sheetName val="HR 2.PJ상여"/>
      <sheetName val="fxrate"/>
      <sheetName val="3.손익"/>
      <sheetName val="4.원가"/>
      <sheetName val="Ⅰ-1"/>
      <sheetName val="주요비율-낙관"/>
      <sheetName val="결산보고"/>
      <sheetName val="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잔존년수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차주별평가결과"/>
      <sheetName val="항고구분"/>
      <sheetName val="통장출금액"/>
      <sheetName val="계정code"/>
      <sheetName val="Variable"/>
      <sheetName val="3백이하"/>
      <sheetName val="이익잉여금처분계산서"/>
      <sheetName val="재무상태변동표"/>
      <sheetName val="제조원가명세서"/>
      <sheetName val="현금흐름표"/>
      <sheetName val="정의"/>
      <sheetName val="COBS"/>
      <sheetName val="원데이타(1)"/>
      <sheetName val="여담"/>
      <sheetName val="가정"/>
      <sheetName val="정산표"/>
      <sheetName val="Data"/>
      <sheetName val="당월실적"/>
      <sheetName val="conclusion"/>
      <sheetName val="Deduction"/>
      <sheetName val="other"/>
      <sheetName val="손익집계(공장별)"/>
      <sheetName val="기본데이터"/>
      <sheetName val="연체대출"/>
      <sheetName val="기대회수율산정"/>
      <sheetName val="기대회수Schedule"/>
      <sheetName val="10월"/>
      <sheetName val="합손"/>
      <sheetName val="월간단가"/>
      <sheetName val="Sheet1"/>
      <sheetName val="4담보주식"/>
      <sheetName val="인건비"/>
      <sheetName val="첨부1"/>
      <sheetName val="권리분석"/>
      <sheetName val="MatchCode"/>
      <sheetName val="기초자료"/>
      <sheetName val="집계표"/>
      <sheetName val="공문"/>
      <sheetName val="총량"/>
      <sheetName val="att00001"/>
      <sheetName val="차수"/>
      <sheetName val="검토"/>
      <sheetName val="보유"/>
      <sheetName val="★경쟁사회수 "/>
      <sheetName val="조회서"/>
      <sheetName val="목록"/>
      <sheetName val="투자유가증권"/>
      <sheetName val="이익잉여금"/>
      <sheetName val="대차대조표"/>
      <sheetName val="1_當期시산표"/>
      <sheetName val="1-1-1-2"/>
      <sheetName val="제일은행"/>
      <sheetName val="9-1차이내역"/>
      <sheetName val="손익계산서"/>
      <sheetName val="I. Balance Sheet"/>
      <sheetName val="Variables"/>
      <sheetName val="단말댓수"/>
      <sheetName val="기준"/>
      <sheetName val="BS"/>
      <sheetName val="신용카드명세작업용"/>
      <sheetName val="급여표"/>
      <sheetName val="fxrate"/>
      <sheetName val="잉여금"/>
      <sheetName val="이익조정"/>
      <sheetName val="안전관리실"/>
      <sheetName val="연말결산03"/>
      <sheetName val="현황요약"/>
      <sheetName val="전신전화가입권"/>
      <sheetName val="결정단가"/>
      <sheetName val="comparables"/>
      <sheetName val="시장성초안camera"/>
      <sheetName val="TOEIC기준점수"/>
      <sheetName val="INFO"/>
      <sheetName val="노임이"/>
    </sheetNames>
    <sheetDataSet>
      <sheetData sheetId="0">
        <row r="9">
          <cell r="N9" t="str">
            <v>당행회수비용</v>
          </cell>
        </row>
      </sheetData>
      <sheetData sheetId="1" refreshError="1">
        <row r="7">
          <cell r="B7" t="str">
            <v>채무자</v>
          </cell>
          <cell r="C7" t="str">
            <v>잔존년수</v>
          </cell>
        </row>
        <row r="8">
          <cell r="B8" t="str">
            <v>경동산업</v>
          </cell>
          <cell r="C8">
            <v>20</v>
          </cell>
        </row>
        <row r="9">
          <cell r="B9" t="str">
            <v>금용종합건설</v>
          </cell>
          <cell r="C9">
            <v>20</v>
          </cell>
        </row>
        <row r="10">
          <cell r="B10" t="str">
            <v>삼희산업</v>
          </cell>
          <cell r="C10">
            <v>20</v>
          </cell>
        </row>
        <row r="11">
          <cell r="B11" t="str">
            <v>고려</v>
          </cell>
          <cell r="C11">
            <v>4</v>
          </cell>
        </row>
        <row r="12">
          <cell r="B12" t="str">
            <v>한전자기</v>
          </cell>
          <cell r="C12">
            <v>20</v>
          </cell>
        </row>
        <row r="13">
          <cell r="B13" t="str">
            <v>해태유통</v>
          </cell>
          <cell r="C13">
            <v>4</v>
          </cell>
        </row>
        <row r="14">
          <cell r="B14" t="str">
            <v>해태전자</v>
          </cell>
          <cell r="C14">
            <v>4</v>
          </cell>
        </row>
        <row r="15">
          <cell r="B15" t="str">
            <v>우아미</v>
          </cell>
          <cell r="C15">
            <v>4</v>
          </cell>
        </row>
        <row r="16">
          <cell r="B16" t="str">
            <v>신성통상</v>
          </cell>
          <cell r="C16">
            <v>4</v>
          </cell>
        </row>
        <row r="17">
          <cell r="B17" t="str">
            <v>신한</v>
          </cell>
          <cell r="C17">
            <v>4</v>
          </cell>
        </row>
        <row r="18">
          <cell r="B18" t="str">
            <v>우양지질</v>
          </cell>
          <cell r="C18">
            <v>20</v>
          </cell>
        </row>
        <row r="19">
          <cell r="B19" t="str">
            <v>마이크로세라믹</v>
          </cell>
          <cell r="C19">
            <v>20</v>
          </cell>
        </row>
        <row r="20">
          <cell r="B20" t="str">
            <v>유성목재산업</v>
          </cell>
          <cell r="C20">
            <v>20</v>
          </cell>
        </row>
        <row r="21">
          <cell r="B21" t="str">
            <v>한일스텐레스</v>
          </cell>
          <cell r="C21">
            <v>20</v>
          </cell>
        </row>
        <row r="22">
          <cell r="B22" t="str">
            <v>유성</v>
          </cell>
          <cell r="C22">
            <v>20</v>
          </cell>
        </row>
        <row r="23">
          <cell r="B23" t="str">
            <v>대붕전자</v>
          </cell>
          <cell r="C23">
            <v>20</v>
          </cell>
        </row>
      </sheetData>
      <sheetData sheetId="2"/>
      <sheetData sheetId="3"/>
      <sheetData sheetId="4"/>
      <sheetData sheetId="5" refreshError="1">
        <row r="9">
          <cell r="C9" t="str">
            <v>차주번호</v>
          </cell>
          <cell r="S9" t="str">
            <v>대출잔액</v>
          </cell>
          <cell r="T9" t="str">
            <v>미수이자</v>
          </cell>
        </row>
        <row r="10">
          <cell r="C10">
            <v>2</v>
          </cell>
          <cell r="S10">
            <v>1871375.0832469999</v>
          </cell>
          <cell r="T10">
            <v>1587291.2720000001</v>
          </cell>
        </row>
        <row r="11">
          <cell r="C11">
            <v>4</v>
          </cell>
          <cell r="S11">
            <v>4778742.6569999997</v>
          </cell>
          <cell r="T11">
            <v>1530157.9669999999</v>
          </cell>
        </row>
        <row r="12">
          <cell r="C12">
            <v>5</v>
          </cell>
          <cell r="S12">
            <v>607778.61</v>
          </cell>
          <cell r="T12">
            <v>133041.12400000001</v>
          </cell>
        </row>
        <row r="13">
          <cell r="C13">
            <v>12</v>
          </cell>
          <cell r="S13">
            <v>12268271.995227998</v>
          </cell>
          <cell r="T13">
            <v>1545883.430131</v>
          </cell>
        </row>
        <row r="14">
          <cell r="C14">
            <v>14</v>
          </cell>
          <cell r="S14">
            <v>1658048.368</v>
          </cell>
          <cell r="T14">
            <v>949865.13899999997</v>
          </cell>
        </row>
        <row r="15">
          <cell r="C15">
            <v>15</v>
          </cell>
          <cell r="S15">
            <v>15594660.982999999</v>
          </cell>
          <cell r="T15">
            <v>5939542.6390000004</v>
          </cell>
        </row>
        <row r="16">
          <cell r="C16">
            <v>16</v>
          </cell>
          <cell r="S16">
            <v>32701838.560238</v>
          </cell>
          <cell r="T16">
            <v>13658432.754872</v>
          </cell>
        </row>
        <row r="17">
          <cell r="C17">
            <v>20</v>
          </cell>
          <cell r="S17">
            <v>37672796.631999999</v>
          </cell>
          <cell r="T17">
            <v>0</v>
          </cell>
        </row>
        <row r="18">
          <cell r="C18">
            <v>26</v>
          </cell>
          <cell r="S18">
            <v>11907163.642999999</v>
          </cell>
          <cell r="T18">
            <v>1832700.1470000001</v>
          </cell>
        </row>
        <row r="19">
          <cell r="C19">
            <v>27</v>
          </cell>
          <cell r="S19">
            <v>3466079.605</v>
          </cell>
          <cell r="T19">
            <v>538006.63300000003</v>
          </cell>
        </row>
        <row r="20">
          <cell r="C20">
            <v>35</v>
          </cell>
          <cell r="S20">
            <v>1530737.14</v>
          </cell>
          <cell r="T20">
            <v>462806.78899999999</v>
          </cell>
        </row>
        <row r="21">
          <cell r="C21">
            <v>38</v>
          </cell>
          <cell r="S21">
            <v>3651727.3650000002</v>
          </cell>
          <cell r="T21">
            <v>2285889.8969999999</v>
          </cell>
        </row>
        <row r="22">
          <cell r="C22">
            <v>40</v>
          </cell>
          <cell r="S22">
            <v>655129.42200000002</v>
          </cell>
          <cell r="T22">
            <v>198563.17600000001</v>
          </cell>
        </row>
        <row r="23">
          <cell r="C23">
            <v>46</v>
          </cell>
          <cell r="S23">
            <v>1770177.997</v>
          </cell>
          <cell r="T23">
            <v>3142316.7549999999</v>
          </cell>
        </row>
        <row r="24">
          <cell r="C24">
            <v>49</v>
          </cell>
          <cell r="S24">
            <v>4172542.2878999999</v>
          </cell>
          <cell r="T24">
            <v>4956891.78</v>
          </cell>
        </row>
        <row r="25">
          <cell r="C25">
            <v>53</v>
          </cell>
          <cell r="S25">
            <v>1554835.2490000001</v>
          </cell>
        </row>
      </sheetData>
      <sheetData sheetId="6" refreshError="1">
        <row r="9">
          <cell r="B9" t="str">
            <v>일련번호</v>
          </cell>
          <cell r="M9" t="str">
            <v>회수가능비용</v>
          </cell>
          <cell r="N9" t="str">
            <v>당행회수비용</v>
          </cell>
        </row>
        <row r="10">
          <cell r="B10">
            <v>1</v>
          </cell>
          <cell r="M10">
            <v>7412.6681731537601</v>
          </cell>
          <cell r="N10">
            <v>7412.6681731537601</v>
          </cell>
        </row>
        <row r="11">
          <cell r="B11">
            <v>2</v>
          </cell>
          <cell r="M11">
            <v>13469.592726560002</v>
          </cell>
          <cell r="N11">
            <v>13469.592726560002</v>
          </cell>
        </row>
        <row r="12">
          <cell r="B12">
            <v>3</v>
          </cell>
          <cell r="M12">
            <v>1419.9186506861922</v>
          </cell>
          <cell r="N12">
            <v>1419.9186506861922</v>
          </cell>
        </row>
        <row r="13">
          <cell r="B13">
            <v>4</v>
          </cell>
          <cell r="M13">
            <v>1387.010625056849</v>
          </cell>
          <cell r="N13">
            <v>1387.010625056849</v>
          </cell>
        </row>
        <row r="14">
          <cell r="B14">
            <v>5</v>
          </cell>
          <cell r="M14">
            <v>4626.824692721987</v>
          </cell>
          <cell r="N14">
            <v>4626.824692721987</v>
          </cell>
        </row>
        <row r="15">
          <cell r="B15">
            <v>6</v>
          </cell>
          <cell r="M15">
            <v>12628.476724833063</v>
          </cell>
          <cell r="N15">
            <v>12628.476724833063</v>
          </cell>
        </row>
        <row r="16">
          <cell r="B16">
            <v>7</v>
          </cell>
          <cell r="M16">
            <v>18714.693683633355</v>
          </cell>
          <cell r="N16">
            <v>18714.693683633355</v>
          </cell>
        </row>
        <row r="17">
          <cell r="B17">
            <v>8</v>
          </cell>
          <cell r="M17">
            <v>4337.7188679717083</v>
          </cell>
          <cell r="N17">
            <v>4337.7188679717083</v>
          </cell>
        </row>
        <row r="18">
          <cell r="B18">
            <v>9</v>
          </cell>
          <cell r="M18">
            <v>6983.3486054400018</v>
          </cell>
          <cell r="N18">
            <v>6983.3486054400018</v>
          </cell>
        </row>
        <row r="19">
          <cell r="B19">
            <v>10</v>
          </cell>
          <cell r="M19">
            <v>8839.0317870711442</v>
          </cell>
          <cell r="N19">
            <v>8839.0317870711442</v>
          </cell>
        </row>
        <row r="20">
          <cell r="B20">
            <v>11</v>
          </cell>
          <cell r="M20">
            <v>4909.8289818332596</v>
          </cell>
          <cell r="N20">
            <v>4909.8289818332596</v>
          </cell>
        </row>
        <row r="21">
          <cell r="B21">
            <v>12</v>
          </cell>
          <cell r="M21">
            <v>5709.3114791171765</v>
          </cell>
          <cell r="N21">
            <v>5709.3114791171765</v>
          </cell>
        </row>
        <row r="22">
          <cell r="B22">
            <v>13</v>
          </cell>
          <cell r="M22">
            <v>17870.537234604253</v>
          </cell>
          <cell r="N22">
            <v>17870.537234604253</v>
          </cell>
        </row>
        <row r="23">
          <cell r="B23">
            <v>14</v>
          </cell>
          <cell r="M23">
            <v>12430.631259130487</v>
          </cell>
          <cell r="N23">
            <v>12430.631259130487</v>
          </cell>
        </row>
        <row r="24">
          <cell r="B24">
            <v>15</v>
          </cell>
          <cell r="M24">
            <v>63769.843866018884</v>
          </cell>
          <cell r="N24">
            <v>63769.843866018884</v>
          </cell>
        </row>
        <row r="25">
          <cell r="B25">
            <v>16</v>
          </cell>
          <cell r="M25">
            <v>72513.930072319999</v>
          </cell>
          <cell r="N25">
            <v>72513.930072319999</v>
          </cell>
        </row>
        <row r="26">
          <cell r="B26">
            <v>17</v>
          </cell>
          <cell r="M26">
            <v>27034.189103120003</v>
          </cell>
          <cell r="N26">
            <v>27034.189103120003</v>
          </cell>
        </row>
        <row r="27">
          <cell r="B27">
            <v>18</v>
          </cell>
          <cell r="M27">
            <v>694.60800000000006</v>
          </cell>
          <cell r="N27">
            <v>694.60800000000006</v>
          </cell>
        </row>
        <row r="28">
          <cell r="B28">
            <v>19</v>
          </cell>
          <cell r="M28">
            <v>694.60800000000006</v>
          </cell>
          <cell r="N28">
            <v>694.60800000000006</v>
          </cell>
        </row>
        <row r="29">
          <cell r="B29">
            <v>20</v>
          </cell>
          <cell r="M29">
            <v>694.60800000000006</v>
          </cell>
          <cell r="N29">
            <v>694.60800000000006</v>
          </cell>
        </row>
        <row r="30">
          <cell r="B30">
            <v>21</v>
          </cell>
          <cell r="M30">
            <v>694.60800000000006</v>
          </cell>
          <cell r="N30">
            <v>694.60800000000006</v>
          </cell>
        </row>
        <row r="31">
          <cell r="B31">
            <v>22</v>
          </cell>
          <cell r="M31">
            <v>694.60800000000006</v>
          </cell>
          <cell r="N31">
            <v>694.60800000000006</v>
          </cell>
        </row>
        <row r="32">
          <cell r="B32">
            <v>23</v>
          </cell>
          <cell r="M32">
            <v>694.60800000000006</v>
          </cell>
          <cell r="N32">
            <v>694.60800000000006</v>
          </cell>
        </row>
        <row r="33">
          <cell r="B33">
            <v>24</v>
          </cell>
          <cell r="M33">
            <v>694.60800000000006</v>
          </cell>
          <cell r="N33">
            <v>694.60800000000006</v>
          </cell>
        </row>
        <row r="34">
          <cell r="B34">
            <v>25</v>
          </cell>
          <cell r="M34">
            <v>694.60800000000006</v>
          </cell>
          <cell r="N34">
            <v>694.60800000000006</v>
          </cell>
        </row>
        <row r="35">
          <cell r="B35">
            <v>26</v>
          </cell>
          <cell r="M35">
            <v>694.60800000000006</v>
          </cell>
          <cell r="N35">
            <v>694.60800000000006</v>
          </cell>
        </row>
        <row r="36">
          <cell r="B36">
            <v>27</v>
          </cell>
          <cell r="M36">
            <v>694.60800000000006</v>
          </cell>
          <cell r="N36">
            <v>694.60800000000006</v>
          </cell>
        </row>
        <row r="37">
          <cell r="B37">
            <v>28</v>
          </cell>
          <cell r="M37">
            <v>694.60800000000006</v>
          </cell>
          <cell r="N37">
            <v>694.60800000000006</v>
          </cell>
        </row>
        <row r="38">
          <cell r="B38">
            <v>29</v>
          </cell>
          <cell r="M38">
            <v>694.60800000000006</v>
          </cell>
          <cell r="N38">
            <v>694.60800000000006</v>
          </cell>
        </row>
        <row r="39">
          <cell r="B39">
            <v>30</v>
          </cell>
          <cell r="M39">
            <v>694.60800000000006</v>
          </cell>
          <cell r="N39">
            <v>694.60800000000006</v>
          </cell>
        </row>
        <row r="40">
          <cell r="B40">
            <v>31</v>
          </cell>
          <cell r="M40">
            <v>694.60800000000006</v>
          </cell>
          <cell r="N40">
            <v>694.60800000000006</v>
          </cell>
        </row>
        <row r="41">
          <cell r="B41">
            <v>32</v>
          </cell>
          <cell r="M41">
            <v>694.60800000000006</v>
          </cell>
          <cell r="N41">
            <v>694.60800000000006</v>
          </cell>
        </row>
        <row r="42">
          <cell r="B42">
            <v>33</v>
          </cell>
          <cell r="M42">
            <v>10739.253578400001</v>
          </cell>
          <cell r="N42">
            <v>10739.253578400001</v>
          </cell>
        </row>
        <row r="43">
          <cell r="B43">
            <v>34</v>
          </cell>
          <cell r="M43">
            <v>4296.8758693363807</v>
          </cell>
          <cell r="N43">
            <v>4296.8758693363807</v>
          </cell>
        </row>
        <row r="44">
          <cell r="B44">
            <v>35</v>
          </cell>
          <cell r="M44">
            <v>4925.1194767221532</v>
          </cell>
          <cell r="N44">
            <v>4925.1194767221532</v>
          </cell>
        </row>
        <row r="45">
          <cell r="B45">
            <v>36</v>
          </cell>
          <cell r="M45">
            <v>4541.7619051414658</v>
          </cell>
          <cell r="N45">
            <v>4541.7619051414658</v>
          </cell>
        </row>
        <row r="46">
          <cell r="B46">
            <v>37</v>
          </cell>
          <cell r="M46">
            <v>11120.600919200002</v>
          </cell>
          <cell r="N46">
            <v>11120.600919200002</v>
          </cell>
        </row>
        <row r="47">
          <cell r="B47">
            <v>38</v>
          </cell>
          <cell r="M47">
            <v>4104.1716330812151</v>
          </cell>
          <cell r="N47">
            <v>4104.1716330812151</v>
          </cell>
        </row>
        <row r="48">
          <cell r="B48">
            <v>39</v>
          </cell>
          <cell r="M48">
            <v>4298.9135646787863</v>
          </cell>
          <cell r="N48">
            <v>4298.9135646787863</v>
          </cell>
        </row>
        <row r="49">
          <cell r="B49">
            <v>40</v>
          </cell>
          <cell r="M49">
            <v>19058.608000000004</v>
          </cell>
          <cell r="N49">
            <v>0</v>
          </cell>
        </row>
        <row r="50">
          <cell r="B50">
            <v>41</v>
          </cell>
          <cell r="M50">
            <v>11849.808000000001</v>
          </cell>
          <cell r="N50">
            <v>0</v>
          </cell>
        </row>
        <row r="51">
          <cell r="B51">
            <v>42</v>
          </cell>
          <cell r="M51">
            <v>11849.808000000001</v>
          </cell>
          <cell r="N51">
            <v>0</v>
          </cell>
        </row>
        <row r="52">
          <cell r="B52">
            <v>43</v>
          </cell>
          <cell r="M52">
            <v>699.40800000000002</v>
          </cell>
          <cell r="N52">
            <v>699.40800000000002</v>
          </cell>
        </row>
        <row r="53">
          <cell r="B53">
            <v>44</v>
          </cell>
          <cell r="M53">
            <v>9826.5464179761166</v>
          </cell>
          <cell r="N53">
            <v>9826.5464179761166</v>
          </cell>
        </row>
        <row r="54">
          <cell r="B54">
            <v>45</v>
          </cell>
          <cell r="M54">
            <v>5844.138888497223</v>
          </cell>
          <cell r="N54">
            <v>5844.138888497223</v>
          </cell>
        </row>
        <row r="55">
          <cell r="B55">
            <v>46</v>
          </cell>
          <cell r="M55">
            <v>6763.865317920001</v>
          </cell>
          <cell r="N55">
            <v>6763.865317920001</v>
          </cell>
        </row>
        <row r="56">
          <cell r="B56">
            <v>47</v>
          </cell>
          <cell r="M56">
            <v>699.40800000000002</v>
          </cell>
          <cell r="N56">
            <v>699.40800000000002</v>
          </cell>
        </row>
      </sheetData>
      <sheetData sheetId="7"/>
      <sheetData sheetId="8" refreshError="1">
        <row r="9">
          <cell r="B9" t="str">
            <v>소재지</v>
          </cell>
          <cell r="C9" t="str">
            <v>소재지번호</v>
          </cell>
          <cell r="D9" t="str">
            <v>지역</v>
          </cell>
          <cell r="E9" t="str">
            <v>그룹핑</v>
          </cell>
          <cell r="F9" t="str">
            <v>법원N0</v>
          </cell>
          <cell r="G9" t="str">
            <v>해당법원</v>
          </cell>
          <cell r="H9" t="str">
            <v>단독주택</v>
          </cell>
          <cell r="I9" t="str">
            <v>근린주택</v>
          </cell>
          <cell r="J9" t="str">
            <v>아파트</v>
          </cell>
          <cell r="K9" t="str">
            <v>상가아파트</v>
          </cell>
          <cell r="L9" t="str">
            <v>연립주택</v>
          </cell>
          <cell r="M9" t="str">
            <v>다세대,빌라</v>
          </cell>
          <cell r="N9" t="str">
            <v>점포상가</v>
          </cell>
          <cell r="O9" t="str">
            <v>빌딩</v>
          </cell>
          <cell r="P9" t="str">
            <v>근린상가</v>
          </cell>
          <cell r="Q9" t="str">
            <v>오피스텔</v>
          </cell>
          <cell r="R9" t="str">
            <v>숙박시설</v>
          </cell>
          <cell r="S9" t="str">
            <v>기타건물</v>
          </cell>
          <cell r="T9" t="str">
            <v>임야</v>
          </cell>
          <cell r="U9" t="str">
            <v>대지</v>
          </cell>
          <cell r="V9" t="str">
            <v>잡종지</v>
          </cell>
          <cell r="W9" t="str">
            <v>전</v>
          </cell>
          <cell r="X9" t="str">
            <v>답</v>
          </cell>
          <cell r="Y9" t="str">
            <v>과수원</v>
          </cell>
          <cell r="Z9" t="str">
            <v>목장용지</v>
          </cell>
          <cell r="AA9" t="str">
            <v>기타토지</v>
          </cell>
          <cell r="AB9" t="str">
            <v>공장</v>
          </cell>
          <cell r="AC9" t="str">
            <v>차량,중기</v>
          </cell>
          <cell r="AD9" t="str">
            <v>선박</v>
          </cell>
          <cell r="AE9" t="str">
            <v>광업권</v>
          </cell>
        </row>
        <row r="10">
          <cell r="B10" t="str">
            <v>춘천시</v>
          </cell>
          <cell r="C10">
            <v>1</v>
          </cell>
          <cell r="D10" t="str">
            <v>강원</v>
          </cell>
          <cell r="E10" t="str">
            <v>도청소재지</v>
          </cell>
          <cell r="F10">
            <v>23</v>
          </cell>
          <cell r="G10" t="str">
            <v>춘천지방법원</v>
          </cell>
          <cell r="H10">
            <v>0.65800000000000003</v>
          </cell>
          <cell r="I10">
            <v>0.63700000000000001</v>
          </cell>
          <cell r="J10">
            <v>0.70399999999999996</v>
          </cell>
          <cell r="K10">
            <v>0.35</v>
          </cell>
          <cell r="L10">
            <v>0.62</v>
          </cell>
          <cell r="M10">
            <v>0.71199999999999997</v>
          </cell>
          <cell r="N10">
            <v>0.54500000000000004</v>
          </cell>
          <cell r="P10">
            <v>0.502</v>
          </cell>
          <cell r="Q10">
            <v>0.39300000000000002</v>
          </cell>
          <cell r="R10">
            <v>0.495</v>
          </cell>
          <cell r="S10">
            <v>0.55300000000000005</v>
          </cell>
          <cell r="T10">
            <v>0.64400000000000002</v>
          </cell>
          <cell r="U10">
            <v>0.7</v>
          </cell>
          <cell r="V10">
            <v>0.52900000000000003</v>
          </cell>
          <cell r="W10">
            <v>0.73699999999999999</v>
          </cell>
          <cell r="X10">
            <v>0.61799999999999999</v>
          </cell>
          <cell r="Y10">
            <v>0.72199999999999998</v>
          </cell>
          <cell r="Z10">
            <v>0.44600000000000001</v>
          </cell>
          <cell r="AB10">
            <v>0.438</v>
          </cell>
          <cell r="AC10">
            <v>0.77300000000000002</v>
          </cell>
        </row>
        <row r="11">
          <cell r="B11" t="str">
            <v>화천군</v>
          </cell>
          <cell r="C11">
            <v>2</v>
          </cell>
          <cell r="D11" t="str">
            <v>강원</v>
          </cell>
          <cell r="E11" t="str">
            <v>군이하지역</v>
          </cell>
          <cell r="F11">
            <v>23</v>
          </cell>
          <cell r="G11" t="str">
            <v>춘천지방법원</v>
          </cell>
          <cell r="H11">
            <v>0.56200000000000006</v>
          </cell>
          <cell r="I11">
            <v>0.53900000000000003</v>
          </cell>
          <cell r="J11">
            <v>0.65800000000000003</v>
          </cell>
          <cell r="K11">
            <v>0.69799999999999995</v>
          </cell>
          <cell r="L11">
            <v>0.52900000000000003</v>
          </cell>
          <cell r="M11">
            <v>0.505</v>
          </cell>
          <cell r="N11">
            <v>0.63700000000000001</v>
          </cell>
          <cell r="O11">
            <v>0.53900000000000003</v>
          </cell>
          <cell r="P11">
            <v>0.64600000000000002</v>
          </cell>
          <cell r="Q11">
            <v>0.39600000000000002</v>
          </cell>
          <cell r="R11">
            <v>0.55100000000000005</v>
          </cell>
          <cell r="S11">
            <v>0.58899999999999997</v>
          </cell>
          <cell r="T11">
            <v>0.51300000000000001</v>
          </cell>
          <cell r="U11">
            <v>0.61499999999999999</v>
          </cell>
          <cell r="V11">
            <v>0.64100000000000001</v>
          </cell>
          <cell r="W11">
            <v>0.63400000000000001</v>
          </cell>
          <cell r="X11">
            <v>0.65800000000000003</v>
          </cell>
          <cell r="Y11">
            <v>0.60799999999999998</v>
          </cell>
          <cell r="Z11">
            <v>0.5</v>
          </cell>
          <cell r="AA11">
            <v>0.84499999999999997</v>
          </cell>
          <cell r="AB11">
            <v>0.52400000000000002</v>
          </cell>
          <cell r="AC11">
            <v>0.68600000000000005</v>
          </cell>
          <cell r="AD11">
            <v>0.70199999999999996</v>
          </cell>
          <cell r="AE11">
            <v>0.33700000000000002</v>
          </cell>
        </row>
        <row r="12">
          <cell r="B12" t="str">
            <v>강릉시</v>
          </cell>
          <cell r="C12">
            <v>3</v>
          </cell>
          <cell r="D12" t="str">
            <v>강원</v>
          </cell>
          <cell r="E12" t="str">
            <v>시지역</v>
          </cell>
          <cell r="F12">
            <v>24</v>
          </cell>
          <cell r="G12" t="str">
            <v>강릉지원</v>
          </cell>
          <cell r="H12">
            <v>0.56200000000000006</v>
          </cell>
          <cell r="I12">
            <v>0.63700000000000001</v>
          </cell>
          <cell r="J12">
            <v>0.68799999999999994</v>
          </cell>
          <cell r="K12">
            <v>0.51500000000000001</v>
          </cell>
          <cell r="L12">
            <v>0.59699999999999998</v>
          </cell>
          <cell r="M12">
            <v>0.56000000000000005</v>
          </cell>
          <cell r="N12">
            <v>0.52300000000000002</v>
          </cell>
          <cell r="O12">
            <v>0.49199999999999999</v>
          </cell>
          <cell r="P12">
            <v>0.55600000000000005</v>
          </cell>
          <cell r="Q12">
            <v>0.44800000000000001</v>
          </cell>
          <cell r="R12">
            <v>0.56499999999999995</v>
          </cell>
          <cell r="S12">
            <v>0.56399999999999995</v>
          </cell>
          <cell r="T12">
            <v>0.46700000000000003</v>
          </cell>
          <cell r="U12">
            <v>0.50800000000000001</v>
          </cell>
          <cell r="V12">
            <v>0.67</v>
          </cell>
          <cell r="W12">
            <v>0.61</v>
          </cell>
          <cell r="X12">
            <v>0.624</v>
          </cell>
          <cell r="Y12">
            <v>0.65</v>
          </cell>
          <cell r="Z12">
            <v>0.57099999999999995</v>
          </cell>
          <cell r="AA12">
            <v>0.66700000000000004</v>
          </cell>
          <cell r="AB12">
            <v>0.55800000000000005</v>
          </cell>
          <cell r="AC12">
            <v>0.751</v>
          </cell>
          <cell r="AD12">
            <v>0.27700000000000002</v>
          </cell>
          <cell r="AE12">
            <v>0.63</v>
          </cell>
        </row>
        <row r="13">
          <cell r="B13" t="str">
            <v>양양군</v>
          </cell>
          <cell r="C13">
            <v>4</v>
          </cell>
          <cell r="D13" t="str">
            <v>강원</v>
          </cell>
          <cell r="E13" t="str">
            <v>군이하지역</v>
          </cell>
          <cell r="F13">
            <v>25</v>
          </cell>
          <cell r="G13" t="str">
            <v>속초지원</v>
          </cell>
          <cell r="H13">
            <v>0.56200000000000006</v>
          </cell>
          <cell r="I13">
            <v>0.53900000000000003</v>
          </cell>
          <cell r="J13">
            <v>0.65800000000000003</v>
          </cell>
          <cell r="K13">
            <v>0.69799999999999995</v>
          </cell>
          <cell r="L13">
            <v>0.52900000000000003</v>
          </cell>
          <cell r="M13">
            <v>0.505</v>
          </cell>
          <cell r="N13">
            <v>0.63700000000000001</v>
          </cell>
          <cell r="O13">
            <v>0.53900000000000003</v>
          </cell>
          <cell r="P13">
            <v>0.64600000000000002</v>
          </cell>
          <cell r="Q13">
            <v>0.39600000000000002</v>
          </cell>
          <cell r="R13">
            <v>0.55100000000000005</v>
          </cell>
          <cell r="S13">
            <v>0.58899999999999997</v>
          </cell>
          <cell r="T13">
            <v>0.51300000000000001</v>
          </cell>
          <cell r="U13">
            <v>0.61499999999999999</v>
          </cell>
          <cell r="V13">
            <v>0.64100000000000001</v>
          </cell>
          <cell r="W13">
            <v>0.63400000000000001</v>
          </cell>
          <cell r="X13">
            <v>0.65800000000000003</v>
          </cell>
          <cell r="Y13">
            <v>0.60799999999999998</v>
          </cell>
          <cell r="Z13">
            <v>0.5</v>
          </cell>
          <cell r="AA13">
            <v>0.84499999999999997</v>
          </cell>
          <cell r="AB13">
            <v>0.52400000000000002</v>
          </cell>
          <cell r="AC13">
            <v>0.68600000000000005</v>
          </cell>
          <cell r="AD13">
            <v>0.70199999999999996</v>
          </cell>
          <cell r="AE13">
            <v>0.33700000000000002</v>
          </cell>
        </row>
        <row r="14">
          <cell r="B14" t="str">
            <v>속초시</v>
          </cell>
          <cell r="C14">
            <v>5</v>
          </cell>
          <cell r="D14" t="str">
            <v>강원</v>
          </cell>
          <cell r="E14" t="str">
            <v>시지역</v>
          </cell>
          <cell r="F14">
            <v>25</v>
          </cell>
          <cell r="G14" t="str">
            <v>속초지원</v>
          </cell>
          <cell r="H14">
            <v>0.56200000000000006</v>
          </cell>
          <cell r="I14">
            <v>0.63700000000000001</v>
          </cell>
          <cell r="J14">
            <v>0.68799999999999994</v>
          </cell>
          <cell r="K14">
            <v>0.51500000000000001</v>
          </cell>
          <cell r="L14">
            <v>0.59699999999999998</v>
          </cell>
          <cell r="M14">
            <v>0.56000000000000005</v>
          </cell>
          <cell r="N14">
            <v>0.52300000000000002</v>
          </cell>
          <cell r="O14">
            <v>0.49199999999999999</v>
          </cell>
          <cell r="P14">
            <v>0.55600000000000005</v>
          </cell>
          <cell r="Q14">
            <v>0.44800000000000001</v>
          </cell>
          <cell r="R14">
            <v>0.56499999999999995</v>
          </cell>
          <cell r="S14">
            <v>0.56399999999999995</v>
          </cell>
          <cell r="T14">
            <v>0.46700000000000003</v>
          </cell>
          <cell r="U14">
            <v>0.50800000000000001</v>
          </cell>
          <cell r="V14">
            <v>0.67</v>
          </cell>
          <cell r="W14">
            <v>0.61</v>
          </cell>
          <cell r="X14">
            <v>0.624</v>
          </cell>
          <cell r="Y14">
            <v>0.65</v>
          </cell>
          <cell r="Z14">
            <v>0.57099999999999995</v>
          </cell>
          <cell r="AA14">
            <v>0.66700000000000004</v>
          </cell>
          <cell r="AB14">
            <v>0.55800000000000005</v>
          </cell>
          <cell r="AC14">
            <v>0.751</v>
          </cell>
          <cell r="AD14">
            <v>0.27700000000000002</v>
          </cell>
          <cell r="AE14">
            <v>0.63</v>
          </cell>
        </row>
        <row r="15">
          <cell r="B15" t="str">
            <v>강원고성군</v>
          </cell>
          <cell r="C15">
            <v>6</v>
          </cell>
          <cell r="D15" t="str">
            <v>강원</v>
          </cell>
          <cell r="E15" t="str">
            <v>군이하지역</v>
          </cell>
          <cell r="F15">
            <v>25</v>
          </cell>
          <cell r="G15" t="str">
            <v>속초지원</v>
          </cell>
          <cell r="H15">
            <v>0.56200000000000006</v>
          </cell>
          <cell r="I15">
            <v>0.53900000000000003</v>
          </cell>
          <cell r="J15">
            <v>0.65800000000000003</v>
          </cell>
          <cell r="K15">
            <v>0.69799999999999995</v>
          </cell>
          <cell r="L15">
            <v>0.52900000000000003</v>
          </cell>
          <cell r="M15">
            <v>0.505</v>
          </cell>
          <cell r="N15">
            <v>0.63700000000000001</v>
          </cell>
          <cell r="O15">
            <v>0.53900000000000003</v>
          </cell>
          <cell r="P15">
            <v>0.64600000000000002</v>
          </cell>
          <cell r="Q15">
            <v>0.39600000000000002</v>
          </cell>
          <cell r="R15">
            <v>0.55100000000000005</v>
          </cell>
          <cell r="S15">
            <v>0.58899999999999997</v>
          </cell>
          <cell r="T15">
            <v>0.51300000000000001</v>
          </cell>
          <cell r="U15">
            <v>0.61499999999999999</v>
          </cell>
          <cell r="V15">
            <v>0.64100000000000001</v>
          </cell>
          <cell r="W15">
            <v>0.63400000000000001</v>
          </cell>
          <cell r="X15">
            <v>0.65800000000000003</v>
          </cell>
          <cell r="Y15">
            <v>0.60799999999999998</v>
          </cell>
          <cell r="Z15">
            <v>0.5</v>
          </cell>
          <cell r="AA15">
            <v>0.84499999999999997</v>
          </cell>
          <cell r="AB15">
            <v>0.52400000000000002</v>
          </cell>
          <cell r="AC15">
            <v>0.68600000000000005</v>
          </cell>
          <cell r="AD15">
            <v>0.70199999999999996</v>
          </cell>
          <cell r="AE15">
            <v>0.33700000000000002</v>
          </cell>
        </row>
        <row r="16">
          <cell r="B16" t="str">
            <v>원주시</v>
          </cell>
          <cell r="C16">
            <v>7</v>
          </cell>
          <cell r="D16" t="str">
            <v>강원</v>
          </cell>
          <cell r="E16" t="str">
            <v>시지역</v>
          </cell>
          <cell r="F16">
            <v>27</v>
          </cell>
          <cell r="G16" t="str">
            <v>원주지원</v>
          </cell>
          <cell r="H16">
            <v>0.56200000000000006</v>
          </cell>
          <cell r="I16">
            <v>0.63700000000000001</v>
          </cell>
          <cell r="J16">
            <v>0.68799999999999994</v>
          </cell>
          <cell r="K16">
            <v>0.51500000000000001</v>
          </cell>
          <cell r="L16">
            <v>0.59699999999999998</v>
          </cell>
          <cell r="M16">
            <v>0.56000000000000005</v>
          </cell>
          <cell r="N16">
            <v>0.52300000000000002</v>
          </cell>
          <cell r="O16">
            <v>0.49199999999999999</v>
          </cell>
          <cell r="P16">
            <v>0.55600000000000005</v>
          </cell>
          <cell r="Q16">
            <v>0.44800000000000001</v>
          </cell>
          <cell r="R16">
            <v>0.56499999999999995</v>
          </cell>
          <cell r="S16">
            <v>0.56399999999999995</v>
          </cell>
          <cell r="T16">
            <v>0.46700000000000003</v>
          </cell>
          <cell r="U16">
            <v>0.50800000000000001</v>
          </cell>
          <cell r="V16">
            <v>0.67</v>
          </cell>
          <cell r="W16">
            <v>0.61</v>
          </cell>
          <cell r="X16">
            <v>0.624</v>
          </cell>
          <cell r="Y16">
            <v>0.65</v>
          </cell>
          <cell r="Z16">
            <v>0.57099999999999995</v>
          </cell>
          <cell r="AA16">
            <v>0.66700000000000004</v>
          </cell>
          <cell r="AB16">
            <v>0.55800000000000005</v>
          </cell>
          <cell r="AC16">
            <v>0.751</v>
          </cell>
          <cell r="AD16">
            <v>0.27700000000000002</v>
          </cell>
          <cell r="AE16">
            <v>0.63</v>
          </cell>
        </row>
        <row r="17">
          <cell r="B17" t="str">
            <v>횡성군</v>
          </cell>
          <cell r="C17">
            <v>8</v>
          </cell>
          <cell r="D17" t="str">
            <v>강원</v>
          </cell>
          <cell r="E17" t="str">
            <v>군이하지역</v>
          </cell>
          <cell r="F17">
            <v>27</v>
          </cell>
          <cell r="G17" t="str">
            <v>원주지원</v>
          </cell>
          <cell r="H17">
            <v>0.56200000000000006</v>
          </cell>
          <cell r="I17">
            <v>0.53900000000000003</v>
          </cell>
          <cell r="J17">
            <v>0.65800000000000003</v>
          </cell>
          <cell r="K17">
            <v>0.69799999999999995</v>
          </cell>
          <cell r="L17">
            <v>0.52900000000000003</v>
          </cell>
          <cell r="M17">
            <v>0.505</v>
          </cell>
          <cell r="N17">
            <v>0.63700000000000001</v>
          </cell>
          <cell r="O17">
            <v>0.53900000000000003</v>
          </cell>
          <cell r="P17">
            <v>0.64600000000000002</v>
          </cell>
          <cell r="Q17">
            <v>0.39600000000000002</v>
          </cell>
          <cell r="R17">
            <v>0.55100000000000005</v>
          </cell>
          <cell r="S17">
            <v>0.58899999999999997</v>
          </cell>
          <cell r="T17">
            <v>0.51300000000000001</v>
          </cell>
          <cell r="U17">
            <v>0.61499999999999999</v>
          </cell>
          <cell r="V17">
            <v>0.64100000000000001</v>
          </cell>
          <cell r="W17">
            <v>0.63400000000000001</v>
          </cell>
          <cell r="X17">
            <v>0.65800000000000003</v>
          </cell>
          <cell r="Y17">
            <v>0.60799999999999998</v>
          </cell>
          <cell r="Z17">
            <v>0.5</v>
          </cell>
          <cell r="AA17">
            <v>0.84499999999999997</v>
          </cell>
          <cell r="AB17">
            <v>0.52400000000000002</v>
          </cell>
          <cell r="AC17">
            <v>0.68600000000000005</v>
          </cell>
          <cell r="AD17">
            <v>0.70199999999999996</v>
          </cell>
          <cell r="AE17">
            <v>0.33700000000000002</v>
          </cell>
        </row>
        <row r="18">
          <cell r="B18" t="str">
            <v>영월군</v>
          </cell>
          <cell r="C18">
            <v>9</v>
          </cell>
          <cell r="D18" t="str">
            <v>강원</v>
          </cell>
          <cell r="E18" t="str">
            <v>군이하지역</v>
          </cell>
          <cell r="F18">
            <v>26</v>
          </cell>
          <cell r="G18" t="str">
            <v>영월지원</v>
          </cell>
          <cell r="H18">
            <v>0.56200000000000006</v>
          </cell>
          <cell r="I18">
            <v>0.53900000000000003</v>
          </cell>
          <cell r="J18">
            <v>0.65800000000000003</v>
          </cell>
          <cell r="K18">
            <v>0.69799999999999995</v>
          </cell>
          <cell r="L18">
            <v>0.52900000000000003</v>
          </cell>
          <cell r="M18">
            <v>0.505</v>
          </cell>
          <cell r="N18">
            <v>0.63700000000000001</v>
          </cell>
          <cell r="O18">
            <v>0.53900000000000003</v>
          </cell>
          <cell r="P18">
            <v>0.64600000000000002</v>
          </cell>
          <cell r="Q18">
            <v>0.39600000000000002</v>
          </cell>
          <cell r="R18">
            <v>0.55100000000000005</v>
          </cell>
          <cell r="S18">
            <v>0.58899999999999997</v>
          </cell>
          <cell r="T18">
            <v>0.51300000000000001</v>
          </cell>
          <cell r="U18">
            <v>0.61499999999999999</v>
          </cell>
          <cell r="V18">
            <v>0.64100000000000001</v>
          </cell>
          <cell r="W18">
            <v>0.63400000000000001</v>
          </cell>
          <cell r="X18">
            <v>0.65800000000000003</v>
          </cell>
          <cell r="Y18">
            <v>0.60799999999999998</v>
          </cell>
          <cell r="Z18">
            <v>0.5</v>
          </cell>
          <cell r="AA18">
            <v>0.84499999999999997</v>
          </cell>
          <cell r="AB18">
            <v>0.52400000000000002</v>
          </cell>
          <cell r="AC18">
            <v>0.68600000000000005</v>
          </cell>
          <cell r="AD18">
            <v>0.70199999999999996</v>
          </cell>
          <cell r="AE18">
            <v>0.33700000000000002</v>
          </cell>
        </row>
        <row r="19">
          <cell r="B19" t="str">
            <v>평창군</v>
          </cell>
          <cell r="C19">
            <v>10</v>
          </cell>
          <cell r="D19" t="str">
            <v>강원</v>
          </cell>
          <cell r="E19" t="str">
            <v>군이하지역</v>
          </cell>
          <cell r="F19">
            <v>26</v>
          </cell>
          <cell r="G19" t="str">
            <v>영월지원</v>
          </cell>
          <cell r="H19">
            <v>0.56200000000000006</v>
          </cell>
          <cell r="I19">
            <v>0.53900000000000003</v>
          </cell>
          <cell r="J19">
            <v>0.65800000000000003</v>
          </cell>
          <cell r="K19">
            <v>0.69799999999999995</v>
          </cell>
          <cell r="L19">
            <v>0.52900000000000003</v>
          </cell>
          <cell r="M19">
            <v>0.505</v>
          </cell>
          <cell r="N19">
            <v>0.63700000000000001</v>
          </cell>
          <cell r="O19">
            <v>0.53900000000000003</v>
          </cell>
          <cell r="P19">
            <v>0.64600000000000002</v>
          </cell>
          <cell r="Q19">
            <v>0.39600000000000002</v>
          </cell>
          <cell r="R19">
            <v>0.55100000000000005</v>
          </cell>
          <cell r="S19">
            <v>0.58899999999999997</v>
          </cell>
          <cell r="T19">
            <v>0.51300000000000001</v>
          </cell>
          <cell r="U19">
            <v>0.61499999999999999</v>
          </cell>
          <cell r="V19">
            <v>0.64100000000000001</v>
          </cell>
          <cell r="W19">
            <v>0.63400000000000001</v>
          </cell>
          <cell r="X19">
            <v>0.65800000000000003</v>
          </cell>
          <cell r="Y19">
            <v>0.60799999999999998</v>
          </cell>
          <cell r="Z19">
            <v>0.5</v>
          </cell>
          <cell r="AA19">
            <v>0.84499999999999997</v>
          </cell>
          <cell r="AB19">
            <v>0.52400000000000002</v>
          </cell>
          <cell r="AC19">
            <v>0.68600000000000005</v>
          </cell>
          <cell r="AD19">
            <v>0.70199999999999996</v>
          </cell>
          <cell r="AE19">
            <v>0.33700000000000002</v>
          </cell>
        </row>
        <row r="20">
          <cell r="B20" t="str">
            <v>정선군</v>
          </cell>
          <cell r="C20">
            <v>11</v>
          </cell>
          <cell r="D20" t="str">
            <v>강원</v>
          </cell>
          <cell r="E20" t="str">
            <v>군이하지역</v>
          </cell>
          <cell r="F20">
            <v>26</v>
          </cell>
          <cell r="G20" t="str">
            <v>영월지원</v>
          </cell>
          <cell r="H20">
            <v>0.56200000000000006</v>
          </cell>
          <cell r="I20">
            <v>0.53900000000000003</v>
          </cell>
          <cell r="J20">
            <v>0.65800000000000003</v>
          </cell>
          <cell r="K20">
            <v>0.69799999999999995</v>
          </cell>
          <cell r="L20">
            <v>0.52900000000000003</v>
          </cell>
          <cell r="M20">
            <v>0.505</v>
          </cell>
          <cell r="N20">
            <v>0.63700000000000001</v>
          </cell>
          <cell r="O20">
            <v>0.53900000000000003</v>
          </cell>
          <cell r="P20">
            <v>0.64600000000000002</v>
          </cell>
          <cell r="Q20">
            <v>0.39600000000000002</v>
          </cell>
          <cell r="R20">
            <v>0.55100000000000005</v>
          </cell>
          <cell r="S20">
            <v>0.58899999999999997</v>
          </cell>
          <cell r="T20">
            <v>0.51300000000000001</v>
          </cell>
          <cell r="U20">
            <v>0.61499999999999999</v>
          </cell>
          <cell r="V20">
            <v>0.64100000000000001</v>
          </cell>
          <cell r="W20">
            <v>0.63400000000000001</v>
          </cell>
          <cell r="X20">
            <v>0.65800000000000003</v>
          </cell>
          <cell r="Y20">
            <v>0.60799999999999998</v>
          </cell>
          <cell r="Z20">
            <v>0.5</v>
          </cell>
          <cell r="AA20">
            <v>0.84499999999999997</v>
          </cell>
          <cell r="AB20">
            <v>0.52400000000000002</v>
          </cell>
          <cell r="AC20">
            <v>0.68600000000000005</v>
          </cell>
          <cell r="AD20">
            <v>0.70199999999999996</v>
          </cell>
          <cell r="AE20">
            <v>0.33700000000000002</v>
          </cell>
        </row>
        <row r="21">
          <cell r="B21" t="str">
            <v>태백시</v>
          </cell>
          <cell r="C21">
            <v>12</v>
          </cell>
          <cell r="D21" t="str">
            <v>강원</v>
          </cell>
          <cell r="E21" t="str">
            <v>시지역</v>
          </cell>
          <cell r="F21">
            <v>26</v>
          </cell>
          <cell r="G21" t="str">
            <v>영월지원</v>
          </cell>
          <cell r="H21">
            <v>0.56200000000000006</v>
          </cell>
          <cell r="I21">
            <v>0.63700000000000001</v>
          </cell>
          <cell r="J21">
            <v>0.68799999999999994</v>
          </cell>
          <cell r="K21">
            <v>0.51500000000000001</v>
          </cell>
          <cell r="L21">
            <v>0.59699999999999998</v>
          </cell>
          <cell r="M21">
            <v>0.56000000000000005</v>
          </cell>
          <cell r="N21">
            <v>0.52300000000000002</v>
          </cell>
          <cell r="O21">
            <v>0.49199999999999999</v>
          </cell>
          <cell r="P21">
            <v>0.55600000000000005</v>
          </cell>
          <cell r="Q21">
            <v>0.44800000000000001</v>
          </cell>
          <cell r="R21">
            <v>0.56499999999999995</v>
          </cell>
          <cell r="S21">
            <v>0.56399999999999995</v>
          </cell>
          <cell r="T21">
            <v>0.46700000000000003</v>
          </cell>
          <cell r="U21">
            <v>0.50800000000000001</v>
          </cell>
          <cell r="V21">
            <v>0.67</v>
          </cell>
          <cell r="W21">
            <v>0.61</v>
          </cell>
          <cell r="X21">
            <v>0.624</v>
          </cell>
          <cell r="Y21">
            <v>0.65</v>
          </cell>
          <cell r="Z21">
            <v>0.57099999999999995</v>
          </cell>
          <cell r="AA21">
            <v>0.66700000000000004</v>
          </cell>
          <cell r="AB21">
            <v>0.55800000000000005</v>
          </cell>
          <cell r="AC21">
            <v>0.751</v>
          </cell>
          <cell r="AD21">
            <v>0.27700000000000002</v>
          </cell>
          <cell r="AE21">
            <v>0.63</v>
          </cell>
        </row>
        <row r="22">
          <cell r="B22" t="str">
            <v>동해시</v>
          </cell>
          <cell r="C22">
            <v>13</v>
          </cell>
          <cell r="D22" t="str">
            <v>강원</v>
          </cell>
          <cell r="E22" t="str">
            <v>시지역</v>
          </cell>
          <cell r="F22">
            <v>24</v>
          </cell>
          <cell r="G22" t="str">
            <v>강릉지원</v>
          </cell>
          <cell r="H22">
            <v>0.56200000000000006</v>
          </cell>
          <cell r="I22">
            <v>0.63700000000000001</v>
          </cell>
          <cell r="J22">
            <v>0.68799999999999994</v>
          </cell>
          <cell r="K22">
            <v>0.51500000000000001</v>
          </cell>
          <cell r="L22">
            <v>0.59699999999999998</v>
          </cell>
          <cell r="M22">
            <v>0.56000000000000005</v>
          </cell>
          <cell r="N22">
            <v>0.52300000000000002</v>
          </cell>
          <cell r="O22">
            <v>0.49199999999999999</v>
          </cell>
          <cell r="P22">
            <v>0.55600000000000005</v>
          </cell>
          <cell r="Q22">
            <v>0.44800000000000001</v>
          </cell>
          <cell r="R22">
            <v>0.56499999999999995</v>
          </cell>
          <cell r="S22">
            <v>0.56399999999999995</v>
          </cell>
          <cell r="T22">
            <v>0.46700000000000003</v>
          </cell>
          <cell r="U22">
            <v>0.50800000000000001</v>
          </cell>
          <cell r="V22">
            <v>0.67</v>
          </cell>
          <cell r="W22">
            <v>0.61</v>
          </cell>
          <cell r="X22">
            <v>0.624</v>
          </cell>
          <cell r="Y22">
            <v>0.65</v>
          </cell>
          <cell r="Z22">
            <v>0.57099999999999995</v>
          </cell>
          <cell r="AA22">
            <v>0.66700000000000004</v>
          </cell>
          <cell r="AB22">
            <v>0.55800000000000005</v>
          </cell>
          <cell r="AC22">
            <v>0.751</v>
          </cell>
          <cell r="AD22">
            <v>0.27700000000000002</v>
          </cell>
          <cell r="AE22">
            <v>0.63</v>
          </cell>
        </row>
        <row r="23">
          <cell r="B23" t="str">
            <v>삼척시</v>
          </cell>
          <cell r="C23">
            <v>14</v>
          </cell>
          <cell r="D23" t="str">
            <v>강원</v>
          </cell>
          <cell r="E23" t="str">
            <v>시지역</v>
          </cell>
          <cell r="F23">
            <v>24</v>
          </cell>
          <cell r="G23" t="str">
            <v>강릉지원</v>
          </cell>
          <cell r="H23">
            <v>0.56200000000000006</v>
          </cell>
          <cell r="I23">
            <v>0.63700000000000001</v>
          </cell>
          <cell r="J23">
            <v>0.68799999999999994</v>
          </cell>
          <cell r="K23">
            <v>0.51500000000000001</v>
          </cell>
          <cell r="L23">
            <v>0.59699999999999998</v>
          </cell>
          <cell r="M23">
            <v>0.56000000000000005</v>
          </cell>
          <cell r="N23">
            <v>0.52300000000000002</v>
          </cell>
          <cell r="O23">
            <v>0.49199999999999999</v>
          </cell>
          <cell r="P23">
            <v>0.55600000000000005</v>
          </cell>
          <cell r="Q23">
            <v>0.44800000000000001</v>
          </cell>
          <cell r="R23">
            <v>0.56499999999999995</v>
          </cell>
          <cell r="S23">
            <v>0.56399999999999995</v>
          </cell>
          <cell r="T23">
            <v>0.46700000000000003</v>
          </cell>
          <cell r="U23">
            <v>0.50800000000000001</v>
          </cell>
          <cell r="V23">
            <v>0.67</v>
          </cell>
          <cell r="W23">
            <v>0.61</v>
          </cell>
          <cell r="X23">
            <v>0.624</v>
          </cell>
          <cell r="Y23">
            <v>0.65</v>
          </cell>
          <cell r="Z23">
            <v>0.57099999999999995</v>
          </cell>
          <cell r="AA23">
            <v>0.66700000000000004</v>
          </cell>
          <cell r="AB23">
            <v>0.55800000000000005</v>
          </cell>
          <cell r="AC23">
            <v>0.751</v>
          </cell>
          <cell r="AD23">
            <v>0.27700000000000002</v>
          </cell>
          <cell r="AE23">
            <v>0.63</v>
          </cell>
        </row>
        <row r="24">
          <cell r="B24" t="str">
            <v>홍천군</v>
          </cell>
          <cell r="C24">
            <v>15</v>
          </cell>
          <cell r="D24" t="str">
            <v>강원</v>
          </cell>
          <cell r="E24" t="str">
            <v>군이하지역</v>
          </cell>
          <cell r="F24">
            <v>23</v>
          </cell>
          <cell r="G24" t="str">
            <v>춘천지방법원</v>
          </cell>
          <cell r="H24">
            <v>0.56200000000000006</v>
          </cell>
          <cell r="I24">
            <v>0.53900000000000003</v>
          </cell>
          <cell r="J24">
            <v>0.65800000000000003</v>
          </cell>
          <cell r="K24">
            <v>0.69799999999999995</v>
          </cell>
          <cell r="L24">
            <v>0.52900000000000003</v>
          </cell>
          <cell r="M24">
            <v>0.505</v>
          </cell>
          <cell r="N24">
            <v>0.63700000000000001</v>
          </cell>
          <cell r="O24">
            <v>0.53900000000000003</v>
          </cell>
          <cell r="P24">
            <v>0.64600000000000002</v>
          </cell>
          <cell r="Q24">
            <v>0.39600000000000002</v>
          </cell>
          <cell r="R24">
            <v>0.55100000000000005</v>
          </cell>
          <cell r="S24">
            <v>0.58899999999999997</v>
          </cell>
          <cell r="T24">
            <v>0.51300000000000001</v>
          </cell>
          <cell r="U24">
            <v>0.61499999999999999</v>
          </cell>
          <cell r="V24">
            <v>0.64100000000000001</v>
          </cell>
          <cell r="W24">
            <v>0.63400000000000001</v>
          </cell>
          <cell r="X24">
            <v>0.65800000000000003</v>
          </cell>
          <cell r="Y24">
            <v>0.60799999999999998</v>
          </cell>
          <cell r="Z24">
            <v>0.5</v>
          </cell>
          <cell r="AA24">
            <v>0.84499999999999997</v>
          </cell>
          <cell r="AB24">
            <v>0.52400000000000002</v>
          </cell>
          <cell r="AC24">
            <v>0.68600000000000005</v>
          </cell>
          <cell r="AD24">
            <v>0.70199999999999996</v>
          </cell>
          <cell r="AE24">
            <v>0.33700000000000002</v>
          </cell>
        </row>
        <row r="25">
          <cell r="B25" t="str">
            <v>인제군</v>
          </cell>
          <cell r="C25">
            <v>16</v>
          </cell>
          <cell r="D25" t="str">
            <v>강원</v>
          </cell>
          <cell r="E25" t="str">
            <v>군이하지역</v>
          </cell>
          <cell r="F25">
            <v>23</v>
          </cell>
          <cell r="G25" t="str">
            <v>춘천지방법원</v>
          </cell>
          <cell r="H25">
            <v>0.56200000000000006</v>
          </cell>
          <cell r="I25">
            <v>0.53900000000000003</v>
          </cell>
          <cell r="J25">
            <v>0.65800000000000003</v>
          </cell>
          <cell r="K25">
            <v>0.69799999999999995</v>
          </cell>
          <cell r="L25">
            <v>0.52900000000000003</v>
          </cell>
          <cell r="M25">
            <v>0.505</v>
          </cell>
          <cell r="N25">
            <v>0.63700000000000001</v>
          </cell>
          <cell r="O25">
            <v>0.53900000000000003</v>
          </cell>
          <cell r="P25">
            <v>0.64600000000000002</v>
          </cell>
          <cell r="Q25">
            <v>0.39600000000000002</v>
          </cell>
          <cell r="R25">
            <v>0.55100000000000005</v>
          </cell>
          <cell r="S25">
            <v>0.58899999999999997</v>
          </cell>
          <cell r="T25">
            <v>0.51300000000000001</v>
          </cell>
          <cell r="U25">
            <v>0.61499999999999999</v>
          </cell>
          <cell r="V25">
            <v>0.64100000000000001</v>
          </cell>
          <cell r="W25">
            <v>0.63400000000000001</v>
          </cell>
          <cell r="X25">
            <v>0.65800000000000003</v>
          </cell>
          <cell r="Y25">
            <v>0.60799999999999998</v>
          </cell>
          <cell r="Z25">
            <v>0.5</v>
          </cell>
          <cell r="AA25">
            <v>0.84499999999999997</v>
          </cell>
          <cell r="AB25">
            <v>0.52400000000000002</v>
          </cell>
          <cell r="AC25">
            <v>0.68600000000000005</v>
          </cell>
          <cell r="AD25">
            <v>0.70199999999999996</v>
          </cell>
          <cell r="AE25">
            <v>0.33700000000000002</v>
          </cell>
        </row>
        <row r="26">
          <cell r="B26" t="str">
            <v>양구군</v>
          </cell>
          <cell r="C26">
            <v>17</v>
          </cell>
          <cell r="D26" t="str">
            <v>강원</v>
          </cell>
          <cell r="E26" t="str">
            <v>군이하지역</v>
          </cell>
          <cell r="F26">
            <v>23</v>
          </cell>
          <cell r="G26" t="str">
            <v>춘천지방법원</v>
          </cell>
          <cell r="H26">
            <v>0.56200000000000006</v>
          </cell>
          <cell r="I26">
            <v>0.53900000000000003</v>
          </cell>
          <cell r="J26">
            <v>0.65800000000000003</v>
          </cell>
          <cell r="K26">
            <v>0.69799999999999995</v>
          </cell>
          <cell r="L26">
            <v>0.52900000000000003</v>
          </cell>
          <cell r="M26">
            <v>0.505</v>
          </cell>
          <cell r="N26">
            <v>0.63700000000000001</v>
          </cell>
          <cell r="O26">
            <v>0.53900000000000003</v>
          </cell>
          <cell r="P26">
            <v>0.64600000000000002</v>
          </cell>
          <cell r="Q26">
            <v>0.39600000000000002</v>
          </cell>
          <cell r="R26">
            <v>0.55100000000000005</v>
          </cell>
          <cell r="S26">
            <v>0.58899999999999997</v>
          </cell>
          <cell r="T26">
            <v>0.51300000000000001</v>
          </cell>
          <cell r="U26">
            <v>0.61499999999999999</v>
          </cell>
          <cell r="V26">
            <v>0.64100000000000001</v>
          </cell>
          <cell r="W26">
            <v>0.63400000000000001</v>
          </cell>
          <cell r="X26">
            <v>0.65800000000000003</v>
          </cell>
          <cell r="Y26">
            <v>0.60799999999999998</v>
          </cell>
          <cell r="Z26">
            <v>0.5</v>
          </cell>
          <cell r="AA26">
            <v>0.84499999999999997</v>
          </cell>
          <cell r="AB26">
            <v>0.52400000000000002</v>
          </cell>
          <cell r="AC26">
            <v>0.68600000000000005</v>
          </cell>
          <cell r="AD26">
            <v>0.70199999999999996</v>
          </cell>
          <cell r="AE26">
            <v>0.33700000000000002</v>
          </cell>
        </row>
        <row r="27">
          <cell r="B27" t="str">
            <v>철원군</v>
          </cell>
          <cell r="C27">
            <v>18</v>
          </cell>
          <cell r="D27" t="str">
            <v>강원</v>
          </cell>
          <cell r="E27" t="str">
            <v>군이하지역</v>
          </cell>
          <cell r="F27">
            <v>6</v>
          </cell>
          <cell r="G27" t="str">
            <v>의정부지원</v>
          </cell>
          <cell r="H27">
            <v>0.56200000000000006</v>
          </cell>
          <cell r="I27">
            <v>0.53900000000000003</v>
          </cell>
          <cell r="J27">
            <v>0.65800000000000003</v>
          </cell>
          <cell r="K27">
            <v>0.69799999999999995</v>
          </cell>
          <cell r="L27">
            <v>0.52900000000000003</v>
          </cell>
          <cell r="M27">
            <v>0.505</v>
          </cell>
          <cell r="N27">
            <v>0.63700000000000001</v>
          </cell>
          <cell r="O27">
            <v>0.53900000000000003</v>
          </cell>
          <cell r="P27">
            <v>0.64600000000000002</v>
          </cell>
          <cell r="Q27">
            <v>0.39600000000000002</v>
          </cell>
          <cell r="R27">
            <v>0.55100000000000005</v>
          </cell>
          <cell r="S27">
            <v>0.58899999999999997</v>
          </cell>
          <cell r="T27">
            <v>0.51300000000000001</v>
          </cell>
          <cell r="U27">
            <v>0.61499999999999999</v>
          </cell>
          <cell r="V27">
            <v>0.64100000000000001</v>
          </cell>
          <cell r="W27">
            <v>0.63400000000000001</v>
          </cell>
          <cell r="X27">
            <v>0.65800000000000003</v>
          </cell>
          <cell r="Y27">
            <v>0.60799999999999998</v>
          </cell>
          <cell r="Z27">
            <v>0.5</v>
          </cell>
          <cell r="AA27">
            <v>0.84499999999999997</v>
          </cell>
          <cell r="AB27">
            <v>0.52400000000000002</v>
          </cell>
          <cell r="AC27">
            <v>0.68600000000000005</v>
          </cell>
          <cell r="AD27">
            <v>0.70199999999999996</v>
          </cell>
          <cell r="AE27">
            <v>0.33700000000000002</v>
          </cell>
        </row>
        <row r="28">
          <cell r="B28" t="str">
            <v>고양시</v>
          </cell>
          <cell r="C28">
            <v>19</v>
          </cell>
          <cell r="D28" t="str">
            <v>경기</v>
          </cell>
          <cell r="E28" t="str">
            <v>수도권</v>
          </cell>
          <cell r="F28">
            <v>6</v>
          </cell>
          <cell r="G28" t="str">
            <v>의정부지원</v>
          </cell>
          <cell r="H28">
            <v>0.56299999999999994</v>
          </cell>
          <cell r="I28">
            <v>0.59799999999999998</v>
          </cell>
          <cell r="J28">
            <v>0.81399999999999995</v>
          </cell>
          <cell r="K28">
            <v>0.57099999999999995</v>
          </cell>
          <cell r="L28">
            <v>0.623</v>
          </cell>
          <cell r="M28">
            <v>0.61399999999999999</v>
          </cell>
          <cell r="N28">
            <v>0.60599999999999998</v>
          </cell>
          <cell r="O28">
            <v>0.54100000000000004</v>
          </cell>
          <cell r="P28">
            <v>0.48199999999999998</v>
          </cell>
          <cell r="Q28">
            <v>0.54300000000000004</v>
          </cell>
          <cell r="R28">
            <v>1.105</v>
          </cell>
          <cell r="S28">
            <v>0.55600000000000005</v>
          </cell>
          <cell r="T28">
            <v>0.59099999999999997</v>
          </cell>
          <cell r="U28">
            <v>0.59199999999999997</v>
          </cell>
          <cell r="V28">
            <v>0.377</v>
          </cell>
          <cell r="W28">
            <v>0.68100000000000005</v>
          </cell>
          <cell r="X28">
            <v>0.57299999999999995</v>
          </cell>
          <cell r="Y28">
            <v>0.66700000000000004</v>
          </cell>
          <cell r="Z28">
            <v>0.52</v>
          </cell>
          <cell r="AA28">
            <v>0.76400000000000001</v>
          </cell>
          <cell r="AB28">
            <v>0.68200000000000005</v>
          </cell>
          <cell r="AC28">
            <v>0.65300000000000002</v>
          </cell>
          <cell r="AD28">
            <v>0.224</v>
          </cell>
          <cell r="AE28">
            <v>0.44700000000000001</v>
          </cell>
        </row>
        <row r="29">
          <cell r="B29" t="str">
            <v>파주시</v>
          </cell>
          <cell r="C29">
            <v>20</v>
          </cell>
          <cell r="D29" t="str">
            <v>경기</v>
          </cell>
          <cell r="E29" t="str">
            <v>수도권</v>
          </cell>
          <cell r="F29">
            <v>6</v>
          </cell>
          <cell r="G29" t="str">
            <v>의정부지원</v>
          </cell>
          <cell r="H29">
            <v>0.56299999999999994</v>
          </cell>
          <cell r="I29">
            <v>0.59799999999999998</v>
          </cell>
          <cell r="J29">
            <v>0.81399999999999995</v>
          </cell>
          <cell r="K29">
            <v>0.57099999999999995</v>
          </cell>
          <cell r="L29">
            <v>0.623</v>
          </cell>
          <cell r="M29">
            <v>0.61399999999999999</v>
          </cell>
          <cell r="N29">
            <v>0.60599999999999998</v>
          </cell>
          <cell r="O29">
            <v>0.54100000000000004</v>
          </cell>
          <cell r="P29">
            <v>0.48199999999999998</v>
          </cell>
          <cell r="Q29">
            <v>0.54300000000000004</v>
          </cell>
          <cell r="R29">
            <v>1.105</v>
          </cell>
          <cell r="S29">
            <v>0.55600000000000005</v>
          </cell>
          <cell r="T29">
            <v>0.59099999999999997</v>
          </cell>
          <cell r="U29">
            <v>0.59199999999999997</v>
          </cell>
          <cell r="V29">
            <v>0.377</v>
          </cell>
          <cell r="W29">
            <v>0.68100000000000005</v>
          </cell>
          <cell r="X29">
            <v>0.57299999999999995</v>
          </cell>
          <cell r="Y29">
            <v>0.66700000000000004</v>
          </cell>
          <cell r="Z29">
            <v>0.52</v>
          </cell>
          <cell r="AA29">
            <v>0.76400000000000001</v>
          </cell>
          <cell r="AB29">
            <v>0.68200000000000005</v>
          </cell>
          <cell r="AC29">
            <v>0.65300000000000002</v>
          </cell>
          <cell r="AD29">
            <v>0.224</v>
          </cell>
          <cell r="AE29">
            <v>0.44700000000000001</v>
          </cell>
        </row>
        <row r="30">
          <cell r="B30" t="str">
            <v>김포시</v>
          </cell>
          <cell r="C30">
            <v>21</v>
          </cell>
          <cell r="D30" t="str">
            <v>경기</v>
          </cell>
          <cell r="E30" t="str">
            <v>수도권</v>
          </cell>
          <cell r="F30">
            <v>7</v>
          </cell>
          <cell r="G30" t="str">
            <v>인천지방법원</v>
          </cell>
          <cell r="H30">
            <v>0.56299999999999994</v>
          </cell>
          <cell r="I30">
            <v>0.59799999999999998</v>
          </cell>
          <cell r="J30">
            <v>0.81399999999999995</v>
          </cell>
          <cell r="K30">
            <v>0.57099999999999995</v>
          </cell>
          <cell r="L30">
            <v>0.623</v>
          </cell>
          <cell r="M30">
            <v>0.61399999999999999</v>
          </cell>
          <cell r="N30">
            <v>0.60599999999999998</v>
          </cell>
          <cell r="O30">
            <v>0.54100000000000004</v>
          </cell>
          <cell r="P30">
            <v>0.48199999999999998</v>
          </cell>
          <cell r="Q30">
            <v>0.54300000000000004</v>
          </cell>
          <cell r="R30">
            <v>1.105</v>
          </cell>
          <cell r="S30">
            <v>0.55600000000000005</v>
          </cell>
          <cell r="T30">
            <v>0.59099999999999997</v>
          </cell>
          <cell r="U30">
            <v>0.59199999999999997</v>
          </cell>
          <cell r="V30">
            <v>0.377</v>
          </cell>
          <cell r="W30">
            <v>0.68100000000000005</v>
          </cell>
          <cell r="X30">
            <v>0.57299999999999995</v>
          </cell>
          <cell r="Y30">
            <v>0.66700000000000004</v>
          </cell>
          <cell r="Z30">
            <v>0.52</v>
          </cell>
          <cell r="AA30">
            <v>0.76400000000000001</v>
          </cell>
          <cell r="AB30">
            <v>0.68200000000000005</v>
          </cell>
          <cell r="AC30">
            <v>0.65300000000000002</v>
          </cell>
          <cell r="AD30">
            <v>0.224</v>
          </cell>
          <cell r="AE30">
            <v>0.44700000000000001</v>
          </cell>
        </row>
        <row r="31">
          <cell r="B31" t="str">
            <v>부천시원미구</v>
          </cell>
          <cell r="C31">
            <v>22</v>
          </cell>
          <cell r="D31" t="str">
            <v>경기</v>
          </cell>
          <cell r="E31" t="str">
            <v>수도권</v>
          </cell>
          <cell r="F31">
            <v>8</v>
          </cell>
          <cell r="G31" t="str">
            <v>부천지원</v>
          </cell>
          <cell r="H31">
            <v>0.56299999999999994</v>
          </cell>
          <cell r="I31">
            <v>0.59799999999999998</v>
          </cell>
          <cell r="J31">
            <v>0.81399999999999995</v>
          </cell>
          <cell r="K31">
            <v>0.57099999999999995</v>
          </cell>
          <cell r="L31">
            <v>0.623</v>
          </cell>
          <cell r="M31">
            <v>0.61399999999999999</v>
          </cell>
          <cell r="N31">
            <v>0.60599999999999998</v>
          </cell>
          <cell r="O31">
            <v>0.54100000000000004</v>
          </cell>
          <cell r="P31">
            <v>0.48199999999999998</v>
          </cell>
          <cell r="Q31">
            <v>0.54300000000000004</v>
          </cell>
          <cell r="R31">
            <v>1.105</v>
          </cell>
          <cell r="S31">
            <v>0.55600000000000005</v>
          </cell>
          <cell r="T31">
            <v>0.59099999999999997</v>
          </cell>
          <cell r="U31">
            <v>0.59199999999999997</v>
          </cell>
          <cell r="V31">
            <v>0.377</v>
          </cell>
          <cell r="W31">
            <v>0.68100000000000005</v>
          </cell>
          <cell r="X31">
            <v>0.57299999999999995</v>
          </cell>
          <cell r="Y31">
            <v>0.66700000000000004</v>
          </cell>
          <cell r="Z31">
            <v>0.52</v>
          </cell>
          <cell r="AA31">
            <v>0.76400000000000001</v>
          </cell>
          <cell r="AB31">
            <v>0.68200000000000005</v>
          </cell>
          <cell r="AC31">
            <v>0.65300000000000002</v>
          </cell>
          <cell r="AD31">
            <v>0.224</v>
          </cell>
          <cell r="AE31">
            <v>0.44700000000000001</v>
          </cell>
        </row>
        <row r="32">
          <cell r="B32" t="str">
            <v>부천시오정구</v>
          </cell>
          <cell r="C32">
            <v>23</v>
          </cell>
          <cell r="D32" t="str">
            <v>경기</v>
          </cell>
          <cell r="E32" t="str">
            <v>수도권</v>
          </cell>
          <cell r="F32">
            <v>8</v>
          </cell>
          <cell r="G32" t="str">
            <v>부천지원</v>
          </cell>
          <cell r="H32">
            <v>0.56299999999999994</v>
          </cell>
          <cell r="I32">
            <v>0.59799999999999998</v>
          </cell>
          <cell r="J32">
            <v>0.81399999999999995</v>
          </cell>
          <cell r="K32">
            <v>0.57099999999999995</v>
          </cell>
          <cell r="L32">
            <v>0.623</v>
          </cell>
          <cell r="M32">
            <v>0.61399999999999999</v>
          </cell>
          <cell r="N32">
            <v>0.60599999999999998</v>
          </cell>
          <cell r="O32">
            <v>0.54100000000000004</v>
          </cell>
          <cell r="P32">
            <v>0.48199999999999998</v>
          </cell>
          <cell r="Q32">
            <v>0.54300000000000004</v>
          </cell>
          <cell r="R32">
            <v>1.105</v>
          </cell>
          <cell r="S32">
            <v>0.55600000000000005</v>
          </cell>
          <cell r="T32">
            <v>0.59099999999999997</v>
          </cell>
          <cell r="U32">
            <v>0.59199999999999997</v>
          </cell>
          <cell r="V32">
            <v>0.377</v>
          </cell>
          <cell r="W32">
            <v>0.68100000000000005</v>
          </cell>
          <cell r="X32">
            <v>0.57299999999999995</v>
          </cell>
          <cell r="Y32">
            <v>0.66700000000000004</v>
          </cell>
          <cell r="Z32">
            <v>0.52</v>
          </cell>
          <cell r="AA32">
            <v>0.76400000000000001</v>
          </cell>
          <cell r="AB32">
            <v>0.68200000000000005</v>
          </cell>
          <cell r="AC32">
            <v>0.65300000000000002</v>
          </cell>
          <cell r="AD32">
            <v>0.224</v>
          </cell>
          <cell r="AE32">
            <v>0.44700000000000001</v>
          </cell>
        </row>
        <row r="33">
          <cell r="B33" t="str">
            <v>부천시소사구</v>
          </cell>
          <cell r="C33">
            <v>24</v>
          </cell>
          <cell r="D33" t="str">
            <v>경기</v>
          </cell>
          <cell r="E33" t="str">
            <v>수도권</v>
          </cell>
          <cell r="F33">
            <v>8</v>
          </cell>
          <cell r="G33" t="str">
            <v>부천지원</v>
          </cell>
          <cell r="H33">
            <v>0.56299999999999994</v>
          </cell>
          <cell r="I33">
            <v>0.59799999999999998</v>
          </cell>
          <cell r="J33">
            <v>0.81399999999999995</v>
          </cell>
          <cell r="K33">
            <v>0.57099999999999995</v>
          </cell>
          <cell r="L33">
            <v>0.623</v>
          </cell>
          <cell r="M33">
            <v>0.61399999999999999</v>
          </cell>
          <cell r="N33">
            <v>0.60599999999999998</v>
          </cell>
          <cell r="O33">
            <v>0.54100000000000004</v>
          </cell>
          <cell r="P33">
            <v>0.48199999999999998</v>
          </cell>
          <cell r="Q33">
            <v>0.54300000000000004</v>
          </cell>
          <cell r="R33">
            <v>1.105</v>
          </cell>
          <cell r="S33">
            <v>0.55600000000000005</v>
          </cell>
          <cell r="T33">
            <v>0.59099999999999997</v>
          </cell>
          <cell r="U33">
            <v>0.59199999999999997</v>
          </cell>
          <cell r="V33">
            <v>0.377</v>
          </cell>
          <cell r="W33">
            <v>0.68100000000000005</v>
          </cell>
          <cell r="X33">
            <v>0.57299999999999995</v>
          </cell>
          <cell r="Y33">
            <v>0.66700000000000004</v>
          </cell>
          <cell r="Z33">
            <v>0.52</v>
          </cell>
          <cell r="AA33">
            <v>0.76400000000000001</v>
          </cell>
          <cell r="AB33">
            <v>0.68200000000000005</v>
          </cell>
          <cell r="AC33">
            <v>0.65300000000000002</v>
          </cell>
          <cell r="AD33">
            <v>0.224</v>
          </cell>
          <cell r="AE33">
            <v>0.44700000000000001</v>
          </cell>
        </row>
        <row r="34">
          <cell r="B34" t="str">
            <v>광명시</v>
          </cell>
          <cell r="C34">
            <v>25</v>
          </cell>
          <cell r="D34" t="str">
            <v>경기</v>
          </cell>
          <cell r="E34" t="str">
            <v>수도권</v>
          </cell>
          <cell r="F34">
            <v>9</v>
          </cell>
          <cell r="G34" t="str">
            <v>수원지방법원</v>
          </cell>
          <cell r="H34">
            <v>0.56299999999999994</v>
          </cell>
          <cell r="I34">
            <v>0.59799999999999998</v>
          </cell>
          <cell r="J34">
            <v>0.81399999999999995</v>
          </cell>
          <cell r="K34">
            <v>0.57099999999999995</v>
          </cell>
          <cell r="L34">
            <v>0.623</v>
          </cell>
          <cell r="M34">
            <v>0.61399999999999999</v>
          </cell>
          <cell r="N34">
            <v>0.60599999999999998</v>
          </cell>
          <cell r="O34">
            <v>0.54100000000000004</v>
          </cell>
          <cell r="P34">
            <v>0.48199999999999998</v>
          </cell>
          <cell r="Q34">
            <v>0.54300000000000004</v>
          </cell>
          <cell r="R34">
            <v>1.105</v>
          </cell>
          <cell r="S34">
            <v>0.55600000000000005</v>
          </cell>
          <cell r="T34">
            <v>0.59099999999999997</v>
          </cell>
          <cell r="U34">
            <v>0.59199999999999997</v>
          </cell>
          <cell r="V34">
            <v>0.377</v>
          </cell>
          <cell r="W34">
            <v>0.68100000000000005</v>
          </cell>
          <cell r="X34">
            <v>0.57299999999999995</v>
          </cell>
          <cell r="Y34">
            <v>0.66700000000000004</v>
          </cell>
          <cell r="Z34">
            <v>0.52</v>
          </cell>
          <cell r="AA34">
            <v>0.76400000000000001</v>
          </cell>
          <cell r="AB34">
            <v>0.68200000000000005</v>
          </cell>
          <cell r="AC34">
            <v>0.65300000000000002</v>
          </cell>
          <cell r="AD34">
            <v>0.224</v>
          </cell>
          <cell r="AE34">
            <v>0.44700000000000001</v>
          </cell>
        </row>
        <row r="35">
          <cell r="B35" t="str">
            <v>안산시</v>
          </cell>
          <cell r="C35">
            <v>26</v>
          </cell>
          <cell r="D35" t="str">
            <v>경기</v>
          </cell>
          <cell r="E35" t="str">
            <v>수도권</v>
          </cell>
          <cell r="F35">
            <v>9</v>
          </cell>
          <cell r="G35" t="str">
            <v>수원지방법원</v>
          </cell>
          <cell r="H35">
            <v>0.56299999999999994</v>
          </cell>
          <cell r="I35">
            <v>0.59799999999999998</v>
          </cell>
          <cell r="J35">
            <v>0.81399999999999995</v>
          </cell>
          <cell r="K35">
            <v>0.57099999999999995</v>
          </cell>
          <cell r="L35">
            <v>0.623</v>
          </cell>
          <cell r="M35">
            <v>0.61399999999999999</v>
          </cell>
          <cell r="N35">
            <v>0.60599999999999998</v>
          </cell>
          <cell r="O35">
            <v>0.54100000000000004</v>
          </cell>
          <cell r="P35">
            <v>0.48199999999999998</v>
          </cell>
          <cell r="Q35">
            <v>0.54300000000000004</v>
          </cell>
          <cell r="R35">
            <v>1.105</v>
          </cell>
          <cell r="S35">
            <v>0.55600000000000005</v>
          </cell>
          <cell r="T35">
            <v>0.59099999999999997</v>
          </cell>
          <cell r="U35">
            <v>0.59199999999999997</v>
          </cell>
          <cell r="V35">
            <v>0.377</v>
          </cell>
          <cell r="W35">
            <v>0.68100000000000005</v>
          </cell>
          <cell r="X35">
            <v>0.57299999999999995</v>
          </cell>
          <cell r="Y35">
            <v>0.66700000000000004</v>
          </cell>
          <cell r="Z35">
            <v>0.52</v>
          </cell>
          <cell r="AA35">
            <v>0.76400000000000001</v>
          </cell>
          <cell r="AB35">
            <v>0.68200000000000005</v>
          </cell>
          <cell r="AC35">
            <v>0.65300000000000002</v>
          </cell>
          <cell r="AD35">
            <v>0.224</v>
          </cell>
          <cell r="AE35">
            <v>0.44700000000000001</v>
          </cell>
        </row>
        <row r="36">
          <cell r="B36" t="str">
            <v>과천시</v>
          </cell>
          <cell r="C36">
            <v>27</v>
          </cell>
          <cell r="D36" t="str">
            <v>경기</v>
          </cell>
          <cell r="E36" t="str">
            <v>수도권</v>
          </cell>
          <cell r="F36">
            <v>9</v>
          </cell>
          <cell r="G36" t="str">
            <v>수원지방법원</v>
          </cell>
          <cell r="H36">
            <v>0.56299999999999994</v>
          </cell>
          <cell r="I36">
            <v>0.59799999999999998</v>
          </cell>
          <cell r="J36">
            <v>0.81399999999999995</v>
          </cell>
          <cell r="K36">
            <v>0.57099999999999995</v>
          </cell>
          <cell r="L36">
            <v>0.623</v>
          </cell>
          <cell r="M36">
            <v>0.61399999999999999</v>
          </cell>
          <cell r="N36">
            <v>0.60599999999999998</v>
          </cell>
          <cell r="O36">
            <v>0.54100000000000004</v>
          </cell>
          <cell r="P36">
            <v>0.48199999999999998</v>
          </cell>
          <cell r="Q36">
            <v>0.54300000000000004</v>
          </cell>
          <cell r="R36">
            <v>1.105</v>
          </cell>
          <cell r="S36">
            <v>0.55600000000000005</v>
          </cell>
          <cell r="T36">
            <v>0.59099999999999997</v>
          </cell>
          <cell r="U36">
            <v>0.59199999999999997</v>
          </cell>
          <cell r="V36">
            <v>0.377</v>
          </cell>
          <cell r="W36">
            <v>0.68100000000000005</v>
          </cell>
          <cell r="X36">
            <v>0.57299999999999995</v>
          </cell>
          <cell r="Y36">
            <v>0.66700000000000004</v>
          </cell>
          <cell r="Z36">
            <v>0.52</v>
          </cell>
          <cell r="AA36">
            <v>0.76400000000000001</v>
          </cell>
          <cell r="AB36">
            <v>0.68200000000000005</v>
          </cell>
          <cell r="AC36">
            <v>0.65300000000000002</v>
          </cell>
          <cell r="AD36">
            <v>0.224</v>
          </cell>
          <cell r="AE36">
            <v>0.44700000000000001</v>
          </cell>
        </row>
        <row r="37">
          <cell r="B37" t="str">
            <v>시흥시</v>
          </cell>
          <cell r="C37">
            <v>28</v>
          </cell>
          <cell r="D37" t="str">
            <v>경기</v>
          </cell>
          <cell r="E37" t="str">
            <v>수도권</v>
          </cell>
          <cell r="F37">
            <v>9</v>
          </cell>
          <cell r="G37" t="str">
            <v>수원지방법원</v>
          </cell>
          <cell r="H37">
            <v>0.56299999999999994</v>
          </cell>
          <cell r="I37">
            <v>0.59799999999999998</v>
          </cell>
          <cell r="J37">
            <v>0.81399999999999995</v>
          </cell>
          <cell r="K37">
            <v>0.57099999999999995</v>
          </cell>
          <cell r="L37">
            <v>0.623</v>
          </cell>
          <cell r="M37">
            <v>0.61399999999999999</v>
          </cell>
          <cell r="N37">
            <v>0.60599999999999998</v>
          </cell>
          <cell r="O37">
            <v>0.54100000000000004</v>
          </cell>
          <cell r="P37">
            <v>0.48199999999999998</v>
          </cell>
          <cell r="Q37">
            <v>0.54300000000000004</v>
          </cell>
          <cell r="R37">
            <v>1.105</v>
          </cell>
          <cell r="S37">
            <v>0.55600000000000005</v>
          </cell>
          <cell r="T37">
            <v>0.59099999999999997</v>
          </cell>
          <cell r="U37">
            <v>0.59199999999999997</v>
          </cell>
          <cell r="V37">
            <v>0.377</v>
          </cell>
          <cell r="W37">
            <v>0.68100000000000005</v>
          </cell>
          <cell r="X37">
            <v>0.57299999999999995</v>
          </cell>
          <cell r="Y37">
            <v>0.66700000000000004</v>
          </cell>
          <cell r="Z37">
            <v>0.52</v>
          </cell>
          <cell r="AA37">
            <v>0.76400000000000001</v>
          </cell>
          <cell r="AB37">
            <v>0.68200000000000005</v>
          </cell>
          <cell r="AC37">
            <v>0.65300000000000002</v>
          </cell>
          <cell r="AD37">
            <v>0.224</v>
          </cell>
          <cell r="AE37">
            <v>0.44700000000000001</v>
          </cell>
        </row>
        <row r="38">
          <cell r="B38" t="str">
            <v>안양시만안구</v>
          </cell>
          <cell r="C38">
            <v>29</v>
          </cell>
          <cell r="D38" t="str">
            <v>경기</v>
          </cell>
          <cell r="E38" t="str">
            <v>수도권</v>
          </cell>
          <cell r="F38">
            <v>9</v>
          </cell>
          <cell r="G38" t="str">
            <v>수원지방법원</v>
          </cell>
          <cell r="H38">
            <v>0.56299999999999994</v>
          </cell>
          <cell r="I38">
            <v>0.59799999999999998</v>
          </cell>
          <cell r="J38">
            <v>0.81399999999999995</v>
          </cell>
          <cell r="K38">
            <v>0.57099999999999995</v>
          </cell>
          <cell r="L38">
            <v>0.623</v>
          </cell>
          <cell r="M38">
            <v>0.61399999999999999</v>
          </cell>
          <cell r="N38">
            <v>0.60599999999999998</v>
          </cell>
          <cell r="O38">
            <v>0.54100000000000004</v>
          </cell>
          <cell r="P38">
            <v>0.48199999999999998</v>
          </cell>
          <cell r="Q38">
            <v>0.54300000000000004</v>
          </cell>
          <cell r="R38">
            <v>1.105</v>
          </cell>
          <cell r="S38">
            <v>0.55600000000000005</v>
          </cell>
          <cell r="T38">
            <v>0.59099999999999997</v>
          </cell>
          <cell r="U38">
            <v>0.59199999999999997</v>
          </cell>
          <cell r="V38">
            <v>0.377</v>
          </cell>
          <cell r="W38">
            <v>0.68100000000000005</v>
          </cell>
          <cell r="X38">
            <v>0.57299999999999995</v>
          </cell>
          <cell r="Y38">
            <v>0.66700000000000004</v>
          </cell>
          <cell r="Z38">
            <v>0.52</v>
          </cell>
          <cell r="AA38">
            <v>0.76400000000000001</v>
          </cell>
          <cell r="AB38">
            <v>0.68200000000000005</v>
          </cell>
          <cell r="AC38">
            <v>0.65300000000000002</v>
          </cell>
          <cell r="AD38">
            <v>0.224</v>
          </cell>
          <cell r="AE38">
            <v>0.44700000000000001</v>
          </cell>
        </row>
        <row r="39">
          <cell r="B39" t="str">
            <v>안양시동안구</v>
          </cell>
          <cell r="C39">
            <v>30</v>
          </cell>
          <cell r="D39" t="str">
            <v>경기</v>
          </cell>
          <cell r="E39" t="str">
            <v>수도권</v>
          </cell>
          <cell r="F39">
            <v>9</v>
          </cell>
          <cell r="G39" t="str">
            <v>수원지방법원</v>
          </cell>
          <cell r="H39">
            <v>0.56299999999999994</v>
          </cell>
          <cell r="I39">
            <v>0.59799999999999998</v>
          </cell>
          <cell r="J39">
            <v>0.81399999999999995</v>
          </cell>
          <cell r="K39">
            <v>0.57099999999999995</v>
          </cell>
          <cell r="L39">
            <v>0.623</v>
          </cell>
          <cell r="M39">
            <v>0.61399999999999999</v>
          </cell>
          <cell r="N39">
            <v>0.60599999999999998</v>
          </cell>
          <cell r="O39">
            <v>0.54100000000000004</v>
          </cell>
          <cell r="P39">
            <v>0.48199999999999998</v>
          </cell>
          <cell r="Q39">
            <v>0.54300000000000004</v>
          </cell>
          <cell r="R39">
            <v>1.105</v>
          </cell>
          <cell r="S39">
            <v>0.55600000000000005</v>
          </cell>
          <cell r="T39">
            <v>0.59099999999999997</v>
          </cell>
          <cell r="U39">
            <v>0.59199999999999997</v>
          </cell>
          <cell r="V39">
            <v>0.377</v>
          </cell>
          <cell r="W39">
            <v>0.68100000000000005</v>
          </cell>
          <cell r="X39">
            <v>0.57299999999999995</v>
          </cell>
          <cell r="Y39">
            <v>0.66700000000000004</v>
          </cell>
          <cell r="Z39">
            <v>0.52</v>
          </cell>
          <cell r="AA39">
            <v>0.76400000000000001</v>
          </cell>
          <cell r="AB39">
            <v>0.68200000000000005</v>
          </cell>
          <cell r="AC39">
            <v>0.65300000000000002</v>
          </cell>
          <cell r="AD39">
            <v>0.224</v>
          </cell>
          <cell r="AE39">
            <v>0.44700000000000001</v>
          </cell>
        </row>
        <row r="40">
          <cell r="B40" t="str">
            <v>군포시</v>
          </cell>
          <cell r="C40">
            <v>31</v>
          </cell>
          <cell r="D40" t="str">
            <v>경기</v>
          </cell>
          <cell r="E40" t="str">
            <v>수도권</v>
          </cell>
          <cell r="F40">
            <v>9</v>
          </cell>
          <cell r="G40" t="str">
            <v>수원지방법원</v>
          </cell>
          <cell r="H40">
            <v>0.56299999999999994</v>
          </cell>
          <cell r="I40">
            <v>0.59799999999999998</v>
          </cell>
          <cell r="J40">
            <v>0.81399999999999995</v>
          </cell>
          <cell r="K40">
            <v>0.57099999999999995</v>
          </cell>
          <cell r="L40">
            <v>0.623</v>
          </cell>
          <cell r="M40">
            <v>0.61399999999999999</v>
          </cell>
          <cell r="N40">
            <v>0.60599999999999998</v>
          </cell>
          <cell r="O40">
            <v>0.54100000000000004</v>
          </cell>
          <cell r="P40">
            <v>0.48199999999999998</v>
          </cell>
          <cell r="Q40">
            <v>0.54300000000000004</v>
          </cell>
          <cell r="R40">
            <v>1.105</v>
          </cell>
          <cell r="S40">
            <v>0.55600000000000005</v>
          </cell>
          <cell r="T40">
            <v>0.59099999999999997</v>
          </cell>
          <cell r="U40">
            <v>0.59199999999999997</v>
          </cell>
          <cell r="V40">
            <v>0.377</v>
          </cell>
          <cell r="W40">
            <v>0.68100000000000005</v>
          </cell>
          <cell r="X40">
            <v>0.57299999999999995</v>
          </cell>
          <cell r="Y40">
            <v>0.66700000000000004</v>
          </cell>
          <cell r="Z40">
            <v>0.52</v>
          </cell>
          <cell r="AA40">
            <v>0.76400000000000001</v>
          </cell>
          <cell r="AB40">
            <v>0.68200000000000005</v>
          </cell>
          <cell r="AC40">
            <v>0.65300000000000002</v>
          </cell>
          <cell r="AD40">
            <v>0.224</v>
          </cell>
          <cell r="AE40">
            <v>0.44700000000000001</v>
          </cell>
        </row>
        <row r="41">
          <cell r="B41" t="str">
            <v>의왕시</v>
          </cell>
          <cell r="C41">
            <v>32</v>
          </cell>
          <cell r="D41" t="str">
            <v>경기</v>
          </cell>
          <cell r="E41" t="str">
            <v>수도권</v>
          </cell>
          <cell r="F41">
            <v>9</v>
          </cell>
          <cell r="G41" t="str">
            <v>수원지방법원</v>
          </cell>
          <cell r="H41">
            <v>0.56299999999999994</v>
          </cell>
          <cell r="I41">
            <v>0.59799999999999998</v>
          </cell>
          <cell r="J41">
            <v>0.81399999999999995</v>
          </cell>
          <cell r="K41">
            <v>0.57099999999999995</v>
          </cell>
          <cell r="L41">
            <v>0.623</v>
          </cell>
          <cell r="M41">
            <v>0.61399999999999999</v>
          </cell>
          <cell r="N41">
            <v>0.60599999999999998</v>
          </cell>
          <cell r="O41">
            <v>0.54100000000000004</v>
          </cell>
          <cell r="P41">
            <v>0.48199999999999998</v>
          </cell>
          <cell r="Q41">
            <v>0.54300000000000004</v>
          </cell>
          <cell r="R41">
            <v>1.105</v>
          </cell>
          <cell r="S41">
            <v>0.55600000000000005</v>
          </cell>
          <cell r="T41">
            <v>0.59099999999999997</v>
          </cell>
          <cell r="U41">
            <v>0.59199999999999997</v>
          </cell>
          <cell r="V41">
            <v>0.377</v>
          </cell>
          <cell r="W41">
            <v>0.68100000000000005</v>
          </cell>
          <cell r="X41">
            <v>0.57299999999999995</v>
          </cell>
          <cell r="Y41">
            <v>0.66700000000000004</v>
          </cell>
          <cell r="Z41">
            <v>0.52</v>
          </cell>
          <cell r="AA41">
            <v>0.76400000000000001</v>
          </cell>
          <cell r="AB41">
            <v>0.68200000000000005</v>
          </cell>
          <cell r="AC41">
            <v>0.65300000000000002</v>
          </cell>
          <cell r="AD41">
            <v>0.224</v>
          </cell>
          <cell r="AE41">
            <v>0.44700000000000001</v>
          </cell>
        </row>
        <row r="42">
          <cell r="B42" t="str">
            <v>수원시장안구</v>
          </cell>
          <cell r="C42">
            <v>33</v>
          </cell>
          <cell r="D42" t="str">
            <v>경기</v>
          </cell>
          <cell r="E42" t="str">
            <v>수도권</v>
          </cell>
          <cell r="F42">
            <v>9</v>
          </cell>
          <cell r="G42" t="str">
            <v>수원지방법원</v>
          </cell>
          <cell r="H42">
            <v>0.56299999999999994</v>
          </cell>
          <cell r="I42">
            <v>0.59799999999999998</v>
          </cell>
          <cell r="J42">
            <v>0.81399999999999995</v>
          </cell>
          <cell r="K42">
            <v>0.57099999999999995</v>
          </cell>
          <cell r="L42">
            <v>0.623</v>
          </cell>
          <cell r="M42">
            <v>0.61399999999999999</v>
          </cell>
          <cell r="N42">
            <v>0.60599999999999998</v>
          </cell>
          <cell r="O42">
            <v>0.54100000000000004</v>
          </cell>
          <cell r="P42">
            <v>0.48199999999999998</v>
          </cell>
          <cell r="Q42">
            <v>0.54300000000000004</v>
          </cell>
          <cell r="R42">
            <v>1.105</v>
          </cell>
          <cell r="S42">
            <v>0.55600000000000005</v>
          </cell>
          <cell r="T42">
            <v>0.59099999999999997</v>
          </cell>
          <cell r="U42">
            <v>0.59199999999999997</v>
          </cell>
          <cell r="V42">
            <v>0.377</v>
          </cell>
          <cell r="W42">
            <v>0.68100000000000005</v>
          </cell>
          <cell r="X42">
            <v>0.57299999999999995</v>
          </cell>
          <cell r="Y42">
            <v>0.66700000000000004</v>
          </cell>
          <cell r="Z42">
            <v>0.52</v>
          </cell>
          <cell r="AA42">
            <v>0.76400000000000001</v>
          </cell>
          <cell r="AB42">
            <v>0.68200000000000005</v>
          </cell>
          <cell r="AC42">
            <v>0.65300000000000002</v>
          </cell>
          <cell r="AD42">
            <v>0.224</v>
          </cell>
          <cell r="AE42">
            <v>0.44700000000000001</v>
          </cell>
        </row>
        <row r="43">
          <cell r="B43" t="str">
            <v>수원시권선구</v>
          </cell>
          <cell r="C43">
            <v>34</v>
          </cell>
          <cell r="D43" t="str">
            <v>경기</v>
          </cell>
          <cell r="E43" t="str">
            <v>수도권</v>
          </cell>
          <cell r="F43">
            <v>9</v>
          </cell>
          <cell r="G43" t="str">
            <v>수원지방법원</v>
          </cell>
          <cell r="H43">
            <v>0.56299999999999994</v>
          </cell>
          <cell r="I43">
            <v>0.59799999999999998</v>
          </cell>
          <cell r="J43">
            <v>0.81399999999999995</v>
          </cell>
          <cell r="K43">
            <v>0.57099999999999995</v>
          </cell>
          <cell r="L43">
            <v>0.623</v>
          </cell>
          <cell r="M43">
            <v>0.61399999999999999</v>
          </cell>
          <cell r="N43">
            <v>0.60599999999999998</v>
          </cell>
          <cell r="O43">
            <v>0.54100000000000004</v>
          </cell>
          <cell r="P43">
            <v>0.48199999999999998</v>
          </cell>
          <cell r="Q43">
            <v>0.54300000000000004</v>
          </cell>
          <cell r="R43">
            <v>1.105</v>
          </cell>
          <cell r="S43">
            <v>0.55600000000000005</v>
          </cell>
          <cell r="T43">
            <v>0.59099999999999997</v>
          </cell>
          <cell r="U43">
            <v>0.59199999999999997</v>
          </cell>
          <cell r="V43">
            <v>0.377</v>
          </cell>
          <cell r="W43">
            <v>0.68100000000000005</v>
          </cell>
          <cell r="X43">
            <v>0.57299999999999995</v>
          </cell>
          <cell r="Y43">
            <v>0.66700000000000004</v>
          </cell>
          <cell r="Z43">
            <v>0.52</v>
          </cell>
          <cell r="AA43">
            <v>0.76400000000000001</v>
          </cell>
          <cell r="AB43">
            <v>0.68200000000000005</v>
          </cell>
          <cell r="AC43">
            <v>0.65300000000000002</v>
          </cell>
          <cell r="AD43">
            <v>0.224</v>
          </cell>
          <cell r="AE43">
            <v>0.44700000000000001</v>
          </cell>
        </row>
        <row r="44">
          <cell r="B44" t="str">
            <v>수원시팔달구</v>
          </cell>
          <cell r="C44">
            <v>35</v>
          </cell>
          <cell r="D44" t="str">
            <v>경기</v>
          </cell>
          <cell r="E44" t="str">
            <v>수도권</v>
          </cell>
          <cell r="F44">
            <v>9</v>
          </cell>
          <cell r="G44" t="str">
            <v>수원지방법원</v>
          </cell>
          <cell r="H44">
            <v>0.56299999999999994</v>
          </cell>
          <cell r="I44">
            <v>0.59799999999999998</v>
          </cell>
          <cell r="J44">
            <v>0.81399999999999995</v>
          </cell>
          <cell r="K44">
            <v>0.57099999999999995</v>
          </cell>
          <cell r="L44">
            <v>0.623</v>
          </cell>
          <cell r="M44">
            <v>0.61399999999999999</v>
          </cell>
          <cell r="N44">
            <v>0.60599999999999998</v>
          </cell>
          <cell r="O44">
            <v>0.54100000000000004</v>
          </cell>
          <cell r="P44">
            <v>0.48199999999999998</v>
          </cell>
          <cell r="Q44">
            <v>0.54300000000000004</v>
          </cell>
          <cell r="R44">
            <v>1.105</v>
          </cell>
          <cell r="S44">
            <v>0.55600000000000005</v>
          </cell>
          <cell r="T44">
            <v>0.59099999999999997</v>
          </cell>
          <cell r="U44">
            <v>0.59199999999999997</v>
          </cell>
          <cell r="V44">
            <v>0.377</v>
          </cell>
          <cell r="W44">
            <v>0.68100000000000005</v>
          </cell>
          <cell r="X44">
            <v>0.57299999999999995</v>
          </cell>
          <cell r="Y44">
            <v>0.66700000000000004</v>
          </cell>
          <cell r="Z44">
            <v>0.52</v>
          </cell>
          <cell r="AA44">
            <v>0.76400000000000001</v>
          </cell>
          <cell r="AB44">
            <v>0.68200000000000005</v>
          </cell>
          <cell r="AC44">
            <v>0.65300000000000002</v>
          </cell>
          <cell r="AD44">
            <v>0.224</v>
          </cell>
          <cell r="AE44">
            <v>0.44700000000000001</v>
          </cell>
        </row>
        <row r="45">
          <cell r="B45" t="str">
            <v>화성군</v>
          </cell>
          <cell r="C45">
            <v>36</v>
          </cell>
          <cell r="D45" t="str">
            <v>경기</v>
          </cell>
          <cell r="E45" t="str">
            <v>수도권</v>
          </cell>
          <cell r="F45">
            <v>9</v>
          </cell>
          <cell r="G45" t="str">
            <v>수원지방법원</v>
          </cell>
          <cell r="H45">
            <v>0.56299999999999994</v>
          </cell>
          <cell r="I45">
            <v>0.59799999999999998</v>
          </cell>
          <cell r="J45">
            <v>0.81399999999999995</v>
          </cell>
          <cell r="K45">
            <v>0.57099999999999995</v>
          </cell>
          <cell r="L45">
            <v>0.623</v>
          </cell>
          <cell r="M45">
            <v>0.61399999999999999</v>
          </cell>
          <cell r="N45">
            <v>0.60599999999999998</v>
          </cell>
          <cell r="O45">
            <v>0.54100000000000004</v>
          </cell>
          <cell r="P45">
            <v>0.48199999999999998</v>
          </cell>
          <cell r="Q45">
            <v>0.54300000000000004</v>
          </cell>
          <cell r="R45">
            <v>1.105</v>
          </cell>
          <cell r="S45">
            <v>0.55600000000000005</v>
          </cell>
          <cell r="T45">
            <v>0.59099999999999997</v>
          </cell>
          <cell r="U45">
            <v>0.59199999999999997</v>
          </cell>
          <cell r="V45">
            <v>0.377</v>
          </cell>
          <cell r="W45">
            <v>0.68100000000000005</v>
          </cell>
          <cell r="X45">
            <v>0.57299999999999995</v>
          </cell>
          <cell r="Y45">
            <v>0.66700000000000004</v>
          </cell>
          <cell r="Z45">
            <v>0.52</v>
          </cell>
          <cell r="AA45">
            <v>0.76400000000000001</v>
          </cell>
          <cell r="AB45">
            <v>0.68200000000000005</v>
          </cell>
          <cell r="AC45">
            <v>0.65300000000000002</v>
          </cell>
          <cell r="AD45">
            <v>0.224</v>
          </cell>
          <cell r="AE45">
            <v>0.44700000000000001</v>
          </cell>
        </row>
        <row r="46">
          <cell r="B46" t="str">
            <v>오산시</v>
          </cell>
          <cell r="C46">
            <v>37</v>
          </cell>
          <cell r="D46" t="str">
            <v>경기</v>
          </cell>
          <cell r="E46" t="str">
            <v>수도권</v>
          </cell>
          <cell r="F46">
            <v>9</v>
          </cell>
          <cell r="G46" t="str">
            <v>수원지방법원</v>
          </cell>
          <cell r="H46">
            <v>0.56299999999999994</v>
          </cell>
          <cell r="I46">
            <v>0.59799999999999998</v>
          </cell>
          <cell r="J46">
            <v>0.81399999999999995</v>
          </cell>
          <cell r="K46">
            <v>0.57099999999999995</v>
          </cell>
          <cell r="L46">
            <v>0.623</v>
          </cell>
          <cell r="M46">
            <v>0.61399999999999999</v>
          </cell>
          <cell r="N46">
            <v>0.60599999999999998</v>
          </cell>
          <cell r="O46">
            <v>0.54100000000000004</v>
          </cell>
          <cell r="P46">
            <v>0.48199999999999998</v>
          </cell>
          <cell r="Q46">
            <v>0.54300000000000004</v>
          </cell>
          <cell r="R46">
            <v>1.105</v>
          </cell>
          <cell r="S46">
            <v>0.55600000000000005</v>
          </cell>
          <cell r="T46">
            <v>0.59099999999999997</v>
          </cell>
          <cell r="U46">
            <v>0.59199999999999997</v>
          </cell>
          <cell r="V46">
            <v>0.377</v>
          </cell>
          <cell r="W46">
            <v>0.68100000000000005</v>
          </cell>
          <cell r="X46">
            <v>0.57299999999999995</v>
          </cell>
          <cell r="Y46">
            <v>0.66700000000000004</v>
          </cell>
          <cell r="Z46">
            <v>0.52</v>
          </cell>
          <cell r="AA46">
            <v>0.76400000000000001</v>
          </cell>
          <cell r="AB46">
            <v>0.68200000000000005</v>
          </cell>
          <cell r="AC46">
            <v>0.65300000000000002</v>
          </cell>
          <cell r="AD46">
            <v>0.224</v>
          </cell>
          <cell r="AE46">
            <v>0.44700000000000001</v>
          </cell>
        </row>
        <row r="47">
          <cell r="B47" t="str">
            <v>용인시</v>
          </cell>
          <cell r="C47">
            <v>38</v>
          </cell>
          <cell r="D47" t="str">
            <v>경기</v>
          </cell>
          <cell r="E47" t="str">
            <v>수도권</v>
          </cell>
          <cell r="F47">
            <v>9</v>
          </cell>
          <cell r="G47" t="str">
            <v>수원지방법원</v>
          </cell>
          <cell r="H47">
            <v>0.56299999999999994</v>
          </cell>
          <cell r="I47">
            <v>0.59799999999999998</v>
          </cell>
          <cell r="J47">
            <v>0.81399999999999995</v>
          </cell>
          <cell r="K47">
            <v>0.57099999999999995</v>
          </cell>
          <cell r="L47">
            <v>0.623</v>
          </cell>
          <cell r="M47">
            <v>0.61399999999999999</v>
          </cell>
          <cell r="N47">
            <v>0.60599999999999998</v>
          </cell>
          <cell r="O47">
            <v>0.54100000000000004</v>
          </cell>
          <cell r="P47">
            <v>0.48199999999999998</v>
          </cell>
          <cell r="Q47">
            <v>0.54300000000000004</v>
          </cell>
          <cell r="R47">
            <v>1.105</v>
          </cell>
          <cell r="S47">
            <v>0.55600000000000005</v>
          </cell>
          <cell r="T47">
            <v>0.59099999999999997</v>
          </cell>
          <cell r="U47">
            <v>0.59199999999999997</v>
          </cell>
          <cell r="V47">
            <v>0.377</v>
          </cell>
          <cell r="W47">
            <v>0.68100000000000005</v>
          </cell>
          <cell r="X47">
            <v>0.57299999999999995</v>
          </cell>
          <cell r="Y47">
            <v>0.66700000000000004</v>
          </cell>
          <cell r="Z47">
            <v>0.52</v>
          </cell>
          <cell r="AA47">
            <v>0.76400000000000001</v>
          </cell>
          <cell r="AB47">
            <v>0.68200000000000005</v>
          </cell>
          <cell r="AC47">
            <v>0.65300000000000002</v>
          </cell>
          <cell r="AD47">
            <v>0.224</v>
          </cell>
          <cell r="AE47">
            <v>0.44700000000000001</v>
          </cell>
        </row>
        <row r="48">
          <cell r="B48" t="str">
            <v>평택시</v>
          </cell>
          <cell r="C48">
            <v>39</v>
          </cell>
          <cell r="D48" t="str">
            <v>경기</v>
          </cell>
          <cell r="E48" t="str">
            <v>수도권</v>
          </cell>
          <cell r="F48">
            <v>12</v>
          </cell>
          <cell r="G48" t="str">
            <v>평택지원</v>
          </cell>
          <cell r="H48">
            <v>0.56299999999999994</v>
          </cell>
          <cell r="I48">
            <v>0.59799999999999998</v>
          </cell>
          <cell r="J48">
            <v>0.81399999999999995</v>
          </cell>
          <cell r="K48">
            <v>0.57099999999999995</v>
          </cell>
          <cell r="L48">
            <v>0.623</v>
          </cell>
          <cell r="M48">
            <v>0.61399999999999999</v>
          </cell>
          <cell r="N48">
            <v>0.60599999999999998</v>
          </cell>
          <cell r="O48">
            <v>0.54100000000000004</v>
          </cell>
          <cell r="P48">
            <v>0.48199999999999998</v>
          </cell>
          <cell r="Q48">
            <v>0.54300000000000004</v>
          </cell>
          <cell r="R48">
            <v>1.105</v>
          </cell>
          <cell r="S48">
            <v>0.55600000000000005</v>
          </cell>
          <cell r="T48">
            <v>0.59099999999999997</v>
          </cell>
          <cell r="U48">
            <v>0.59199999999999997</v>
          </cell>
          <cell r="V48">
            <v>0.377</v>
          </cell>
          <cell r="W48">
            <v>0.68100000000000005</v>
          </cell>
          <cell r="X48">
            <v>0.57299999999999995</v>
          </cell>
          <cell r="Y48">
            <v>0.66700000000000004</v>
          </cell>
          <cell r="Z48">
            <v>0.52</v>
          </cell>
          <cell r="AA48">
            <v>0.76400000000000001</v>
          </cell>
          <cell r="AB48">
            <v>0.68200000000000005</v>
          </cell>
          <cell r="AC48">
            <v>0.65300000000000002</v>
          </cell>
          <cell r="AD48">
            <v>0.224</v>
          </cell>
          <cell r="AE48">
            <v>0.44700000000000001</v>
          </cell>
        </row>
        <row r="49">
          <cell r="B49" t="str">
            <v>안성시</v>
          </cell>
          <cell r="C49">
            <v>40</v>
          </cell>
          <cell r="D49" t="str">
            <v>경기</v>
          </cell>
          <cell r="E49" t="str">
            <v>수도권</v>
          </cell>
          <cell r="F49">
            <v>12</v>
          </cell>
          <cell r="G49" t="str">
            <v>평택지원</v>
          </cell>
          <cell r="H49">
            <v>0.56299999999999994</v>
          </cell>
          <cell r="I49">
            <v>0.59799999999999998</v>
          </cell>
          <cell r="J49">
            <v>0.81399999999999995</v>
          </cell>
          <cell r="K49">
            <v>0.57099999999999995</v>
          </cell>
          <cell r="L49">
            <v>0.623</v>
          </cell>
          <cell r="M49">
            <v>0.61399999999999999</v>
          </cell>
          <cell r="N49">
            <v>0.60599999999999998</v>
          </cell>
          <cell r="O49">
            <v>0.54100000000000004</v>
          </cell>
          <cell r="P49">
            <v>0.48199999999999998</v>
          </cell>
          <cell r="Q49">
            <v>0.54300000000000004</v>
          </cell>
          <cell r="R49">
            <v>1.105</v>
          </cell>
          <cell r="S49">
            <v>0.55600000000000005</v>
          </cell>
          <cell r="T49">
            <v>0.59099999999999997</v>
          </cell>
          <cell r="U49">
            <v>0.59199999999999997</v>
          </cell>
          <cell r="V49">
            <v>0.377</v>
          </cell>
          <cell r="W49">
            <v>0.68100000000000005</v>
          </cell>
          <cell r="X49">
            <v>0.57299999999999995</v>
          </cell>
          <cell r="Y49">
            <v>0.66700000000000004</v>
          </cell>
          <cell r="Z49">
            <v>0.52</v>
          </cell>
          <cell r="AA49">
            <v>0.76400000000000001</v>
          </cell>
          <cell r="AB49">
            <v>0.68200000000000005</v>
          </cell>
          <cell r="AC49">
            <v>0.65300000000000002</v>
          </cell>
          <cell r="AD49">
            <v>0.224</v>
          </cell>
          <cell r="AE49">
            <v>0.44700000000000001</v>
          </cell>
        </row>
        <row r="50">
          <cell r="B50" t="str">
            <v>성남시수정구</v>
          </cell>
          <cell r="C50">
            <v>41</v>
          </cell>
          <cell r="D50" t="str">
            <v>경기</v>
          </cell>
          <cell r="E50" t="str">
            <v>수도권</v>
          </cell>
          <cell r="F50">
            <v>10</v>
          </cell>
          <cell r="G50" t="str">
            <v>성남지원</v>
          </cell>
          <cell r="H50">
            <v>0.56299999999999994</v>
          </cell>
          <cell r="I50">
            <v>0.59799999999999998</v>
          </cell>
          <cell r="J50">
            <v>0.81399999999999995</v>
          </cell>
          <cell r="K50">
            <v>0.57099999999999995</v>
          </cell>
          <cell r="L50">
            <v>0.623</v>
          </cell>
          <cell r="M50">
            <v>0.61399999999999999</v>
          </cell>
          <cell r="N50">
            <v>0.60599999999999998</v>
          </cell>
          <cell r="O50">
            <v>0.54100000000000004</v>
          </cell>
          <cell r="P50">
            <v>0.48199999999999998</v>
          </cell>
          <cell r="Q50">
            <v>0.54300000000000004</v>
          </cell>
          <cell r="R50">
            <v>1.105</v>
          </cell>
          <cell r="S50">
            <v>0.55600000000000005</v>
          </cell>
          <cell r="T50">
            <v>0.59099999999999997</v>
          </cell>
          <cell r="U50">
            <v>0.59199999999999997</v>
          </cell>
          <cell r="V50">
            <v>0.377</v>
          </cell>
          <cell r="W50">
            <v>0.68100000000000005</v>
          </cell>
          <cell r="X50">
            <v>0.57299999999999995</v>
          </cell>
          <cell r="Y50">
            <v>0.66700000000000004</v>
          </cell>
          <cell r="Z50">
            <v>0.52</v>
          </cell>
          <cell r="AA50">
            <v>0.76400000000000001</v>
          </cell>
          <cell r="AB50">
            <v>0.68200000000000005</v>
          </cell>
          <cell r="AC50">
            <v>0.65300000000000002</v>
          </cell>
          <cell r="AD50">
            <v>0.224</v>
          </cell>
          <cell r="AE50">
            <v>0.44700000000000001</v>
          </cell>
        </row>
        <row r="51">
          <cell r="B51" t="str">
            <v>성남시중원구</v>
          </cell>
          <cell r="C51">
            <v>42</v>
          </cell>
          <cell r="D51" t="str">
            <v>경기</v>
          </cell>
          <cell r="E51" t="str">
            <v>수도권</v>
          </cell>
          <cell r="F51">
            <v>10</v>
          </cell>
          <cell r="G51" t="str">
            <v>성남지원</v>
          </cell>
          <cell r="H51">
            <v>0.56299999999999994</v>
          </cell>
          <cell r="I51">
            <v>0.59799999999999998</v>
          </cell>
          <cell r="J51">
            <v>0.81399999999999995</v>
          </cell>
          <cell r="K51">
            <v>0.57099999999999995</v>
          </cell>
          <cell r="L51">
            <v>0.623</v>
          </cell>
          <cell r="M51">
            <v>0.61399999999999999</v>
          </cell>
          <cell r="N51">
            <v>0.60599999999999998</v>
          </cell>
          <cell r="O51">
            <v>0.54100000000000004</v>
          </cell>
          <cell r="P51">
            <v>0.48199999999999998</v>
          </cell>
          <cell r="Q51">
            <v>0.54300000000000004</v>
          </cell>
          <cell r="R51">
            <v>1.105</v>
          </cell>
          <cell r="S51">
            <v>0.55600000000000005</v>
          </cell>
          <cell r="T51">
            <v>0.59099999999999997</v>
          </cell>
          <cell r="U51">
            <v>0.59199999999999997</v>
          </cell>
          <cell r="V51">
            <v>0.377</v>
          </cell>
          <cell r="W51">
            <v>0.68100000000000005</v>
          </cell>
          <cell r="X51">
            <v>0.57299999999999995</v>
          </cell>
          <cell r="Y51">
            <v>0.66700000000000004</v>
          </cell>
          <cell r="Z51">
            <v>0.52</v>
          </cell>
          <cell r="AA51">
            <v>0.76400000000000001</v>
          </cell>
          <cell r="AB51">
            <v>0.68200000000000005</v>
          </cell>
          <cell r="AC51">
            <v>0.65300000000000002</v>
          </cell>
          <cell r="AD51">
            <v>0.224</v>
          </cell>
          <cell r="AE51">
            <v>0.44700000000000001</v>
          </cell>
        </row>
        <row r="52">
          <cell r="B52" t="str">
            <v>성남시분당구</v>
          </cell>
          <cell r="C52">
            <v>43</v>
          </cell>
          <cell r="D52" t="str">
            <v>경기</v>
          </cell>
          <cell r="E52" t="str">
            <v>수도권</v>
          </cell>
          <cell r="F52">
            <v>10</v>
          </cell>
          <cell r="G52" t="str">
            <v>성남지원</v>
          </cell>
          <cell r="H52">
            <v>0.56299999999999994</v>
          </cell>
          <cell r="I52">
            <v>0.59799999999999998</v>
          </cell>
          <cell r="J52">
            <v>0.81399999999999995</v>
          </cell>
          <cell r="K52">
            <v>0.57099999999999995</v>
          </cell>
          <cell r="L52">
            <v>0.623</v>
          </cell>
          <cell r="M52">
            <v>0.61399999999999999</v>
          </cell>
          <cell r="N52">
            <v>0.60599999999999998</v>
          </cell>
          <cell r="O52">
            <v>0.54100000000000004</v>
          </cell>
          <cell r="P52">
            <v>0.48199999999999998</v>
          </cell>
          <cell r="Q52">
            <v>0.54300000000000004</v>
          </cell>
          <cell r="R52">
            <v>1.105</v>
          </cell>
          <cell r="S52">
            <v>0.55600000000000005</v>
          </cell>
          <cell r="T52">
            <v>0.59099999999999997</v>
          </cell>
          <cell r="U52">
            <v>0.59199999999999997</v>
          </cell>
          <cell r="V52">
            <v>0.377</v>
          </cell>
          <cell r="W52">
            <v>0.68100000000000005</v>
          </cell>
          <cell r="X52">
            <v>0.57299999999999995</v>
          </cell>
          <cell r="Y52">
            <v>0.66700000000000004</v>
          </cell>
          <cell r="Z52">
            <v>0.52</v>
          </cell>
          <cell r="AA52">
            <v>0.76400000000000001</v>
          </cell>
          <cell r="AB52">
            <v>0.68200000000000005</v>
          </cell>
          <cell r="AC52">
            <v>0.65300000000000002</v>
          </cell>
          <cell r="AD52">
            <v>0.224</v>
          </cell>
          <cell r="AE52">
            <v>0.44700000000000001</v>
          </cell>
        </row>
        <row r="53">
          <cell r="B53" t="str">
            <v>광주군</v>
          </cell>
          <cell r="C53">
            <v>44</v>
          </cell>
          <cell r="D53" t="str">
            <v>경기</v>
          </cell>
          <cell r="E53" t="str">
            <v>수도권</v>
          </cell>
          <cell r="F53">
            <v>10</v>
          </cell>
          <cell r="G53" t="str">
            <v>성남지원</v>
          </cell>
          <cell r="H53">
            <v>0.56299999999999994</v>
          </cell>
          <cell r="I53">
            <v>0.59799999999999998</v>
          </cell>
          <cell r="J53">
            <v>0.81399999999999995</v>
          </cell>
          <cell r="K53">
            <v>0.57099999999999995</v>
          </cell>
          <cell r="L53">
            <v>0.623</v>
          </cell>
          <cell r="M53">
            <v>0.61399999999999999</v>
          </cell>
          <cell r="N53">
            <v>0.60599999999999998</v>
          </cell>
          <cell r="O53">
            <v>0.54100000000000004</v>
          </cell>
          <cell r="P53">
            <v>0.48199999999999998</v>
          </cell>
          <cell r="Q53">
            <v>0.54300000000000004</v>
          </cell>
          <cell r="R53">
            <v>1.105</v>
          </cell>
          <cell r="S53">
            <v>0.55600000000000005</v>
          </cell>
          <cell r="T53">
            <v>0.59099999999999997</v>
          </cell>
          <cell r="U53">
            <v>0.59199999999999997</v>
          </cell>
          <cell r="V53">
            <v>0.377</v>
          </cell>
          <cell r="W53">
            <v>0.68100000000000005</v>
          </cell>
          <cell r="X53">
            <v>0.57299999999999995</v>
          </cell>
          <cell r="Y53">
            <v>0.66700000000000004</v>
          </cell>
          <cell r="Z53">
            <v>0.52</v>
          </cell>
          <cell r="AA53">
            <v>0.76400000000000001</v>
          </cell>
          <cell r="AB53">
            <v>0.68200000000000005</v>
          </cell>
          <cell r="AC53">
            <v>0.65300000000000002</v>
          </cell>
          <cell r="AD53">
            <v>0.224</v>
          </cell>
          <cell r="AE53">
            <v>0.44700000000000001</v>
          </cell>
        </row>
        <row r="54">
          <cell r="B54" t="str">
            <v>하남시</v>
          </cell>
          <cell r="C54">
            <v>45</v>
          </cell>
          <cell r="D54" t="str">
            <v>경기</v>
          </cell>
          <cell r="E54" t="str">
            <v>수도권</v>
          </cell>
          <cell r="F54">
            <v>10</v>
          </cell>
          <cell r="G54" t="str">
            <v>성남지원</v>
          </cell>
          <cell r="H54">
            <v>0.56299999999999994</v>
          </cell>
          <cell r="I54">
            <v>0.59799999999999998</v>
          </cell>
          <cell r="J54">
            <v>0.81399999999999995</v>
          </cell>
          <cell r="K54">
            <v>0.57099999999999995</v>
          </cell>
          <cell r="L54">
            <v>0.623</v>
          </cell>
          <cell r="M54">
            <v>0.61399999999999999</v>
          </cell>
          <cell r="N54">
            <v>0.60599999999999998</v>
          </cell>
          <cell r="O54">
            <v>0.54100000000000004</v>
          </cell>
          <cell r="P54">
            <v>0.48199999999999998</v>
          </cell>
          <cell r="Q54">
            <v>0.54300000000000004</v>
          </cell>
          <cell r="R54">
            <v>1.105</v>
          </cell>
          <cell r="S54">
            <v>0.55600000000000005</v>
          </cell>
          <cell r="T54">
            <v>0.59099999999999997</v>
          </cell>
          <cell r="U54">
            <v>0.59199999999999997</v>
          </cell>
          <cell r="V54">
            <v>0.377</v>
          </cell>
          <cell r="W54">
            <v>0.68100000000000005</v>
          </cell>
          <cell r="X54">
            <v>0.57299999999999995</v>
          </cell>
          <cell r="Y54">
            <v>0.66700000000000004</v>
          </cell>
          <cell r="Z54">
            <v>0.52</v>
          </cell>
          <cell r="AA54">
            <v>0.76400000000000001</v>
          </cell>
          <cell r="AB54">
            <v>0.68200000000000005</v>
          </cell>
          <cell r="AC54">
            <v>0.65300000000000002</v>
          </cell>
          <cell r="AD54">
            <v>0.224</v>
          </cell>
          <cell r="AE54">
            <v>0.44700000000000001</v>
          </cell>
        </row>
        <row r="55">
          <cell r="B55" t="str">
            <v>이천시</v>
          </cell>
          <cell r="C55">
            <v>46</v>
          </cell>
          <cell r="D55" t="str">
            <v>경기</v>
          </cell>
          <cell r="E55" t="str">
            <v>수도권</v>
          </cell>
          <cell r="F55">
            <v>11</v>
          </cell>
          <cell r="G55" t="str">
            <v>여주지원</v>
          </cell>
          <cell r="H55">
            <v>0.56299999999999994</v>
          </cell>
          <cell r="I55">
            <v>0.59799999999999998</v>
          </cell>
          <cell r="J55">
            <v>0.81399999999999995</v>
          </cell>
          <cell r="K55">
            <v>0.57099999999999995</v>
          </cell>
          <cell r="L55">
            <v>0.623</v>
          </cell>
          <cell r="M55">
            <v>0.61399999999999999</v>
          </cell>
          <cell r="N55">
            <v>0.60599999999999998</v>
          </cell>
          <cell r="O55">
            <v>0.54100000000000004</v>
          </cell>
          <cell r="P55">
            <v>0.48199999999999998</v>
          </cell>
          <cell r="Q55">
            <v>0.54300000000000004</v>
          </cell>
          <cell r="R55">
            <v>1.105</v>
          </cell>
          <cell r="S55">
            <v>0.55600000000000005</v>
          </cell>
          <cell r="T55">
            <v>0.59099999999999997</v>
          </cell>
          <cell r="U55">
            <v>0.59199999999999997</v>
          </cell>
          <cell r="V55">
            <v>0.377</v>
          </cell>
          <cell r="W55">
            <v>0.68100000000000005</v>
          </cell>
          <cell r="X55">
            <v>0.57299999999999995</v>
          </cell>
          <cell r="Y55">
            <v>0.66700000000000004</v>
          </cell>
          <cell r="Z55">
            <v>0.52</v>
          </cell>
          <cell r="AA55">
            <v>0.76400000000000001</v>
          </cell>
          <cell r="AB55">
            <v>0.68200000000000005</v>
          </cell>
          <cell r="AC55">
            <v>0.65300000000000002</v>
          </cell>
          <cell r="AD55">
            <v>0.224</v>
          </cell>
          <cell r="AE55">
            <v>0.44700000000000001</v>
          </cell>
        </row>
        <row r="56">
          <cell r="B56" t="str">
            <v>여주군</v>
          </cell>
          <cell r="C56">
            <v>47</v>
          </cell>
          <cell r="D56" t="str">
            <v>경기</v>
          </cell>
          <cell r="E56" t="str">
            <v>수도권</v>
          </cell>
          <cell r="F56">
            <v>11</v>
          </cell>
          <cell r="G56" t="str">
            <v>여주지원</v>
          </cell>
          <cell r="H56">
            <v>0.56299999999999994</v>
          </cell>
          <cell r="I56">
            <v>0.59799999999999998</v>
          </cell>
          <cell r="J56">
            <v>0.81399999999999995</v>
          </cell>
          <cell r="K56">
            <v>0.57099999999999995</v>
          </cell>
          <cell r="L56">
            <v>0.623</v>
          </cell>
          <cell r="M56">
            <v>0.61399999999999999</v>
          </cell>
          <cell r="N56">
            <v>0.60599999999999998</v>
          </cell>
          <cell r="O56">
            <v>0.54100000000000004</v>
          </cell>
          <cell r="P56">
            <v>0.48199999999999998</v>
          </cell>
          <cell r="Q56">
            <v>0.54300000000000004</v>
          </cell>
          <cell r="R56">
            <v>1.105</v>
          </cell>
          <cell r="S56">
            <v>0.55600000000000005</v>
          </cell>
          <cell r="T56">
            <v>0.59099999999999997</v>
          </cell>
          <cell r="U56">
            <v>0.59199999999999997</v>
          </cell>
          <cell r="V56">
            <v>0.377</v>
          </cell>
          <cell r="W56">
            <v>0.68100000000000005</v>
          </cell>
          <cell r="X56">
            <v>0.57299999999999995</v>
          </cell>
          <cell r="Y56">
            <v>0.66700000000000004</v>
          </cell>
          <cell r="Z56">
            <v>0.52</v>
          </cell>
          <cell r="AA56">
            <v>0.76400000000000001</v>
          </cell>
          <cell r="AB56">
            <v>0.68200000000000005</v>
          </cell>
          <cell r="AC56">
            <v>0.65300000000000002</v>
          </cell>
          <cell r="AD56">
            <v>0.224</v>
          </cell>
          <cell r="AE56">
            <v>0.44700000000000001</v>
          </cell>
        </row>
        <row r="57">
          <cell r="B57" t="str">
            <v>구리시</v>
          </cell>
          <cell r="C57">
            <v>48</v>
          </cell>
          <cell r="D57" t="str">
            <v>경기</v>
          </cell>
          <cell r="E57" t="str">
            <v>수도권</v>
          </cell>
          <cell r="F57">
            <v>6</v>
          </cell>
          <cell r="G57" t="str">
            <v>의정부지원</v>
          </cell>
          <cell r="H57">
            <v>0.56299999999999994</v>
          </cell>
          <cell r="I57">
            <v>0.59799999999999998</v>
          </cell>
          <cell r="J57">
            <v>0.81399999999999995</v>
          </cell>
          <cell r="K57">
            <v>0.57099999999999995</v>
          </cell>
          <cell r="L57">
            <v>0.623</v>
          </cell>
          <cell r="M57">
            <v>0.61399999999999999</v>
          </cell>
          <cell r="N57">
            <v>0.60599999999999998</v>
          </cell>
          <cell r="O57">
            <v>0.54100000000000004</v>
          </cell>
          <cell r="P57">
            <v>0.48199999999999998</v>
          </cell>
          <cell r="Q57">
            <v>0.54300000000000004</v>
          </cell>
          <cell r="R57">
            <v>1.105</v>
          </cell>
          <cell r="S57">
            <v>0.55600000000000005</v>
          </cell>
          <cell r="T57">
            <v>0.59099999999999997</v>
          </cell>
          <cell r="U57">
            <v>0.59199999999999997</v>
          </cell>
          <cell r="V57">
            <v>0.377</v>
          </cell>
          <cell r="W57">
            <v>0.68100000000000005</v>
          </cell>
          <cell r="X57">
            <v>0.57299999999999995</v>
          </cell>
          <cell r="Y57">
            <v>0.66700000000000004</v>
          </cell>
          <cell r="Z57">
            <v>0.52</v>
          </cell>
          <cell r="AA57">
            <v>0.76400000000000001</v>
          </cell>
          <cell r="AB57">
            <v>0.68200000000000005</v>
          </cell>
          <cell r="AC57">
            <v>0.65300000000000002</v>
          </cell>
          <cell r="AD57">
            <v>0.224</v>
          </cell>
          <cell r="AE57">
            <v>0.44700000000000001</v>
          </cell>
        </row>
        <row r="58">
          <cell r="B58" t="str">
            <v>남양주시</v>
          </cell>
          <cell r="C58">
            <v>49</v>
          </cell>
          <cell r="D58" t="str">
            <v>경기</v>
          </cell>
          <cell r="E58" t="str">
            <v>수도권</v>
          </cell>
          <cell r="F58">
            <v>6</v>
          </cell>
          <cell r="G58" t="str">
            <v>의정부지원</v>
          </cell>
          <cell r="H58">
            <v>0.56299999999999994</v>
          </cell>
          <cell r="I58">
            <v>0.59799999999999998</v>
          </cell>
          <cell r="J58">
            <v>0.81399999999999995</v>
          </cell>
          <cell r="K58">
            <v>0.57099999999999995</v>
          </cell>
          <cell r="L58">
            <v>0.623</v>
          </cell>
          <cell r="M58">
            <v>0.61399999999999999</v>
          </cell>
          <cell r="N58">
            <v>0.60599999999999998</v>
          </cell>
          <cell r="O58">
            <v>0.54100000000000004</v>
          </cell>
          <cell r="P58">
            <v>0.48199999999999998</v>
          </cell>
          <cell r="Q58">
            <v>0.54300000000000004</v>
          </cell>
          <cell r="R58">
            <v>1.105</v>
          </cell>
          <cell r="S58">
            <v>0.55600000000000005</v>
          </cell>
          <cell r="T58">
            <v>0.59099999999999997</v>
          </cell>
          <cell r="U58">
            <v>0.59199999999999997</v>
          </cell>
          <cell r="V58">
            <v>0.377</v>
          </cell>
          <cell r="W58">
            <v>0.68100000000000005</v>
          </cell>
          <cell r="X58">
            <v>0.57299999999999995</v>
          </cell>
          <cell r="Y58">
            <v>0.66700000000000004</v>
          </cell>
          <cell r="Z58">
            <v>0.52</v>
          </cell>
          <cell r="AA58">
            <v>0.76400000000000001</v>
          </cell>
          <cell r="AB58">
            <v>0.68200000000000005</v>
          </cell>
          <cell r="AC58">
            <v>0.65300000000000002</v>
          </cell>
          <cell r="AD58">
            <v>0.224</v>
          </cell>
          <cell r="AE58">
            <v>0.44700000000000001</v>
          </cell>
        </row>
        <row r="59">
          <cell r="B59" t="str">
            <v>양평군</v>
          </cell>
          <cell r="C59">
            <v>50</v>
          </cell>
          <cell r="D59" t="str">
            <v>경기</v>
          </cell>
          <cell r="E59" t="str">
            <v>수도권</v>
          </cell>
          <cell r="F59">
            <v>11</v>
          </cell>
          <cell r="G59" t="str">
            <v>여주지원</v>
          </cell>
          <cell r="H59">
            <v>0.56299999999999994</v>
          </cell>
          <cell r="I59">
            <v>0.59799999999999998</v>
          </cell>
          <cell r="J59">
            <v>0.81399999999999995</v>
          </cell>
          <cell r="K59">
            <v>0.57099999999999995</v>
          </cell>
          <cell r="L59">
            <v>0.623</v>
          </cell>
          <cell r="M59">
            <v>0.61399999999999999</v>
          </cell>
          <cell r="N59">
            <v>0.60599999999999998</v>
          </cell>
          <cell r="O59">
            <v>0.54100000000000004</v>
          </cell>
          <cell r="P59">
            <v>0.48199999999999998</v>
          </cell>
          <cell r="Q59">
            <v>0.54300000000000004</v>
          </cell>
          <cell r="R59">
            <v>1.105</v>
          </cell>
          <cell r="S59">
            <v>0.55600000000000005</v>
          </cell>
          <cell r="T59">
            <v>0.59099999999999997</v>
          </cell>
          <cell r="U59">
            <v>0.59199999999999997</v>
          </cell>
          <cell r="V59">
            <v>0.377</v>
          </cell>
          <cell r="W59">
            <v>0.68100000000000005</v>
          </cell>
          <cell r="X59">
            <v>0.57299999999999995</v>
          </cell>
          <cell r="Y59">
            <v>0.66700000000000004</v>
          </cell>
          <cell r="Z59">
            <v>0.52</v>
          </cell>
          <cell r="AA59">
            <v>0.76400000000000001</v>
          </cell>
          <cell r="AB59">
            <v>0.68200000000000005</v>
          </cell>
          <cell r="AC59">
            <v>0.65300000000000002</v>
          </cell>
          <cell r="AD59">
            <v>0.224</v>
          </cell>
          <cell r="AE59">
            <v>0.44700000000000001</v>
          </cell>
        </row>
        <row r="60">
          <cell r="B60" t="str">
            <v>가평군</v>
          </cell>
          <cell r="C60">
            <v>51</v>
          </cell>
          <cell r="D60" t="str">
            <v>경기</v>
          </cell>
          <cell r="E60" t="str">
            <v>수도권</v>
          </cell>
          <cell r="F60">
            <v>6</v>
          </cell>
          <cell r="G60" t="str">
            <v>의정부지원</v>
          </cell>
          <cell r="H60">
            <v>0.56299999999999994</v>
          </cell>
          <cell r="I60">
            <v>0.59799999999999998</v>
          </cell>
          <cell r="J60">
            <v>0.81399999999999995</v>
          </cell>
          <cell r="K60">
            <v>0.57099999999999995</v>
          </cell>
          <cell r="L60">
            <v>0.623</v>
          </cell>
          <cell r="M60">
            <v>0.61399999999999999</v>
          </cell>
          <cell r="N60">
            <v>0.60599999999999998</v>
          </cell>
          <cell r="O60">
            <v>0.54100000000000004</v>
          </cell>
          <cell r="P60">
            <v>0.48199999999999998</v>
          </cell>
          <cell r="Q60">
            <v>0.54300000000000004</v>
          </cell>
          <cell r="R60">
            <v>1.105</v>
          </cell>
          <cell r="S60">
            <v>0.55600000000000005</v>
          </cell>
          <cell r="T60">
            <v>0.59099999999999997</v>
          </cell>
          <cell r="U60">
            <v>0.59199999999999997</v>
          </cell>
          <cell r="V60">
            <v>0.377</v>
          </cell>
          <cell r="W60">
            <v>0.68100000000000005</v>
          </cell>
          <cell r="X60">
            <v>0.57299999999999995</v>
          </cell>
          <cell r="Y60">
            <v>0.66700000000000004</v>
          </cell>
          <cell r="Z60">
            <v>0.52</v>
          </cell>
          <cell r="AA60">
            <v>0.76400000000000001</v>
          </cell>
          <cell r="AB60">
            <v>0.68200000000000005</v>
          </cell>
          <cell r="AC60">
            <v>0.65300000000000002</v>
          </cell>
          <cell r="AD60">
            <v>0.224</v>
          </cell>
          <cell r="AE60">
            <v>0.44700000000000001</v>
          </cell>
        </row>
        <row r="61">
          <cell r="B61" t="str">
            <v>의정부시</v>
          </cell>
          <cell r="C61">
            <v>52</v>
          </cell>
          <cell r="D61" t="str">
            <v>경기</v>
          </cell>
          <cell r="E61" t="str">
            <v>수도권</v>
          </cell>
          <cell r="F61">
            <v>6</v>
          </cell>
          <cell r="G61" t="str">
            <v>의정부지원</v>
          </cell>
          <cell r="H61">
            <v>0.56299999999999994</v>
          </cell>
          <cell r="I61">
            <v>0.59799999999999998</v>
          </cell>
          <cell r="J61">
            <v>0.81399999999999995</v>
          </cell>
          <cell r="K61">
            <v>0.57099999999999995</v>
          </cell>
          <cell r="L61">
            <v>0.623</v>
          </cell>
          <cell r="M61">
            <v>0.61399999999999999</v>
          </cell>
          <cell r="N61">
            <v>0.60599999999999998</v>
          </cell>
          <cell r="O61">
            <v>0.54100000000000004</v>
          </cell>
          <cell r="P61">
            <v>0.48199999999999998</v>
          </cell>
          <cell r="Q61">
            <v>0.54300000000000004</v>
          </cell>
          <cell r="R61">
            <v>1.105</v>
          </cell>
          <cell r="S61">
            <v>0.55600000000000005</v>
          </cell>
          <cell r="T61">
            <v>0.59099999999999997</v>
          </cell>
          <cell r="U61">
            <v>0.59199999999999997</v>
          </cell>
          <cell r="V61">
            <v>0.377</v>
          </cell>
          <cell r="W61">
            <v>0.68100000000000005</v>
          </cell>
          <cell r="X61">
            <v>0.57299999999999995</v>
          </cell>
          <cell r="Y61">
            <v>0.66700000000000004</v>
          </cell>
          <cell r="Z61">
            <v>0.52</v>
          </cell>
          <cell r="AA61">
            <v>0.76400000000000001</v>
          </cell>
          <cell r="AB61">
            <v>0.68200000000000005</v>
          </cell>
          <cell r="AC61">
            <v>0.65300000000000002</v>
          </cell>
          <cell r="AD61">
            <v>0.224</v>
          </cell>
          <cell r="AE61">
            <v>0.44700000000000001</v>
          </cell>
        </row>
        <row r="62">
          <cell r="B62" t="str">
            <v>양주군</v>
          </cell>
          <cell r="C62">
            <v>53</v>
          </cell>
          <cell r="D62" t="str">
            <v>경기</v>
          </cell>
          <cell r="E62" t="str">
            <v>수도권</v>
          </cell>
          <cell r="F62">
            <v>6</v>
          </cell>
          <cell r="G62" t="str">
            <v>의정부지원</v>
          </cell>
          <cell r="H62">
            <v>0.56299999999999994</v>
          </cell>
          <cell r="I62">
            <v>0.59799999999999998</v>
          </cell>
          <cell r="J62">
            <v>0.81399999999999995</v>
          </cell>
          <cell r="K62">
            <v>0.57099999999999995</v>
          </cell>
          <cell r="L62">
            <v>0.623</v>
          </cell>
          <cell r="M62">
            <v>0.61399999999999999</v>
          </cell>
          <cell r="N62">
            <v>0.60599999999999998</v>
          </cell>
          <cell r="O62">
            <v>0.54100000000000004</v>
          </cell>
          <cell r="P62">
            <v>0.48199999999999998</v>
          </cell>
          <cell r="Q62">
            <v>0.54300000000000004</v>
          </cell>
          <cell r="R62">
            <v>1.105</v>
          </cell>
          <cell r="S62">
            <v>0.55600000000000005</v>
          </cell>
          <cell r="T62">
            <v>0.59099999999999997</v>
          </cell>
          <cell r="U62">
            <v>0.59199999999999997</v>
          </cell>
          <cell r="V62">
            <v>0.377</v>
          </cell>
          <cell r="W62">
            <v>0.68100000000000005</v>
          </cell>
          <cell r="X62">
            <v>0.57299999999999995</v>
          </cell>
          <cell r="Y62">
            <v>0.66700000000000004</v>
          </cell>
          <cell r="Z62">
            <v>0.52</v>
          </cell>
          <cell r="AA62">
            <v>0.76400000000000001</v>
          </cell>
          <cell r="AB62">
            <v>0.68200000000000005</v>
          </cell>
          <cell r="AC62">
            <v>0.65300000000000002</v>
          </cell>
          <cell r="AD62">
            <v>0.224</v>
          </cell>
          <cell r="AE62">
            <v>0.44700000000000001</v>
          </cell>
        </row>
        <row r="63">
          <cell r="B63" t="str">
            <v>동두천시</v>
          </cell>
          <cell r="C63">
            <v>54</v>
          </cell>
          <cell r="D63" t="str">
            <v>경기</v>
          </cell>
          <cell r="E63" t="str">
            <v>수도권</v>
          </cell>
          <cell r="F63">
            <v>6</v>
          </cell>
          <cell r="G63" t="str">
            <v>의정부지원</v>
          </cell>
          <cell r="H63">
            <v>0.56299999999999994</v>
          </cell>
          <cell r="I63">
            <v>0.59799999999999998</v>
          </cell>
          <cell r="J63">
            <v>0.81399999999999995</v>
          </cell>
          <cell r="K63">
            <v>0.57099999999999995</v>
          </cell>
          <cell r="L63">
            <v>0.623</v>
          </cell>
          <cell r="M63">
            <v>0.61399999999999999</v>
          </cell>
          <cell r="N63">
            <v>0.60599999999999998</v>
          </cell>
          <cell r="O63">
            <v>0.54100000000000004</v>
          </cell>
          <cell r="P63">
            <v>0.48199999999999998</v>
          </cell>
          <cell r="Q63">
            <v>0.54300000000000004</v>
          </cell>
          <cell r="R63">
            <v>1.105</v>
          </cell>
          <cell r="S63">
            <v>0.55600000000000005</v>
          </cell>
          <cell r="T63">
            <v>0.59099999999999997</v>
          </cell>
          <cell r="U63">
            <v>0.59199999999999997</v>
          </cell>
          <cell r="V63">
            <v>0.377</v>
          </cell>
          <cell r="W63">
            <v>0.68100000000000005</v>
          </cell>
          <cell r="X63">
            <v>0.57299999999999995</v>
          </cell>
          <cell r="Y63">
            <v>0.66700000000000004</v>
          </cell>
          <cell r="Z63">
            <v>0.52</v>
          </cell>
          <cell r="AA63">
            <v>0.76400000000000001</v>
          </cell>
          <cell r="AB63">
            <v>0.68200000000000005</v>
          </cell>
          <cell r="AC63">
            <v>0.65300000000000002</v>
          </cell>
          <cell r="AD63">
            <v>0.224</v>
          </cell>
          <cell r="AE63">
            <v>0.44700000000000001</v>
          </cell>
        </row>
        <row r="64">
          <cell r="B64" t="str">
            <v>연천군</v>
          </cell>
          <cell r="C64">
            <v>55</v>
          </cell>
          <cell r="D64" t="str">
            <v>경기</v>
          </cell>
          <cell r="E64" t="str">
            <v>수도권</v>
          </cell>
          <cell r="F64">
            <v>6</v>
          </cell>
          <cell r="G64" t="str">
            <v>의정부지원</v>
          </cell>
          <cell r="H64">
            <v>0.56299999999999994</v>
          </cell>
          <cell r="I64">
            <v>0.59799999999999998</v>
          </cell>
          <cell r="J64">
            <v>0.81399999999999995</v>
          </cell>
          <cell r="K64">
            <v>0.57099999999999995</v>
          </cell>
          <cell r="L64">
            <v>0.623</v>
          </cell>
          <cell r="M64">
            <v>0.61399999999999999</v>
          </cell>
          <cell r="N64">
            <v>0.60599999999999998</v>
          </cell>
          <cell r="O64">
            <v>0.54100000000000004</v>
          </cell>
          <cell r="P64">
            <v>0.48199999999999998</v>
          </cell>
          <cell r="Q64">
            <v>0.54300000000000004</v>
          </cell>
          <cell r="R64">
            <v>1.105</v>
          </cell>
          <cell r="S64">
            <v>0.55600000000000005</v>
          </cell>
          <cell r="T64">
            <v>0.59099999999999997</v>
          </cell>
          <cell r="U64">
            <v>0.59199999999999997</v>
          </cell>
          <cell r="V64">
            <v>0.377</v>
          </cell>
          <cell r="W64">
            <v>0.68100000000000005</v>
          </cell>
          <cell r="X64">
            <v>0.57299999999999995</v>
          </cell>
          <cell r="Y64">
            <v>0.66700000000000004</v>
          </cell>
          <cell r="Z64">
            <v>0.52</v>
          </cell>
          <cell r="AA64">
            <v>0.76400000000000001</v>
          </cell>
          <cell r="AB64">
            <v>0.68200000000000005</v>
          </cell>
          <cell r="AC64">
            <v>0.65300000000000002</v>
          </cell>
          <cell r="AD64">
            <v>0.224</v>
          </cell>
          <cell r="AE64">
            <v>0.44700000000000001</v>
          </cell>
        </row>
        <row r="65">
          <cell r="B65" t="str">
            <v>포천군</v>
          </cell>
          <cell r="C65">
            <v>56</v>
          </cell>
          <cell r="D65" t="str">
            <v>경기</v>
          </cell>
          <cell r="E65" t="str">
            <v>수도권</v>
          </cell>
          <cell r="F65">
            <v>6</v>
          </cell>
          <cell r="G65" t="str">
            <v>의정부지원</v>
          </cell>
          <cell r="H65">
            <v>0.56299999999999994</v>
          </cell>
          <cell r="I65">
            <v>0.59799999999999998</v>
          </cell>
          <cell r="J65">
            <v>0.81399999999999995</v>
          </cell>
          <cell r="K65">
            <v>0.57099999999999995</v>
          </cell>
          <cell r="L65">
            <v>0.623</v>
          </cell>
          <cell r="M65">
            <v>0.61399999999999999</v>
          </cell>
          <cell r="N65">
            <v>0.60599999999999998</v>
          </cell>
          <cell r="O65">
            <v>0.54100000000000004</v>
          </cell>
          <cell r="P65">
            <v>0.48199999999999998</v>
          </cell>
          <cell r="Q65">
            <v>0.54300000000000004</v>
          </cell>
          <cell r="R65">
            <v>1.105</v>
          </cell>
          <cell r="S65">
            <v>0.55600000000000005</v>
          </cell>
          <cell r="T65">
            <v>0.59099999999999997</v>
          </cell>
          <cell r="U65">
            <v>0.59199999999999997</v>
          </cell>
          <cell r="V65">
            <v>0.377</v>
          </cell>
          <cell r="W65">
            <v>0.68100000000000005</v>
          </cell>
          <cell r="X65">
            <v>0.57299999999999995</v>
          </cell>
          <cell r="Y65">
            <v>0.66700000000000004</v>
          </cell>
          <cell r="Z65">
            <v>0.52</v>
          </cell>
          <cell r="AA65">
            <v>0.76400000000000001</v>
          </cell>
          <cell r="AB65">
            <v>0.68200000000000005</v>
          </cell>
          <cell r="AC65">
            <v>0.65300000000000002</v>
          </cell>
          <cell r="AD65">
            <v>0.224</v>
          </cell>
          <cell r="AE65">
            <v>0.44700000000000001</v>
          </cell>
        </row>
        <row r="66">
          <cell r="B66" t="str">
            <v>김해시</v>
          </cell>
          <cell r="C66">
            <v>57</v>
          </cell>
          <cell r="D66" t="str">
            <v>경남</v>
          </cell>
          <cell r="E66" t="str">
            <v>시지역</v>
          </cell>
          <cell r="F66">
            <v>31</v>
          </cell>
          <cell r="G66" t="str">
            <v>창원지방법원</v>
          </cell>
          <cell r="H66">
            <v>0.56200000000000006</v>
          </cell>
          <cell r="I66">
            <v>0.63700000000000001</v>
          </cell>
          <cell r="J66">
            <v>0.68799999999999994</v>
          </cell>
          <cell r="K66">
            <v>0.51500000000000001</v>
          </cell>
          <cell r="L66">
            <v>0.59699999999999998</v>
          </cell>
          <cell r="M66">
            <v>0.56000000000000005</v>
          </cell>
          <cell r="N66">
            <v>0.52300000000000002</v>
          </cell>
          <cell r="O66">
            <v>0.49199999999999999</v>
          </cell>
          <cell r="P66">
            <v>0.55600000000000005</v>
          </cell>
          <cell r="Q66">
            <v>0.44800000000000001</v>
          </cell>
          <cell r="R66">
            <v>0.56499999999999995</v>
          </cell>
          <cell r="S66">
            <v>0.56399999999999995</v>
          </cell>
          <cell r="T66">
            <v>0.46700000000000003</v>
          </cell>
          <cell r="U66">
            <v>0.50800000000000001</v>
          </cell>
          <cell r="V66">
            <v>0.67</v>
          </cell>
          <cell r="W66">
            <v>0.61</v>
          </cell>
          <cell r="X66">
            <v>0.624</v>
          </cell>
          <cell r="Y66">
            <v>0.65</v>
          </cell>
          <cell r="Z66">
            <v>0.57099999999999995</v>
          </cell>
          <cell r="AA66">
            <v>0.66700000000000004</v>
          </cell>
          <cell r="AB66">
            <v>0.55800000000000005</v>
          </cell>
          <cell r="AC66">
            <v>0.751</v>
          </cell>
          <cell r="AD66">
            <v>0.27700000000000002</v>
          </cell>
          <cell r="AE66">
            <v>0.63</v>
          </cell>
        </row>
        <row r="67">
          <cell r="B67" t="str">
            <v>양산시</v>
          </cell>
          <cell r="C67">
            <v>58</v>
          </cell>
          <cell r="D67" t="str">
            <v>경남</v>
          </cell>
          <cell r="E67" t="str">
            <v>시지역</v>
          </cell>
          <cell r="F67">
            <v>30</v>
          </cell>
          <cell r="G67" t="str">
            <v>울산지방법원</v>
          </cell>
          <cell r="H67">
            <v>0.56200000000000006</v>
          </cell>
          <cell r="I67">
            <v>0.63700000000000001</v>
          </cell>
          <cell r="J67">
            <v>0.68799999999999994</v>
          </cell>
          <cell r="K67">
            <v>0.51500000000000001</v>
          </cell>
          <cell r="L67">
            <v>0.59699999999999998</v>
          </cell>
          <cell r="M67">
            <v>0.56000000000000005</v>
          </cell>
          <cell r="N67">
            <v>0.52300000000000002</v>
          </cell>
          <cell r="O67">
            <v>0.49199999999999999</v>
          </cell>
          <cell r="P67">
            <v>0.55600000000000005</v>
          </cell>
          <cell r="Q67">
            <v>0.44800000000000001</v>
          </cell>
          <cell r="R67">
            <v>0.56499999999999995</v>
          </cell>
          <cell r="S67">
            <v>0.56399999999999995</v>
          </cell>
          <cell r="T67">
            <v>0.46700000000000003</v>
          </cell>
          <cell r="U67">
            <v>0.50800000000000001</v>
          </cell>
          <cell r="V67">
            <v>0.67</v>
          </cell>
          <cell r="W67">
            <v>0.61</v>
          </cell>
          <cell r="X67">
            <v>0.624</v>
          </cell>
          <cell r="Y67">
            <v>0.65</v>
          </cell>
          <cell r="Z67">
            <v>0.57099999999999995</v>
          </cell>
          <cell r="AA67">
            <v>0.66700000000000004</v>
          </cell>
          <cell r="AB67">
            <v>0.55800000000000005</v>
          </cell>
          <cell r="AC67">
            <v>0.751</v>
          </cell>
          <cell r="AD67">
            <v>0.27700000000000002</v>
          </cell>
          <cell r="AE67">
            <v>0.63</v>
          </cell>
        </row>
        <row r="68">
          <cell r="B68" t="str">
            <v>밀양시</v>
          </cell>
          <cell r="C68">
            <v>59</v>
          </cell>
          <cell r="D68" t="str">
            <v>경남</v>
          </cell>
          <cell r="E68" t="str">
            <v>시지역</v>
          </cell>
          <cell r="F68">
            <v>34</v>
          </cell>
          <cell r="G68" t="str">
            <v>밀양지원</v>
          </cell>
          <cell r="H68">
            <v>0.56200000000000006</v>
          </cell>
          <cell r="I68">
            <v>0.63700000000000001</v>
          </cell>
          <cell r="J68">
            <v>0.68799999999999994</v>
          </cell>
          <cell r="K68">
            <v>0.51500000000000001</v>
          </cell>
          <cell r="L68">
            <v>0.59699999999999998</v>
          </cell>
          <cell r="M68">
            <v>0.56000000000000005</v>
          </cell>
          <cell r="N68">
            <v>0.52300000000000002</v>
          </cell>
          <cell r="O68">
            <v>0.49199999999999999</v>
          </cell>
          <cell r="P68">
            <v>0.55600000000000005</v>
          </cell>
          <cell r="Q68">
            <v>0.44800000000000001</v>
          </cell>
          <cell r="R68">
            <v>0.56499999999999995</v>
          </cell>
          <cell r="S68">
            <v>0.56399999999999995</v>
          </cell>
          <cell r="T68">
            <v>0.46700000000000003</v>
          </cell>
          <cell r="U68">
            <v>0.50800000000000001</v>
          </cell>
          <cell r="V68">
            <v>0.67</v>
          </cell>
          <cell r="W68">
            <v>0.61</v>
          </cell>
          <cell r="X68">
            <v>0.624</v>
          </cell>
          <cell r="Y68">
            <v>0.65</v>
          </cell>
          <cell r="Z68">
            <v>0.57099999999999995</v>
          </cell>
          <cell r="AA68">
            <v>0.66700000000000004</v>
          </cell>
          <cell r="AB68">
            <v>0.55800000000000005</v>
          </cell>
          <cell r="AC68">
            <v>0.751</v>
          </cell>
          <cell r="AD68">
            <v>0.27700000000000002</v>
          </cell>
          <cell r="AE68">
            <v>0.63</v>
          </cell>
        </row>
        <row r="69">
          <cell r="B69" t="str">
            <v>마산시회원구</v>
          </cell>
          <cell r="C69">
            <v>60</v>
          </cell>
          <cell r="D69" t="str">
            <v>경남</v>
          </cell>
          <cell r="E69" t="str">
            <v>시지역</v>
          </cell>
          <cell r="F69">
            <v>31</v>
          </cell>
          <cell r="G69" t="str">
            <v>창원지방법원</v>
          </cell>
          <cell r="H69">
            <v>0.56200000000000006</v>
          </cell>
          <cell r="I69">
            <v>0.63700000000000001</v>
          </cell>
          <cell r="J69">
            <v>0.68799999999999994</v>
          </cell>
          <cell r="K69">
            <v>0.51500000000000001</v>
          </cell>
          <cell r="L69">
            <v>0.59699999999999998</v>
          </cell>
          <cell r="M69">
            <v>0.56000000000000005</v>
          </cell>
          <cell r="N69">
            <v>0.52300000000000002</v>
          </cell>
          <cell r="O69">
            <v>0.49199999999999999</v>
          </cell>
          <cell r="P69">
            <v>0.55600000000000005</v>
          </cell>
          <cell r="Q69">
            <v>0.44800000000000001</v>
          </cell>
          <cell r="R69">
            <v>0.56499999999999995</v>
          </cell>
          <cell r="S69">
            <v>0.56399999999999995</v>
          </cell>
          <cell r="T69">
            <v>0.46700000000000003</v>
          </cell>
          <cell r="U69">
            <v>0.50800000000000001</v>
          </cell>
          <cell r="V69">
            <v>0.67</v>
          </cell>
          <cell r="W69">
            <v>0.61</v>
          </cell>
          <cell r="X69">
            <v>0.624</v>
          </cell>
          <cell r="Y69">
            <v>0.65</v>
          </cell>
          <cell r="Z69">
            <v>0.57099999999999995</v>
          </cell>
          <cell r="AA69">
            <v>0.66700000000000004</v>
          </cell>
          <cell r="AB69">
            <v>0.55800000000000005</v>
          </cell>
          <cell r="AC69">
            <v>0.751</v>
          </cell>
          <cell r="AD69">
            <v>0.27700000000000002</v>
          </cell>
          <cell r="AE69">
            <v>0.63</v>
          </cell>
        </row>
        <row r="70">
          <cell r="B70" t="str">
            <v>마산시합포구</v>
          </cell>
          <cell r="C70">
            <v>61</v>
          </cell>
          <cell r="D70" t="str">
            <v>경남</v>
          </cell>
          <cell r="E70" t="str">
            <v>시지역</v>
          </cell>
          <cell r="F70">
            <v>31</v>
          </cell>
          <cell r="G70" t="str">
            <v>창원지방법원</v>
          </cell>
          <cell r="H70">
            <v>0.56200000000000006</v>
          </cell>
          <cell r="I70">
            <v>0.63700000000000001</v>
          </cell>
          <cell r="J70">
            <v>0.68799999999999994</v>
          </cell>
          <cell r="K70">
            <v>0.51500000000000001</v>
          </cell>
          <cell r="L70">
            <v>0.59699999999999998</v>
          </cell>
          <cell r="M70">
            <v>0.56000000000000005</v>
          </cell>
          <cell r="N70">
            <v>0.52300000000000002</v>
          </cell>
          <cell r="O70">
            <v>0.49199999999999999</v>
          </cell>
          <cell r="P70">
            <v>0.55600000000000005</v>
          </cell>
          <cell r="Q70">
            <v>0.44800000000000001</v>
          </cell>
          <cell r="R70">
            <v>0.56499999999999995</v>
          </cell>
          <cell r="S70">
            <v>0.56399999999999995</v>
          </cell>
          <cell r="T70">
            <v>0.46700000000000003</v>
          </cell>
          <cell r="U70">
            <v>0.50800000000000001</v>
          </cell>
          <cell r="V70">
            <v>0.67</v>
          </cell>
          <cell r="W70">
            <v>0.61</v>
          </cell>
          <cell r="X70">
            <v>0.624</v>
          </cell>
          <cell r="Y70">
            <v>0.65</v>
          </cell>
          <cell r="Z70">
            <v>0.57099999999999995</v>
          </cell>
          <cell r="AA70">
            <v>0.66700000000000004</v>
          </cell>
          <cell r="AB70">
            <v>0.55800000000000005</v>
          </cell>
          <cell r="AC70">
            <v>0.751</v>
          </cell>
          <cell r="AD70">
            <v>0.27700000000000002</v>
          </cell>
          <cell r="AE70">
            <v>0.63</v>
          </cell>
        </row>
        <row r="71">
          <cell r="B71" t="str">
            <v>창녕군</v>
          </cell>
          <cell r="C71">
            <v>62</v>
          </cell>
          <cell r="D71" t="str">
            <v>경남</v>
          </cell>
          <cell r="E71" t="str">
            <v>군이하지역</v>
          </cell>
          <cell r="F71">
            <v>34</v>
          </cell>
          <cell r="G71" t="str">
            <v>밀양지원</v>
          </cell>
          <cell r="H71">
            <v>0.56200000000000006</v>
          </cell>
          <cell r="I71">
            <v>0.53900000000000003</v>
          </cell>
          <cell r="J71">
            <v>0.65800000000000003</v>
          </cell>
          <cell r="K71">
            <v>0.69799999999999995</v>
          </cell>
          <cell r="L71">
            <v>0.52900000000000003</v>
          </cell>
          <cell r="M71">
            <v>0.505</v>
          </cell>
          <cell r="N71">
            <v>0.63700000000000001</v>
          </cell>
          <cell r="O71">
            <v>0.53900000000000003</v>
          </cell>
          <cell r="P71">
            <v>0.64600000000000002</v>
          </cell>
          <cell r="Q71">
            <v>0.39600000000000002</v>
          </cell>
          <cell r="R71">
            <v>0.55100000000000005</v>
          </cell>
          <cell r="S71">
            <v>0.58899999999999997</v>
          </cell>
          <cell r="T71">
            <v>0.51300000000000001</v>
          </cell>
          <cell r="U71">
            <v>0.61499999999999999</v>
          </cell>
          <cell r="V71">
            <v>0.64100000000000001</v>
          </cell>
          <cell r="W71">
            <v>0.63400000000000001</v>
          </cell>
          <cell r="X71">
            <v>0.65800000000000003</v>
          </cell>
          <cell r="Y71">
            <v>0.60799999999999998</v>
          </cell>
          <cell r="Z71">
            <v>0.5</v>
          </cell>
          <cell r="AA71">
            <v>0.84499999999999997</v>
          </cell>
          <cell r="AB71">
            <v>0.52400000000000002</v>
          </cell>
          <cell r="AC71">
            <v>0.68600000000000005</v>
          </cell>
          <cell r="AD71">
            <v>0.70199999999999996</v>
          </cell>
          <cell r="AE71">
            <v>0.33700000000000002</v>
          </cell>
        </row>
        <row r="72">
          <cell r="B72" t="str">
            <v>의령군</v>
          </cell>
          <cell r="C72">
            <v>63</v>
          </cell>
          <cell r="D72" t="str">
            <v>경남</v>
          </cell>
          <cell r="E72" t="str">
            <v>군이하지역</v>
          </cell>
          <cell r="F72">
            <v>30</v>
          </cell>
          <cell r="G72" t="str">
            <v>울산지방법원</v>
          </cell>
          <cell r="H72">
            <v>0.56200000000000006</v>
          </cell>
          <cell r="I72">
            <v>0.53900000000000003</v>
          </cell>
          <cell r="J72">
            <v>0.65800000000000003</v>
          </cell>
          <cell r="K72">
            <v>0.69799999999999995</v>
          </cell>
          <cell r="L72">
            <v>0.52900000000000003</v>
          </cell>
          <cell r="M72">
            <v>0.505</v>
          </cell>
          <cell r="N72">
            <v>0.63700000000000001</v>
          </cell>
          <cell r="O72">
            <v>0.53900000000000003</v>
          </cell>
          <cell r="P72">
            <v>0.64600000000000002</v>
          </cell>
          <cell r="Q72">
            <v>0.39600000000000002</v>
          </cell>
          <cell r="R72">
            <v>0.55100000000000005</v>
          </cell>
          <cell r="S72">
            <v>0.58899999999999997</v>
          </cell>
          <cell r="T72">
            <v>0.51300000000000001</v>
          </cell>
          <cell r="U72">
            <v>0.61499999999999999</v>
          </cell>
          <cell r="V72">
            <v>0.64100000000000001</v>
          </cell>
          <cell r="W72">
            <v>0.63400000000000001</v>
          </cell>
          <cell r="X72">
            <v>0.65800000000000003</v>
          </cell>
          <cell r="Y72">
            <v>0.60799999999999998</v>
          </cell>
          <cell r="Z72">
            <v>0.5</v>
          </cell>
          <cell r="AA72">
            <v>0.84499999999999997</v>
          </cell>
          <cell r="AB72">
            <v>0.52400000000000002</v>
          </cell>
          <cell r="AC72">
            <v>0.68600000000000005</v>
          </cell>
          <cell r="AD72">
            <v>0.70199999999999996</v>
          </cell>
          <cell r="AE72">
            <v>0.33700000000000002</v>
          </cell>
        </row>
        <row r="73">
          <cell r="B73" t="str">
            <v>함안군</v>
          </cell>
          <cell r="C73">
            <v>64</v>
          </cell>
          <cell r="D73" t="str">
            <v>경남</v>
          </cell>
          <cell r="E73" t="str">
            <v>군이하지역</v>
          </cell>
          <cell r="F73">
            <v>31</v>
          </cell>
          <cell r="G73" t="str">
            <v>창원지방법원</v>
          </cell>
          <cell r="H73">
            <v>0.56200000000000006</v>
          </cell>
          <cell r="I73">
            <v>0.53900000000000003</v>
          </cell>
          <cell r="J73">
            <v>0.65800000000000003</v>
          </cell>
          <cell r="K73">
            <v>0.69799999999999995</v>
          </cell>
          <cell r="L73">
            <v>0.52900000000000003</v>
          </cell>
          <cell r="M73">
            <v>0.505</v>
          </cell>
          <cell r="N73">
            <v>0.63700000000000001</v>
          </cell>
          <cell r="O73">
            <v>0.53900000000000003</v>
          </cell>
          <cell r="P73">
            <v>0.64600000000000002</v>
          </cell>
          <cell r="Q73">
            <v>0.39600000000000002</v>
          </cell>
          <cell r="R73">
            <v>0.55100000000000005</v>
          </cell>
          <cell r="S73">
            <v>0.58899999999999997</v>
          </cell>
          <cell r="T73">
            <v>0.51300000000000001</v>
          </cell>
          <cell r="U73">
            <v>0.61499999999999999</v>
          </cell>
          <cell r="V73">
            <v>0.64100000000000001</v>
          </cell>
          <cell r="W73">
            <v>0.63400000000000001</v>
          </cell>
          <cell r="X73">
            <v>0.65800000000000003</v>
          </cell>
          <cell r="Y73">
            <v>0.60799999999999998</v>
          </cell>
          <cell r="Z73">
            <v>0.5</v>
          </cell>
          <cell r="AA73">
            <v>0.84499999999999997</v>
          </cell>
          <cell r="AB73">
            <v>0.52400000000000002</v>
          </cell>
          <cell r="AC73">
            <v>0.68600000000000005</v>
          </cell>
          <cell r="AD73">
            <v>0.70199999999999996</v>
          </cell>
          <cell r="AE73">
            <v>0.33700000000000002</v>
          </cell>
        </row>
        <row r="74">
          <cell r="B74" t="str">
            <v>경남고성군</v>
          </cell>
          <cell r="C74">
            <v>65</v>
          </cell>
          <cell r="D74" t="str">
            <v>경남</v>
          </cell>
          <cell r="E74" t="str">
            <v>군이하지역</v>
          </cell>
          <cell r="F74">
            <v>32</v>
          </cell>
          <cell r="G74" t="str">
            <v>통영지원</v>
          </cell>
          <cell r="H74">
            <v>0.56200000000000006</v>
          </cell>
          <cell r="I74">
            <v>0.53900000000000003</v>
          </cell>
          <cell r="J74">
            <v>0.65800000000000003</v>
          </cell>
          <cell r="K74">
            <v>0.69799999999999995</v>
          </cell>
          <cell r="L74">
            <v>0.52900000000000003</v>
          </cell>
          <cell r="M74">
            <v>0.505</v>
          </cell>
          <cell r="N74">
            <v>0.63700000000000001</v>
          </cell>
          <cell r="O74">
            <v>0.53900000000000003</v>
          </cell>
          <cell r="P74">
            <v>0.64600000000000002</v>
          </cell>
          <cell r="Q74">
            <v>0.39600000000000002</v>
          </cell>
          <cell r="R74">
            <v>0.55100000000000005</v>
          </cell>
          <cell r="S74">
            <v>0.58899999999999997</v>
          </cell>
          <cell r="T74">
            <v>0.51300000000000001</v>
          </cell>
          <cell r="U74">
            <v>0.61499999999999999</v>
          </cell>
          <cell r="V74">
            <v>0.64100000000000001</v>
          </cell>
          <cell r="W74">
            <v>0.63400000000000001</v>
          </cell>
          <cell r="X74">
            <v>0.65800000000000003</v>
          </cell>
          <cell r="Y74">
            <v>0.60799999999999998</v>
          </cell>
          <cell r="Z74">
            <v>0.5</v>
          </cell>
          <cell r="AA74">
            <v>0.84499999999999997</v>
          </cell>
          <cell r="AB74">
            <v>0.52400000000000002</v>
          </cell>
          <cell r="AC74">
            <v>0.68600000000000005</v>
          </cell>
          <cell r="AD74">
            <v>0.70199999999999996</v>
          </cell>
          <cell r="AE74">
            <v>0.33700000000000002</v>
          </cell>
        </row>
        <row r="75">
          <cell r="B75" t="str">
            <v>창원시</v>
          </cell>
          <cell r="C75">
            <v>66</v>
          </cell>
          <cell r="D75" t="str">
            <v>경남</v>
          </cell>
          <cell r="E75" t="str">
            <v>도청소재지</v>
          </cell>
          <cell r="F75">
            <v>31</v>
          </cell>
          <cell r="G75" t="str">
            <v>창원지방법원</v>
          </cell>
          <cell r="H75">
            <v>0.65800000000000003</v>
          </cell>
          <cell r="I75">
            <v>0.63700000000000001</v>
          </cell>
          <cell r="J75">
            <v>0.70399999999999996</v>
          </cell>
          <cell r="K75">
            <v>0.35</v>
          </cell>
          <cell r="L75">
            <v>0.62</v>
          </cell>
          <cell r="M75">
            <v>0.71199999999999997</v>
          </cell>
          <cell r="N75">
            <v>0.54500000000000004</v>
          </cell>
          <cell r="O75">
            <v>0.53900000000000003</v>
          </cell>
          <cell r="P75">
            <v>0.502</v>
          </cell>
          <cell r="Q75">
            <v>0.39300000000000002</v>
          </cell>
          <cell r="R75">
            <v>0.495</v>
          </cell>
          <cell r="S75">
            <v>0.55300000000000005</v>
          </cell>
          <cell r="T75">
            <v>0.64400000000000002</v>
          </cell>
          <cell r="U75">
            <v>0.7</v>
          </cell>
          <cell r="V75">
            <v>0.52900000000000003</v>
          </cell>
          <cell r="W75">
            <v>0.73699999999999999</v>
          </cell>
          <cell r="X75">
            <v>0.61799999999999999</v>
          </cell>
          <cell r="Y75">
            <v>0.72199999999999998</v>
          </cell>
          <cell r="Z75">
            <v>0.44600000000000001</v>
          </cell>
          <cell r="AA75">
            <v>0.72199999999999998</v>
          </cell>
          <cell r="AB75">
            <v>0.438</v>
          </cell>
          <cell r="AC75">
            <v>0.77300000000000002</v>
          </cell>
          <cell r="AD75">
            <v>0.224</v>
          </cell>
          <cell r="AE75">
            <v>0.44700000000000001</v>
          </cell>
        </row>
        <row r="76">
          <cell r="B76" t="str">
            <v>진해시</v>
          </cell>
          <cell r="C76">
            <v>67</v>
          </cell>
          <cell r="D76" t="str">
            <v>경남</v>
          </cell>
          <cell r="E76" t="str">
            <v>시지역</v>
          </cell>
          <cell r="F76">
            <v>31</v>
          </cell>
          <cell r="G76" t="str">
            <v>창원지방법원</v>
          </cell>
          <cell r="H76">
            <v>0.56200000000000006</v>
          </cell>
          <cell r="I76">
            <v>0.63700000000000001</v>
          </cell>
          <cell r="J76">
            <v>0.68799999999999994</v>
          </cell>
          <cell r="K76">
            <v>0.51500000000000001</v>
          </cell>
          <cell r="L76">
            <v>0.59699999999999998</v>
          </cell>
          <cell r="M76">
            <v>0.56000000000000005</v>
          </cell>
          <cell r="N76">
            <v>0.52300000000000002</v>
          </cell>
          <cell r="O76">
            <v>0.49199999999999999</v>
          </cell>
          <cell r="P76">
            <v>0.55600000000000005</v>
          </cell>
          <cell r="Q76">
            <v>0.44800000000000001</v>
          </cell>
          <cell r="R76">
            <v>0.56499999999999995</v>
          </cell>
          <cell r="S76">
            <v>0.56399999999999995</v>
          </cell>
          <cell r="T76">
            <v>0.46700000000000003</v>
          </cell>
          <cell r="U76">
            <v>0.50800000000000001</v>
          </cell>
          <cell r="V76">
            <v>0.67</v>
          </cell>
          <cell r="W76">
            <v>0.61</v>
          </cell>
          <cell r="X76">
            <v>0.624</v>
          </cell>
          <cell r="Y76">
            <v>0.65</v>
          </cell>
          <cell r="Z76">
            <v>0.57099999999999995</v>
          </cell>
          <cell r="AA76">
            <v>0.66700000000000004</v>
          </cell>
          <cell r="AB76">
            <v>0.55800000000000005</v>
          </cell>
          <cell r="AC76">
            <v>0.751</v>
          </cell>
          <cell r="AD76">
            <v>0.27700000000000002</v>
          </cell>
          <cell r="AE76">
            <v>0.63</v>
          </cell>
        </row>
        <row r="77">
          <cell r="B77" t="str">
            <v>통영시</v>
          </cell>
          <cell r="C77">
            <v>68</v>
          </cell>
          <cell r="D77" t="str">
            <v>경남</v>
          </cell>
          <cell r="E77" t="str">
            <v>시지역</v>
          </cell>
          <cell r="F77">
            <v>32</v>
          </cell>
          <cell r="G77" t="str">
            <v>통영지원</v>
          </cell>
          <cell r="H77">
            <v>0.56200000000000006</v>
          </cell>
          <cell r="I77">
            <v>0.63700000000000001</v>
          </cell>
          <cell r="J77">
            <v>0.68799999999999994</v>
          </cell>
          <cell r="K77">
            <v>0.51500000000000001</v>
          </cell>
          <cell r="L77">
            <v>0.59699999999999998</v>
          </cell>
          <cell r="M77">
            <v>0.56000000000000005</v>
          </cell>
          <cell r="N77">
            <v>0.52300000000000002</v>
          </cell>
          <cell r="O77">
            <v>0.49199999999999999</v>
          </cell>
          <cell r="P77">
            <v>0.55600000000000005</v>
          </cell>
          <cell r="Q77">
            <v>0.44800000000000001</v>
          </cell>
          <cell r="R77">
            <v>0.56499999999999995</v>
          </cell>
          <cell r="S77">
            <v>0.56399999999999995</v>
          </cell>
          <cell r="T77">
            <v>0.46700000000000003</v>
          </cell>
          <cell r="U77">
            <v>0.50800000000000001</v>
          </cell>
          <cell r="V77">
            <v>0.67</v>
          </cell>
          <cell r="W77">
            <v>0.61</v>
          </cell>
          <cell r="X77">
            <v>0.624</v>
          </cell>
          <cell r="Y77">
            <v>0.65</v>
          </cell>
          <cell r="Z77">
            <v>0.57099999999999995</v>
          </cell>
          <cell r="AA77">
            <v>0.66700000000000004</v>
          </cell>
          <cell r="AB77">
            <v>0.55800000000000005</v>
          </cell>
          <cell r="AC77">
            <v>0.751</v>
          </cell>
          <cell r="AD77">
            <v>0.27700000000000002</v>
          </cell>
          <cell r="AE77">
            <v>0.63</v>
          </cell>
        </row>
        <row r="78">
          <cell r="B78" t="str">
            <v>거제시</v>
          </cell>
          <cell r="C78">
            <v>69</v>
          </cell>
          <cell r="D78" t="str">
            <v>경남</v>
          </cell>
          <cell r="E78" t="str">
            <v>시지역</v>
          </cell>
          <cell r="F78">
            <v>32</v>
          </cell>
          <cell r="G78" t="str">
            <v>통영지원</v>
          </cell>
          <cell r="H78">
            <v>0.56200000000000006</v>
          </cell>
          <cell r="I78">
            <v>0.63700000000000001</v>
          </cell>
          <cell r="J78">
            <v>0.68799999999999994</v>
          </cell>
          <cell r="K78">
            <v>0.51500000000000001</v>
          </cell>
          <cell r="L78">
            <v>0.59699999999999998</v>
          </cell>
          <cell r="M78">
            <v>0.56000000000000005</v>
          </cell>
          <cell r="N78">
            <v>0.52300000000000002</v>
          </cell>
          <cell r="O78">
            <v>0.49199999999999999</v>
          </cell>
          <cell r="P78">
            <v>0.55600000000000005</v>
          </cell>
          <cell r="Q78">
            <v>0.44800000000000001</v>
          </cell>
          <cell r="R78">
            <v>0.56499999999999995</v>
          </cell>
          <cell r="S78">
            <v>0.56399999999999995</v>
          </cell>
          <cell r="T78">
            <v>0.46700000000000003</v>
          </cell>
          <cell r="U78">
            <v>0.50800000000000001</v>
          </cell>
          <cell r="V78">
            <v>0.67</v>
          </cell>
          <cell r="W78">
            <v>0.61</v>
          </cell>
          <cell r="X78">
            <v>0.624</v>
          </cell>
          <cell r="Y78">
            <v>0.65</v>
          </cell>
          <cell r="Z78">
            <v>0.57099999999999995</v>
          </cell>
          <cell r="AA78">
            <v>0.66700000000000004</v>
          </cell>
          <cell r="AB78">
            <v>0.55800000000000005</v>
          </cell>
          <cell r="AC78">
            <v>0.751</v>
          </cell>
          <cell r="AD78">
            <v>0.27700000000000002</v>
          </cell>
          <cell r="AE78">
            <v>0.63</v>
          </cell>
        </row>
        <row r="79">
          <cell r="B79" t="str">
            <v>진주시</v>
          </cell>
          <cell r="C79">
            <v>70</v>
          </cell>
          <cell r="D79" t="str">
            <v>경남</v>
          </cell>
          <cell r="E79" t="str">
            <v>시지역</v>
          </cell>
          <cell r="F79">
            <v>35</v>
          </cell>
          <cell r="G79" t="str">
            <v>진주지원</v>
          </cell>
          <cell r="H79">
            <v>0.56200000000000006</v>
          </cell>
          <cell r="I79">
            <v>0.63700000000000001</v>
          </cell>
          <cell r="J79">
            <v>0.68799999999999994</v>
          </cell>
          <cell r="K79">
            <v>0.51500000000000001</v>
          </cell>
          <cell r="L79">
            <v>0.59699999999999998</v>
          </cell>
          <cell r="M79">
            <v>0.56000000000000005</v>
          </cell>
          <cell r="N79">
            <v>0.52300000000000002</v>
          </cell>
          <cell r="O79">
            <v>0.49199999999999999</v>
          </cell>
          <cell r="P79">
            <v>0.55600000000000005</v>
          </cell>
          <cell r="Q79">
            <v>0.44800000000000001</v>
          </cell>
          <cell r="R79">
            <v>0.56499999999999995</v>
          </cell>
          <cell r="S79">
            <v>0.56399999999999995</v>
          </cell>
          <cell r="T79">
            <v>0.46700000000000003</v>
          </cell>
          <cell r="U79">
            <v>0.50800000000000001</v>
          </cell>
          <cell r="V79">
            <v>0.67</v>
          </cell>
          <cell r="W79">
            <v>0.61</v>
          </cell>
          <cell r="X79">
            <v>0.624</v>
          </cell>
          <cell r="Y79">
            <v>0.65</v>
          </cell>
          <cell r="Z79">
            <v>0.57099999999999995</v>
          </cell>
          <cell r="AA79">
            <v>0.66700000000000004</v>
          </cell>
          <cell r="AB79">
            <v>0.55800000000000005</v>
          </cell>
          <cell r="AC79">
            <v>0.751</v>
          </cell>
          <cell r="AD79">
            <v>0.27700000000000002</v>
          </cell>
          <cell r="AE79">
            <v>0.63</v>
          </cell>
        </row>
        <row r="80">
          <cell r="B80" t="str">
            <v>사천시</v>
          </cell>
          <cell r="C80">
            <v>71</v>
          </cell>
          <cell r="D80" t="str">
            <v>경남</v>
          </cell>
          <cell r="E80" t="str">
            <v>시지역</v>
          </cell>
          <cell r="F80">
            <v>35</v>
          </cell>
          <cell r="G80" t="str">
            <v>진주지원</v>
          </cell>
          <cell r="H80">
            <v>0.56200000000000006</v>
          </cell>
          <cell r="I80">
            <v>0.63700000000000001</v>
          </cell>
          <cell r="J80">
            <v>0.68799999999999994</v>
          </cell>
          <cell r="K80">
            <v>0.51500000000000001</v>
          </cell>
          <cell r="L80">
            <v>0.59699999999999998</v>
          </cell>
          <cell r="M80">
            <v>0.56000000000000005</v>
          </cell>
          <cell r="N80">
            <v>0.52300000000000002</v>
          </cell>
          <cell r="O80">
            <v>0.49199999999999999</v>
          </cell>
          <cell r="P80">
            <v>0.55600000000000005</v>
          </cell>
          <cell r="Q80">
            <v>0.44800000000000001</v>
          </cell>
          <cell r="R80">
            <v>0.56499999999999995</v>
          </cell>
          <cell r="S80">
            <v>0.56399999999999995</v>
          </cell>
          <cell r="T80">
            <v>0.46700000000000003</v>
          </cell>
          <cell r="U80">
            <v>0.50800000000000001</v>
          </cell>
          <cell r="V80">
            <v>0.67</v>
          </cell>
          <cell r="W80">
            <v>0.61</v>
          </cell>
          <cell r="X80">
            <v>0.624</v>
          </cell>
          <cell r="Y80">
            <v>0.65</v>
          </cell>
          <cell r="Z80">
            <v>0.57099999999999995</v>
          </cell>
          <cell r="AA80">
            <v>0.66700000000000004</v>
          </cell>
          <cell r="AB80">
            <v>0.55800000000000005</v>
          </cell>
          <cell r="AC80">
            <v>0.751</v>
          </cell>
          <cell r="AD80">
            <v>0.27700000000000002</v>
          </cell>
          <cell r="AE80">
            <v>0.63</v>
          </cell>
        </row>
        <row r="81">
          <cell r="B81" t="str">
            <v>산청군</v>
          </cell>
          <cell r="C81">
            <v>72</v>
          </cell>
          <cell r="D81" t="str">
            <v>경남</v>
          </cell>
          <cell r="E81" t="str">
            <v>군이하지역</v>
          </cell>
          <cell r="F81">
            <v>35</v>
          </cell>
          <cell r="G81" t="str">
            <v>진주지원</v>
          </cell>
          <cell r="H81">
            <v>0.56200000000000006</v>
          </cell>
          <cell r="I81">
            <v>0.53900000000000003</v>
          </cell>
          <cell r="J81">
            <v>0.65800000000000003</v>
          </cell>
          <cell r="K81">
            <v>0.69799999999999995</v>
          </cell>
          <cell r="L81">
            <v>0.52900000000000003</v>
          </cell>
          <cell r="M81">
            <v>0.505</v>
          </cell>
          <cell r="N81">
            <v>0.63700000000000001</v>
          </cell>
          <cell r="O81">
            <v>0.53900000000000003</v>
          </cell>
          <cell r="P81">
            <v>0.64600000000000002</v>
          </cell>
          <cell r="Q81">
            <v>0.39600000000000002</v>
          </cell>
          <cell r="R81">
            <v>0.55100000000000005</v>
          </cell>
          <cell r="S81">
            <v>0.58899999999999997</v>
          </cell>
          <cell r="T81">
            <v>0.51300000000000001</v>
          </cell>
          <cell r="U81">
            <v>0.61499999999999999</v>
          </cell>
          <cell r="V81">
            <v>0.64100000000000001</v>
          </cell>
          <cell r="W81">
            <v>0.63400000000000001</v>
          </cell>
          <cell r="X81">
            <v>0.65800000000000003</v>
          </cell>
          <cell r="Y81">
            <v>0.60799999999999998</v>
          </cell>
          <cell r="Z81">
            <v>0.5</v>
          </cell>
          <cell r="AA81">
            <v>0.84499999999999997</v>
          </cell>
          <cell r="AB81">
            <v>0.52400000000000002</v>
          </cell>
          <cell r="AC81">
            <v>0.68600000000000005</v>
          </cell>
          <cell r="AD81">
            <v>0.70199999999999996</v>
          </cell>
          <cell r="AE81">
            <v>0.33700000000000002</v>
          </cell>
        </row>
        <row r="82">
          <cell r="B82" t="str">
            <v>하동군</v>
          </cell>
          <cell r="C82">
            <v>73</v>
          </cell>
          <cell r="D82" t="str">
            <v>경남</v>
          </cell>
          <cell r="E82" t="str">
            <v>군이하지역</v>
          </cell>
          <cell r="F82">
            <v>35</v>
          </cell>
          <cell r="G82" t="str">
            <v>진주지원</v>
          </cell>
          <cell r="H82">
            <v>0.56200000000000006</v>
          </cell>
          <cell r="I82">
            <v>0.53900000000000003</v>
          </cell>
          <cell r="J82">
            <v>0.65800000000000003</v>
          </cell>
          <cell r="K82">
            <v>0.69799999999999995</v>
          </cell>
          <cell r="L82">
            <v>0.52900000000000003</v>
          </cell>
          <cell r="M82">
            <v>0.505</v>
          </cell>
          <cell r="N82">
            <v>0.63700000000000001</v>
          </cell>
          <cell r="O82">
            <v>0.53900000000000003</v>
          </cell>
          <cell r="P82">
            <v>0.64600000000000002</v>
          </cell>
          <cell r="Q82">
            <v>0.39600000000000002</v>
          </cell>
          <cell r="R82">
            <v>0.55100000000000005</v>
          </cell>
          <cell r="S82">
            <v>0.58899999999999997</v>
          </cell>
          <cell r="T82">
            <v>0.51300000000000001</v>
          </cell>
          <cell r="U82">
            <v>0.61499999999999999</v>
          </cell>
          <cell r="V82">
            <v>0.64100000000000001</v>
          </cell>
          <cell r="W82">
            <v>0.63400000000000001</v>
          </cell>
          <cell r="X82">
            <v>0.65800000000000003</v>
          </cell>
          <cell r="Y82">
            <v>0.60799999999999998</v>
          </cell>
          <cell r="Z82">
            <v>0.5</v>
          </cell>
          <cell r="AA82">
            <v>0.84499999999999997</v>
          </cell>
          <cell r="AB82">
            <v>0.52400000000000002</v>
          </cell>
          <cell r="AC82">
            <v>0.68600000000000005</v>
          </cell>
          <cell r="AD82">
            <v>0.70199999999999996</v>
          </cell>
          <cell r="AE82">
            <v>0.33700000000000002</v>
          </cell>
        </row>
        <row r="83">
          <cell r="B83" t="str">
            <v>남해군</v>
          </cell>
          <cell r="C83">
            <v>74</v>
          </cell>
          <cell r="D83" t="str">
            <v>경남</v>
          </cell>
          <cell r="E83" t="str">
            <v>군이하지역</v>
          </cell>
          <cell r="F83">
            <v>35</v>
          </cell>
          <cell r="G83" t="str">
            <v>진주지원</v>
          </cell>
          <cell r="H83">
            <v>0.56200000000000006</v>
          </cell>
          <cell r="I83">
            <v>0.53900000000000003</v>
          </cell>
          <cell r="J83">
            <v>0.65800000000000003</v>
          </cell>
          <cell r="K83">
            <v>0.69799999999999995</v>
          </cell>
          <cell r="L83">
            <v>0.52900000000000003</v>
          </cell>
          <cell r="M83">
            <v>0.505</v>
          </cell>
          <cell r="N83">
            <v>0.63700000000000001</v>
          </cell>
          <cell r="O83">
            <v>0.53900000000000003</v>
          </cell>
          <cell r="P83">
            <v>0.64600000000000002</v>
          </cell>
          <cell r="Q83">
            <v>0.39600000000000002</v>
          </cell>
          <cell r="R83">
            <v>0.55100000000000005</v>
          </cell>
          <cell r="S83">
            <v>0.58899999999999997</v>
          </cell>
          <cell r="T83">
            <v>0.51300000000000001</v>
          </cell>
          <cell r="U83">
            <v>0.61499999999999999</v>
          </cell>
          <cell r="V83">
            <v>0.64100000000000001</v>
          </cell>
          <cell r="W83">
            <v>0.63400000000000001</v>
          </cell>
          <cell r="X83">
            <v>0.65800000000000003</v>
          </cell>
          <cell r="Y83">
            <v>0.60799999999999998</v>
          </cell>
          <cell r="Z83">
            <v>0.5</v>
          </cell>
          <cell r="AA83">
            <v>0.84499999999999997</v>
          </cell>
          <cell r="AB83">
            <v>0.52400000000000002</v>
          </cell>
          <cell r="AC83">
            <v>0.68600000000000005</v>
          </cell>
          <cell r="AD83">
            <v>0.70199999999999996</v>
          </cell>
          <cell r="AE83">
            <v>0.33700000000000002</v>
          </cell>
        </row>
        <row r="84">
          <cell r="B84" t="str">
            <v>거창군</v>
          </cell>
          <cell r="C84">
            <v>75</v>
          </cell>
          <cell r="D84" t="str">
            <v>경남</v>
          </cell>
          <cell r="E84" t="str">
            <v>군이하지역</v>
          </cell>
          <cell r="F84">
            <v>33</v>
          </cell>
          <cell r="G84" t="str">
            <v>거창지원</v>
          </cell>
          <cell r="H84">
            <v>0.56200000000000006</v>
          </cell>
          <cell r="I84">
            <v>0.53900000000000003</v>
          </cell>
          <cell r="J84">
            <v>0.65800000000000003</v>
          </cell>
          <cell r="K84">
            <v>0.69799999999999995</v>
          </cell>
          <cell r="L84">
            <v>0.52900000000000003</v>
          </cell>
          <cell r="M84">
            <v>0.505</v>
          </cell>
          <cell r="N84">
            <v>0.63700000000000001</v>
          </cell>
          <cell r="O84">
            <v>0.53900000000000003</v>
          </cell>
          <cell r="P84">
            <v>0.64600000000000002</v>
          </cell>
          <cell r="Q84">
            <v>0.39600000000000002</v>
          </cell>
          <cell r="R84">
            <v>0.55100000000000005</v>
          </cell>
          <cell r="S84">
            <v>0.58899999999999997</v>
          </cell>
          <cell r="T84">
            <v>0.51300000000000001</v>
          </cell>
          <cell r="U84">
            <v>0.61499999999999999</v>
          </cell>
          <cell r="V84">
            <v>0.64100000000000001</v>
          </cell>
          <cell r="W84">
            <v>0.63400000000000001</v>
          </cell>
          <cell r="X84">
            <v>0.65800000000000003</v>
          </cell>
          <cell r="Y84">
            <v>0.60799999999999998</v>
          </cell>
          <cell r="Z84">
            <v>0.5</v>
          </cell>
          <cell r="AA84">
            <v>0.84499999999999997</v>
          </cell>
          <cell r="AB84">
            <v>0.52400000000000002</v>
          </cell>
          <cell r="AC84">
            <v>0.68600000000000005</v>
          </cell>
          <cell r="AD84">
            <v>0.70199999999999996</v>
          </cell>
          <cell r="AE84">
            <v>0.33700000000000002</v>
          </cell>
        </row>
        <row r="85">
          <cell r="B85" t="str">
            <v>함양군</v>
          </cell>
          <cell r="C85">
            <v>76</v>
          </cell>
          <cell r="D85" t="str">
            <v>경남</v>
          </cell>
          <cell r="E85" t="str">
            <v>군이하지역</v>
          </cell>
          <cell r="F85">
            <v>33</v>
          </cell>
          <cell r="G85" t="str">
            <v>거창지원</v>
          </cell>
          <cell r="H85">
            <v>0.56200000000000006</v>
          </cell>
          <cell r="I85">
            <v>0.53900000000000003</v>
          </cell>
          <cell r="J85">
            <v>0.65800000000000003</v>
          </cell>
          <cell r="K85">
            <v>0.69799999999999995</v>
          </cell>
          <cell r="L85">
            <v>0.52900000000000003</v>
          </cell>
          <cell r="M85">
            <v>0.505</v>
          </cell>
          <cell r="N85">
            <v>0.63700000000000001</v>
          </cell>
          <cell r="O85">
            <v>0.53900000000000003</v>
          </cell>
          <cell r="P85">
            <v>0.64600000000000002</v>
          </cell>
          <cell r="Q85">
            <v>0.39600000000000002</v>
          </cell>
          <cell r="R85">
            <v>0.55100000000000005</v>
          </cell>
          <cell r="S85">
            <v>0.58899999999999997</v>
          </cell>
          <cell r="T85">
            <v>0.51300000000000001</v>
          </cell>
          <cell r="U85">
            <v>0.61499999999999999</v>
          </cell>
          <cell r="V85">
            <v>0.64100000000000001</v>
          </cell>
          <cell r="W85">
            <v>0.63400000000000001</v>
          </cell>
          <cell r="X85">
            <v>0.65800000000000003</v>
          </cell>
          <cell r="Y85">
            <v>0.60799999999999998</v>
          </cell>
          <cell r="Z85">
            <v>0.5</v>
          </cell>
          <cell r="AA85">
            <v>0.84499999999999997</v>
          </cell>
          <cell r="AB85">
            <v>0.52400000000000002</v>
          </cell>
          <cell r="AC85">
            <v>0.68600000000000005</v>
          </cell>
          <cell r="AD85">
            <v>0.70199999999999996</v>
          </cell>
          <cell r="AE85">
            <v>0.33700000000000002</v>
          </cell>
        </row>
        <row r="86">
          <cell r="B86" t="str">
            <v>합천군</v>
          </cell>
          <cell r="C86">
            <v>77</v>
          </cell>
          <cell r="D86" t="str">
            <v>경남</v>
          </cell>
          <cell r="E86" t="str">
            <v>군이하지역</v>
          </cell>
          <cell r="F86">
            <v>33</v>
          </cell>
          <cell r="G86" t="str">
            <v>거창지원</v>
          </cell>
          <cell r="H86">
            <v>0.56200000000000006</v>
          </cell>
          <cell r="I86">
            <v>0.53900000000000003</v>
          </cell>
          <cell r="J86">
            <v>0.65800000000000003</v>
          </cell>
          <cell r="K86">
            <v>0.69799999999999995</v>
          </cell>
          <cell r="L86">
            <v>0.52900000000000003</v>
          </cell>
          <cell r="M86">
            <v>0.505</v>
          </cell>
          <cell r="N86">
            <v>0.63700000000000001</v>
          </cell>
          <cell r="O86">
            <v>0.53900000000000003</v>
          </cell>
          <cell r="P86">
            <v>0.64600000000000002</v>
          </cell>
          <cell r="Q86">
            <v>0.39600000000000002</v>
          </cell>
          <cell r="R86">
            <v>0.55100000000000005</v>
          </cell>
          <cell r="S86">
            <v>0.58899999999999997</v>
          </cell>
          <cell r="T86">
            <v>0.51300000000000001</v>
          </cell>
          <cell r="U86">
            <v>0.61499999999999999</v>
          </cell>
          <cell r="V86">
            <v>0.64100000000000001</v>
          </cell>
          <cell r="W86">
            <v>0.63400000000000001</v>
          </cell>
          <cell r="X86">
            <v>0.65800000000000003</v>
          </cell>
          <cell r="Y86">
            <v>0.60799999999999998</v>
          </cell>
          <cell r="Z86">
            <v>0.5</v>
          </cell>
          <cell r="AA86">
            <v>0.84499999999999997</v>
          </cell>
          <cell r="AB86">
            <v>0.52400000000000002</v>
          </cell>
          <cell r="AC86">
            <v>0.68600000000000005</v>
          </cell>
          <cell r="AD86">
            <v>0.70199999999999996</v>
          </cell>
          <cell r="AE86">
            <v>0.33700000000000002</v>
          </cell>
        </row>
        <row r="87">
          <cell r="B87" t="str">
            <v>경산시</v>
          </cell>
          <cell r="C87">
            <v>78</v>
          </cell>
          <cell r="D87" t="str">
            <v>경북</v>
          </cell>
          <cell r="E87" t="str">
            <v>시지역</v>
          </cell>
          <cell r="F87">
            <v>36</v>
          </cell>
          <cell r="G87" t="str">
            <v>대구지방법원</v>
          </cell>
          <cell r="H87">
            <v>0.56200000000000006</v>
          </cell>
          <cell r="I87">
            <v>0.63700000000000001</v>
          </cell>
          <cell r="J87">
            <v>0.68799999999999994</v>
          </cell>
          <cell r="K87">
            <v>0.51500000000000001</v>
          </cell>
          <cell r="L87">
            <v>0.59699999999999998</v>
          </cell>
          <cell r="M87">
            <v>0.56000000000000005</v>
          </cell>
          <cell r="N87">
            <v>0.52300000000000002</v>
          </cell>
          <cell r="O87">
            <v>0.49199999999999999</v>
          </cell>
          <cell r="P87">
            <v>0.55600000000000005</v>
          </cell>
          <cell r="Q87">
            <v>0.44800000000000001</v>
          </cell>
          <cell r="R87">
            <v>0.56499999999999995</v>
          </cell>
          <cell r="S87">
            <v>0.56399999999999995</v>
          </cell>
          <cell r="T87">
            <v>0.46700000000000003</v>
          </cell>
          <cell r="U87">
            <v>0.50800000000000001</v>
          </cell>
          <cell r="V87">
            <v>0.67</v>
          </cell>
          <cell r="W87">
            <v>0.61</v>
          </cell>
          <cell r="X87">
            <v>0.624</v>
          </cell>
          <cell r="Y87">
            <v>0.65</v>
          </cell>
          <cell r="Z87">
            <v>0.57099999999999995</v>
          </cell>
          <cell r="AA87">
            <v>0.66700000000000004</v>
          </cell>
          <cell r="AB87">
            <v>0.55800000000000005</v>
          </cell>
          <cell r="AC87">
            <v>0.751</v>
          </cell>
          <cell r="AD87">
            <v>0.27700000000000002</v>
          </cell>
          <cell r="AE87">
            <v>0.63</v>
          </cell>
        </row>
        <row r="88">
          <cell r="B88" t="str">
            <v>청도군</v>
          </cell>
          <cell r="C88">
            <v>79</v>
          </cell>
          <cell r="D88" t="str">
            <v>경북</v>
          </cell>
          <cell r="E88" t="str">
            <v>군이하지역</v>
          </cell>
          <cell r="F88">
            <v>36</v>
          </cell>
          <cell r="G88" t="str">
            <v>대구지방법원</v>
          </cell>
          <cell r="H88">
            <v>0.56200000000000006</v>
          </cell>
          <cell r="I88">
            <v>0.53900000000000003</v>
          </cell>
          <cell r="J88">
            <v>0.65800000000000003</v>
          </cell>
          <cell r="K88">
            <v>0.69799999999999995</v>
          </cell>
          <cell r="L88">
            <v>0.52900000000000003</v>
          </cell>
          <cell r="M88">
            <v>0.505</v>
          </cell>
          <cell r="N88">
            <v>0.63700000000000001</v>
          </cell>
          <cell r="O88">
            <v>0.53900000000000003</v>
          </cell>
          <cell r="P88">
            <v>0.64600000000000002</v>
          </cell>
          <cell r="Q88">
            <v>0.39600000000000002</v>
          </cell>
          <cell r="R88">
            <v>0.55100000000000005</v>
          </cell>
          <cell r="S88">
            <v>0.58899999999999997</v>
          </cell>
          <cell r="T88">
            <v>0.51300000000000001</v>
          </cell>
          <cell r="U88">
            <v>0.61499999999999999</v>
          </cell>
          <cell r="V88">
            <v>0.64100000000000001</v>
          </cell>
          <cell r="W88">
            <v>0.63400000000000001</v>
          </cell>
          <cell r="X88">
            <v>0.65800000000000003</v>
          </cell>
          <cell r="Y88">
            <v>0.60799999999999998</v>
          </cell>
          <cell r="Z88">
            <v>0.5</v>
          </cell>
          <cell r="AA88">
            <v>0.84499999999999997</v>
          </cell>
          <cell r="AB88">
            <v>0.52400000000000002</v>
          </cell>
          <cell r="AC88">
            <v>0.68600000000000005</v>
          </cell>
          <cell r="AD88">
            <v>0.70199999999999996</v>
          </cell>
          <cell r="AE88">
            <v>0.33700000000000002</v>
          </cell>
        </row>
        <row r="89">
          <cell r="B89" t="str">
            <v>군위군</v>
          </cell>
          <cell r="C89">
            <v>80</v>
          </cell>
          <cell r="D89" t="str">
            <v>경북</v>
          </cell>
          <cell r="E89" t="str">
            <v>군이하지역</v>
          </cell>
          <cell r="F89">
            <v>40</v>
          </cell>
          <cell r="G89" t="str">
            <v>의성지원</v>
          </cell>
          <cell r="H89">
            <v>0.56200000000000006</v>
          </cell>
          <cell r="I89">
            <v>0.53900000000000003</v>
          </cell>
          <cell r="J89">
            <v>0.65800000000000003</v>
          </cell>
          <cell r="K89">
            <v>0.69799999999999995</v>
          </cell>
          <cell r="L89">
            <v>0.52900000000000003</v>
          </cell>
          <cell r="M89">
            <v>0.505</v>
          </cell>
          <cell r="N89">
            <v>0.63700000000000001</v>
          </cell>
          <cell r="O89">
            <v>0.53900000000000003</v>
          </cell>
          <cell r="P89">
            <v>0.64600000000000002</v>
          </cell>
          <cell r="Q89">
            <v>0.39600000000000002</v>
          </cell>
          <cell r="R89">
            <v>0.55100000000000005</v>
          </cell>
          <cell r="S89">
            <v>0.58899999999999997</v>
          </cell>
          <cell r="T89">
            <v>0.51300000000000001</v>
          </cell>
          <cell r="U89">
            <v>0.61499999999999999</v>
          </cell>
          <cell r="V89">
            <v>0.64100000000000001</v>
          </cell>
          <cell r="W89">
            <v>0.63400000000000001</v>
          </cell>
          <cell r="X89">
            <v>0.65800000000000003</v>
          </cell>
          <cell r="Y89">
            <v>0.60799999999999998</v>
          </cell>
          <cell r="Z89">
            <v>0.5</v>
          </cell>
          <cell r="AA89">
            <v>0.84499999999999997</v>
          </cell>
          <cell r="AB89">
            <v>0.52400000000000002</v>
          </cell>
          <cell r="AC89">
            <v>0.68600000000000005</v>
          </cell>
          <cell r="AD89">
            <v>0.70199999999999996</v>
          </cell>
          <cell r="AE89">
            <v>0.33700000000000002</v>
          </cell>
        </row>
        <row r="90">
          <cell r="B90" t="str">
            <v>고령군</v>
          </cell>
          <cell r="C90">
            <v>81</v>
          </cell>
          <cell r="D90" t="str">
            <v>경북</v>
          </cell>
          <cell r="E90" t="str">
            <v>군이하지역</v>
          </cell>
          <cell r="F90">
            <v>36</v>
          </cell>
          <cell r="G90" t="str">
            <v>대구지방법원</v>
          </cell>
          <cell r="H90">
            <v>0.56200000000000006</v>
          </cell>
          <cell r="I90">
            <v>0.53900000000000003</v>
          </cell>
          <cell r="J90">
            <v>0.65800000000000003</v>
          </cell>
          <cell r="K90">
            <v>0.69799999999999995</v>
          </cell>
          <cell r="L90">
            <v>0.52900000000000003</v>
          </cell>
          <cell r="M90">
            <v>0.505</v>
          </cell>
          <cell r="N90">
            <v>0.63700000000000001</v>
          </cell>
          <cell r="O90">
            <v>0.53900000000000003</v>
          </cell>
          <cell r="P90">
            <v>0.64600000000000002</v>
          </cell>
          <cell r="Q90">
            <v>0.39600000000000002</v>
          </cell>
          <cell r="R90">
            <v>0.55100000000000005</v>
          </cell>
          <cell r="S90">
            <v>0.58899999999999997</v>
          </cell>
          <cell r="T90">
            <v>0.51300000000000001</v>
          </cell>
          <cell r="U90">
            <v>0.61499999999999999</v>
          </cell>
          <cell r="V90">
            <v>0.64100000000000001</v>
          </cell>
          <cell r="W90">
            <v>0.63400000000000001</v>
          </cell>
          <cell r="X90">
            <v>0.65800000000000003</v>
          </cell>
          <cell r="Y90">
            <v>0.60799999999999998</v>
          </cell>
          <cell r="Z90">
            <v>0.5</v>
          </cell>
          <cell r="AA90">
            <v>0.84499999999999997</v>
          </cell>
          <cell r="AB90">
            <v>0.52400000000000002</v>
          </cell>
          <cell r="AC90">
            <v>0.68600000000000005</v>
          </cell>
          <cell r="AD90">
            <v>0.70199999999999996</v>
          </cell>
          <cell r="AE90">
            <v>0.33700000000000002</v>
          </cell>
        </row>
        <row r="91">
          <cell r="B91" t="str">
            <v>칠곡군</v>
          </cell>
          <cell r="C91">
            <v>82</v>
          </cell>
          <cell r="D91" t="str">
            <v>경북</v>
          </cell>
          <cell r="E91" t="str">
            <v>군이하지역</v>
          </cell>
          <cell r="F91">
            <v>36</v>
          </cell>
          <cell r="G91" t="str">
            <v>대구지방법원</v>
          </cell>
          <cell r="H91">
            <v>0.56200000000000006</v>
          </cell>
          <cell r="I91">
            <v>0.53900000000000003</v>
          </cell>
          <cell r="J91">
            <v>0.65800000000000003</v>
          </cell>
          <cell r="K91">
            <v>0.69799999999999995</v>
          </cell>
          <cell r="L91">
            <v>0.52900000000000003</v>
          </cell>
          <cell r="M91">
            <v>0.505</v>
          </cell>
          <cell r="N91">
            <v>0.63700000000000001</v>
          </cell>
          <cell r="O91">
            <v>0.53900000000000003</v>
          </cell>
          <cell r="P91">
            <v>0.64600000000000002</v>
          </cell>
          <cell r="Q91">
            <v>0.39600000000000002</v>
          </cell>
          <cell r="R91">
            <v>0.55100000000000005</v>
          </cell>
          <cell r="S91">
            <v>0.58899999999999997</v>
          </cell>
          <cell r="T91">
            <v>0.51300000000000001</v>
          </cell>
          <cell r="U91">
            <v>0.61499999999999999</v>
          </cell>
          <cell r="V91">
            <v>0.64100000000000001</v>
          </cell>
          <cell r="W91">
            <v>0.63400000000000001</v>
          </cell>
          <cell r="X91">
            <v>0.65800000000000003</v>
          </cell>
          <cell r="Y91">
            <v>0.60799999999999998</v>
          </cell>
          <cell r="Z91">
            <v>0.5</v>
          </cell>
          <cell r="AA91">
            <v>0.84499999999999997</v>
          </cell>
          <cell r="AB91">
            <v>0.52400000000000002</v>
          </cell>
          <cell r="AC91">
            <v>0.68600000000000005</v>
          </cell>
          <cell r="AD91">
            <v>0.70199999999999996</v>
          </cell>
          <cell r="AE91">
            <v>0.33700000000000002</v>
          </cell>
        </row>
        <row r="92">
          <cell r="B92" t="str">
            <v>성주군</v>
          </cell>
          <cell r="C92">
            <v>83</v>
          </cell>
          <cell r="D92" t="str">
            <v>경북</v>
          </cell>
          <cell r="E92" t="str">
            <v>군이하지역</v>
          </cell>
          <cell r="F92">
            <v>36</v>
          </cell>
          <cell r="G92" t="str">
            <v>대구지방법원</v>
          </cell>
          <cell r="H92">
            <v>0.56200000000000006</v>
          </cell>
          <cell r="I92">
            <v>0.53900000000000003</v>
          </cell>
          <cell r="J92">
            <v>0.65800000000000003</v>
          </cell>
          <cell r="K92">
            <v>0.69799999999999995</v>
          </cell>
          <cell r="L92">
            <v>0.52900000000000003</v>
          </cell>
          <cell r="M92">
            <v>0.505</v>
          </cell>
          <cell r="N92">
            <v>0.63700000000000001</v>
          </cell>
          <cell r="O92">
            <v>0.53900000000000003</v>
          </cell>
          <cell r="P92">
            <v>0.64600000000000002</v>
          </cell>
          <cell r="Q92">
            <v>0.39600000000000002</v>
          </cell>
          <cell r="R92">
            <v>0.55100000000000005</v>
          </cell>
          <cell r="S92">
            <v>0.58899999999999997</v>
          </cell>
          <cell r="T92">
            <v>0.51300000000000001</v>
          </cell>
          <cell r="U92">
            <v>0.61499999999999999</v>
          </cell>
          <cell r="V92">
            <v>0.64100000000000001</v>
          </cell>
          <cell r="W92">
            <v>0.63400000000000001</v>
          </cell>
          <cell r="X92">
            <v>0.65800000000000003</v>
          </cell>
          <cell r="Y92">
            <v>0.60799999999999998</v>
          </cell>
          <cell r="Z92">
            <v>0.5</v>
          </cell>
          <cell r="AA92">
            <v>0.84499999999999997</v>
          </cell>
          <cell r="AB92">
            <v>0.52400000000000002</v>
          </cell>
          <cell r="AC92">
            <v>0.68600000000000005</v>
          </cell>
          <cell r="AD92">
            <v>0.70199999999999996</v>
          </cell>
          <cell r="AE92">
            <v>0.33700000000000002</v>
          </cell>
        </row>
        <row r="93">
          <cell r="B93" t="str">
            <v>구미시</v>
          </cell>
          <cell r="C93">
            <v>84</v>
          </cell>
          <cell r="D93" t="str">
            <v>경북</v>
          </cell>
          <cell r="E93" t="str">
            <v>시지역</v>
          </cell>
          <cell r="F93">
            <v>38</v>
          </cell>
          <cell r="G93" t="str">
            <v>김천지원</v>
          </cell>
          <cell r="H93">
            <v>0.56200000000000006</v>
          </cell>
          <cell r="I93">
            <v>0.63700000000000001</v>
          </cell>
          <cell r="J93">
            <v>0.68799999999999994</v>
          </cell>
          <cell r="K93">
            <v>0.51500000000000001</v>
          </cell>
          <cell r="L93">
            <v>0.59699999999999998</v>
          </cell>
          <cell r="M93">
            <v>0.56000000000000005</v>
          </cell>
          <cell r="N93">
            <v>0.52300000000000002</v>
          </cell>
          <cell r="O93">
            <v>0.49199999999999999</v>
          </cell>
          <cell r="P93">
            <v>0.55600000000000005</v>
          </cell>
          <cell r="Q93">
            <v>0.44800000000000001</v>
          </cell>
          <cell r="R93">
            <v>0.56499999999999995</v>
          </cell>
          <cell r="S93">
            <v>0.56399999999999995</v>
          </cell>
          <cell r="T93">
            <v>0.46700000000000003</v>
          </cell>
          <cell r="U93">
            <v>0.50800000000000001</v>
          </cell>
          <cell r="V93">
            <v>0.67</v>
          </cell>
          <cell r="W93">
            <v>0.61</v>
          </cell>
          <cell r="X93">
            <v>0.624</v>
          </cell>
          <cell r="Y93">
            <v>0.65</v>
          </cell>
          <cell r="Z93">
            <v>0.57099999999999995</v>
          </cell>
          <cell r="AA93">
            <v>0.66700000000000004</v>
          </cell>
          <cell r="AB93">
            <v>0.55800000000000005</v>
          </cell>
          <cell r="AC93">
            <v>0.751</v>
          </cell>
          <cell r="AD93">
            <v>0.27700000000000002</v>
          </cell>
          <cell r="AE93">
            <v>0.63</v>
          </cell>
        </row>
        <row r="94">
          <cell r="B94" t="str">
            <v>김천시</v>
          </cell>
          <cell r="C94">
            <v>85</v>
          </cell>
          <cell r="D94" t="str">
            <v>경북</v>
          </cell>
          <cell r="E94" t="str">
            <v>시지역</v>
          </cell>
          <cell r="F94">
            <v>38</v>
          </cell>
          <cell r="G94" t="str">
            <v>김천지원</v>
          </cell>
          <cell r="H94">
            <v>0.56200000000000006</v>
          </cell>
          <cell r="I94">
            <v>0.63700000000000001</v>
          </cell>
          <cell r="J94">
            <v>0.68799999999999994</v>
          </cell>
          <cell r="K94">
            <v>0.51500000000000001</v>
          </cell>
          <cell r="L94">
            <v>0.59699999999999998</v>
          </cell>
          <cell r="M94">
            <v>0.56000000000000005</v>
          </cell>
          <cell r="N94">
            <v>0.52300000000000002</v>
          </cell>
          <cell r="O94">
            <v>0.49199999999999999</v>
          </cell>
          <cell r="P94">
            <v>0.55600000000000005</v>
          </cell>
          <cell r="Q94">
            <v>0.44800000000000001</v>
          </cell>
          <cell r="R94">
            <v>0.56499999999999995</v>
          </cell>
          <cell r="S94">
            <v>0.56399999999999995</v>
          </cell>
          <cell r="T94">
            <v>0.46700000000000003</v>
          </cell>
          <cell r="U94">
            <v>0.50800000000000001</v>
          </cell>
          <cell r="V94">
            <v>0.67</v>
          </cell>
          <cell r="W94">
            <v>0.61</v>
          </cell>
          <cell r="X94">
            <v>0.624</v>
          </cell>
          <cell r="Y94">
            <v>0.65</v>
          </cell>
          <cell r="Z94">
            <v>0.57099999999999995</v>
          </cell>
          <cell r="AA94">
            <v>0.66700000000000004</v>
          </cell>
          <cell r="AB94">
            <v>0.55800000000000005</v>
          </cell>
          <cell r="AC94">
            <v>0.751</v>
          </cell>
          <cell r="AD94">
            <v>0.27700000000000002</v>
          </cell>
          <cell r="AE94">
            <v>0.63</v>
          </cell>
        </row>
        <row r="95">
          <cell r="B95" t="str">
            <v>상주시</v>
          </cell>
          <cell r="C95">
            <v>86</v>
          </cell>
          <cell r="D95" t="str">
            <v>경북</v>
          </cell>
          <cell r="E95" t="str">
            <v>시지역</v>
          </cell>
          <cell r="F95">
            <v>39</v>
          </cell>
          <cell r="G95" t="str">
            <v>상주지원</v>
          </cell>
          <cell r="H95">
            <v>0.56200000000000006</v>
          </cell>
          <cell r="I95">
            <v>0.63700000000000001</v>
          </cell>
          <cell r="J95">
            <v>0.68799999999999994</v>
          </cell>
          <cell r="K95">
            <v>0.51500000000000001</v>
          </cell>
          <cell r="L95">
            <v>0.59699999999999998</v>
          </cell>
          <cell r="M95">
            <v>0.56000000000000005</v>
          </cell>
          <cell r="N95">
            <v>0.52300000000000002</v>
          </cell>
          <cell r="O95">
            <v>0.49199999999999999</v>
          </cell>
          <cell r="P95">
            <v>0.55600000000000005</v>
          </cell>
          <cell r="Q95">
            <v>0.44800000000000001</v>
          </cell>
          <cell r="R95">
            <v>0.56499999999999995</v>
          </cell>
          <cell r="S95">
            <v>0.56399999999999995</v>
          </cell>
          <cell r="T95">
            <v>0.46700000000000003</v>
          </cell>
          <cell r="U95">
            <v>0.50800000000000001</v>
          </cell>
          <cell r="V95">
            <v>0.67</v>
          </cell>
          <cell r="W95">
            <v>0.61</v>
          </cell>
          <cell r="X95">
            <v>0.624</v>
          </cell>
          <cell r="Y95">
            <v>0.65</v>
          </cell>
          <cell r="Z95">
            <v>0.57099999999999995</v>
          </cell>
          <cell r="AA95">
            <v>0.66700000000000004</v>
          </cell>
          <cell r="AB95">
            <v>0.55800000000000005</v>
          </cell>
          <cell r="AC95">
            <v>0.751</v>
          </cell>
          <cell r="AD95">
            <v>0.27700000000000002</v>
          </cell>
          <cell r="AE95">
            <v>0.63</v>
          </cell>
        </row>
        <row r="96">
          <cell r="B96" t="str">
            <v>문경시</v>
          </cell>
          <cell r="C96">
            <v>87</v>
          </cell>
          <cell r="D96" t="str">
            <v>경북</v>
          </cell>
          <cell r="E96" t="str">
            <v>시지역</v>
          </cell>
          <cell r="F96">
            <v>39</v>
          </cell>
          <cell r="G96" t="str">
            <v>상주지원</v>
          </cell>
          <cell r="H96">
            <v>0.56200000000000006</v>
          </cell>
          <cell r="I96">
            <v>0.63700000000000001</v>
          </cell>
          <cell r="J96">
            <v>0.68799999999999994</v>
          </cell>
          <cell r="K96">
            <v>0.51500000000000001</v>
          </cell>
          <cell r="L96">
            <v>0.59699999999999998</v>
          </cell>
          <cell r="M96">
            <v>0.56000000000000005</v>
          </cell>
          <cell r="N96">
            <v>0.52300000000000002</v>
          </cell>
          <cell r="O96">
            <v>0.49199999999999999</v>
          </cell>
          <cell r="P96">
            <v>0.55600000000000005</v>
          </cell>
          <cell r="Q96">
            <v>0.44800000000000001</v>
          </cell>
          <cell r="R96">
            <v>0.56499999999999995</v>
          </cell>
          <cell r="S96">
            <v>0.56399999999999995</v>
          </cell>
          <cell r="T96">
            <v>0.46700000000000003</v>
          </cell>
          <cell r="U96">
            <v>0.50800000000000001</v>
          </cell>
          <cell r="V96">
            <v>0.67</v>
          </cell>
          <cell r="W96">
            <v>0.61</v>
          </cell>
          <cell r="X96">
            <v>0.624</v>
          </cell>
          <cell r="Y96">
            <v>0.65</v>
          </cell>
          <cell r="Z96">
            <v>0.57099999999999995</v>
          </cell>
          <cell r="AA96">
            <v>0.66700000000000004</v>
          </cell>
          <cell r="AB96">
            <v>0.55800000000000005</v>
          </cell>
          <cell r="AC96">
            <v>0.751</v>
          </cell>
          <cell r="AD96">
            <v>0.27700000000000002</v>
          </cell>
          <cell r="AE96">
            <v>0.63</v>
          </cell>
        </row>
        <row r="97">
          <cell r="B97" t="str">
            <v>영주시</v>
          </cell>
          <cell r="C97">
            <v>88</v>
          </cell>
          <cell r="D97" t="str">
            <v>경북</v>
          </cell>
          <cell r="E97" t="str">
            <v>시지역</v>
          </cell>
          <cell r="F97">
            <v>42</v>
          </cell>
          <cell r="G97" t="str">
            <v>안동지원</v>
          </cell>
          <cell r="H97">
            <v>0.56200000000000006</v>
          </cell>
          <cell r="I97">
            <v>0.63700000000000001</v>
          </cell>
          <cell r="J97">
            <v>0.68799999999999994</v>
          </cell>
          <cell r="K97">
            <v>0.51500000000000001</v>
          </cell>
          <cell r="L97">
            <v>0.59699999999999998</v>
          </cell>
          <cell r="M97">
            <v>0.56000000000000005</v>
          </cell>
          <cell r="N97">
            <v>0.52300000000000002</v>
          </cell>
          <cell r="O97">
            <v>0.49199999999999999</v>
          </cell>
          <cell r="P97">
            <v>0.55600000000000005</v>
          </cell>
          <cell r="Q97">
            <v>0.44800000000000001</v>
          </cell>
          <cell r="R97">
            <v>0.56499999999999995</v>
          </cell>
          <cell r="S97">
            <v>0.56399999999999995</v>
          </cell>
          <cell r="T97">
            <v>0.46700000000000003</v>
          </cell>
          <cell r="U97">
            <v>0.50800000000000001</v>
          </cell>
          <cell r="V97">
            <v>0.67</v>
          </cell>
          <cell r="W97">
            <v>0.61</v>
          </cell>
          <cell r="X97">
            <v>0.624</v>
          </cell>
          <cell r="Y97">
            <v>0.65</v>
          </cell>
          <cell r="Z97">
            <v>0.57099999999999995</v>
          </cell>
          <cell r="AA97">
            <v>0.66700000000000004</v>
          </cell>
          <cell r="AB97">
            <v>0.55800000000000005</v>
          </cell>
          <cell r="AC97">
            <v>0.751</v>
          </cell>
          <cell r="AD97">
            <v>0.27700000000000002</v>
          </cell>
          <cell r="AE97">
            <v>0.63</v>
          </cell>
        </row>
        <row r="98">
          <cell r="B98" t="str">
            <v>봉화군</v>
          </cell>
          <cell r="C98">
            <v>89</v>
          </cell>
          <cell r="D98" t="str">
            <v>경북</v>
          </cell>
          <cell r="E98" t="str">
            <v>군이하지역</v>
          </cell>
          <cell r="F98">
            <v>42</v>
          </cell>
          <cell r="G98" t="str">
            <v>안동지원</v>
          </cell>
          <cell r="H98">
            <v>0.56200000000000006</v>
          </cell>
          <cell r="I98">
            <v>0.53900000000000003</v>
          </cell>
          <cell r="J98">
            <v>0.65800000000000003</v>
          </cell>
          <cell r="K98">
            <v>0.69799999999999995</v>
          </cell>
          <cell r="L98">
            <v>0.52900000000000003</v>
          </cell>
          <cell r="M98">
            <v>0.505</v>
          </cell>
          <cell r="N98">
            <v>0.63700000000000001</v>
          </cell>
          <cell r="O98">
            <v>0.53900000000000003</v>
          </cell>
          <cell r="P98">
            <v>0.64600000000000002</v>
          </cell>
          <cell r="Q98">
            <v>0.39600000000000002</v>
          </cell>
          <cell r="R98">
            <v>0.55100000000000005</v>
          </cell>
          <cell r="S98">
            <v>0.58899999999999997</v>
          </cell>
          <cell r="T98">
            <v>0.51300000000000001</v>
          </cell>
          <cell r="U98">
            <v>0.61499999999999999</v>
          </cell>
          <cell r="V98">
            <v>0.64100000000000001</v>
          </cell>
          <cell r="W98">
            <v>0.63400000000000001</v>
          </cell>
          <cell r="X98">
            <v>0.65800000000000003</v>
          </cell>
          <cell r="Y98">
            <v>0.60799999999999998</v>
          </cell>
          <cell r="Z98">
            <v>0.5</v>
          </cell>
          <cell r="AA98">
            <v>0.84499999999999997</v>
          </cell>
          <cell r="AB98">
            <v>0.52400000000000002</v>
          </cell>
          <cell r="AC98">
            <v>0.68600000000000005</v>
          </cell>
          <cell r="AD98">
            <v>0.70199999999999996</v>
          </cell>
          <cell r="AE98">
            <v>0.33700000000000002</v>
          </cell>
        </row>
        <row r="99">
          <cell r="B99" t="str">
            <v>예천군</v>
          </cell>
          <cell r="C99">
            <v>90</v>
          </cell>
          <cell r="D99" t="str">
            <v>경북</v>
          </cell>
          <cell r="E99" t="str">
            <v>군이하지역</v>
          </cell>
          <cell r="F99">
            <v>39</v>
          </cell>
          <cell r="G99" t="str">
            <v>상주지원</v>
          </cell>
          <cell r="H99">
            <v>0.56200000000000006</v>
          </cell>
          <cell r="I99">
            <v>0.53900000000000003</v>
          </cell>
          <cell r="J99">
            <v>0.65800000000000003</v>
          </cell>
          <cell r="K99">
            <v>0.69799999999999995</v>
          </cell>
          <cell r="L99">
            <v>0.52900000000000003</v>
          </cell>
          <cell r="M99">
            <v>0.505</v>
          </cell>
          <cell r="N99">
            <v>0.63700000000000001</v>
          </cell>
          <cell r="O99">
            <v>0.53900000000000003</v>
          </cell>
          <cell r="P99">
            <v>0.64600000000000002</v>
          </cell>
          <cell r="Q99">
            <v>0.39600000000000002</v>
          </cell>
          <cell r="R99">
            <v>0.55100000000000005</v>
          </cell>
          <cell r="S99">
            <v>0.58899999999999997</v>
          </cell>
          <cell r="T99">
            <v>0.51300000000000001</v>
          </cell>
          <cell r="U99">
            <v>0.61499999999999999</v>
          </cell>
          <cell r="V99">
            <v>0.64100000000000001</v>
          </cell>
          <cell r="W99">
            <v>0.63400000000000001</v>
          </cell>
          <cell r="X99">
            <v>0.65800000000000003</v>
          </cell>
          <cell r="Y99">
            <v>0.60799999999999998</v>
          </cell>
          <cell r="Z99">
            <v>0.5</v>
          </cell>
          <cell r="AA99">
            <v>0.84499999999999997</v>
          </cell>
          <cell r="AB99">
            <v>0.52400000000000002</v>
          </cell>
          <cell r="AC99">
            <v>0.68600000000000005</v>
          </cell>
          <cell r="AD99">
            <v>0.70199999999999996</v>
          </cell>
          <cell r="AE99">
            <v>0.33700000000000002</v>
          </cell>
        </row>
        <row r="100">
          <cell r="B100" t="str">
            <v>안동시</v>
          </cell>
          <cell r="C100">
            <v>91</v>
          </cell>
          <cell r="D100" t="str">
            <v>경북</v>
          </cell>
          <cell r="E100" t="str">
            <v>도청소재지</v>
          </cell>
          <cell r="F100">
            <v>42</v>
          </cell>
          <cell r="G100" t="str">
            <v>안동지원</v>
          </cell>
          <cell r="H100">
            <v>0.65800000000000003</v>
          </cell>
          <cell r="I100">
            <v>0.63700000000000001</v>
          </cell>
          <cell r="J100">
            <v>0.70399999999999996</v>
          </cell>
          <cell r="K100">
            <v>0.35</v>
          </cell>
          <cell r="L100">
            <v>0.62</v>
          </cell>
          <cell r="M100">
            <v>0.71199999999999997</v>
          </cell>
          <cell r="N100">
            <v>0.54500000000000004</v>
          </cell>
          <cell r="O100">
            <v>0.53900000000000003</v>
          </cell>
          <cell r="P100">
            <v>0.502</v>
          </cell>
          <cell r="Q100">
            <v>0.39300000000000002</v>
          </cell>
          <cell r="R100">
            <v>0.495</v>
          </cell>
          <cell r="S100">
            <v>0.55300000000000005</v>
          </cell>
          <cell r="T100">
            <v>0.64400000000000002</v>
          </cell>
          <cell r="U100">
            <v>0.7</v>
          </cell>
          <cell r="V100">
            <v>0.52900000000000003</v>
          </cell>
          <cell r="W100">
            <v>0.73699999999999999</v>
          </cell>
          <cell r="X100">
            <v>0.61799999999999999</v>
          </cell>
          <cell r="Y100">
            <v>0.72199999999999998</v>
          </cell>
          <cell r="Z100">
            <v>0.44600000000000001</v>
          </cell>
          <cell r="AA100">
            <v>0.72199999999999998</v>
          </cell>
          <cell r="AB100">
            <v>0.438</v>
          </cell>
          <cell r="AC100">
            <v>0.77300000000000002</v>
          </cell>
          <cell r="AD100">
            <v>0.224</v>
          </cell>
          <cell r="AE100">
            <v>0.44700000000000001</v>
          </cell>
        </row>
        <row r="101">
          <cell r="B101" t="str">
            <v>청송군</v>
          </cell>
          <cell r="C101">
            <v>92</v>
          </cell>
          <cell r="D101" t="str">
            <v>경북</v>
          </cell>
          <cell r="E101" t="str">
            <v>군이하지역</v>
          </cell>
          <cell r="F101">
            <v>40</v>
          </cell>
          <cell r="G101" t="str">
            <v>의성지원</v>
          </cell>
          <cell r="H101">
            <v>0.56200000000000006</v>
          </cell>
          <cell r="I101">
            <v>0.53900000000000003</v>
          </cell>
          <cell r="J101">
            <v>0.65800000000000003</v>
          </cell>
          <cell r="K101">
            <v>0.69799999999999995</v>
          </cell>
          <cell r="L101">
            <v>0.52900000000000003</v>
          </cell>
          <cell r="M101">
            <v>0.505</v>
          </cell>
          <cell r="N101">
            <v>0.63700000000000001</v>
          </cell>
          <cell r="O101">
            <v>0.53900000000000003</v>
          </cell>
          <cell r="P101">
            <v>0.64600000000000002</v>
          </cell>
          <cell r="Q101">
            <v>0.39600000000000002</v>
          </cell>
          <cell r="R101">
            <v>0.55100000000000005</v>
          </cell>
          <cell r="S101">
            <v>0.58899999999999997</v>
          </cell>
          <cell r="T101">
            <v>0.51300000000000001</v>
          </cell>
          <cell r="U101">
            <v>0.61499999999999999</v>
          </cell>
          <cell r="V101">
            <v>0.64100000000000001</v>
          </cell>
          <cell r="W101">
            <v>0.63400000000000001</v>
          </cell>
          <cell r="X101">
            <v>0.65800000000000003</v>
          </cell>
          <cell r="Y101">
            <v>0.60799999999999998</v>
          </cell>
          <cell r="Z101">
            <v>0.5</v>
          </cell>
          <cell r="AA101">
            <v>0.84499999999999997</v>
          </cell>
          <cell r="AB101">
            <v>0.52400000000000002</v>
          </cell>
          <cell r="AC101">
            <v>0.68600000000000005</v>
          </cell>
          <cell r="AD101">
            <v>0.70199999999999996</v>
          </cell>
          <cell r="AE101">
            <v>0.33700000000000002</v>
          </cell>
        </row>
        <row r="102">
          <cell r="B102" t="str">
            <v>영양군</v>
          </cell>
          <cell r="C102">
            <v>93</v>
          </cell>
          <cell r="D102" t="str">
            <v>경북</v>
          </cell>
          <cell r="E102" t="str">
            <v>군이하지역</v>
          </cell>
          <cell r="F102">
            <v>41</v>
          </cell>
          <cell r="G102" t="str">
            <v>영덕지원</v>
          </cell>
          <cell r="H102">
            <v>0.56200000000000006</v>
          </cell>
          <cell r="I102">
            <v>0.53900000000000003</v>
          </cell>
          <cell r="J102">
            <v>0.65800000000000003</v>
          </cell>
          <cell r="K102">
            <v>0.69799999999999995</v>
          </cell>
          <cell r="L102">
            <v>0.52900000000000003</v>
          </cell>
          <cell r="M102">
            <v>0.505</v>
          </cell>
          <cell r="N102">
            <v>0.63700000000000001</v>
          </cell>
          <cell r="O102">
            <v>0.53900000000000003</v>
          </cell>
          <cell r="P102">
            <v>0.64600000000000002</v>
          </cell>
          <cell r="Q102">
            <v>0.39600000000000002</v>
          </cell>
          <cell r="R102">
            <v>0.55100000000000005</v>
          </cell>
          <cell r="S102">
            <v>0.58899999999999997</v>
          </cell>
          <cell r="T102">
            <v>0.51300000000000001</v>
          </cell>
          <cell r="U102">
            <v>0.61499999999999999</v>
          </cell>
          <cell r="V102">
            <v>0.64100000000000001</v>
          </cell>
          <cell r="W102">
            <v>0.63400000000000001</v>
          </cell>
          <cell r="X102">
            <v>0.65800000000000003</v>
          </cell>
          <cell r="Y102">
            <v>0.60799999999999998</v>
          </cell>
          <cell r="Z102">
            <v>0.5</v>
          </cell>
          <cell r="AA102">
            <v>0.84499999999999997</v>
          </cell>
          <cell r="AB102">
            <v>0.52400000000000002</v>
          </cell>
          <cell r="AC102">
            <v>0.68600000000000005</v>
          </cell>
          <cell r="AD102">
            <v>0.70199999999999996</v>
          </cell>
          <cell r="AE102">
            <v>0.33700000000000002</v>
          </cell>
        </row>
        <row r="103">
          <cell r="B103" t="str">
            <v>영덕군</v>
          </cell>
          <cell r="C103">
            <v>94</v>
          </cell>
          <cell r="D103" t="str">
            <v>경북</v>
          </cell>
          <cell r="E103" t="str">
            <v>군이하지역</v>
          </cell>
          <cell r="F103">
            <v>41</v>
          </cell>
          <cell r="G103" t="str">
            <v>영덕지원</v>
          </cell>
          <cell r="H103">
            <v>0.56200000000000006</v>
          </cell>
          <cell r="I103">
            <v>0.53900000000000003</v>
          </cell>
          <cell r="J103">
            <v>0.65800000000000003</v>
          </cell>
          <cell r="K103">
            <v>0.69799999999999995</v>
          </cell>
          <cell r="L103">
            <v>0.52900000000000003</v>
          </cell>
          <cell r="M103">
            <v>0.505</v>
          </cell>
          <cell r="N103">
            <v>0.63700000000000001</v>
          </cell>
          <cell r="O103">
            <v>0.53900000000000003</v>
          </cell>
          <cell r="P103">
            <v>0.64600000000000002</v>
          </cell>
          <cell r="Q103">
            <v>0.39600000000000002</v>
          </cell>
          <cell r="R103">
            <v>0.55100000000000005</v>
          </cell>
          <cell r="S103">
            <v>0.58899999999999997</v>
          </cell>
          <cell r="T103">
            <v>0.51300000000000001</v>
          </cell>
          <cell r="U103">
            <v>0.61499999999999999</v>
          </cell>
          <cell r="V103">
            <v>0.64100000000000001</v>
          </cell>
          <cell r="W103">
            <v>0.63400000000000001</v>
          </cell>
          <cell r="X103">
            <v>0.65800000000000003</v>
          </cell>
          <cell r="Y103">
            <v>0.60799999999999998</v>
          </cell>
          <cell r="Z103">
            <v>0.5</v>
          </cell>
          <cell r="AA103">
            <v>0.84499999999999997</v>
          </cell>
          <cell r="AB103">
            <v>0.52400000000000002</v>
          </cell>
          <cell r="AC103">
            <v>0.68600000000000005</v>
          </cell>
          <cell r="AD103">
            <v>0.70199999999999996</v>
          </cell>
          <cell r="AE103">
            <v>0.33700000000000002</v>
          </cell>
        </row>
        <row r="104">
          <cell r="B104" t="str">
            <v>울진군</v>
          </cell>
          <cell r="C104">
            <v>95</v>
          </cell>
          <cell r="D104" t="str">
            <v>경북</v>
          </cell>
          <cell r="E104" t="str">
            <v>군이하지역</v>
          </cell>
          <cell r="F104">
            <v>41</v>
          </cell>
          <cell r="G104" t="str">
            <v>영덕지원</v>
          </cell>
          <cell r="H104">
            <v>0.56200000000000006</v>
          </cell>
          <cell r="I104">
            <v>0.53900000000000003</v>
          </cell>
          <cell r="J104">
            <v>0.65800000000000003</v>
          </cell>
          <cell r="K104">
            <v>0.69799999999999995</v>
          </cell>
          <cell r="L104">
            <v>0.52900000000000003</v>
          </cell>
          <cell r="M104">
            <v>0.505</v>
          </cell>
          <cell r="N104">
            <v>0.63700000000000001</v>
          </cell>
          <cell r="O104">
            <v>0.53900000000000003</v>
          </cell>
          <cell r="P104">
            <v>0.64600000000000002</v>
          </cell>
          <cell r="Q104">
            <v>0.39600000000000002</v>
          </cell>
          <cell r="R104">
            <v>0.55100000000000005</v>
          </cell>
          <cell r="S104">
            <v>0.58899999999999997</v>
          </cell>
          <cell r="T104">
            <v>0.51300000000000001</v>
          </cell>
          <cell r="U104">
            <v>0.61499999999999999</v>
          </cell>
          <cell r="V104">
            <v>0.64100000000000001</v>
          </cell>
          <cell r="W104">
            <v>0.63400000000000001</v>
          </cell>
          <cell r="X104">
            <v>0.65800000000000003</v>
          </cell>
          <cell r="Y104">
            <v>0.60799999999999998</v>
          </cell>
          <cell r="Z104">
            <v>0.5</v>
          </cell>
          <cell r="AA104">
            <v>0.84499999999999997</v>
          </cell>
          <cell r="AB104">
            <v>0.52400000000000002</v>
          </cell>
          <cell r="AC104">
            <v>0.68600000000000005</v>
          </cell>
          <cell r="AD104">
            <v>0.70199999999999996</v>
          </cell>
          <cell r="AE104">
            <v>0.33700000000000002</v>
          </cell>
        </row>
        <row r="105">
          <cell r="B105" t="str">
            <v>의성군</v>
          </cell>
          <cell r="C105">
            <v>96</v>
          </cell>
          <cell r="D105" t="str">
            <v>경북</v>
          </cell>
          <cell r="E105" t="str">
            <v>군이하지역</v>
          </cell>
          <cell r="F105">
            <v>40</v>
          </cell>
          <cell r="G105" t="str">
            <v>의성지원</v>
          </cell>
          <cell r="H105">
            <v>0.56200000000000006</v>
          </cell>
          <cell r="I105">
            <v>0.53900000000000003</v>
          </cell>
          <cell r="J105">
            <v>0.65800000000000003</v>
          </cell>
          <cell r="K105">
            <v>0.69799999999999995</v>
          </cell>
          <cell r="L105">
            <v>0.52900000000000003</v>
          </cell>
          <cell r="M105">
            <v>0.505</v>
          </cell>
          <cell r="N105">
            <v>0.63700000000000001</v>
          </cell>
          <cell r="O105">
            <v>0.53900000000000003</v>
          </cell>
          <cell r="P105">
            <v>0.64600000000000002</v>
          </cell>
          <cell r="Q105">
            <v>0.39600000000000002</v>
          </cell>
          <cell r="R105">
            <v>0.55100000000000005</v>
          </cell>
          <cell r="S105">
            <v>0.58899999999999997</v>
          </cell>
          <cell r="T105">
            <v>0.51300000000000001</v>
          </cell>
          <cell r="U105">
            <v>0.61499999999999999</v>
          </cell>
          <cell r="V105">
            <v>0.64100000000000001</v>
          </cell>
          <cell r="W105">
            <v>0.63400000000000001</v>
          </cell>
          <cell r="X105">
            <v>0.65800000000000003</v>
          </cell>
          <cell r="Y105">
            <v>0.60799999999999998</v>
          </cell>
          <cell r="Z105">
            <v>0.5</v>
          </cell>
          <cell r="AA105">
            <v>0.84499999999999997</v>
          </cell>
          <cell r="AB105">
            <v>0.52400000000000002</v>
          </cell>
          <cell r="AC105">
            <v>0.68600000000000005</v>
          </cell>
          <cell r="AD105">
            <v>0.70199999999999996</v>
          </cell>
          <cell r="AE105">
            <v>0.33700000000000002</v>
          </cell>
        </row>
        <row r="106">
          <cell r="B106" t="str">
            <v>영천시</v>
          </cell>
          <cell r="C106">
            <v>97</v>
          </cell>
          <cell r="D106" t="str">
            <v>경북</v>
          </cell>
          <cell r="E106" t="str">
            <v>시지역</v>
          </cell>
          <cell r="F106">
            <v>36</v>
          </cell>
          <cell r="G106" t="str">
            <v>대구지방법원</v>
          </cell>
          <cell r="H106">
            <v>0.56200000000000006</v>
          </cell>
          <cell r="I106">
            <v>0.63700000000000001</v>
          </cell>
          <cell r="J106">
            <v>0.68799999999999994</v>
          </cell>
          <cell r="K106">
            <v>0.51500000000000001</v>
          </cell>
          <cell r="L106">
            <v>0.59699999999999998</v>
          </cell>
          <cell r="M106">
            <v>0.56000000000000005</v>
          </cell>
          <cell r="N106">
            <v>0.52300000000000002</v>
          </cell>
          <cell r="O106">
            <v>0.49199999999999999</v>
          </cell>
          <cell r="P106">
            <v>0.55600000000000005</v>
          </cell>
          <cell r="Q106">
            <v>0.44800000000000001</v>
          </cell>
          <cell r="R106">
            <v>0.56499999999999995</v>
          </cell>
          <cell r="S106">
            <v>0.56399999999999995</v>
          </cell>
          <cell r="T106">
            <v>0.46700000000000003</v>
          </cell>
          <cell r="U106">
            <v>0.50800000000000001</v>
          </cell>
          <cell r="V106">
            <v>0.67</v>
          </cell>
          <cell r="W106">
            <v>0.61</v>
          </cell>
          <cell r="X106">
            <v>0.624</v>
          </cell>
          <cell r="Y106">
            <v>0.65</v>
          </cell>
          <cell r="Z106">
            <v>0.57099999999999995</v>
          </cell>
          <cell r="AA106">
            <v>0.66700000000000004</v>
          </cell>
          <cell r="AB106">
            <v>0.55800000000000005</v>
          </cell>
          <cell r="AC106">
            <v>0.751</v>
          </cell>
          <cell r="AD106">
            <v>0.27700000000000002</v>
          </cell>
          <cell r="AE106">
            <v>0.63</v>
          </cell>
        </row>
        <row r="107">
          <cell r="B107" t="str">
            <v>경주시</v>
          </cell>
          <cell r="C107">
            <v>98</v>
          </cell>
          <cell r="D107" t="str">
            <v>경북</v>
          </cell>
          <cell r="E107" t="str">
            <v>시지역</v>
          </cell>
          <cell r="F107">
            <v>37</v>
          </cell>
          <cell r="G107" t="str">
            <v>경주지원</v>
          </cell>
          <cell r="H107">
            <v>0.56200000000000006</v>
          </cell>
          <cell r="I107">
            <v>0.63700000000000001</v>
          </cell>
          <cell r="J107">
            <v>0.68799999999999994</v>
          </cell>
          <cell r="K107">
            <v>0.51500000000000001</v>
          </cell>
          <cell r="L107">
            <v>0.59699999999999998</v>
          </cell>
          <cell r="M107">
            <v>0.56000000000000005</v>
          </cell>
          <cell r="N107">
            <v>0.52300000000000002</v>
          </cell>
          <cell r="O107">
            <v>0.49199999999999999</v>
          </cell>
          <cell r="P107">
            <v>0.55600000000000005</v>
          </cell>
          <cell r="Q107">
            <v>0.44800000000000001</v>
          </cell>
          <cell r="R107">
            <v>0.56499999999999995</v>
          </cell>
          <cell r="S107">
            <v>0.56399999999999995</v>
          </cell>
          <cell r="T107">
            <v>0.46700000000000003</v>
          </cell>
          <cell r="U107">
            <v>0.50800000000000001</v>
          </cell>
          <cell r="V107">
            <v>0.67</v>
          </cell>
          <cell r="W107">
            <v>0.61</v>
          </cell>
          <cell r="X107">
            <v>0.624</v>
          </cell>
          <cell r="Y107">
            <v>0.65</v>
          </cell>
          <cell r="Z107">
            <v>0.57099999999999995</v>
          </cell>
          <cell r="AA107">
            <v>0.66700000000000004</v>
          </cell>
          <cell r="AB107">
            <v>0.55800000000000005</v>
          </cell>
          <cell r="AC107">
            <v>0.751</v>
          </cell>
          <cell r="AD107">
            <v>0.27700000000000002</v>
          </cell>
          <cell r="AE107">
            <v>0.63</v>
          </cell>
        </row>
        <row r="108">
          <cell r="B108" t="str">
            <v>포항시남구</v>
          </cell>
          <cell r="C108">
            <v>99</v>
          </cell>
          <cell r="D108" t="str">
            <v>경북</v>
          </cell>
          <cell r="E108" t="str">
            <v>시지역</v>
          </cell>
          <cell r="F108">
            <v>43</v>
          </cell>
          <cell r="G108" t="str">
            <v>포항지원</v>
          </cell>
          <cell r="H108">
            <v>0.56200000000000006</v>
          </cell>
          <cell r="I108">
            <v>0.63700000000000001</v>
          </cell>
          <cell r="J108">
            <v>0.68799999999999994</v>
          </cell>
          <cell r="K108">
            <v>0.51500000000000001</v>
          </cell>
          <cell r="L108">
            <v>0.59699999999999998</v>
          </cell>
          <cell r="M108">
            <v>0.56000000000000005</v>
          </cell>
          <cell r="N108">
            <v>0.52300000000000002</v>
          </cell>
          <cell r="O108">
            <v>0.49199999999999999</v>
          </cell>
          <cell r="P108">
            <v>0.55600000000000005</v>
          </cell>
          <cell r="Q108">
            <v>0.44800000000000001</v>
          </cell>
          <cell r="R108">
            <v>0.56499999999999995</v>
          </cell>
          <cell r="S108">
            <v>0.56399999999999995</v>
          </cell>
          <cell r="T108">
            <v>0.46700000000000003</v>
          </cell>
          <cell r="U108">
            <v>0.50800000000000001</v>
          </cell>
          <cell r="V108">
            <v>0.67</v>
          </cell>
          <cell r="W108">
            <v>0.61</v>
          </cell>
          <cell r="X108">
            <v>0.624</v>
          </cell>
          <cell r="Y108">
            <v>0.65</v>
          </cell>
          <cell r="Z108">
            <v>0.57099999999999995</v>
          </cell>
          <cell r="AA108">
            <v>0.66700000000000004</v>
          </cell>
          <cell r="AB108">
            <v>0.55800000000000005</v>
          </cell>
          <cell r="AC108">
            <v>0.751</v>
          </cell>
          <cell r="AD108">
            <v>0.27700000000000002</v>
          </cell>
          <cell r="AE108">
            <v>0.63</v>
          </cell>
        </row>
        <row r="109">
          <cell r="B109" t="str">
            <v>포항시북구</v>
          </cell>
          <cell r="C109">
            <v>100</v>
          </cell>
          <cell r="D109" t="str">
            <v>경북</v>
          </cell>
          <cell r="E109" t="str">
            <v>시지역</v>
          </cell>
          <cell r="F109">
            <v>43</v>
          </cell>
          <cell r="G109" t="str">
            <v>포항지원</v>
          </cell>
          <cell r="H109">
            <v>0.56200000000000006</v>
          </cell>
          <cell r="I109">
            <v>0.63700000000000001</v>
          </cell>
          <cell r="J109">
            <v>0.68799999999999994</v>
          </cell>
          <cell r="K109">
            <v>0.51500000000000001</v>
          </cell>
          <cell r="L109">
            <v>0.59699999999999998</v>
          </cell>
          <cell r="M109">
            <v>0.56000000000000005</v>
          </cell>
          <cell r="N109">
            <v>0.52300000000000002</v>
          </cell>
          <cell r="O109">
            <v>0.49199999999999999</v>
          </cell>
          <cell r="P109">
            <v>0.55600000000000005</v>
          </cell>
          <cell r="Q109">
            <v>0.44800000000000001</v>
          </cell>
          <cell r="R109">
            <v>0.56499999999999995</v>
          </cell>
          <cell r="S109">
            <v>0.56399999999999995</v>
          </cell>
          <cell r="T109">
            <v>0.46700000000000003</v>
          </cell>
          <cell r="U109">
            <v>0.50800000000000001</v>
          </cell>
          <cell r="V109">
            <v>0.67</v>
          </cell>
          <cell r="W109">
            <v>0.61</v>
          </cell>
          <cell r="X109">
            <v>0.624</v>
          </cell>
          <cell r="Y109">
            <v>0.65</v>
          </cell>
          <cell r="Z109">
            <v>0.57099999999999995</v>
          </cell>
          <cell r="AA109">
            <v>0.66700000000000004</v>
          </cell>
          <cell r="AB109">
            <v>0.55800000000000005</v>
          </cell>
          <cell r="AC109">
            <v>0.751</v>
          </cell>
          <cell r="AD109">
            <v>0.27700000000000002</v>
          </cell>
          <cell r="AE109">
            <v>0.63</v>
          </cell>
        </row>
        <row r="110">
          <cell r="B110" t="str">
            <v>울릉군</v>
          </cell>
          <cell r="C110">
            <v>101</v>
          </cell>
          <cell r="D110" t="str">
            <v>경북</v>
          </cell>
          <cell r="E110" t="str">
            <v>군이하지역</v>
          </cell>
          <cell r="F110">
            <v>36</v>
          </cell>
          <cell r="G110" t="str">
            <v>대구지방법원</v>
          </cell>
          <cell r="H110">
            <v>0.56200000000000006</v>
          </cell>
          <cell r="I110">
            <v>0.53900000000000003</v>
          </cell>
          <cell r="J110">
            <v>0.65800000000000003</v>
          </cell>
          <cell r="K110">
            <v>0.69799999999999995</v>
          </cell>
          <cell r="L110">
            <v>0.52900000000000003</v>
          </cell>
          <cell r="M110">
            <v>0.505</v>
          </cell>
          <cell r="N110">
            <v>0.63700000000000001</v>
          </cell>
          <cell r="O110">
            <v>0.53900000000000003</v>
          </cell>
          <cell r="P110">
            <v>0.64600000000000002</v>
          </cell>
          <cell r="Q110">
            <v>0.39600000000000002</v>
          </cell>
          <cell r="R110">
            <v>0.55100000000000005</v>
          </cell>
          <cell r="S110">
            <v>0.58899999999999997</v>
          </cell>
          <cell r="T110">
            <v>0.51300000000000001</v>
          </cell>
          <cell r="U110">
            <v>0.61499999999999999</v>
          </cell>
          <cell r="V110">
            <v>0.64100000000000001</v>
          </cell>
          <cell r="W110">
            <v>0.63400000000000001</v>
          </cell>
          <cell r="X110">
            <v>0.65800000000000003</v>
          </cell>
          <cell r="Y110">
            <v>0.60799999999999998</v>
          </cell>
          <cell r="Z110">
            <v>0.5</v>
          </cell>
          <cell r="AA110">
            <v>0.84499999999999997</v>
          </cell>
          <cell r="AB110">
            <v>0.52400000000000002</v>
          </cell>
          <cell r="AC110">
            <v>0.68600000000000005</v>
          </cell>
          <cell r="AD110">
            <v>0.70199999999999996</v>
          </cell>
          <cell r="AE110">
            <v>0.33700000000000002</v>
          </cell>
        </row>
        <row r="111">
          <cell r="B111" t="str">
            <v>광주북구</v>
          </cell>
          <cell r="C111">
            <v>102</v>
          </cell>
          <cell r="D111" t="str">
            <v>광주</v>
          </cell>
          <cell r="E111" t="str">
            <v>광주</v>
          </cell>
          <cell r="F111">
            <v>44</v>
          </cell>
          <cell r="G111" t="str">
            <v>광주지방법원</v>
          </cell>
          <cell r="H111">
            <v>0.57199999999999995</v>
          </cell>
          <cell r="I111">
            <v>0.62</v>
          </cell>
          <cell r="J111">
            <v>0.67800000000000005</v>
          </cell>
          <cell r="K111">
            <v>0.45400000000000001</v>
          </cell>
          <cell r="L111">
            <v>0.51200000000000001</v>
          </cell>
          <cell r="M111">
            <v>0.435</v>
          </cell>
          <cell r="N111">
            <v>0.53300000000000003</v>
          </cell>
          <cell r="O111">
            <v>0.53900000000000003</v>
          </cell>
          <cell r="P111">
            <v>0.56100000000000005</v>
          </cell>
          <cell r="Q111">
            <v>0.28799999999999998</v>
          </cell>
          <cell r="R111">
            <v>0.622</v>
          </cell>
          <cell r="S111">
            <v>0.59199999999999997</v>
          </cell>
          <cell r="T111">
            <v>0.502</v>
          </cell>
          <cell r="U111">
            <v>0.39400000000000002</v>
          </cell>
          <cell r="V111">
            <v>0.61199999999999999</v>
          </cell>
          <cell r="W111">
            <v>0.48599999999999999</v>
          </cell>
          <cell r="X111">
            <v>0.58299999999999996</v>
          </cell>
          <cell r="Y111">
            <v>0.66700000000000004</v>
          </cell>
          <cell r="Z111">
            <v>0.52</v>
          </cell>
          <cell r="AA111">
            <v>0.72199999999999998</v>
          </cell>
          <cell r="AB111">
            <v>0.48599999999999999</v>
          </cell>
          <cell r="AC111">
            <v>0.83099999999999996</v>
          </cell>
          <cell r="AD111">
            <v>0.224</v>
          </cell>
          <cell r="AE111">
            <v>0.192</v>
          </cell>
        </row>
        <row r="112">
          <cell r="B112" t="str">
            <v>광주동구</v>
          </cell>
          <cell r="C112">
            <v>103</v>
          </cell>
          <cell r="D112" t="str">
            <v>광주</v>
          </cell>
          <cell r="E112" t="str">
            <v>광주</v>
          </cell>
          <cell r="F112">
            <v>44</v>
          </cell>
          <cell r="G112" t="str">
            <v>광주지방법원</v>
          </cell>
          <cell r="H112">
            <v>0.57199999999999995</v>
          </cell>
          <cell r="I112">
            <v>0.62</v>
          </cell>
          <cell r="J112">
            <v>0.67800000000000005</v>
          </cell>
          <cell r="K112">
            <v>0.45400000000000001</v>
          </cell>
          <cell r="L112">
            <v>0.51200000000000001</v>
          </cell>
          <cell r="M112">
            <v>0.435</v>
          </cell>
          <cell r="N112">
            <v>0.53300000000000003</v>
          </cell>
          <cell r="O112">
            <v>0.53900000000000003</v>
          </cell>
          <cell r="P112">
            <v>0.56100000000000005</v>
          </cell>
          <cell r="Q112">
            <v>0.28799999999999998</v>
          </cell>
          <cell r="R112">
            <v>0.622</v>
          </cell>
          <cell r="S112">
            <v>0.59199999999999997</v>
          </cell>
          <cell r="T112">
            <v>0.502</v>
          </cell>
          <cell r="U112">
            <v>0.39400000000000002</v>
          </cell>
          <cell r="V112">
            <v>0.61199999999999999</v>
          </cell>
          <cell r="W112">
            <v>0.48599999999999999</v>
          </cell>
          <cell r="X112">
            <v>0.58299999999999996</v>
          </cell>
          <cell r="Y112">
            <v>0.66700000000000004</v>
          </cell>
          <cell r="Z112">
            <v>0.52</v>
          </cell>
          <cell r="AA112">
            <v>0.72199999999999998</v>
          </cell>
          <cell r="AB112">
            <v>0.48599999999999999</v>
          </cell>
          <cell r="AC112">
            <v>0.83099999999999996</v>
          </cell>
          <cell r="AD112">
            <v>0.224</v>
          </cell>
          <cell r="AE112">
            <v>0.192</v>
          </cell>
        </row>
        <row r="113">
          <cell r="B113" t="str">
            <v>광주남구</v>
          </cell>
          <cell r="C113">
            <v>104</v>
          </cell>
          <cell r="D113" t="str">
            <v>광주</v>
          </cell>
          <cell r="E113" t="str">
            <v>광주</v>
          </cell>
          <cell r="F113">
            <v>44</v>
          </cell>
          <cell r="G113" t="str">
            <v>광주지방법원</v>
          </cell>
          <cell r="H113">
            <v>0.57199999999999995</v>
          </cell>
          <cell r="I113">
            <v>0.62</v>
          </cell>
          <cell r="J113">
            <v>0.67800000000000005</v>
          </cell>
          <cell r="K113">
            <v>0.45400000000000001</v>
          </cell>
          <cell r="L113">
            <v>0.51200000000000001</v>
          </cell>
          <cell r="M113">
            <v>0.435</v>
          </cell>
          <cell r="N113">
            <v>0.53300000000000003</v>
          </cell>
          <cell r="O113">
            <v>0.53900000000000003</v>
          </cell>
          <cell r="P113">
            <v>0.56100000000000005</v>
          </cell>
          <cell r="Q113">
            <v>0.28799999999999998</v>
          </cell>
          <cell r="R113">
            <v>0.622</v>
          </cell>
          <cell r="S113">
            <v>0.59199999999999997</v>
          </cell>
          <cell r="T113">
            <v>0.502</v>
          </cell>
          <cell r="U113">
            <v>0.39400000000000002</v>
          </cell>
          <cell r="V113">
            <v>0.61199999999999999</v>
          </cell>
          <cell r="W113">
            <v>0.48599999999999999</v>
          </cell>
          <cell r="X113">
            <v>0.58299999999999996</v>
          </cell>
          <cell r="Y113">
            <v>0.66700000000000004</v>
          </cell>
          <cell r="Z113">
            <v>0.52</v>
          </cell>
          <cell r="AA113">
            <v>0.72199999999999998</v>
          </cell>
          <cell r="AB113">
            <v>0.48599999999999999</v>
          </cell>
          <cell r="AC113">
            <v>0.83099999999999996</v>
          </cell>
          <cell r="AD113">
            <v>0.224</v>
          </cell>
          <cell r="AE113">
            <v>0.192</v>
          </cell>
        </row>
        <row r="114">
          <cell r="B114" t="str">
            <v>광주서구</v>
          </cell>
          <cell r="C114">
            <v>105</v>
          </cell>
          <cell r="D114" t="str">
            <v>광주</v>
          </cell>
          <cell r="E114" t="str">
            <v>광주</v>
          </cell>
          <cell r="F114">
            <v>44</v>
          </cell>
          <cell r="G114" t="str">
            <v>광주지방법원</v>
          </cell>
          <cell r="H114">
            <v>0.57199999999999995</v>
          </cell>
          <cell r="I114">
            <v>0.62</v>
          </cell>
          <cell r="J114">
            <v>0.67800000000000005</v>
          </cell>
          <cell r="K114">
            <v>0.45400000000000001</v>
          </cell>
          <cell r="L114">
            <v>0.51200000000000001</v>
          </cell>
          <cell r="M114">
            <v>0.435</v>
          </cell>
          <cell r="N114">
            <v>0.53300000000000003</v>
          </cell>
          <cell r="O114">
            <v>0.53900000000000003</v>
          </cell>
          <cell r="P114">
            <v>0.56100000000000005</v>
          </cell>
          <cell r="Q114">
            <v>0.28799999999999998</v>
          </cell>
          <cell r="R114">
            <v>0.622</v>
          </cell>
          <cell r="S114">
            <v>0.59199999999999997</v>
          </cell>
          <cell r="T114">
            <v>0.502</v>
          </cell>
          <cell r="U114">
            <v>0.39400000000000002</v>
          </cell>
          <cell r="V114">
            <v>0.61199999999999999</v>
          </cell>
          <cell r="W114">
            <v>0.48599999999999999</v>
          </cell>
          <cell r="X114">
            <v>0.58299999999999996</v>
          </cell>
          <cell r="Y114">
            <v>0.66700000000000004</v>
          </cell>
          <cell r="Z114">
            <v>0.52</v>
          </cell>
          <cell r="AA114">
            <v>0.72199999999999998</v>
          </cell>
          <cell r="AB114">
            <v>0.48599999999999999</v>
          </cell>
          <cell r="AC114">
            <v>0.83099999999999996</v>
          </cell>
          <cell r="AD114">
            <v>0.224</v>
          </cell>
          <cell r="AE114">
            <v>0.192</v>
          </cell>
        </row>
        <row r="115">
          <cell r="B115" t="str">
            <v>광주광산구</v>
          </cell>
          <cell r="C115">
            <v>106</v>
          </cell>
          <cell r="D115" t="str">
            <v>광주</v>
          </cell>
          <cell r="E115" t="str">
            <v>광주</v>
          </cell>
          <cell r="F115">
            <v>44</v>
          </cell>
          <cell r="G115" t="str">
            <v>광주지방법원</v>
          </cell>
          <cell r="H115">
            <v>0.57199999999999995</v>
          </cell>
          <cell r="I115">
            <v>0.62</v>
          </cell>
          <cell r="J115">
            <v>0.67800000000000005</v>
          </cell>
          <cell r="K115">
            <v>0.45400000000000001</v>
          </cell>
          <cell r="L115">
            <v>0.51200000000000001</v>
          </cell>
          <cell r="M115">
            <v>0.435</v>
          </cell>
          <cell r="N115">
            <v>0.53300000000000003</v>
          </cell>
          <cell r="O115">
            <v>0.53900000000000003</v>
          </cell>
          <cell r="P115">
            <v>0.56100000000000005</v>
          </cell>
          <cell r="Q115">
            <v>0.28799999999999998</v>
          </cell>
          <cell r="R115">
            <v>0.622</v>
          </cell>
          <cell r="S115">
            <v>0.59199999999999997</v>
          </cell>
          <cell r="T115">
            <v>0.502</v>
          </cell>
          <cell r="U115">
            <v>0.39400000000000002</v>
          </cell>
          <cell r="V115">
            <v>0.61199999999999999</v>
          </cell>
          <cell r="W115">
            <v>0.48599999999999999</v>
          </cell>
          <cell r="X115">
            <v>0.58299999999999996</v>
          </cell>
          <cell r="Y115">
            <v>0.66700000000000004</v>
          </cell>
          <cell r="Z115">
            <v>0.52</v>
          </cell>
          <cell r="AA115">
            <v>0.72199999999999998</v>
          </cell>
          <cell r="AB115">
            <v>0.48599999999999999</v>
          </cell>
          <cell r="AC115">
            <v>0.83099999999999996</v>
          </cell>
          <cell r="AD115">
            <v>0.224</v>
          </cell>
          <cell r="AE115">
            <v>0.192</v>
          </cell>
        </row>
        <row r="116">
          <cell r="B116" t="str">
            <v>대구중구</v>
          </cell>
          <cell r="C116">
            <v>107</v>
          </cell>
          <cell r="D116" t="str">
            <v>대구</v>
          </cell>
          <cell r="E116" t="str">
            <v>대구</v>
          </cell>
          <cell r="F116">
            <v>36</v>
          </cell>
          <cell r="G116" t="str">
            <v>대구지방법원</v>
          </cell>
          <cell r="H116">
            <v>0.61899999999999999</v>
          </cell>
          <cell r="I116">
            <v>0.71499999999999997</v>
          </cell>
          <cell r="J116">
            <v>0.80100000000000005</v>
          </cell>
          <cell r="K116">
            <v>0.53300000000000003</v>
          </cell>
          <cell r="L116">
            <v>0.70099999999999996</v>
          </cell>
          <cell r="M116">
            <v>0.65100000000000002</v>
          </cell>
          <cell r="N116">
            <v>0.63100000000000001</v>
          </cell>
          <cell r="O116">
            <v>0.53900000000000003</v>
          </cell>
          <cell r="P116">
            <v>0.66800000000000004</v>
          </cell>
          <cell r="Q116">
            <v>0.39600000000000002</v>
          </cell>
          <cell r="R116">
            <v>0.623</v>
          </cell>
          <cell r="S116">
            <v>1.0069999999999999</v>
          </cell>
          <cell r="T116">
            <v>0.50600000000000001</v>
          </cell>
          <cell r="U116">
            <v>0.55300000000000005</v>
          </cell>
          <cell r="V116">
            <v>0.61199999999999999</v>
          </cell>
          <cell r="W116">
            <v>0.57699999999999996</v>
          </cell>
          <cell r="X116">
            <v>0.63900000000000001</v>
          </cell>
          <cell r="Y116">
            <v>0.66700000000000004</v>
          </cell>
          <cell r="Z116">
            <v>0.52</v>
          </cell>
          <cell r="AA116">
            <v>0.72199999999999998</v>
          </cell>
          <cell r="AB116">
            <v>0.71799999999999997</v>
          </cell>
          <cell r="AC116">
            <v>0.67200000000000004</v>
          </cell>
          <cell r="AD116">
            <v>0.224</v>
          </cell>
          <cell r="AE116">
            <v>0.44700000000000001</v>
          </cell>
        </row>
        <row r="117">
          <cell r="B117" t="str">
            <v>대구동구</v>
          </cell>
          <cell r="C117">
            <v>108</v>
          </cell>
          <cell r="D117" t="str">
            <v>대구</v>
          </cell>
          <cell r="E117" t="str">
            <v>대구</v>
          </cell>
          <cell r="F117">
            <v>36</v>
          </cell>
          <cell r="G117" t="str">
            <v>대구지방법원</v>
          </cell>
          <cell r="H117">
            <v>0.61899999999999999</v>
          </cell>
          <cell r="I117">
            <v>0.71499999999999997</v>
          </cell>
          <cell r="J117">
            <v>0.80100000000000005</v>
          </cell>
          <cell r="K117">
            <v>0.53300000000000003</v>
          </cell>
          <cell r="L117">
            <v>0.70099999999999996</v>
          </cell>
          <cell r="M117">
            <v>0.65100000000000002</v>
          </cell>
          <cell r="N117">
            <v>0.63100000000000001</v>
          </cell>
          <cell r="O117">
            <v>0.53900000000000003</v>
          </cell>
          <cell r="P117">
            <v>0.66800000000000004</v>
          </cell>
          <cell r="Q117">
            <v>0.39600000000000002</v>
          </cell>
          <cell r="R117">
            <v>0.623</v>
          </cell>
          <cell r="S117">
            <v>1.0069999999999999</v>
          </cell>
          <cell r="T117">
            <v>0.50600000000000001</v>
          </cell>
          <cell r="U117">
            <v>0.55300000000000005</v>
          </cell>
          <cell r="V117">
            <v>0.61199999999999999</v>
          </cell>
          <cell r="W117">
            <v>0.57699999999999996</v>
          </cell>
          <cell r="X117">
            <v>0.63900000000000001</v>
          </cell>
          <cell r="Y117">
            <v>0.66700000000000004</v>
          </cell>
          <cell r="Z117">
            <v>0.52</v>
          </cell>
          <cell r="AA117">
            <v>0.72199999999999998</v>
          </cell>
          <cell r="AB117">
            <v>0.71799999999999997</v>
          </cell>
          <cell r="AC117">
            <v>0.67200000000000004</v>
          </cell>
          <cell r="AD117">
            <v>0.224</v>
          </cell>
          <cell r="AE117">
            <v>0.44700000000000001</v>
          </cell>
        </row>
        <row r="118">
          <cell r="B118" t="str">
            <v>대구북구</v>
          </cell>
          <cell r="C118">
            <v>109</v>
          </cell>
          <cell r="D118" t="str">
            <v>대구</v>
          </cell>
          <cell r="E118" t="str">
            <v>대구</v>
          </cell>
          <cell r="F118">
            <v>36</v>
          </cell>
          <cell r="G118" t="str">
            <v>대구지방법원</v>
          </cell>
          <cell r="H118">
            <v>0.61899999999999999</v>
          </cell>
          <cell r="I118">
            <v>0.71499999999999997</v>
          </cell>
          <cell r="J118">
            <v>0.80100000000000005</v>
          </cell>
          <cell r="K118">
            <v>0.53300000000000003</v>
          </cell>
          <cell r="L118">
            <v>0.70099999999999996</v>
          </cell>
          <cell r="M118">
            <v>0.65100000000000002</v>
          </cell>
          <cell r="N118">
            <v>0.63100000000000001</v>
          </cell>
          <cell r="O118">
            <v>0.53900000000000003</v>
          </cell>
          <cell r="P118">
            <v>0.66800000000000004</v>
          </cell>
          <cell r="Q118">
            <v>0.39600000000000002</v>
          </cell>
          <cell r="R118">
            <v>0.623</v>
          </cell>
          <cell r="S118">
            <v>1.0069999999999999</v>
          </cell>
          <cell r="T118">
            <v>0.50600000000000001</v>
          </cell>
          <cell r="U118">
            <v>0.55300000000000005</v>
          </cell>
          <cell r="V118">
            <v>0.61199999999999999</v>
          </cell>
          <cell r="W118">
            <v>0.57699999999999996</v>
          </cell>
          <cell r="X118">
            <v>0.63900000000000001</v>
          </cell>
          <cell r="Y118">
            <v>0.66700000000000004</v>
          </cell>
          <cell r="Z118">
            <v>0.52</v>
          </cell>
          <cell r="AA118">
            <v>0.72199999999999998</v>
          </cell>
          <cell r="AB118">
            <v>0.71799999999999997</v>
          </cell>
          <cell r="AC118">
            <v>0.67200000000000004</v>
          </cell>
          <cell r="AD118">
            <v>0.224</v>
          </cell>
          <cell r="AE118">
            <v>0.44700000000000001</v>
          </cell>
        </row>
        <row r="119">
          <cell r="B119" t="str">
            <v>대구서구</v>
          </cell>
          <cell r="C119">
            <v>110</v>
          </cell>
          <cell r="D119" t="str">
            <v>대구</v>
          </cell>
          <cell r="E119" t="str">
            <v>대구</v>
          </cell>
          <cell r="F119">
            <v>36</v>
          </cell>
          <cell r="G119" t="str">
            <v>대구지방법원</v>
          </cell>
          <cell r="H119">
            <v>0.61899999999999999</v>
          </cell>
          <cell r="I119">
            <v>0.71499999999999997</v>
          </cell>
          <cell r="J119">
            <v>0.80100000000000005</v>
          </cell>
          <cell r="K119">
            <v>0.53300000000000003</v>
          </cell>
          <cell r="L119">
            <v>0.70099999999999996</v>
          </cell>
          <cell r="M119">
            <v>0.65100000000000002</v>
          </cell>
          <cell r="N119">
            <v>0.63100000000000001</v>
          </cell>
          <cell r="O119">
            <v>0.53900000000000003</v>
          </cell>
          <cell r="P119">
            <v>0.66800000000000004</v>
          </cell>
          <cell r="Q119">
            <v>0.39600000000000002</v>
          </cell>
          <cell r="R119">
            <v>0.623</v>
          </cell>
          <cell r="S119">
            <v>1.0069999999999999</v>
          </cell>
          <cell r="T119">
            <v>0.50600000000000001</v>
          </cell>
          <cell r="U119">
            <v>0.55300000000000005</v>
          </cell>
          <cell r="V119">
            <v>0.61199999999999999</v>
          </cell>
          <cell r="W119">
            <v>0.57699999999999996</v>
          </cell>
          <cell r="X119">
            <v>0.63900000000000001</v>
          </cell>
          <cell r="Y119">
            <v>0.66700000000000004</v>
          </cell>
          <cell r="Z119">
            <v>0.52</v>
          </cell>
          <cell r="AA119">
            <v>0.72199999999999998</v>
          </cell>
          <cell r="AB119">
            <v>0.71799999999999997</v>
          </cell>
          <cell r="AC119">
            <v>0.67200000000000004</v>
          </cell>
          <cell r="AD119">
            <v>0.224</v>
          </cell>
          <cell r="AE119">
            <v>0.44700000000000001</v>
          </cell>
        </row>
        <row r="120">
          <cell r="B120" t="str">
            <v>대구달서구</v>
          </cell>
          <cell r="C120">
            <v>111</v>
          </cell>
          <cell r="D120" t="str">
            <v>대구</v>
          </cell>
          <cell r="E120" t="str">
            <v>대구</v>
          </cell>
          <cell r="F120">
            <v>36</v>
          </cell>
          <cell r="G120" t="str">
            <v>대구지방법원</v>
          </cell>
          <cell r="H120">
            <v>0.61899999999999999</v>
          </cell>
          <cell r="I120">
            <v>0.71499999999999997</v>
          </cell>
          <cell r="J120">
            <v>0.80100000000000005</v>
          </cell>
          <cell r="K120">
            <v>0.53300000000000003</v>
          </cell>
          <cell r="L120">
            <v>0.70099999999999996</v>
          </cell>
          <cell r="M120">
            <v>0.65100000000000002</v>
          </cell>
          <cell r="N120">
            <v>0.63100000000000001</v>
          </cell>
          <cell r="O120">
            <v>0.53900000000000003</v>
          </cell>
          <cell r="P120">
            <v>0.66800000000000004</v>
          </cell>
          <cell r="Q120">
            <v>0.39600000000000002</v>
          </cell>
          <cell r="R120">
            <v>0.623</v>
          </cell>
          <cell r="S120">
            <v>1.0069999999999999</v>
          </cell>
          <cell r="T120">
            <v>0.50600000000000001</v>
          </cell>
          <cell r="U120">
            <v>0.55300000000000005</v>
          </cell>
          <cell r="V120">
            <v>0.61199999999999999</v>
          </cell>
          <cell r="W120">
            <v>0.57699999999999996</v>
          </cell>
          <cell r="X120">
            <v>0.63900000000000001</v>
          </cell>
          <cell r="Y120">
            <v>0.66700000000000004</v>
          </cell>
          <cell r="Z120">
            <v>0.52</v>
          </cell>
          <cell r="AA120">
            <v>0.72199999999999998</v>
          </cell>
          <cell r="AB120">
            <v>0.71799999999999997</v>
          </cell>
          <cell r="AC120">
            <v>0.67200000000000004</v>
          </cell>
          <cell r="AD120">
            <v>0.224</v>
          </cell>
          <cell r="AE120">
            <v>0.44700000000000001</v>
          </cell>
        </row>
        <row r="121">
          <cell r="B121" t="str">
            <v>대구남구</v>
          </cell>
          <cell r="C121">
            <v>112</v>
          </cell>
          <cell r="D121" t="str">
            <v>대구</v>
          </cell>
          <cell r="E121" t="str">
            <v>대구</v>
          </cell>
          <cell r="F121">
            <v>36</v>
          </cell>
          <cell r="G121" t="str">
            <v>대구지방법원</v>
          </cell>
          <cell r="H121">
            <v>0.61899999999999999</v>
          </cell>
          <cell r="I121">
            <v>0.71499999999999997</v>
          </cell>
          <cell r="J121">
            <v>0.80100000000000005</v>
          </cell>
          <cell r="K121">
            <v>0.53300000000000003</v>
          </cell>
          <cell r="L121">
            <v>0.70099999999999996</v>
          </cell>
          <cell r="M121">
            <v>0.65100000000000002</v>
          </cell>
          <cell r="N121">
            <v>0.63100000000000001</v>
          </cell>
          <cell r="O121">
            <v>0.53900000000000003</v>
          </cell>
          <cell r="P121">
            <v>0.66800000000000004</v>
          </cell>
          <cell r="Q121">
            <v>0.39600000000000002</v>
          </cell>
          <cell r="R121">
            <v>0.623</v>
          </cell>
          <cell r="S121">
            <v>1.0069999999999999</v>
          </cell>
          <cell r="T121">
            <v>0.50600000000000001</v>
          </cell>
          <cell r="U121">
            <v>0.55300000000000005</v>
          </cell>
          <cell r="V121">
            <v>0.61199999999999999</v>
          </cell>
          <cell r="W121">
            <v>0.57699999999999996</v>
          </cell>
          <cell r="X121">
            <v>0.63900000000000001</v>
          </cell>
          <cell r="Y121">
            <v>0.66700000000000004</v>
          </cell>
          <cell r="Z121">
            <v>0.52</v>
          </cell>
          <cell r="AA121">
            <v>0.72199999999999998</v>
          </cell>
          <cell r="AB121">
            <v>0.71799999999999997</v>
          </cell>
          <cell r="AC121">
            <v>0.67200000000000004</v>
          </cell>
          <cell r="AD121">
            <v>0.224</v>
          </cell>
          <cell r="AE121">
            <v>0.44700000000000001</v>
          </cell>
        </row>
        <row r="122">
          <cell r="B122" t="str">
            <v>대구수성구</v>
          </cell>
          <cell r="C122">
            <v>113</v>
          </cell>
          <cell r="D122" t="str">
            <v>대구</v>
          </cell>
          <cell r="E122" t="str">
            <v>대구</v>
          </cell>
          <cell r="F122">
            <v>36</v>
          </cell>
          <cell r="G122" t="str">
            <v>대구지방법원</v>
          </cell>
          <cell r="H122">
            <v>0.61899999999999999</v>
          </cell>
          <cell r="I122">
            <v>0.71499999999999997</v>
          </cell>
          <cell r="J122">
            <v>0.80100000000000005</v>
          </cell>
          <cell r="K122">
            <v>0.53300000000000003</v>
          </cell>
          <cell r="L122">
            <v>0.70099999999999996</v>
          </cell>
          <cell r="M122">
            <v>0.65100000000000002</v>
          </cell>
          <cell r="N122">
            <v>0.63100000000000001</v>
          </cell>
          <cell r="O122">
            <v>0.53900000000000003</v>
          </cell>
          <cell r="P122">
            <v>0.66800000000000004</v>
          </cell>
          <cell r="Q122">
            <v>0.39600000000000002</v>
          </cell>
          <cell r="R122">
            <v>0.623</v>
          </cell>
          <cell r="S122">
            <v>1.0069999999999999</v>
          </cell>
          <cell r="T122">
            <v>0.50600000000000001</v>
          </cell>
          <cell r="U122">
            <v>0.55300000000000005</v>
          </cell>
          <cell r="V122">
            <v>0.61199999999999999</v>
          </cell>
          <cell r="W122">
            <v>0.57699999999999996</v>
          </cell>
          <cell r="X122">
            <v>0.63900000000000001</v>
          </cell>
          <cell r="Y122">
            <v>0.66700000000000004</v>
          </cell>
          <cell r="Z122">
            <v>0.52</v>
          </cell>
          <cell r="AA122">
            <v>0.72199999999999998</v>
          </cell>
          <cell r="AB122">
            <v>0.71799999999999997</v>
          </cell>
          <cell r="AC122">
            <v>0.67200000000000004</v>
          </cell>
          <cell r="AD122">
            <v>0.224</v>
          </cell>
          <cell r="AE122">
            <v>0.44700000000000001</v>
          </cell>
        </row>
        <row r="123">
          <cell r="B123" t="str">
            <v>달성군</v>
          </cell>
          <cell r="C123">
            <v>114</v>
          </cell>
          <cell r="D123" t="str">
            <v>대구</v>
          </cell>
          <cell r="E123" t="str">
            <v>대구</v>
          </cell>
          <cell r="F123">
            <v>36</v>
          </cell>
          <cell r="G123" t="str">
            <v>대구지방법원</v>
          </cell>
          <cell r="H123">
            <v>0.61899999999999999</v>
          </cell>
          <cell r="I123">
            <v>0.71499999999999997</v>
          </cell>
          <cell r="J123">
            <v>0.80100000000000005</v>
          </cell>
          <cell r="K123">
            <v>0.53300000000000003</v>
          </cell>
          <cell r="L123">
            <v>0.70099999999999996</v>
          </cell>
          <cell r="M123">
            <v>0.65100000000000002</v>
          </cell>
          <cell r="N123">
            <v>0.63100000000000001</v>
          </cell>
          <cell r="O123">
            <v>0.53900000000000003</v>
          </cell>
          <cell r="P123">
            <v>0.66800000000000004</v>
          </cell>
          <cell r="Q123">
            <v>0.39600000000000002</v>
          </cell>
          <cell r="R123">
            <v>0.623</v>
          </cell>
          <cell r="S123">
            <v>1.0069999999999999</v>
          </cell>
          <cell r="T123">
            <v>0.50600000000000001</v>
          </cell>
          <cell r="U123">
            <v>0.55300000000000005</v>
          </cell>
          <cell r="V123">
            <v>0.61199999999999999</v>
          </cell>
          <cell r="W123">
            <v>0.57699999999999996</v>
          </cell>
          <cell r="X123">
            <v>0.63900000000000001</v>
          </cell>
          <cell r="Y123">
            <v>0.66700000000000004</v>
          </cell>
          <cell r="Z123">
            <v>0.52</v>
          </cell>
          <cell r="AA123">
            <v>0.72199999999999998</v>
          </cell>
          <cell r="AB123">
            <v>0.71799999999999997</v>
          </cell>
          <cell r="AC123">
            <v>0.67200000000000004</v>
          </cell>
          <cell r="AD123">
            <v>0.224</v>
          </cell>
          <cell r="AE123">
            <v>0.44700000000000001</v>
          </cell>
        </row>
        <row r="124">
          <cell r="B124" t="str">
            <v>대전동구</v>
          </cell>
          <cell r="C124">
            <v>115</v>
          </cell>
          <cell r="D124" t="str">
            <v>대전</v>
          </cell>
          <cell r="E124" t="str">
            <v>대전</v>
          </cell>
          <cell r="F124">
            <v>13</v>
          </cell>
          <cell r="G124" t="str">
            <v>대전지방법원</v>
          </cell>
          <cell r="H124">
            <v>0.71699999999999997</v>
          </cell>
          <cell r="I124">
            <v>0.53100000000000003</v>
          </cell>
          <cell r="J124">
            <v>0.78900000000000003</v>
          </cell>
          <cell r="K124">
            <v>0.45300000000000001</v>
          </cell>
          <cell r="L124">
            <v>0.69699999999999995</v>
          </cell>
          <cell r="M124">
            <v>0.61799999999999999</v>
          </cell>
          <cell r="N124">
            <v>0.35299999999999998</v>
          </cell>
          <cell r="O124">
            <v>0.5</v>
          </cell>
          <cell r="P124">
            <v>0.41199999999999998</v>
          </cell>
          <cell r="Q124">
            <v>0.46300000000000002</v>
          </cell>
          <cell r="R124">
            <v>0.81699999999999995</v>
          </cell>
          <cell r="S124">
            <v>0.67200000000000004</v>
          </cell>
          <cell r="T124">
            <v>0.65300000000000002</v>
          </cell>
          <cell r="U124">
            <v>0.56799999999999995</v>
          </cell>
          <cell r="V124">
            <v>0.61199999999999999</v>
          </cell>
          <cell r="W124">
            <v>0.65800000000000003</v>
          </cell>
          <cell r="X124">
            <v>0.83199999999999996</v>
          </cell>
          <cell r="Y124">
            <v>0.75800000000000001</v>
          </cell>
          <cell r="Z124">
            <v>0.52</v>
          </cell>
          <cell r="AA124">
            <v>0.72199999999999998</v>
          </cell>
          <cell r="AB124">
            <v>0.61099999999999999</v>
          </cell>
          <cell r="AC124">
            <v>0.57499999999999996</v>
          </cell>
          <cell r="AD124">
            <v>0.224</v>
          </cell>
          <cell r="AE124">
            <v>0.44700000000000001</v>
          </cell>
        </row>
        <row r="125">
          <cell r="B125" t="str">
            <v>대전중구</v>
          </cell>
          <cell r="C125">
            <v>116</v>
          </cell>
          <cell r="D125" t="str">
            <v>대전</v>
          </cell>
          <cell r="E125" t="str">
            <v>대전</v>
          </cell>
          <cell r="F125">
            <v>13</v>
          </cell>
          <cell r="G125" t="str">
            <v>대전지방법원</v>
          </cell>
          <cell r="H125">
            <v>0.71699999999999997</v>
          </cell>
          <cell r="I125">
            <v>0.53100000000000003</v>
          </cell>
          <cell r="J125">
            <v>0.78900000000000003</v>
          </cell>
          <cell r="K125">
            <v>0.45300000000000001</v>
          </cell>
          <cell r="L125">
            <v>0.69699999999999995</v>
          </cell>
          <cell r="M125">
            <v>0.61799999999999999</v>
          </cell>
          <cell r="N125">
            <v>0.35299999999999998</v>
          </cell>
          <cell r="O125">
            <v>0.5</v>
          </cell>
          <cell r="P125">
            <v>0.41199999999999998</v>
          </cell>
          <cell r="Q125">
            <v>0.46300000000000002</v>
          </cell>
          <cell r="R125">
            <v>0.81699999999999995</v>
          </cell>
          <cell r="S125">
            <v>0.67200000000000004</v>
          </cell>
          <cell r="T125">
            <v>0.65300000000000002</v>
          </cell>
          <cell r="U125">
            <v>0.56799999999999995</v>
          </cell>
          <cell r="V125">
            <v>0.61199999999999999</v>
          </cell>
          <cell r="W125">
            <v>0.65800000000000003</v>
          </cell>
          <cell r="X125">
            <v>0.83199999999999996</v>
          </cell>
          <cell r="Y125">
            <v>0.75800000000000001</v>
          </cell>
          <cell r="Z125">
            <v>0.52</v>
          </cell>
          <cell r="AA125">
            <v>0.72199999999999998</v>
          </cell>
          <cell r="AB125">
            <v>0.61099999999999999</v>
          </cell>
          <cell r="AC125">
            <v>0.57499999999999996</v>
          </cell>
          <cell r="AD125">
            <v>0.224</v>
          </cell>
          <cell r="AE125">
            <v>0.44700000000000001</v>
          </cell>
        </row>
        <row r="126">
          <cell r="B126" t="str">
            <v>대전서구</v>
          </cell>
          <cell r="C126">
            <v>117</v>
          </cell>
          <cell r="D126" t="str">
            <v>대전</v>
          </cell>
          <cell r="E126" t="str">
            <v>대전</v>
          </cell>
          <cell r="F126">
            <v>13</v>
          </cell>
          <cell r="G126" t="str">
            <v>대전지방법원</v>
          </cell>
          <cell r="H126">
            <v>0.71699999999999997</v>
          </cell>
          <cell r="I126">
            <v>0.53100000000000003</v>
          </cell>
          <cell r="J126">
            <v>0.78900000000000003</v>
          </cell>
          <cell r="K126">
            <v>0.45300000000000001</v>
          </cell>
          <cell r="L126">
            <v>0.69699999999999995</v>
          </cell>
          <cell r="M126">
            <v>0.61799999999999999</v>
          </cell>
          <cell r="N126">
            <v>0.35299999999999998</v>
          </cell>
          <cell r="O126">
            <v>0.5</v>
          </cell>
          <cell r="P126">
            <v>0.41199999999999998</v>
          </cell>
          <cell r="Q126">
            <v>0.46300000000000002</v>
          </cell>
          <cell r="R126">
            <v>0.81699999999999995</v>
          </cell>
          <cell r="S126">
            <v>0.67200000000000004</v>
          </cell>
          <cell r="T126">
            <v>0.65300000000000002</v>
          </cell>
          <cell r="U126">
            <v>0.56799999999999995</v>
          </cell>
          <cell r="V126">
            <v>0.61199999999999999</v>
          </cell>
          <cell r="W126">
            <v>0.65800000000000003</v>
          </cell>
          <cell r="X126">
            <v>0.83199999999999996</v>
          </cell>
          <cell r="Y126">
            <v>0.75800000000000001</v>
          </cell>
          <cell r="Z126">
            <v>0.52</v>
          </cell>
          <cell r="AA126">
            <v>0.72199999999999998</v>
          </cell>
          <cell r="AB126">
            <v>0.61099999999999999</v>
          </cell>
          <cell r="AC126">
            <v>0.57499999999999996</v>
          </cell>
          <cell r="AD126">
            <v>0.224</v>
          </cell>
          <cell r="AE126">
            <v>0.44700000000000001</v>
          </cell>
        </row>
        <row r="127">
          <cell r="B127" t="str">
            <v>대전유성구</v>
          </cell>
          <cell r="C127">
            <v>118</v>
          </cell>
          <cell r="D127" t="str">
            <v>대전</v>
          </cell>
          <cell r="E127" t="str">
            <v>대전</v>
          </cell>
          <cell r="F127">
            <v>13</v>
          </cell>
          <cell r="G127" t="str">
            <v>대전지방법원</v>
          </cell>
          <cell r="H127">
            <v>0.71699999999999997</v>
          </cell>
          <cell r="I127">
            <v>0.53100000000000003</v>
          </cell>
          <cell r="J127">
            <v>0.78900000000000003</v>
          </cell>
          <cell r="K127">
            <v>0.45300000000000001</v>
          </cell>
          <cell r="L127">
            <v>0.69699999999999995</v>
          </cell>
          <cell r="M127">
            <v>0.61799999999999999</v>
          </cell>
          <cell r="N127">
            <v>0.35299999999999998</v>
          </cell>
          <cell r="O127">
            <v>0.5</v>
          </cell>
          <cell r="P127">
            <v>0.41199999999999998</v>
          </cell>
          <cell r="Q127">
            <v>0.46300000000000002</v>
          </cell>
          <cell r="R127">
            <v>0.81699999999999995</v>
          </cell>
          <cell r="S127">
            <v>0.67200000000000004</v>
          </cell>
          <cell r="T127">
            <v>0.65300000000000002</v>
          </cell>
          <cell r="U127">
            <v>0.56799999999999995</v>
          </cell>
          <cell r="V127">
            <v>0.61199999999999999</v>
          </cell>
          <cell r="W127">
            <v>0.65800000000000003</v>
          </cell>
          <cell r="X127">
            <v>0.83199999999999996</v>
          </cell>
          <cell r="Y127">
            <v>0.75800000000000001</v>
          </cell>
          <cell r="Z127">
            <v>0.52</v>
          </cell>
          <cell r="AA127">
            <v>0.72199999999999998</v>
          </cell>
          <cell r="AB127">
            <v>0.61099999999999999</v>
          </cell>
          <cell r="AC127">
            <v>0.57499999999999996</v>
          </cell>
          <cell r="AD127">
            <v>0.224</v>
          </cell>
          <cell r="AE127">
            <v>0.44700000000000001</v>
          </cell>
        </row>
        <row r="128">
          <cell r="B128" t="str">
            <v>대전대덕구</v>
          </cell>
          <cell r="C128">
            <v>119</v>
          </cell>
          <cell r="D128" t="str">
            <v>대전</v>
          </cell>
          <cell r="E128" t="str">
            <v>대전</v>
          </cell>
          <cell r="F128">
            <v>13</v>
          </cell>
          <cell r="G128" t="str">
            <v>대전지방법원</v>
          </cell>
          <cell r="H128">
            <v>0.71699999999999997</v>
          </cell>
          <cell r="I128">
            <v>0.53100000000000003</v>
          </cell>
          <cell r="J128">
            <v>0.78900000000000003</v>
          </cell>
          <cell r="K128">
            <v>0.45300000000000001</v>
          </cell>
          <cell r="L128">
            <v>0.69699999999999995</v>
          </cell>
          <cell r="M128">
            <v>0.61799999999999999</v>
          </cell>
          <cell r="N128">
            <v>0.35299999999999998</v>
          </cell>
          <cell r="O128">
            <v>0.5</v>
          </cell>
          <cell r="P128">
            <v>0.41199999999999998</v>
          </cell>
          <cell r="Q128">
            <v>0.46300000000000002</v>
          </cell>
          <cell r="R128">
            <v>0.81699999999999995</v>
          </cell>
          <cell r="S128">
            <v>0.67200000000000004</v>
          </cell>
          <cell r="T128">
            <v>0.65300000000000002</v>
          </cell>
          <cell r="U128">
            <v>0.56799999999999995</v>
          </cell>
          <cell r="V128">
            <v>0.61199999999999999</v>
          </cell>
          <cell r="W128">
            <v>0.65800000000000003</v>
          </cell>
          <cell r="X128">
            <v>0.83199999999999996</v>
          </cell>
          <cell r="Y128">
            <v>0.75800000000000001</v>
          </cell>
          <cell r="Z128">
            <v>0.52</v>
          </cell>
          <cell r="AA128">
            <v>0.72199999999999998</v>
          </cell>
          <cell r="AB128">
            <v>0.61099999999999999</v>
          </cell>
          <cell r="AC128">
            <v>0.57499999999999996</v>
          </cell>
          <cell r="AD128">
            <v>0.224</v>
          </cell>
          <cell r="AE128">
            <v>0.44700000000000001</v>
          </cell>
        </row>
        <row r="129">
          <cell r="B129" t="str">
            <v>부산중구</v>
          </cell>
          <cell r="C129">
            <v>120</v>
          </cell>
          <cell r="D129" t="str">
            <v>부산</v>
          </cell>
          <cell r="E129" t="str">
            <v>부산</v>
          </cell>
          <cell r="F129">
            <v>28</v>
          </cell>
          <cell r="G129" t="str">
            <v>부산지방법원</v>
          </cell>
          <cell r="H129">
            <v>0.57399999999999995</v>
          </cell>
          <cell r="I129">
            <v>0.67900000000000005</v>
          </cell>
          <cell r="J129">
            <v>0.67300000000000004</v>
          </cell>
          <cell r="K129">
            <v>0.54500000000000004</v>
          </cell>
          <cell r="L129">
            <v>0.59599999999999997</v>
          </cell>
          <cell r="M129">
            <v>0.61199999999999999</v>
          </cell>
          <cell r="N129">
            <v>0.50900000000000001</v>
          </cell>
          <cell r="O129">
            <v>0.53900000000000003</v>
          </cell>
          <cell r="P129">
            <v>0.69699999999999995</v>
          </cell>
          <cell r="Q129">
            <v>0.56899999999999995</v>
          </cell>
          <cell r="R129">
            <v>0.7</v>
          </cell>
          <cell r="S129">
            <v>0.67</v>
          </cell>
          <cell r="T129">
            <v>0.49399999999999999</v>
          </cell>
          <cell r="U129">
            <v>0.47899999999999998</v>
          </cell>
          <cell r="V129">
            <v>0.54200000000000004</v>
          </cell>
          <cell r="W129">
            <v>0.44500000000000001</v>
          </cell>
          <cell r="X129">
            <v>0.54200000000000004</v>
          </cell>
          <cell r="Y129">
            <v>0.66700000000000004</v>
          </cell>
          <cell r="Z129">
            <v>0.52</v>
          </cell>
          <cell r="AA129">
            <v>0.78500000000000003</v>
          </cell>
          <cell r="AB129">
            <v>0.63600000000000001</v>
          </cell>
          <cell r="AC129">
            <v>0.60099999999999998</v>
          </cell>
          <cell r="AD129">
            <v>0.183</v>
          </cell>
          <cell r="AE129">
            <v>0.44700000000000001</v>
          </cell>
        </row>
        <row r="130">
          <cell r="B130" t="str">
            <v>부산동구</v>
          </cell>
          <cell r="C130">
            <v>121</v>
          </cell>
          <cell r="D130" t="str">
            <v>부산</v>
          </cell>
          <cell r="E130" t="str">
            <v>부산</v>
          </cell>
          <cell r="F130">
            <v>28</v>
          </cell>
          <cell r="G130" t="str">
            <v>부산지방법원</v>
          </cell>
          <cell r="H130">
            <v>0.57399999999999995</v>
          </cell>
          <cell r="I130">
            <v>0.67900000000000005</v>
          </cell>
          <cell r="J130">
            <v>0.67300000000000004</v>
          </cell>
          <cell r="K130">
            <v>0.54500000000000004</v>
          </cell>
          <cell r="L130">
            <v>0.59599999999999997</v>
          </cell>
          <cell r="M130">
            <v>0.61199999999999999</v>
          </cell>
          <cell r="N130">
            <v>0.50900000000000001</v>
          </cell>
          <cell r="O130">
            <v>0.53900000000000003</v>
          </cell>
          <cell r="P130">
            <v>0.69699999999999995</v>
          </cell>
          <cell r="Q130">
            <v>0.56899999999999995</v>
          </cell>
          <cell r="R130">
            <v>0.7</v>
          </cell>
          <cell r="S130">
            <v>0.67</v>
          </cell>
          <cell r="T130">
            <v>0.49399999999999999</v>
          </cell>
          <cell r="U130">
            <v>0.47899999999999998</v>
          </cell>
          <cell r="V130">
            <v>0.54200000000000004</v>
          </cell>
          <cell r="W130">
            <v>0.44500000000000001</v>
          </cell>
          <cell r="X130">
            <v>0.54200000000000004</v>
          </cell>
          <cell r="Y130">
            <v>0.66700000000000004</v>
          </cell>
          <cell r="Z130">
            <v>0.52</v>
          </cell>
          <cell r="AA130">
            <v>0.78500000000000003</v>
          </cell>
          <cell r="AB130">
            <v>0.63600000000000001</v>
          </cell>
          <cell r="AC130">
            <v>0.60099999999999998</v>
          </cell>
          <cell r="AD130">
            <v>0.183</v>
          </cell>
          <cell r="AE130">
            <v>0.44700000000000001</v>
          </cell>
        </row>
        <row r="131">
          <cell r="B131" t="str">
            <v>부산서구</v>
          </cell>
          <cell r="C131">
            <v>122</v>
          </cell>
          <cell r="D131" t="str">
            <v>부산</v>
          </cell>
          <cell r="E131" t="str">
            <v>부산</v>
          </cell>
          <cell r="F131">
            <v>28</v>
          </cell>
          <cell r="G131" t="str">
            <v>부산지방법원</v>
          </cell>
          <cell r="H131">
            <v>0.57399999999999995</v>
          </cell>
          <cell r="I131">
            <v>0.67900000000000005</v>
          </cell>
          <cell r="J131">
            <v>0.67300000000000004</v>
          </cell>
          <cell r="K131">
            <v>0.54500000000000004</v>
          </cell>
          <cell r="L131">
            <v>0.59599999999999997</v>
          </cell>
          <cell r="M131">
            <v>0.61199999999999999</v>
          </cell>
          <cell r="N131">
            <v>0.50900000000000001</v>
          </cell>
          <cell r="O131">
            <v>0.53900000000000003</v>
          </cell>
          <cell r="P131">
            <v>0.69699999999999995</v>
          </cell>
          <cell r="Q131">
            <v>0.56899999999999995</v>
          </cell>
          <cell r="R131">
            <v>0.7</v>
          </cell>
          <cell r="S131">
            <v>0.67</v>
          </cell>
          <cell r="T131">
            <v>0.49399999999999999</v>
          </cell>
          <cell r="U131">
            <v>0.47899999999999998</v>
          </cell>
          <cell r="V131">
            <v>0.54200000000000004</v>
          </cell>
          <cell r="W131">
            <v>0.44500000000000001</v>
          </cell>
          <cell r="X131">
            <v>0.54200000000000004</v>
          </cell>
          <cell r="Y131">
            <v>0.66700000000000004</v>
          </cell>
          <cell r="Z131">
            <v>0.52</v>
          </cell>
          <cell r="AA131">
            <v>0.78500000000000003</v>
          </cell>
          <cell r="AB131">
            <v>0.63600000000000001</v>
          </cell>
          <cell r="AC131">
            <v>0.60099999999999998</v>
          </cell>
          <cell r="AD131">
            <v>0.183</v>
          </cell>
          <cell r="AE131">
            <v>0.44700000000000001</v>
          </cell>
        </row>
        <row r="132">
          <cell r="B132" t="str">
            <v>부산사하구</v>
          </cell>
          <cell r="C132">
            <v>123</v>
          </cell>
          <cell r="D132" t="str">
            <v>부산</v>
          </cell>
          <cell r="E132" t="str">
            <v>부산</v>
          </cell>
          <cell r="F132">
            <v>28</v>
          </cell>
          <cell r="G132" t="str">
            <v>부산지방법원</v>
          </cell>
          <cell r="H132">
            <v>0.57399999999999995</v>
          </cell>
          <cell r="I132">
            <v>0.67900000000000005</v>
          </cell>
          <cell r="J132">
            <v>0.67300000000000004</v>
          </cell>
          <cell r="K132">
            <v>0.54500000000000004</v>
          </cell>
          <cell r="L132">
            <v>0.59599999999999997</v>
          </cell>
          <cell r="M132">
            <v>0.61199999999999999</v>
          </cell>
          <cell r="N132">
            <v>0.50900000000000001</v>
          </cell>
          <cell r="O132">
            <v>0.53900000000000003</v>
          </cell>
          <cell r="P132">
            <v>0.69699999999999995</v>
          </cell>
          <cell r="Q132">
            <v>0.56899999999999995</v>
          </cell>
          <cell r="R132">
            <v>0.7</v>
          </cell>
          <cell r="S132">
            <v>0.67</v>
          </cell>
          <cell r="T132">
            <v>0.49399999999999999</v>
          </cell>
          <cell r="U132">
            <v>0.47899999999999998</v>
          </cell>
          <cell r="V132">
            <v>0.54200000000000004</v>
          </cell>
          <cell r="W132">
            <v>0.44500000000000001</v>
          </cell>
          <cell r="X132">
            <v>0.54200000000000004</v>
          </cell>
          <cell r="Y132">
            <v>0.66700000000000004</v>
          </cell>
          <cell r="Z132">
            <v>0.52</v>
          </cell>
          <cell r="AA132">
            <v>0.78500000000000003</v>
          </cell>
          <cell r="AB132">
            <v>0.63600000000000001</v>
          </cell>
          <cell r="AC132">
            <v>0.60099999999999998</v>
          </cell>
          <cell r="AD132">
            <v>0.183</v>
          </cell>
          <cell r="AE132">
            <v>0.44700000000000001</v>
          </cell>
        </row>
        <row r="133">
          <cell r="B133" t="str">
            <v>부산영도구</v>
          </cell>
          <cell r="C133">
            <v>124</v>
          </cell>
          <cell r="D133" t="str">
            <v>부산</v>
          </cell>
          <cell r="E133" t="str">
            <v>부산</v>
          </cell>
          <cell r="F133">
            <v>28</v>
          </cell>
          <cell r="G133" t="str">
            <v>부산지방법원</v>
          </cell>
          <cell r="H133">
            <v>0.57399999999999995</v>
          </cell>
          <cell r="I133">
            <v>0.67900000000000005</v>
          </cell>
          <cell r="J133">
            <v>0.67300000000000004</v>
          </cell>
          <cell r="K133">
            <v>0.54500000000000004</v>
          </cell>
          <cell r="L133">
            <v>0.59599999999999997</v>
          </cell>
          <cell r="M133">
            <v>0.61199999999999999</v>
          </cell>
          <cell r="N133">
            <v>0.50900000000000001</v>
          </cell>
          <cell r="O133">
            <v>0.53900000000000003</v>
          </cell>
          <cell r="P133">
            <v>0.69699999999999995</v>
          </cell>
          <cell r="Q133">
            <v>0.56899999999999995</v>
          </cell>
          <cell r="R133">
            <v>0.7</v>
          </cell>
          <cell r="S133">
            <v>0.67</v>
          </cell>
          <cell r="T133">
            <v>0.49399999999999999</v>
          </cell>
          <cell r="U133">
            <v>0.47899999999999998</v>
          </cell>
          <cell r="V133">
            <v>0.54200000000000004</v>
          </cell>
          <cell r="W133">
            <v>0.44500000000000001</v>
          </cell>
          <cell r="X133">
            <v>0.54200000000000004</v>
          </cell>
          <cell r="Y133">
            <v>0.66700000000000004</v>
          </cell>
          <cell r="Z133">
            <v>0.52</v>
          </cell>
          <cell r="AA133">
            <v>0.78500000000000003</v>
          </cell>
          <cell r="AB133">
            <v>0.63600000000000001</v>
          </cell>
          <cell r="AC133">
            <v>0.60099999999999998</v>
          </cell>
          <cell r="AD133">
            <v>0.183</v>
          </cell>
          <cell r="AE133">
            <v>0.44700000000000001</v>
          </cell>
        </row>
        <row r="134">
          <cell r="B134" t="str">
            <v>부산동래구</v>
          </cell>
          <cell r="C134">
            <v>125</v>
          </cell>
          <cell r="D134" t="str">
            <v>부산</v>
          </cell>
          <cell r="E134" t="str">
            <v>부산</v>
          </cell>
          <cell r="F134">
            <v>29</v>
          </cell>
          <cell r="G134" t="str">
            <v>부산동부지원</v>
          </cell>
          <cell r="H134">
            <v>0.57399999999999995</v>
          </cell>
          <cell r="I134">
            <v>0.67900000000000005</v>
          </cell>
          <cell r="J134">
            <v>0.67300000000000004</v>
          </cell>
          <cell r="K134">
            <v>0.54500000000000004</v>
          </cell>
          <cell r="L134">
            <v>0.59599999999999997</v>
          </cell>
          <cell r="M134">
            <v>0.61199999999999999</v>
          </cell>
          <cell r="N134">
            <v>0.50900000000000001</v>
          </cell>
          <cell r="O134">
            <v>0.53900000000000003</v>
          </cell>
          <cell r="P134">
            <v>0.69699999999999995</v>
          </cell>
          <cell r="Q134">
            <v>0.56899999999999995</v>
          </cell>
          <cell r="R134">
            <v>0.7</v>
          </cell>
          <cell r="S134">
            <v>0.67</v>
          </cell>
          <cell r="T134">
            <v>0.49399999999999999</v>
          </cell>
          <cell r="U134">
            <v>0.47899999999999998</v>
          </cell>
          <cell r="V134">
            <v>0.54200000000000004</v>
          </cell>
          <cell r="W134">
            <v>0.44500000000000001</v>
          </cell>
          <cell r="X134">
            <v>0.54200000000000004</v>
          </cell>
          <cell r="Y134">
            <v>0.66700000000000004</v>
          </cell>
          <cell r="Z134">
            <v>0.52</v>
          </cell>
          <cell r="AA134">
            <v>0.78500000000000003</v>
          </cell>
          <cell r="AB134">
            <v>0.63600000000000001</v>
          </cell>
          <cell r="AC134">
            <v>0.60099999999999998</v>
          </cell>
          <cell r="AD134">
            <v>0.183</v>
          </cell>
          <cell r="AE134">
            <v>0.44700000000000001</v>
          </cell>
        </row>
        <row r="135">
          <cell r="B135" t="str">
            <v>부산남구</v>
          </cell>
          <cell r="C135">
            <v>126</v>
          </cell>
          <cell r="D135" t="str">
            <v>부산</v>
          </cell>
          <cell r="E135" t="str">
            <v>부산</v>
          </cell>
          <cell r="F135">
            <v>28</v>
          </cell>
          <cell r="G135" t="str">
            <v>부산지방법원</v>
          </cell>
          <cell r="H135">
            <v>0.57399999999999995</v>
          </cell>
          <cell r="I135">
            <v>0.67900000000000005</v>
          </cell>
          <cell r="J135">
            <v>0.67300000000000004</v>
          </cell>
          <cell r="K135">
            <v>0.54500000000000004</v>
          </cell>
          <cell r="L135">
            <v>0.59599999999999997</v>
          </cell>
          <cell r="M135">
            <v>0.61199999999999999</v>
          </cell>
          <cell r="N135">
            <v>0.50900000000000001</v>
          </cell>
          <cell r="O135">
            <v>0.53900000000000003</v>
          </cell>
          <cell r="P135">
            <v>0.69699999999999995</v>
          </cell>
          <cell r="Q135">
            <v>0.56899999999999995</v>
          </cell>
          <cell r="R135">
            <v>0.7</v>
          </cell>
          <cell r="S135">
            <v>0.67</v>
          </cell>
          <cell r="T135">
            <v>0.49399999999999999</v>
          </cell>
          <cell r="U135">
            <v>0.47899999999999998</v>
          </cell>
          <cell r="V135">
            <v>0.54200000000000004</v>
          </cell>
          <cell r="W135">
            <v>0.44500000000000001</v>
          </cell>
          <cell r="X135">
            <v>0.54200000000000004</v>
          </cell>
          <cell r="Y135">
            <v>0.66700000000000004</v>
          </cell>
          <cell r="Z135">
            <v>0.52</v>
          </cell>
          <cell r="AA135">
            <v>0.78500000000000003</v>
          </cell>
          <cell r="AB135">
            <v>0.63600000000000001</v>
          </cell>
          <cell r="AC135">
            <v>0.60099999999999998</v>
          </cell>
          <cell r="AD135">
            <v>0.183</v>
          </cell>
          <cell r="AE135">
            <v>0.44700000000000001</v>
          </cell>
        </row>
        <row r="136">
          <cell r="B136" t="str">
            <v>부산금정구</v>
          </cell>
          <cell r="C136">
            <v>127</v>
          </cell>
          <cell r="D136" t="str">
            <v>부산</v>
          </cell>
          <cell r="E136" t="str">
            <v>부산</v>
          </cell>
          <cell r="F136">
            <v>29</v>
          </cell>
          <cell r="G136" t="str">
            <v>부산동부지원</v>
          </cell>
          <cell r="H136">
            <v>0.57399999999999995</v>
          </cell>
          <cell r="I136">
            <v>0.67900000000000005</v>
          </cell>
          <cell r="J136">
            <v>0.67300000000000004</v>
          </cell>
          <cell r="K136">
            <v>0.54500000000000004</v>
          </cell>
          <cell r="L136">
            <v>0.59599999999999997</v>
          </cell>
          <cell r="M136">
            <v>0.61199999999999999</v>
          </cell>
          <cell r="N136">
            <v>0.50900000000000001</v>
          </cell>
          <cell r="O136">
            <v>0.53900000000000003</v>
          </cell>
          <cell r="P136">
            <v>0.69699999999999995</v>
          </cell>
          <cell r="Q136">
            <v>0.56899999999999995</v>
          </cell>
          <cell r="R136">
            <v>0.7</v>
          </cell>
          <cell r="S136">
            <v>0.67</v>
          </cell>
          <cell r="T136">
            <v>0.49399999999999999</v>
          </cell>
          <cell r="U136">
            <v>0.47899999999999998</v>
          </cell>
          <cell r="V136">
            <v>0.54200000000000004</v>
          </cell>
          <cell r="W136">
            <v>0.44500000000000001</v>
          </cell>
          <cell r="X136">
            <v>0.54200000000000004</v>
          </cell>
          <cell r="Y136">
            <v>0.66700000000000004</v>
          </cell>
          <cell r="Z136">
            <v>0.52</v>
          </cell>
          <cell r="AA136">
            <v>0.78500000000000003</v>
          </cell>
          <cell r="AB136">
            <v>0.63600000000000001</v>
          </cell>
          <cell r="AC136">
            <v>0.60099999999999998</v>
          </cell>
          <cell r="AD136">
            <v>0.183</v>
          </cell>
          <cell r="AE136">
            <v>0.44700000000000001</v>
          </cell>
        </row>
        <row r="137">
          <cell r="B137" t="str">
            <v>부산연제구</v>
          </cell>
          <cell r="C137">
            <v>128</v>
          </cell>
          <cell r="D137" t="str">
            <v>부산</v>
          </cell>
          <cell r="E137" t="str">
            <v>부산</v>
          </cell>
          <cell r="F137">
            <v>29</v>
          </cell>
          <cell r="G137" t="str">
            <v>부산동부지원</v>
          </cell>
          <cell r="H137">
            <v>0.57399999999999995</v>
          </cell>
          <cell r="I137">
            <v>0.67900000000000005</v>
          </cell>
          <cell r="J137">
            <v>0.67300000000000004</v>
          </cell>
          <cell r="K137">
            <v>0.54500000000000004</v>
          </cell>
          <cell r="L137">
            <v>0.59599999999999997</v>
          </cell>
          <cell r="M137">
            <v>0.61199999999999999</v>
          </cell>
          <cell r="N137">
            <v>0.50900000000000001</v>
          </cell>
          <cell r="O137">
            <v>0.53900000000000003</v>
          </cell>
          <cell r="P137">
            <v>0.69699999999999995</v>
          </cell>
          <cell r="Q137">
            <v>0.56899999999999995</v>
          </cell>
          <cell r="R137">
            <v>0.7</v>
          </cell>
          <cell r="S137">
            <v>0.67</v>
          </cell>
          <cell r="T137">
            <v>0.49399999999999999</v>
          </cell>
          <cell r="U137">
            <v>0.47899999999999998</v>
          </cell>
          <cell r="V137">
            <v>0.54200000000000004</v>
          </cell>
          <cell r="W137">
            <v>0.44500000000000001</v>
          </cell>
          <cell r="X137">
            <v>0.54200000000000004</v>
          </cell>
          <cell r="Y137">
            <v>0.66700000000000004</v>
          </cell>
          <cell r="Z137">
            <v>0.52</v>
          </cell>
          <cell r="AA137">
            <v>0.78500000000000003</v>
          </cell>
          <cell r="AB137">
            <v>0.63600000000000001</v>
          </cell>
          <cell r="AC137">
            <v>0.60099999999999998</v>
          </cell>
          <cell r="AD137">
            <v>0.183</v>
          </cell>
          <cell r="AE137">
            <v>0.44700000000000001</v>
          </cell>
        </row>
        <row r="138">
          <cell r="B138" t="str">
            <v>부산해운대구</v>
          </cell>
          <cell r="C138">
            <v>129</v>
          </cell>
          <cell r="D138" t="str">
            <v>부산</v>
          </cell>
          <cell r="E138" t="str">
            <v>부산</v>
          </cell>
          <cell r="F138">
            <v>29</v>
          </cell>
          <cell r="G138" t="str">
            <v>부산동부지원</v>
          </cell>
          <cell r="H138">
            <v>0.57399999999999995</v>
          </cell>
          <cell r="I138">
            <v>0.67900000000000005</v>
          </cell>
          <cell r="J138">
            <v>0.67300000000000004</v>
          </cell>
          <cell r="K138">
            <v>0.54500000000000004</v>
          </cell>
          <cell r="L138">
            <v>0.59599999999999997</v>
          </cell>
          <cell r="M138">
            <v>0.61199999999999999</v>
          </cell>
          <cell r="N138">
            <v>0.50900000000000001</v>
          </cell>
          <cell r="O138">
            <v>0.53900000000000003</v>
          </cell>
          <cell r="P138">
            <v>0.69699999999999995</v>
          </cell>
          <cell r="Q138">
            <v>0.56899999999999995</v>
          </cell>
          <cell r="R138">
            <v>0.7</v>
          </cell>
          <cell r="S138">
            <v>0.67</v>
          </cell>
          <cell r="T138">
            <v>0.49399999999999999</v>
          </cell>
          <cell r="U138">
            <v>0.47899999999999998</v>
          </cell>
          <cell r="V138">
            <v>0.54200000000000004</v>
          </cell>
          <cell r="W138">
            <v>0.44500000000000001</v>
          </cell>
          <cell r="X138">
            <v>0.54200000000000004</v>
          </cell>
          <cell r="Y138">
            <v>0.66700000000000004</v>
          </cell>
          <cell r="Z138">
            <v>0.52</v>
          </cell>
          <cell r="AA138">
            <v>0.78500000000000003</v>
          </cell>
          <cell r="AB138">
            <v>0.63600000000000001</v>
          </cell>
          <cell r="AC138">
            <v>0.60099999999999998</v>
          </cell>
          <cell r="AD138">
            <v>0.183</v>
          </cell>
          <cell r="AE138">
            <v>0.44700000000000001</v>
          </cell>
        </row>
        <row r="139">
          <cell r="B139" t="str">
            <v>부산수영구</v>
          </cell>
          <cell r="C139">
            <v>130</v>
          </cell>
          <cell r="D139" t="str">
            <v>부산</v>
          </cell>
          <cell r="E139" t="str">
            <v>부산</v>
          </cell>
          <cell r="F139">
            <v>28</v>
          </cell>
          <cell r="G139" t="str">
            <v>부산지방법원</v>
          </cell>
          <cell r="H139">
            <v>0.57399999999999995</v>
          </cell>
          <cell r="I139">
            <v>0.67900000000000005</v>
          </cell>
          <cell r="J139">
            <v>0.67300000000000004</v>
          </cell>
          <cell r="K139">
            <v>0.54500000000000004</v>
          </cell>
          <cell r="L139">
            <v>0.59599999999999997</v>
          </cell>
          <cell r="M139">
            <v>0.61199999999999999</v>
          </cell>
          <cell r="N139">
            <v>0.50900000000000001</v>
          </cell>
          <cell r="O139">
            <v>0.53900000000000003</v>
          </cell>
          <cell r="P139">
            <v>0.69699999999999995</v>
          </cell>
          <cell r="Q139">
            <v>0.56899999999999995</v>
          </cell>
          <cell r="R139">
            <v>0.7</v>
          </cell>
          <cell r="S139">
            <v>0.67</v>
          </cell>
          <cell r="T139">
            <v>0.49399999999999999</v>
          </cell>
          <cell r="U139">
            <v>0.47899999999999998</v>
          </cell>
          <cell r="V139">
            <v>0.54200000000000004</v>
          </cell>
          <cell r="W139">
            <v>0.44500000000000001</v>
          </cell>
          <cell r="X139">
            <v>0.54200000000000004</v>
          </cell>
          <cell r="Y139">
            <v>0.66700000000000004</v>
          </cell>
          <cell r="Z139">
            <v>0.52</v>
          </cell>
          <cell r="AA139">
            <v>0.78500000000000003</v>
          </cell>
          <cell r="AB139">
            <v>0.63600000000000001</v>
          </cell>
          <cell r="AC139">
            <v>0.60099999999999998</v>
          </cell>
          <cell r="AD139">
            <v>0.183</v>
          </cell>
          <cell r="AE139">
            <v>0.44700000000000001</v>
          </cell>
        </row>
        <row r="140">
          <cell r="B140" t="str">
            <v>부산진구</v>
          </cell>
          <cell r="C140">
            <v>131</v>
          </cell>
          <cell r="D140" t="str">
            <v>부산</v>
          </cell>
          <cell r="E140" t="str">
            <v>부산</v>
          </cell>
          <cell r="F140">
            <v>28</v>
          </cell>
          <cell r="G140" t="str">
            <v>부산지방법원</v>
          </cell>
          <cell r="H140">
            <v>0.57399999999999995</v>
          </cell>
          <cell r="I140">
            <v>0.67900000000000005</v>
          </cell>
          <cell r="J140">
            <v>0.67300000000000004</v>
          </cell>
          <cell r="K140">
            <v>0.54500000000000004</v>
          </cell>
          <cell r="L140">
            <v>0.59599999999999997</v>
          </cell>
          <cell r="M140">
            <v>0.61199999999999999</v>
          </cell>
          <cell r="N140">
            <v>0.50900000000000001</v>
          </cell>
          <cell r="O140">
            <v>0.53900000000000003</v>
          </cell>
          <cell r="P140">
            <v>0.69699999999999995</v>
          </cell>
          <cell r="Q140">
            <v>0.56899999999999995</v>
          </cell>
          <cell r="R140">
            <v>0.7</v>
          </cell>
          <cell r="S140">
            <v>0.67</v>
          </cell>
          <cell r="T140">
            <v>0.49399999999999999</v>
          </cell>
          <cell r="U140">
            <v>0.47899999999999998</v>
          </cell>
          <cell r="V140">
            <v>0.54200000000000004</v>
          </cell>
          <cell r="W140">
            <v>0.44500000000000001</v>
          </cell>
          <cell r="X140">
            <v>0.54200000000000004</v>
          </cell>
          <cell r="Y140">
            <v>0.66700000000000004</v>
          </cell>
          <cell r="Z140">
            <v>0.52</v>
          </cell>
          <cell r="AA140">
            <v>0.78500000000000003</v>
          </cell>
          <cell r="AB140">
            <v>0.63600000000000001</v>
          </cell>
          <cell r="AC140">
            <v>0.60099999999999998</v>
          </cell>
          <cell r="AD140">
            <v>0.183</v>
          </cell>
          <cell r="AE140">
            <v>0.44700000000000001</v>
          </cell>
        </row>
        <row r="141">
          <cell r="B141" t="str">
            <v>부산북구</v>
          </cell>
          <cell r="C141">
            <v>132</v>
          </cell>
          <cell r="D141" t="str">
            <v>부산</v>
          </cell>
          <cell r="E141" t="str">
            <v>부산</v>
          </cell>
          <cell r="F141">
            <v>28</v>
          </cell>
          <cell r="G141" t="str">
            <v>부산지방법원</v>
          </cell>
          <cell r="H141">
            <v>0.57399999999999995</v>
          </cell>
          <cell r="I141">
            <v>0.67900000000000005</v>
          </cell>
          <cell r="J141">
            <v>0.67300000000000004</v>
          </cell>
          <cell r="K141">
            <v>0.54500000000000004</v>
          </cell>
          <cell r="L141">
            <v>0.59599999999999997</v>
          </cell>
          <cell r="M141">
            <v>0.61199999999999999</v>
          </cell>
          <cell r="N141">
            <v>0.50900000000000001</v>
          </cell>
          <cell r="O141">
            <v>0.53900000000000003</v>
          </cell>
          <cell r="P141">
            <v>0.69699999999999995</v>
          </cell>
          <cell r="Q141">
            <v>0.56899999999999995</v>
          </cell>
          <cell r="R141">
            <v>0.7</v>
          </cell>
          <cell r="S141">
            <v>0.67</v>
          </cell>
          <cell r="T141">
            <v>0.49399999999999999</v>
          </cell>
          <cell r="U141">
            <v>0.47899999999999998</v>
          </cell>
          <cell r="V141">
            <v>0.54200000000000004</v>
          </cell>
          <cell r="W141">
            <v>0.44500000000000001</v>
          </cell>
          <cell r="X141">
            <v>0.54200000000000004</v>
          </cell>
          <cell r="Y141">
            <v>0.66700000000000004</v>
          </cell>
          <cell r="Z141">
            <v>0.52</v>
          </cell>
          <cell r="AA141">
            <v>0.78500000000000003</v>
          </cell>
          <cell r="AB141">
            <v>0.63600000000000001</v>
          </cell>
          <cell r="AC141">
            <v>0.60099999999999998</v>
          </cell>
          <cell r="AD141">
            <v>0.183</v>
          </cell>
          <cell r="AE141">
            <v>0.44700000000000001</v>
          </cell>
        </row>
        <row r="142">
          <cell r="B142" t="str">
            <v>부산사상구</v>
          </cell>
          <cell r="C142">
            <v>133</v>
          </cell>
          <cell r="D142" t="str">
            <v>부산</v>
          </cell>
          <cell r="E142" t="str">
            <v>부산</v>
          </cell>
          <cell r="F142">
            <v>28</v>
          </cell>
          <cell r="G142" t="str">
            <v>부산지방법원</v>
          </cell>
          <cell r="H142">
            <v>0.57399999999999995</v>
          </cell>
          <cell r="I142">
            <v>0.67900000000000005</v>
          </cell>
          <cell r="J142">
            <v>0.67300000000000004</v>
          </cell>
          <cell r="K142">
            <v>0.54500000000000004</v>
          </cell>
          <cell r="L142">
            <v>0.59599999999999997</v>
          </cell>
          <cell r="M142">
            <v>0.61199999999999999</v>
          </cell>
          <cell r="N142">
            <v>0.50900000000000001</v>
          </cell>
          <cell r="O142">
            <v>0.53900000000000003</v>
          </cell>
          <cell r="P142">
            <v>0.69699999999999995</v>
          </cell>
          <cell r="Q142">
            <v>0.56899999999999995</v>
          </cell>
          <cell r="R142">
            <v>0.7</v>
          </cell>
          <cell r="S142">
            <v>0.67</v>
          </cell>
          <cell r="T142">
            <v>0.49399999999999999</v>
          </cell>
          <cell r="U142">
            <v>0.47899999999999998</v>
          </cell>
          <cell r="V142">
            <v>0.54200000000000004</v>
          </cell>
          <cell r="W142">
            <v>0.44500000000000001</v>
          </cell>
          <cell r="X142">
            <v>0.54200000000000004</v>
          </cell>
          <cell r="Y142">
            <v>0.66700000000000004</v>
          </cell>
          <cell r="Z142">
            <v>0.52</v>
          </cell>
          <cell r="AA142">
            <v>0.78500000000000003</v>
          </cell>
          <cell r="AB142">
            <v>0.63600000000000001</v>
          </cell>
          <cell r="AC142">
            <v>0.60099999999999998</v>
          </cell>
          <cell r="AD142">
            <v>0.183</v>
          </cell>
          <cell r="AE142">
            <v>0.44700000000000001</v>
          </cell>
        </row>
        <row r="143">
          <cell r="B143" t="str">
            <v>부산강서구</v>
          </cell>
          <cell r="C143">
            <v>134</v>
          </cell>
          <cell r="D143" t="str">
            <v>부산</v>
          </cell>
          <cell r="E143" t="str">
            <v>부산</v>
          </cell>
          <cell r="F143">
            <v>28</v>
          </cell>
          <cell r="G143" t="str">
            <v>부산지방법원</v>
          </cell>
          <cell r="H143">
            <v>0.57399999999999995</v>
          </cell>
          <cell r="I143">
            <v>0.67900000000000005</v>
          </cell>
          <cell r="J143">
            <v>0.67300000000000004</v>
          </cell>
          <cell r="K143">
            <v>0.54500000000000004</v>
          </cell>
          <cell r="L143">
            <v>0.59599999999999997</v>
          </cell>
          <cell r="M143">
            <v>0.61199999999999999</v>
          </cell>
          <cell r="N143">
            <v>0.50900000000000001</v>
          </cell>
          <cell r="O143">
            <v>0.53900000000000003</v>
          </cell>
          <cell r="P143">
            <v>0.69699999999999995</v>
          </cell>
          <cell r="Q143">
            <v>0.56899999999999995</v>
          </cell>
          <cell r="R143">
            <v>0.7</v>
          </cell>
          <cell r="S143">
            <v>0.67</v>
          </cell>
          <cell r="T143">
            <v>0.49399999999999999</v>
          </cell>
          <cell r="U143">
            <v>0.47899999999999998</v>
          </cell>
          <cell r="V143">
            <v>0.54200000000000004</v>
          </cell>
          <cell r="W143">
            <v>0.44500000000000001</v>
          </cell>
          <cell r="X143">
            <v>0.54200000000000004</v>
          </cell>
          <cell r="Y143">
            <v>0.66700000000000004</v>
          </cell>
          <cell r="Z143">
            <v>0.52</v>
          </cell>
          <cell r="AA143">
            <v>0.78500000000000003</v>
          </cell>
          <cell r="AB143">
            <v>0.63600000000000001</v>
          </cell>
          <cell r="AC143">
            <v>0.60099999999999998</v>
          </cell>
          <cell r="AD143">
            <v>0.183</v>
          </cell>
          <cell r="AE143">
            <v>0.44700000000000001</v>
          </cell>
        </row>
        <row r="144">
          <cell r="B144" t="str">
            <v>기장군</v>
          </cell>
          <cell r="C144">
            <v>135</v>
          </cell>
          <cell r="D144" t="str">
            <v>부산</v>
          </cell>
          <cell r="E144" t="str">
            <v>부산</v>
          </cell>
          <cell r="F144">
            <v>29</v>
          </cell>
          <cell r="G144" t="str">
            <v>부산동부지원</v>
          </cell>
          <cell r="H144">
            <v>0.57399999999999995</v>
          </cell>
          <cell r="I144">
            <v>0.67900000000000005</v>
          </cell>
          <cell r="J144">
            <v>0.67300000000000004</v>
          </cell>
          <cell r="K144">
            <v>0.54500000000000004</v>
          </cell>
          <cell r="L144">
            <v>0.59599999999999997</v>
          </cell>
          <cell r="M144">
            <v>0.61199999999999999</v>
          </cell>
          <cell r="N144">
            <v>0.50900000000000001</v>
          </cell>
          <cell r="O144">
            <v>0.53900000000000003</v>
          </cell>
          <cell r="P144">
            <v>0.69699999999999995</v>
          </cell>
          <cell r="Q144">
            <v>0.56899999999999995</v>
          </cell>
          <cell r="R144">
            <v>0.7</v>
          </cell>
          <cell r="S144">
            <v>0.67</v>
          </cell>
          <cell r="T144">
            <v>0.49399999999999999</v>
          </cell>
          <cell r="U144">
            <v>0.47899999999999998</v>
          </cell>
          <cell r="V144">
            <v>0.54200000000000004</v>
          </cell>
          <cell r="W144">
            <v>0.44500000000000001</v>
          </cell>
          <cell r="X144">
            <v>0.54200000000000004</v>
          </cell>
          <cell r="Y144">
            <v>0.66700000000000004</v>
          </cell>
          <cell r="Z144">
            <v>0.52</v>
          </cell>
          <cell r="AA144">
            <v>0.78500000000000003</v>
          </cell>
          <cell r="AB144">
            <v>0.63600000000000001</v>
          </cell>
          <cell r="AC144">
            <v>0.60099999999999998</v>
          </cell>
          <cell r="AD144">
            <v>0.183</v>
          </cell>
          <cell r="AE144">
            <v>0.44700000000000001</v>
          </cell>
        </row>
        <row r="145">
          <cell r="B145" t="str">
            <v>중구</v>
          </cell>
          <cell r="C145">
            <v>136</v>
          </cell>
          <cell r="D145" t="str">
            <v>서울</v>
          </cell>
          <cell r="E145" t="str">
            <v>서울</v>
          </cell>
          <cell r="F145">
            <v>1</v>
          </cell>
          <cell r="G145" t="str">
            <v>서울본원</v>
          </cell>
          <cell r="H145">
            <v>0.622</v>
          </cell>
          <cell r="I145">
            <v>0.66600000000000004</v>
          </cell>
          <cell r="J145">
            <v>0.873</v>
          </cell>
          <cell r="K145">
            <v>0.48099999999999998</v>
          </cell>
          <cell r="L145">
            <v>0.72799999999999998</v>
          </cell>
          <cell r="M145">
            <v>0.68300000000000005</v>
          </cell>
          <cell r="N145">
            <v>0.46800000000000003</v>
          </cell>
          <cell r="O145">
            <v>0.53900000000000003</v>
          </cell>
          <cell r="P145">
            <v>0.68200000000000005</v>
          </cell>
          <cell r="Q145">
            <v>0.39</v>
          </cell>
          <cell r="R145">
            <v>0.58599999999999997</v>
          </cell>
          <cell r="S145">
            <v>0.66900000000000004</v>
          </cell>
          <cell r="T145">
            <v>0.56299999999999994</v>
          </cell>
          <cell r="U145">
            <v>0.59499999999999997</v>
          </cell>
          <cell r="V145">
            <v>0.52</v>
          </cell>
          <cell r="W145">
            <v>0.57499999999999996</v>
          </cell>
          <cell r="X145">
            <v>0.80700000000000005</v>
          </cell>
          <cell r="Y145">
            <v>0.66700000000000004</v>
          </cell>
          <cell r="Z145">
            <v>0.52</v>
          </cell>
          <cell r="AA145">
            <v>0.51300000000000001</v>
          </cell>
          <cell r="AB145">
            <v>0.73</v>
          </cell>
          <cell r="AC145">
            <v>0.70099999999999996</v>
          </cell>
          <cell r="AD145">
            <v>0.224</v>
          </cell>
          <cell r="AE145">
            <v>0.44700000000000001</v>
          </cell>
        </row>
        <row r="146">
          <cell r="B146" t="str">
            <v>종로구</v>
          </cell>
          <cell r="C146">
            <v>137</v>
          </cell>
          <cell r="D146" t="str">
            <v>서울</v>
          </cell>
          <cell r="E146" t="str">
            <v>서울</v>
          </cell>
          <cell r="F146">
            <v>1</v>
          </cell>
          <cell r="G146" t="str">
            <v>서울본원</v>
          </cell>
          <cell r="H146">
            <v>0.622</v>
          </cell>
          <cell r="I146">
            <v>0.66600000000000004</v>
          </cell>
          <cell r="J146">
            <v>0.873</v>
          </cell>
          <cell r="K146">
            <v>0.48099999999999998</v>
          </cell>
          <cell r="L146">
            <v>0.72799999999999998</v>
          </cell>
          <cell r="M146">
            <v>0.68300000000000005</v>
          </cell>
          <cell r="N146">
            <v>0.46800000000000003</v>
          </cell>
          <cell r="O146">
            <v>0.53900000000000003</v>
          </cell>
          <cell r="P146">
            <v>0.68200000000000005</v>
          </cell>
          <cell r="Q146">
            <v>0.39</v>
          </cell>
          <cell r="R146">
            <v>0.58599999999999997</v>
          </cell>
          <cell r="S146">
            <v>0.66900000000000004</v>
          </cell>
          <cell r="T146">
            <v>0.56299999999999994</v>
          </cell>
          <cell r="U146">
            <v>0.59499999999999997</v>
          </cell>
          <cell r="V146">
            <v>0.52</v>
          </cell>
          <cell r="W146">
            <v>0.57499999999999996</v>
          </cell>
          <cell r="X146">
            <v>0.80700000000000005</v>
          </cell>
          <cell r="Y146">
            <v>0.66700000000000004</v>
          </cell>
          <cell r="Z146">
            <v>0.52</v>
          </cell>
          <cell r="AA146">
            <v>0.51300000000000001</v>
          </cell>
          <cell r="AB146">
            <v>0.73</v>
          </cell>
          <cell r="AC146">
            <v>0.70099999999999996</v>
          </cell>
          <cell r="AD146">
            <v>0.224</v>
          </cell>
          <cell r="AE146">
            <v>0.44700000000000001</v>
          </cell>
        </row>
        <row r="147">
          <cell r="B147" t="str">
            <v>서대문구</v>
          </cell>
          <cell r="C147">
            <v>138</v>
          </cell>
          <cell r="D147" t="str">
            <v>서울</v>
          </cell>
          <cell r="E147" t="str">
            <v>서울</v>
          </cell>
          <cell r="F147">
            <v>3</v>
          </cell>
          <cell r="G147" t="str">
            <v>서부지원</v>
          </cell>
          <cell r="H147">
            <v>0.622</v>
          </cell>
          <cell r="I147">
            <v>0.66600000000000004</v>
          </cell>
          <cell r="J147">
            <v>0.873</v>
          </cell>
          <cell r="K147">
            <v>0.48099999999999998</v>
          </cell>
          <cell r="L147">
            <v>0.72799999999999998</v>
          </cell>
          <cell r="M147">
            <v>0.68300000000000005</v>
          </cell>
          <cell r="N147">
            <v>0.46800000000000003</v>
          </cell>
          <cell r="O147">
            <v>0.53900000000000003</v>
          </cell>
          <cell r="P147">
            <v>0.68200000000000005</v>
          </cell>
          <cell r="Q147">
            <v>0.39</v>
          </cell>
          <cell r="R147">
            <v>0.58599999999999997</v>
          </cell>
          <cell r="S147">
            <v>0.66900000000000004</v>
          </cell>
          <cell r="T147">
            <v>0.56299999999999994</v>
          </cell>
          <cell r="U147">
            <v>0.59499999999999997</v>
          </cell>
          <cell r="V147">
            <v>0.52</v>
          </cell>
          <cell r="W147">
            <v>0.57499999999999996</v>
          </cell>
          <cell r="X147">
            <v>0.80700000000000005</v>
          </cell>
          <cell r="Y147">
            <v>0.66700000000000004</v>
          </cell>
          <cell r="Z147">
            <v>0.52</v>
          </cell>
          <cell r="AA147">
            <v>0.51300000000000001</v>
          </cell>
          <cell r="AB147">
            <v>0.73</v>
          </cell>
          <cell r="AC147">
            <v>0.70099999999999996</v>
          </cell>
          <cell r="AD147">
            <v>0.224</v>
          </cell>
          <cell r="AE147">
            <v>0.44700000000000001</v>
          </cell>
        </row>
        <row r="148">
          <cell r="B148" t="str">
            <v>마포구</v>
          </cell>
          <cell r="C148">
            <v>139</v>
          </cell>
          <cell r="D148" t="str">
            <v>서울</v>
          </cell>
          <cell r="E148" t="str">
            <v>서울</v>
          </cell>
          <cell r="F148">
            <v>3</v>
          </cell>
          <cell r="G148" t="str">
            <v>서부지원</v>
          </cell>
          <cell r="H148">
            <v>0.622</v>
          </cell>
          <cell r="I148">
            <v>0.66600000000000004</v>
          </cell>
          <cell r="J148">
            <v>0.873</v>
          </cell>
          <cell r="K148">
            <v>0.48099999999999998</v>
          </cell>
          <cell r="L148">
            <v>0.72799999999999998</v>
          </cell>
          <cell r="M148">
            <v>0.68300000000000005</v>
          </cell>
          <cell r="N148">
            <v>0.46800000000000003</v>
          </cell>
          <cell r="O148">
            <v>0.53900000000000003</v>
          </cell>
          <cell r="P148">
            <v>0.68200000000000005</v>
          </cell>
          <cell r="Q148">
            <v>0.39</v>
          </cell>
          <cell r="R148">
            <v>0.58599999999999997</v>
          </cell>
          <cell r="S148">
            <v>0.66900000000000004</v>
          </cell>
          <cell r="T148">
            <v>0.56299999999999994</v>
          </cell>
          <cell r="U148">
            <v>0.59499999999999997</v>
          </cell>
          <cell r="V148">
            <v>0.52</v>
          </cell>
          <cell r="W148">
            <v>0.57499999999999996</v>
          </cell>
          <cell r="X148">
            <v>0.80700000000000005</v>
          </cell>
          <cell r="Y148">
            <v>0.66700000000000004</v>
          </cell>
          <cell r="Z148">
            <v>0.52</v>
          </cell>
          <cell r="AA148">
            <v>0.51300000000000001</v>
          </cell>
          <cell r="AB148">
            <v>0.73</v>
          </cell>
          <cell r="AC148">
            <v>0.70099999999999996</v>
          </cell>
          <cell r="AD148">
            <v>0.224</v>
          </cell>
          <cell r="AE148">
            <v>0.44700000000000001</v>
          </cell>
        </row>
        <row r="149">
          <cell r="B149" t="str">
            <v>은평구</v>
          </cell>
          <cell r="C149">
            <v>140</v>
          </cell>
          <cell r="D149" t="str">
            <v>서울</v>
          </cell>
          <cell r="E149" t="str">
            <v>서울</v>
          </cell>
          <cell r="F149">
            <v>3</v>
          </cell>
          <cell r="G149" t="str">
            <v>서부지원</v>
          </cell>
          <cell r="H149">
            <v>0.622</v>
          </cell>
          <cell r="I149">
            <v>0.66600000000000004</v>
          </cell>
          <cell r="J149">
            <v>0.873</v>
          </cell>
          <cell r="K149">
            <v>0.48099999999999998</v>
          </cell>
          <cell r="L149">
            <v>0.72799999999999998</v>
          </cell>
          <cell r="M149">
            <v>0.68300000000000005</v>
          </cell>
          <cell r="N149">
            <v>0.46800000000000003</v>
          </cell>
          <cell r="O149">
            <v>0.53900000000000003</v>
          </cell>
          <cell r="P149">
            <v>0.68200000000000005</v>
          </cell>
          <cell r="Q149">
            <v>0.39</v>
          </cell>
          <cell r="R149">
            <v>0.58599999999999997</v>
          </cell>
          <cell r="S149">
            <v>0.66900000000000004</v>
          </cell>
          <cell r="T149">
            <v>0.56299999999999994</v>
          </cell>
          <cell r="U149">
            <v>0.59499999999999997</v>
          </cell>
          <cell r="V149">
            <v>0.52</v>
          </cell>
          <cell r="W149">
            <v>0.57499999999999996</v>
          </cell>
          <cell r="X149">
            <v>0.80700000000000005</v>
          </cell>
          <cell r="Y149">
            <v>0.66700000000000004</v>
          </cell>
          <cell r="Z149">
            <v>0.52</v>
          </cell>
          <cell r="AA149">
            <v>0.51300000000000001</v>
          </cell>
          <cell r="AB149">
            <v>0.73</v>
          </cell>
          <cell r="AC149">
            <v>0.70099999999999996</v>
          </cell>
          <cell r="AD149">
            <v>0.224</v>
          </cell>
          <cell r="AE149">
            <v>0.44700000000000001</v>
          </cell>
        </row>
        <row r="150">
          <cell r="B150" t="str">
            <v>동대문구</v>
          </cell>
          <cell r="C150">
            <v>141</v>
          </cell>
          <cell r="D150" t="str">
            <v>서울</v>
          </cell>
          <cell r="E150" t="str">
            <v>서울</v>
          </cell>
          <cell r="F150">
            <v>5</v>
          </cell>
          <cell r="G150" t="str">
            <v>북부지원</v>
          </cell>
          <cell r="H150">
            <v>0.622</v>
          </cell>
          <cell r="I150">
            <v>0.66600000000000004</v>
          </cell>
          <cell r="J150">
            <v>0.873</v>
          </cell>
          <cell r="K150">
            <v>0.48099999999999998</v>
          </cell>
          <cell r="L150">
            <v>0.72799999999999998</v>
          </cell>
          <cell r="M150">
            <v>0.68300000000000005</v>
          </cell>
          <cell r="N150">
            <v>0.46800000000000003</v>
          </cell>
          <cell r="O150">
            <v>0.53900000000000003</v>
          </cell>
          <cell r="P150">
            <v>0.68200000000000005</v>
          </cell>
          <cell r="Q150">
            <v>0.39</v>
          </cell>
          <cell r="R150">
            <v>0.58599999999999997</v>
          </cell>
          <cell r="S150">
            <v>0.66900000000000004</v>
          </cell>
          <cell r="T150">
            <v>0.56299999999999994</v>
          </cell>
          <cell r="U150">
            <v>0.59499999999999997</v>
          </cell>
          <cell r="V150">
            <v>0.52</v>
          </cell>
          <cell r="W150">
            <v>0.57499999999999996</v>
          </cell>
          <cell r="X150">
            <v>0.80700000000000005</v>
          </cell>
          <cell r="Y150">
            <v>0.66700000000000004</v>
          </cell>
          <cell r="Z150">
            <v>0.52</v>
          </cell>
          <cell r="AA150">
            <v>0.51300000000000001</v>
          </cell>
          <cell r="AB150">
            <v>0.73</v>
          </cell>
          <cell r="AC150">
            <v>0.70099999999999996</v>
          </cell>
          <cell r="AD150">
            <v>0.224</v>
          </cell>
          <cell r="AE150">
            <v>0.44700000000000001</v>
          </cell>
        </row>
        <row r="151">
          <cell r="B151" t="str">
            <v>중랑구</v>
          </cell>
          <cell r="C151">
            <v>142</v>
          </cell>
          <cell r="D151" t="str">
            <v>서울</v>
          </cell>
          <cell r="E151" t="str">
            <v>서울</v>
          </cell>
          <cell r="F151">
            <v>5</v>
          </cell>
          <cell r="G151" t="str">
            <v>북부지원</v>
          </cell>
          <cell r="H151">
            <v>0.622</v>
          </cell>
          <cell r="I151">
            <v>0.66600000000000004</v>
          </cell>
          <cell r="J151">
            <v>0.873</v>
          </cell>
          <cell r="K151">
            <v>0.48099999999999998</v>
          </cell>
          <cell r="L151">
            <v>0.72799999999999998</v>
          </cell>
          <cell r="M151">
            <v>0.68300000000000005</v>
          </cell>
          <cell r="N151">
            <v>0.46800000000000003</v>
          </cell>
          <cell r="O151">
            <v>0.53900000000000003</v>
          </cell>
          <cell r="P151">
            <v>0.68200000000000005</v>
          </cell>
          <cell r="Q151">
            <v>0.39</v>
          </cell>
          <cell r="R151">
            <v>0.58599999999999997</v>
          </cell>
          <cell r="S151">
            <v>0.66900000000000004</v>
          </cell>
          <cell r="T151">
            <v>0.56299999999999994</v>
          </cell>
          <cell r="U151">
            <v>0.59499999999999997</v>
          </cell>
          <cell r="V151">
            <v>0.52</v>
          </cell>
          <cell r="W151">
            <v>0.57499999999999996</v>
          </cell>
          <cell r="X151">
            <v>0.80700000000000005</v>
          </cell>
          <cell r="Y151">
            <v>0.66700000000000004</v>
          </cell>
          <cell r="Z151">
            <v>0.52</v>
          </cell>
          <cell r="AA151">
            <v>0.51300000000000001</v>
          </cell>
          <cell r="AB151">
            <v>0.73</v>
          </cell>
          <cell r="AC151">
            <v>0.70099999999999996</v>
          </cell>
          <cell r="AD151">
            <v>0.224</v>
          </cell>
          <cell r="AE151">
            <v>0.44700000000000001</v>
          </cell>
        </row>
        <row r="152">
          <cell r="B152" t="str">
            <v>도봉구</v>
          </cell>
          <cell r="C152">
            <v>143</v>
          </cell>
          <cell r="D152" t="str">
            <v>서울</v>
          </cell>
          <cell r="E152" t="str">
            <v>서울</v>
          </cell>
          <cell r="F152">
            <v>5</v>
          </cell>
          <cell r="G152" t="str">
            <v>북부지원</v>
          </cell>
          <cell r="H152">
            <v>0.622</v>
          </cell>
          <cell r="I152">
            <v>0.66600000000000004</v>
          </cell>
          <cell r="J152">
            <v>0.873</v>
          </cell>
          <cell r="K152">
            <v>0.48099999999999998</v>
          </cell>
          <cell r="L152">
            <v>0.72799999999999998</v>
          </cell>
          <cell r="M152">
            <v>0.68300000000000005</v>
          </cell>
          <cell r="N152">
            <v>0.46800000000000003</v>
          </cell>
          <cell r="O152">
            <v>0.53900000000000003</v>
          </cell>
          <cell r="P152">
            <v>0.68200000000000005</v>
          </cell>
          <cell r="Q152">
            <v>0.39</v>
          </cell>
          <cell r="R152">
            <v>0.58599999999999997</v>
          </cell>
          <cell r="S152">
            <v>0.66900000000000004</v>
          </cell>
          <cell r="T152">
            <v>0.56299999999999994</v>
          </cell>
          <cell r="U152">
            <v>0.59499999999999997</v>
          </cell>
          <cell r="V152">
            <v>0.52</v>
          </cell>
          <cell r="W152">
            <v>0.57499999999999996</v>
          </cell>
          <cell r="X152">
            <v>0.80700000000000005</v>
          </cell>
          <cell r="Y152">
            <v>0.66700000000000004</v>
          </cell>
          <cell r="Z152">
            <v>0.52</v>
          </cell>
          <cell r="AA152">
            <v>0.51300000000000001</v>
          </cell>
          <cell r="AB152">
            <v>0.73</v>
          </cell>
          <cell r="AC152">
            <v>0.70099999999999996</v>
          </cell>
          <cell r="AD152">
            <v>0.224</v>
          </cell>
          <cell r="AE152">
            <v>0.44700000000000001</v>
          </cell>
        </row>
        <row r="153">
          <cell r="B153" t="str">
            <v>성동구</v>
          </cell>
          <cell r="C153">
            <v>144</v>
          </cell>
          <cell r="D153" t="str">
            <v>서울</v>
          </cell>
          <cell r="E153" t="str">
            <v>서울</v>
          </cell>
          <cell r="F153">
            <v>2</v>
          </cell>
          <cell r="G153" t="str">
            <v>동부지원</v>
          </cell>
          <cell r="H153">
            <v>0.622</v>
          </cell>
          <cell r="I153">
            <v>0.66600000000000004</v>
          </cell>
          <cell r="J153">
            <v>0.873</v>
          </cell>
          <cell r="K153">
            <v>0.48099999999999998</v>
          </cell>
          <cell r="L153">
            <v>0.72799999999999998</v>
          </cell>
          <cell r="M153">
            <v>0.68300000000000005</v>
          </cell>
          <cell r="N153">
            <v>0.46800000000000003</v>
          </cell>
          <cell r="O153">
            <v>0.53900000000000003</v>
          </cell>
          <cell r="P153">
            <v>0.68200000000000005</v>
          </cell>
          <cell r="Q153">
            <v>0.39</v>
          </cell>
          <cell r="R153">
            <v>0.58599999999999997</v>
          </cell>
          <cell r="S153">
            <v>0.66900000000000004</v>
          </cell>
          <cell r="T153">
            <v>0.56299999999999994</v>
          </cell>
          <cell r="U153">
            <v>0.59499999999999997</v>
          </cell>
          <cell r="V153">
            <v>0.52</v>
          </cell>
          <cell r="W153">
            <v>0.57499999999999996</v>
          </cell>
          <cell r="X153">
            <v>0.80700000000000005</v>
          </cell>
          <cell r="Y153">
            <v>0.66700000000000004</v>
          </cell>
          <cell r="Z153">
            <v>0.52</v>
          </cell>
          <cell r="AA153">
            <v>0.51300000000000001</v>
          </cell>
          <cell r="AB153">
            <v>0.73</v>
          </cell>
          <cell r="AC153">
            <v>0.70099999999999996</v>
          </cell>
          <cell r="AD153">
            <v>0.224</v>
          </cell>
          <cell r="AE153">
            <v>0.44700000000000001</v>
          </cell>
        </row>
        <row r="154">
          <cell r="B154" t="str">
            <v>강동구</v>
          </cell>
          <cell r="C154">
            <v>145</v>
          </cell>
          <cell r="D154" t="str">
            <v>서울</v>
          </cell>
          <cell r="E154" t="str">
            <v>서울</v>
          </cell>
          <cell r="F154">
            <v>2</v>
          </cell>
          <cell r="G154" t="str">
            <v>동부지원</v>
          </cell>
          <cell r="H154">
            <v>0.622</v>
          </cell>
          <cell r="I154">
            <v>0.66600000000000004</v>
          </cell>
          <cell r="J154">
            <v>0.873</v>
          </cell>
          <cell r="K154">
            <v>0.48099999999999998</v>
          </cell>
          <cell r="L154">
            <v>0.72799999999999998</v>
          </cell>
          <cell r="M154">
            <v>0.68300000000000005</v>
          </cell>
          <cell r="N154">
            <v>0.46800000000000003</v>
          </cell>
          <cell r="O154">
            <v>0.53900000000000003</v>
          </cell>
          <cell r="P154">
            <v>0.68200000000000005</v>
          </cell>
          <cell r="Q154">
            <v>0.39</v>
          </cell>
          <cell r="R154">
            <v>0.58599999999999997</v>
          </cell>
          <cell r="S154">
            <v>0.66900000000000004</v>
          </cell>
          <cell r="T154">
            <v>0.56299999999999994</v>
          </cell>
          <cell r="U154">
            <v>0.59499999999999997</v>
          </cell>
          <cell r="V154">
            <v>0.52</v>
          </cell>
          <cell r="W154">
            <v>0.57499999999999996</v>
          </cell>
          <cell r="X154">
            <v>0.80700000000000005</v>
          </cell>
          <cell r="Y154">
            <v>0.66700000000000004</v>
          </cell>
          <cell r="Z154">
            <v>0.52</v>
          </cell>
          <cell r="AA154">
            <v>0.51300000000000001</v>
          </cell>
          <cell r="AB154">
            <v>0.73</v>
          </cell>
          <cell r="AC154">
            <v>0.70099999999999996</v>
          </cell>
          <cell r="AD154">
            <v>0.224</v>
          </cell>
          <cell r="AE154">
            <v>0.44700000000000001</v>
          </cell>
        </row>
        <row r="155">
          <cell r="B155" t="str">
            <v>강남구</v>
          </cell>
          <cell r="C155">
            <v>146</v>
          </cell>
          <cell r="D155" t="str">
            <v>서울</v>
          </cell>
          <cell r="E155" t="str">
            <v>서울</v>
          </cell>
          <cell r="F155">
            <v>1</v>
          </cell>
          <cell r="G155" t="str">
            <v>서울본원</v>
          </cell>
          <cell r="H155">
            <v>0.622</v>
          </cell>
          <cell r="I155">
            <v>0.66600000000000004</v>
          </cell>
          <cell r="J155">
            <v>0.873</v>
          </cell>
          <cell r="K155">
            <v>0.48099999999999998</v>
          </cell>
          <cell r="L155">
            <v>0.72799999999999998</v>
          </cell>
          <cell r="M155">
            <v>0.68300000000000005</v>
          </cell>
          <cell r="N155">
            <v>0.46800000000000003</v>
          </cell>
          <cell r="O155">
            <v>0.53900000000000003</v>
          </cell>
          <cell r="P155">
            <v>0.68200000000000005</v>
          </cell>
          <cell r="Q155">
            <v>0.39</v>
          </cell>
          <cell r="R155">
            <v>0.58599999999999997</v>
          </cell>
          <cell r="S155">
            <v>0.66900000000000004</v>
          </cell>
          <cell r="T155">
            <v>0.56299999999999994</v>
          </cell>
          <cell r="U155">
            <v>0.59499999999999997</v>
          </cell>
          <cell r="V155">
            <v>0.52</v>
          </cell>
          <cell r="W155">
            <v>0.57499999999999996</v>
          </cell>
          <cell r="X155">
            <v>0.80700000000000005</v>
          </cell>
          <cell r="Y155">
            <v>0.66700000000000004</v>
          </cell>
          <cell r="Z155">
            <v>0.52</v>
          </cell>
          <cell r="AA155">
            <v>0.51300000000000001</v>
          </cell>
          <cell r="AB155">
            <v>0.73</v>
          </cell>
          <cell r="AC155">
            <v>0.70099999999999996</v>
          </cell>
          <cell r="AD155">
            <v>0.224</v>
          </cell>
          <cell r="AE155">
            <v>0.44700000000000001</v>
          </cell>
        </row>
        <row r="156">
          <cell r="B156" t="str">
            <v>성북구</v>
          </cell>
          <cell r="C156">
            <v>147</v>
          </cell>
          <cell r="D156" t="str">
            <v>서울</v>
          </cell>
          <cell r="E156" t="str">
            <v>서울</v>
          </cell>
          <cell r="F156">
            <v>1</v>
          </cell>
          <cell r="G156" t="str">
            <v>서울본원</v>
          </cell>
          <cell r="H156">
            <v>0.622</v>
          </cell>
          <cell r="I156">
            <v>0.66600000000000004</v>
          </cell>
          <cell r="J156">
            <v>0.873</v>
          </cell>
          <cell r="K156">
            <v>0.48099999999999998</v>
          </cell>
          <cell r="L156">
            <v>0.72799999999999998</v>
          </cell>
          <cell r="M156">
            <v>0.68300000000000005</v>
          </cell>
          <cell r="N156">
            <v>0.46800000000000003</v>
          </cell>
          <cell r="O156">
            <v>0.53900000000000003</v>
          </cell>
          <cell r="P156">
            <v>0.68200000000000005</v>
          </cell>
          <cell r="Q156">
            <v>0.39</v>
          </cell>
          <cell r="R156">
            <v>0.58599999999999997</v>
          </cell>
          <cell r="S156">
            <v>0.66900000000000004</v>
          </cell>
          <cell r="T156">
            <v>0.56299999999999994</v>
          </cell>
          <cell r="U156">
            <v>0.59499999999999997</v>
          </cell>
          <cell r="V156">
            <v>0.52</v>
          </cell>
          <cell r="W156">
            <v>0.57499999999999996</v>
          </cell>
          <cell r="X156">
            <v>0.80700000000000005</v>
          </cell>
          <cell r="Y156">
            <v>0.66700000000000004</v>
          </cell>
          <cell r="Z156">
            <v>0.52</v>
          </cell>
          <cell r="AA156">
            <v>0.51300000000000001</v>
          </cell>
          <cell r="AB156">
            <v>0.73</v>
          </cell>
          <cell r="AC156">
            <v>0.70099999999999996</v>
          </cell>
          <cell r="AD156">
            <v>0.224</v>
          </cell>
          <cell r="AE156">
            <v>0.44700000000000001</v>
          </cell>
        </row>
        <row r="157">
          <cell r="B157" t="str">
            <v>서초구</v>
          </cell>
          <cell r="C157">
            <v>148</v>
          </cell>
          <cell r="D157" t="str">
            <v>서울</v>
          </cell>
          <cell r="E157" t="str">
            <v>서울</v>
          </cell>
          <cell r="F157">
            <v>1</v>
          </cell>
          <cell r="G157" t="str">
            <v>서울본원</v>
          </cell>
          <cell r="H157">
            <v>0.622</v>
          </cell>
          <cell r="I157">
            <v>0.66600000000000004</v>
          </cell>
          <cell r="J157">
            <v>0.873</v>
          </cell>
          <cell r="K157">
            <v>0.48099999999999998</v>
          </cell>
          <cell r="L157">
            <v>0.72799999999999998</v>
          </cell>
          <cell r="M157">
            <v>0.68300000000000005</v>
          </cell>
          <cell r="N157">
            <v>0.46800000000000003</v>
          </cell>
          <cell r="O157">
            <v>0.53900000000000003</v>
          </cell>
          <cell r="P157">
            <v>0.68200000000000005</v>
          </cell>
          <cell r="Q157">
            <v>0.39</v>
          </cell>
          <cell r="R157">
            <v>0.58599999999999997</v>
          </cell>
          <cell r="S157">
            <v>0.66900000000000004</v>
          </cell>
          <cell r="T157">
            <v>0.56299999999999994</v>
          </cell>
          <cell r="U157">
            <v>0.59499999999999997</v>
          </cell>
          <cell r="V157">
            <v>0.52</v>
          </cell>
          <cell r="W157">
            <v>0.57499999999999996</v>
          </cell>
          <cell r="X157">
            <v>0.80700000000000005</v>
          </cell>
          <cell r="Y157">
            <v>0.66700000000000004</v>
          </cell>
          <cell r="Z157">
            <v>0.52</v>
          </cell>
          <cell r="AA157">
            <v>0.51300000000000001</v>
          </cell>
          <cell r="AB157">
            <v>0.73</v>
          </cell>
          <cell r="AC157">
            <v>0.70099999999999996</v>
          </cell>
          <cell r="AD157">
            <v>0.224</v>
          </cell>
          <cell r="AE157">
            <v>0.44700000000000001</v>
          </cell>
        </row>
        <row r="158">
          <cell r="B158" t="str">
            <v>송파구</v>
          </cell>
          <cell r="C158">
            <v>149</v>
          </cell>
          <cell r="D158" t="str">
            <v>서울</v>
          </cell>
          <cell r="E158" t="str">
            <v>서울</v>
          </cell>
          <cell r="F158">
            <v>2</v>
          </cell>
          <cell r="G158" t="str">
            <v>동부지원</v>
          </cell>
          <cell r="H158">
            <v>0.622</v>
          </cell>
          <cell r="I158">
            <v>0.66600000000000004</v>
          </cell>
          <cell r="J158">
            <v>0.873</v>
          </cell>
          <cell r="K158">
            <v>0.48099999999999998</v>
          </cell>
          <cell r="L158">
            <v>0.72799999999999998</v>
          </cell>
          <cell r="M158">
            <v>0.68300000000000005</v>
          </cell>
          <cell r="N158">
            <v>0.46800000000000003</v>
          </cell>
          <cell r="O158">
            <v>0.53900000000000003</v>
          </cell>
          <cell r="P158">
            <v>0.68200000000000005</v>
          </cell>
          <cell r="Q158">
            <v>0.39</v>
          </cell>
          <cell r="R158">
            <v>0.58599999999999997</v>
          </cell>
          <cell r="S158">
            <v>0.66900000000000004</v>
          </cell>
          <cell r="T158">
            <v>0.56299999999999994</v>
          </cell>
          <cell r="U158">
            <v>0.59499999999999997</v>
          </cell>
          <cell r="V158">
            <v>0.52</v>
          </cell>
          <cell r="W158">
            <v>0.57499999999999996</v>
          </cell>
          <cell r="X158">
            <v>0.80700000000000005</v>
          </cell>
          <cell r="Y158">
            <v>0.66700000000000004</v>
          </cell>
          <cell r="Z158">
            <v>0.52</v>
          </cell>
          <cell r="AA158">
            <v>0.51300000000000001</v>
          </cell>
          <cell r="AB158">
            <v>0.73</v>
          </cell>
          <cell r="AC158">
            <v>0.70099999999999996</v>
          </cell>
          <cell r="AD158">
            <v>0.224</v>
          </cell>
          <cell r="AE158">
            <v>0.44700000000000001</v>
          </cell>
        </row>
        <row r="159">
          <cell r="B159" t="str">
            <v>노원구</v>
          </cell>
          <cell r="C159">
            <v>150</v>
          </cell>
          <cell r="D159" t="str">
            <v>서울</v>
          </cell>
          <cell r="E159" t="str">
            <v>서울</v>
          </cell>
          <cell r="F159">
            <v>5</v>
          </cell>
          <cell r="G159" t="str">
            <v>북부지원</v>
          </cell>
          <cell r="H159">
            <v>0.622</v>
          </cell>
          <cell r="I159">
            <v>0.66600000000000004</v>
          </cell>
          <cell r="J159">
            <v>0.873</v>
          </cell>
          <cell r="K159">
            <v>0.48099999999999998</v>
          </cell>
          <cell r="L159">
            <v>0.72799999999999998</v>
          </cell>
          <cell r="M159">
            <v>0.68300000000000005</v>
          </cell>
          <cell r="N159">
            <v>0.46800000000000003</v>
          </cell>
          <cell r="O159">
            <v>0.53900000000000003</v>
          </cell>
          <cell r="P159">
            <v>0.68200000000000005</v>
          </cell>
          <cell r="Q159">
            <v>0.39</v>
          </cell>
          <cell r="R159">
            <v>0.58599999999999997</v>
          </cell>
          <cell r="S159">
            <v>0.66900000000000004</v>
          </cell>
          <cell r="T159">
            <v>0.56299999999999994</v>
          </cell>
          <cell r="U159">
            <v>0.59499999999999997</v>
          </cell>
          <cell r="V159">
            <v>0.52</v>
          </cell>
          <cell r="W159">
            <v>0.57499999999999996</v>
          </cell>
          <cell r="X159">
            <v>0.80700000000000005</v>
          </cell>
          <cell r="Y159">
            <v>0.66700000000000004</v>
          </cell>
          <cell r="Z159">
            <v>0.52</v>
          </cell>
          <cell r="AA159">
            <v>0.51300000000000001</v>
          </cell>
          <cell r="AB159">
            <v>0.73</v>
          </cell>
          <cell r="AC159">
            <v>0.70099999999999996</v>
          </cell>
          <cell r="AD159">
            <v>0.224</v>
          </cell>
          <cell r="AE159">
            <v>0.44700000000000001</v>
          </cell>
        </row>
        <row r="160">
          <cell r="B160" t="str">
            <v>용산구</v>
          </cell>
          <cell r="C160">
            <v>151</v>
          </cell>
          <cell r="D160" t="str">
            <v>서울</v>
          </cell>
          <cell r="E160" t="str">
            <v>서울</v>
          </cell>
          <cell r="F160">
            <v>1</v>
          </cell>
          <cell r="G160" t="str">
            <v>서울본원</v>
          </cell>
          <cell r="H160">
            <v>0.622</v>
          </cell>
          <cell r="I160">
            <v>0.66600000000000004</v>
          </cell>
          <cell r="J160">
            <v>0.873</v>
          </cell>
          <cell r="K160">
            <v>0.48099999999999998</v>
          </cell>
          <cell r="L160">
            <v>0.72799999999999998</v>
          </cell>
          <cell r="M160">
            <v>0.68300000000000005</v>
          </cell>
          <cell r="N160">
            <v>0.46800000000000003</v>
          </cell>
          <cell r="O160">
            <v>0.53900000000000003</v>
          </cell>
          <cell r="P160">
            <v>0.68200000000000005</v>
          </cell>
          <cell r="Q160">
            <v>0.39</v>
          </cell>
          <cell r="R160">
            <v>0.58599999999999997</v>
          </cell>
          <cell r="S160">
            <v>0.66900000000000004</v>
          </cell>
          <cell r="T160">
            <v>0.56299999999999994</v>
          </cell>
          <cell r="U160">
            <v>0.59499999999999997</v>
          </cell>
          <cell r="V160">
            <v>0.52</v>
          </cell>
          <cell r="W160">
            <v>0.57499999999999996</v>
          </cell>
          <cell r="X160">
            <v>0.80700000000000005</v>
          </cell>
          <cell r="Y160">
            <v>0.66700000000000004</v>
          </cell>
          <cell r="Z160">
            <v>0.52</v>
          </cell>
          <cell r="AA160">
            <v>0.51300000000000001</v>
          </cell>
          <cell r="AB160">
            <v>0.73</v>
          </cell>
          <cell r="AC160">
            <v>0.70099999999999996</v>
          </cell>
          <cell r="AD160">
            <v>0.224</v>
          </cell>
          <cell r="AE160">
            <v>0.44700000000000001</v>
          </cell>
        </row>
        <row r="161">
          <cell r="B161" t="str">
            <v>강북구</v>
          </cell>
          <cell r="C161">
            <v>152</v>
          </cell>
          <cell r="D161" t="str">
            <v>서울</v>
          </cell>
          <cell r="E161" t="str">
            <v>서울</v>
          </cell>
          <cell r="F161">
            <v>5</v>
          </cell>
          <cell r="G161" t="str">
            <v>북부지원</v>
          </cell>
          <cell r="H161">
            <v>0.622</v>
          </cell>
          <cell r="I161">
            <v>0.66600000000000004</v>
          </cell>
          <cell r="J161">
            <v>0.873</v>
          </cell>
          <cell r="K161">
            <v>0.48099999999999998</v>
          </cell>
          <cell r="L161">
            <v>0.72799999999999998</v>
          </cell>
          <cell r="M161">
            <v>0.68300000000000005</v>
          </cell>
          <cell r="N161">
            <v>0.46800000000000003</v>
          </cell>
          <cell r="O161">
            <v>0.53900000000000003</v>
          </cell>
          <cell r="P161">
            <v>0.68200000000000005</v>
          </cell>
          <cell r="Q161">
            <v>0.39</v>
          </cell>
          <cell r="R161">
            <v>0.58599999999999997</v>
          </cell>
          <cell r="S161">
            <v>0.66900000000000004</v>
          </cell>
          <cell r="T161">
            <v>0.56299999999999994</v>
          </cell>
          <cell r="U161">
            <v>0.59499999999999997</v>
          </cell>
          <cell r="V161">
            <v>0.52</v>
          </cell>
          <cell r="W161">
            <v>0.57499999999999996</v>
          </cell>
          <cell r="X161">
            <v>0.80700000000000005</v>
          </cell>
          <cell r="Y161">
            <v>0.66700000000000004</v>
          </cell>
          <cell r="Z161">
            <v>0.52</v>
          </cell>
          <cell r="AA161">
            <v>0.51300000000000001</v>
          </cell>
          <cell r="AB161">
            <v>0.73</v>
          </cell>
          <cell r="AC161">
            <v>0.70099999999999996</v>
          </cell>
          <cell r="AD161">
            <v>0.224</v>
          </cell>
          <cell r="AE161">
            <v>0.44700000000000001</v>
          </cell>
        </row>
        <row r="162">
          <cell r="B162" t="str">
            <v>광진구</v>
          </cell>
          <cell r="C162">
            <v>153</v>
          </cell>
          <cell r="D162" t="str">
            <v>서울</v>
          </cell>
          <cell r="E162" t="str">
            <v>서울</v>
          </cell>
          <cell r="F162">
            <v>2</v>
          </cell>
          <cell r="G162" t="str">
            <v>동부지원</v>
          </cell>
          <cell r="H162">
            <v>0.622</v>
          </cell>
          <cell r="I162">
            <v>0.66600000000000004</v>
          </cell>
          <cell r="J162">
            <v>0.873</v>
          </cell>
          <cell r="K162">
            <v>0.48099999999999998</v>
          </cell>
          <cell r="L162">
            <v>0.72799999999999998</v>
          </cell>
          <cell r="M162">
            <v>0.68300000000000005</v>
          </cell>
          <cell r="N162">
            <v>0.46800000000000003</v>
          </cell>
          <cell r="O162">
            <v>0.53900000000000003</v>
          </cell>
          <cell r="P162">
            <v>0.68200000000000005</v>
          </cell>
          <cell r="Q162">
            <v>0.39</v>
          </cell>
          <cell r="R162">
            <v>0.58599999999999997</v>
          </cell>
          <cell r="S162">
            <v>0.66900000000000004</v>
          </cell>
          <cell r="T162">
            <v>0.56299999999999994</v>
          </cell>
          <cell r="U162">
            <v>0.59499999999999997</v>
          </cell>
          <cell r="V162">
            <v>0.52</v>
          </cell>
          <cell r="W162">
            <v>0.57499999999999996</v>
          </cell>
          <cell r="X162">
            <v>0.80700000000000005</v>
          </cell>
          <cell r="Y162">
            <v>0.66700000000000004</v>
          </cell>
          <cell r="Z162">
            <v>0.52</v>
          </cell>
          <cell r="AA162">
            <v>0.51300000000000001</v>
          </cell>
          <cell r="AB162">
            <v>0.73</v>
          </cell>
          <cell r="AC162">
            <v>0.70099999999999996</v>
          </cell>
          <cell r="AD162">
            <v>0.224</v>
          </cell>
          <cell r="AE162">
            <v>0.44700000000000001</v>
          </cell>
        </row>
        <row r="163">
          <cell r="B163" t="str">
            <v>영등포구</v>
          </cell>
          <cell r="C163">
            <v>154</v>
          </cell>
          <cell r="D163" t="str">
            <v>서울</v>
          </cell>
          <cell r="E163" t="str">
            <v>서울</v>
          </cell>
          <cell r="F163">
            <v>4</v>
          </cell>
          <cell r="G163" t="str">
            <v>남부지원</v>
          </cell>
          <cell r="H163">
            <v>0.622</v>
          </cell>
          <cell r="I163">
            <v>0.66600000000000004</v>
          </cell>
          <cell r="J163">
            <v>0.873</v>
          </cell>
          <cell r="K163">
            <v>0.48099999999999998</v>
          </cell>
          <cell r="L163">
            <v>0.72799999999999998</v>
          </cell>
          <cell r="M163">
            <v>0.68300000000000005</v>
          </cell>
          <cell r="N163">
            <v>0.46800000000000003</v>
          </cell>
          <cell r="O163">
            <v>0.53900000000000003</v>
          </cell>
          <cell r="P163">
            <v>0.68200000000000005</v>
          </cell>
          <cell r="Q163">
            <v>0.39</v>
          </cell>
          <cell r="R163">
            <v>0.58599999999999997</v>
          </cell>
          <cell r="S163">
            <v>0.66900000000000004</v>
          </cell>
          <cell r="T163">
            <v>0.56299999999999994</v>
          </cell>
          <cell r="U163">
            <v>0.59499999999999997</v>
          </cell>
          <cell r="V163">
            <v>0.52</v>
          </cell>
          <cell r="W163">
            <v>0.57499999999999996</v>
          </cell>
          <cell r="X163">
            <v>0.80700000000000005</v>
          </cell>
          <cell r="Y163">
            <v>0.66700000000000004</v>
          </cell>
          <cell r="Z163">
            <v>0.52</v>
          </cell>
          <cell r="AA163">
            <v>0.51300000000000001</v>
          </cell>
          <cell r="AB163">
            <v>0.73</v>
          </cell>
          <cell r="AC163">
            <v>0.70099999999999996</v>
          </cell>
          <cell r="AD163">
            <v>0.224</v>
          </cell>
          <cell r="AE163">
            <v>0.44700000000000001</v>
          </cell>
        </row>
        <row r="164">
          <cell r="B164" t="str">
            <v>관악구</v>
          </cell>
          <cell r="C164">
            <v>155</v>
          </cell>
          <cell r="D164" t="str">
            <v>서울</v>
          </cell>
          <cell r="E164" t="str">
            <v>서울</v>
          </cell>
          <cell r="F164">
            <v>1</v>
          </cell>
          <cell r="G164" t="str">
            <v>서울본원</v>
          </cell>
          <cell r="H164">
            <v>0.622</v>
          </cell>
          <cell r="I164">
            <v>0.66600000000000004</v>
          </cell>
          <cell r="J164">
            <v>0.873</v>
          </cell>
          <cell r="K164">
            <v>0.48099999999999998</v>
          </cell>
          <cell r="L164">
            <v>0.72799999999999998</v>
          </cell>
          <cell r="M164">
            <v>0.68300000000000005</v>
          </cell>
          <cell r="N164">
            <v>0.46800000000000003</v>
          </cell>
          <cell r="O164">
            <v>0.53900000000000003</v>
          </cell>
          <cell r="P164">
            <v>0.68200000000000005</v>
          </cell>
          <cell r="Q164">
            <v>0.39</v>
          </cell>
          <cell r="R164">
            <v>0.58599999999999997</v>
          </cell>
          <cell r="S164">
            <v>0.66900000000000004</v>
          </cell>
          <cell r="T164">
            <v>0.56299999999999994</v>
          </cell>
          <cell r="U164">
            <v>0.59499999999999997</v>
          </cell>
          <cell r="V164">
            <v>0.52</v>
          </cell>
          <cell r="W164">
            <v>0.57499999999999996</v>
          </cell>
          <cell r="X164">
            <v>0.80700000000000005</v>
          </cell>
          <cell r="Y164">
            <v>0.66700000000000004</v>
          </cell>
          <cell r="Z164">
            <v>0.52</v>
          </cell>
          <cell r="AA164">
            <v>0.51300000000000001</v>
          </cell>
          <cell r="AB164">
            <v>0.73</v>
          </cell>
          <cell r="AC164">
            <v>0.70099999999999996</v>
          </cell>
          <cell r="AD164">
            <v>0.224</v>
          </cell>
          <cell r="AE164">
            <v>0.44700000000000001</v>
          </cell>
        </row>
        <row r="165">
          <cell r="B165" t="str">
            <v>구로구</v>
          </cell>
          <cell r="C165">
            <v>156</v>
          </cell>
          <cell r="D165" t="str">
            <v>서울</v>
          </cell>
          <cell r="E165" t="str">
            <v>서울</v>
          </cell>
          <cell r="F165">
            <v>4</v>
          </cell>
          <cell r="G165" t="str">
            <v>남부지원</v>
          </cell>
          <cell r="H165">
            <v>0.622</v>
          </cell>
          <cell r="I165">
            <v>0.66600000000000004</v>
          </cell>
          <cell r="J165">
            <v>0.873</v>
          </cell>
          <cell r="K165">
            <v>0.48099999999999998</v>
          </cell>
          <cell r="L165">
            <v>0.72799999999999998</v>
          </cell>
          <cell r="M165">
            <v>0.68300000000000005</v>
          </cell>
          <cell r="N165">
            <v>0.46800000000000003</v>
          </cell>
          <cell r="O165">
            <v>0.53900000000000003</v>
          </cell>
          <cell r="P165">
            <v>0.68200000000000005</v>
          </cell>
          <cell r="Q165">
            <v>0.39</v>
          </cell>
          <cell r="R165">
            <v>0.58599999999999997</v>
          </cell>
          <cell r="S165">
            <v>0.66900000000000004</v>
          </cell>
          <cell r="T165">
            <v>0.56299999999999994</v>
          </cell>
          <cell r="U165">
            <v>0.59499999999999997</v>
          </cell>
          <cell r="V165">
            <v>0.52</v>
          </cell>
          <cell r="W165">
            <v>0.57499999999999996</v>
          </cell>
          <cell r="X165">
            <v>0.80700000000000005</v>
          </cell>
          <cell r="Y165">
            <v>0.66700000000000004</v>
          </cell>
          <cell r="Z165">
            <v>0.52</v>
          </cell>
          <cell r="AA165">
            <v>0.51300000000000001</v>
          </cell>
          <cell r="AB165">
            <v>0.73</v>
          </cell>
          <cell r="AC165">
            <v>0.70099999999999996</v>
          </cell>
          <cell r="AD165">
            <v>0.224</v>
          </cell>
          <cell r="AE165">
            <v>0.44700000000000001</v>
          </cell>
        </row>
        <row r="166">
          <cell r="B166" t="str">
            <v>금천구</v>
          </cell>
          <cell r="C166">
            <v>157</v>
          </cell>
          <cell r="D166" t="str">
            <v>서울</v>
          </cell>
          <cell r="E166" t="str">
            <v>서울</v>
          </cell>
          <cell r="F166">
            <v>4</v>
          </cell>
          <cell r="G166" t="str">
            <v>남부지원</v>
          </cell>
          <cell r="H166">
            <v>0.622</v>
          </cell>
          <cell r="I166">
            <v>0.66600000000000004</v>
          </cell>
          <cell r="J166">
            <v>0.873</v>
          </cell>
          <cell r="K166">
            <v>0.48099999999999998</v>
          </cell>
          <cell r="L166">
            <v>0.72799999999999998</v>
          </cell>
          <cell r="M166">
            <v>0.68300000000000005</v>
          </cell>
          <cell r="N166">
            <v>0.46800000000000003</v>
          </cell>
          <cell r="O166">
            <v>0.53900000000000003</v>
          </cell>
          <cell r="P166">
            <v>0.68200000000000005</v>
          </cell>
          <cell r="Q166">
            <v>0.39</v>
          </cell>
          <cell r="R166">
            <v>0.58599999999999997</v>
          </cell>
          <cell r="S166">
            <v>0.66900000000000004</v>
          </cell>
          <cell r="T166">
            <v>0.56299999999999994</v>
          </cell>
          <cell r="U166">
            <v>0.59499999999999997</v>
          </cell>
          <cell r="V166">
            <v>0.52</v>
          </cell>
          <cell r="W166">
            <v>0.57499999999999996</v>
          </cell>
          <cell r="X166">
            <v>0.80700000000000005</v>
          </cell>
          <cell r="Y166">
            <v>0.66700000000000004</v>
          </cell>
          <cell r="Z166">
            <v>0.52</v>
          </cell>
          <cell r="AA166">
            <v>0.51300000000000001</v>
          </cell>
          <cell r="AB166">
            <v>0.73</v>
          </cell>
          <cell r="AC166">
            <v>0.70099999999999996</v>
          </cell>
          <cell r="AD166">
            <v>0.224</v>
          </cell>
          <cell r="AE166">
            <v>0.44700000000000001</v>
          </cell>
        </row>
        <row r="167">
          <cell r="B167" t="str">
            <v>동작구</v>
          </cell>
          <cell r="C167">
            <v>158</v>
          </cell>
          <cell r="D167" t="str">
            <v>서울</v>
          </cell>
          <cell r="E167" t="str">
            <v>서울</v>
          </cell>
          <cell r="F167">
            <v>1</v>
          </cell>
          <cell r="G167" t="str">
            <v>서울본원</v>
          </cell>
          <cell r="H167">
            <v>0.622</v>
          </cell>
          <cell r="I167">
            <v>0.66600000000000004</v>
          </cell>
          <cell r="J167">
            <v>0.873</v>
          </cell>
          <cell r="K167">
            <v>0.48099999999999998</v>
          </cell>
          <cell r="L167">
            <v>0.72799999999999998</v>
          </cell>
          <cell r="M167">
            <v>0.68300000000000005</v>
          </cell>
          <cell r="N167">
            <v>0.46800000000000003</v>
          </cell>
          <cell r="O167">
            <v>0.53900000000000003</v>
          </cell>
          <cell r="P167">
            <v>0.68200000000000005</v>
          </cell>
          <cell r="Q167">
            <v>0.39</v>
          </cell>
          <cell r="R167">
            <v>0.58599999999999997</v>
          </cell>
          <cell r="S167">
            <v>0.66900000000000004</v>
          </cell>
          <cell r="T167">
            <v>0.56299999999999994</v>
          </cell>
          <cell r="U167">
            <v>0.59499999999999997</v>
          </cell>
          <cell r="V167">
            <v>0.52</v>
          </cell>
          <cell r="W167">
            <v>0.57499999999999996</v>
          </cell>
          <cell r="X167">
            <v>0.80700000000000005</v>
          </cell>
          <cell r="Y167">
            <v>0.66700000000000004</v>
          </cell>
          <cell r="Z167">
            <v>0.52</v>
          </cell>
          <cell r="AA167">
            <v>0.51300000000000001</v>
          </cell>
          <cell r="AB167">
            <v>0.73</v>
          </cell>
          <cell r="AC167">
            <v>0.70099999999999996</v>
          </cell>
          <cell r="AD167">
            <v>0.224</v>
          </cell>
          <cell r="AE167">
            <v>0.44700000000000001</v>
          </cell>
        </row>
        <row r="168">
          <cell r="B168" t="str">
            <v>강서구</v>
          </cell>
          <cell r="C168">
            <v>159</v>
          </cell>
          <cell r="D168" t="str">
            <v>서울</v>
          </cell>
          <cell r="E168" t="str">
            <v>서울</v>
          </cell>
          <cell r="F168">
            <v>4</v>
          </cell>
          <cell r="G168" t="str">
            <v>남부지원</v>
          </cell>
          <cell r="H168">
            <v>0.622</v>
          </cell>
          <cell r="I168">
            <v>0.66600000000000004</v>
          </cell>
          <cell r="J168">
            <v>0.873</v>
          </cell>
          <cell r="K168">
            <v>0.48099999999999998</v>
          </cell>
          <cell r="L168">
            <v>0.72799999999999998</v>
          </cell>
          <cell r="M168">
            <v>0.68300000000000005</v>
          </cell>
          <cell r="N168">
            <v>0.46800000000000003</v>
          </cell>
          <cell r="O168">
            <v>0.53900000000000003</v>
          </cell>
          <cell r="P168">
            <v>0.68200000000000005</v>
          </cell>
          <cell r="Q168">
            <v>0.39</v>
          </cell>
          <cell r="R168">
            <v>0.58599999999999997</v>
          </cell>
          <cell r="S168">
            <v>0.66900000000000004</v>
          </cell>
          <cell r="T168">
            <v>0.56299999999999994</v>
          </cell>
          <cell r="U168">
            <v>0.59499999999999997</v>
          </cell>
          <cell r="V168">
            <v>0.52</v>
          </cell>
          <cell r="W168">
            <v>0.57499999999999996</v>
          </cell>
          <cell r="X168">
            <v>0.80700000000000005</v>
          </cell>
          <cell r="Y168">
            <v>0.66700000000000004</v>
          </cell>
          <cell r="Z168">
            <v>0.52</v>
          </cell>
          <cell r="AA168">
            <v>0.51300000000000001</v>
          </cell>
          <cell r="AB168">
            <v>0.73</v>
          </cell>
          <cell r="AC168">
            <v>0.70099999999999996</v>
          </cell>
          <cell r="AD168">
            <v>0.224</v>
          </cell>
          <cell r="AE168">
            <v>0.44700000000000001</v>
          </cell>
        </row>
        <row r="169">
          <cell r="B169" t="str">
            <v>양천구</v>
          </cell>
          <cell r="C169">
            <v>160</v>
          </cell>
          <cell r="D169" t="str">
            <v>서울</v>
          </cell>
          <cell r="E169" t="str">
            <v>서울</v>
          </cell>
          <cell r="F169">
            <v>4</v>
          </cell>
          <cell r="G169" t="str">
            <v>남부지원</v>
          </cell>
          <cell r="H169">
            <v>0.622</v>
          </cell>
          <cell r="I169">
            <v>0.66600000000000004</v>
          </cell>
          <cell r="J169">
            <v>0.873</v>
          </cell>
          <cell r="K169">
            <v>0.48099999999999998</v>
          </cell>
          <cell r="L169">
            <v>0.72799999999999998</v>
          </cell>
          <cell r="M169">
            <v>0.68300000000000005</v>
          </cell>
          <cell r="N169">
            <v>0.46800000000000003</v>
          </cell>
          <cell r="O169">
            <v>0.53900000000000003</v>
          </cell>
          <cell r="P169">
            <v>0.68200000000000005</v>
          </cell>
          <cell r="Q169">
            <v>0.39</v>
          </cell>
          <cell r="R169">
            <v>0.58599999999999997</v>
          </cell>
          <cell r="S169">
            <v>0.66900000000000004</v>
          </cell>
          <cell r="T169">
            <v>0.56299999999999994</v>
          </cell>
          <cell r="U169">
            <v>0.59499999999999997</v>
          </cell>
          <cell r="V169">
            <v>0.52</v>
          </cell>
          <cell r="W169">
            <v>0.57499999999999996</v>
          </cell>
          <cell r="X169">
            <v>0.80700000000000005</v>
          </cell>
          <cell r="Y169">
            <v>0.66700000000000004</v>
          </cell>
          <cell r="Z169">
            <v>0.52</v>
          </cell>
          <cell r="AA169">
            <v>0.51300000000000001</v>
          </cell>
          <cell r="AB169">
            <v>0.73</v>
          </cell>
          <cell r="AC169">
            <v>0.70099999999999996</v>
          </cell>
          <cell r="AD169">
            <v>0.224</v>
          </cell>
          <cell r="AE169">
            <v>0.44700000000000001</v>
          </cell>
        </row>
        <row r="170">
          <cell r="B170" t="str">
            <v>울산남구</v>
          </cell>
          <cell r="C170">
            <v>161</v>
          </cell>
          <cell r="D170" t="str">
            <v>울산</v>
          </cell>
          <cell r="E170" t="str">
            <v>울산</v>
          </cell>
          <cell r="F170">
            <v>30</v>
          </cell>
          <cell r="G170" t="str">
            <v>울산지방법원</v>
          </cell>
          <cell r="H170">
            <v>0.54700000000000004</v>
          </cell>
          <cell r="I170">
            <v>0.64600000000000002</v>
          </cell>
          <cell r="J170">
            <v>0.65600000000000003</v>
          </cell>
          <cell r="K170">
            <v>0.75900000000000001</v>
          </cell>
          <cell r="L170">
            <v>0.53900000000000003</v>
          </cell>
          <cell r="M170">
            <v>0.57999999999999996</v>
          </cell>
          <cell r="N170">
            <v>0.49099999999999999</v>
          </cell>
          <cell r="O170">
            <v>0.53900000000000003</v>
          </cell>
          <cell r="P170">
            <v>0.72799999999999998</v>
          </cell>
          <cell r="Q170">
            <v>0.39600000000000002</v>
          </cell>
          <cell r="R170">
            <v>0.59699999999999998</v>
          </cell>
          <cell r="S170">
            <v>0.73299999999999998</v>
          </cell>
          <cell r="T170">
            <v>0.69299999999999995</v>
          </cell>
          <cell r="U170">
            <v>0.75</v>
          </cell>
          <cell r="V170">
            <v>0.41499999999999998</v>
          </cell>
          <cell r="W170">
            <v>0.52100000000000002</v>
          </cell>
          <cell r="X170">
            <v>0.65400000000000003</v>
          </cell>
          <cell r="Y170">
            <v>0.66700000000000004</v>
          </cell>
          <cell r="Z170">
            <v>0.41</v>
          </cell>
          <cell r="AA170">
            <v>0.72199999999999998</v>
          </cell>
          <cell r="AB170">
            <v>0.47599999999999998</v>
          </cell>
          <cell r="AC170">
            <v>0.85</v>
          </cell>
          <cell r="AD170">
            <v>0.224</v>
          </cell>
          <cell r="AE170">
            <v>0.44700000000000001</v>
          </cell>
        </row>
        <row r="171">
          <cell r="B171" t="str">
            <v>울산중구</v>
          </cell>
          <cell r="C171">
            <v>162</v>
          </cell>
          <cell r="D171" t="str">
            <v>울산</v>
          </cell>
          <cell r="E171" t="str">
            <v>울산</v>
          </cell>
          <cell r="F171">
            <v>30</v>
          </cell>
          <cell r="G171" t="str">
            <v>울산지방법원</v>
          </cell>
          <cell r="H171">
            <v>0.54700000000000004</v>
          </cell>
          <cell r="I171">
            <v>0.64600000000000002</v>
          </cell>
          <cell r="J171">
            <v>0.65600000000000003</v>
          </cell>
          <cell r="K171">
            <v>0.75900000000000001</v>
          </cell>
          <cell r="L171">
            <v>0.53900000000000003</v>
          </cell>
          <cell r="M171">
            <v>0.57999999999999996</v>
          </cell>
          <cell r="N171">
            <v>0.49099999999999999</v>
          </cell>
          <cell r="O171">
            <v>0.53900000000000003</v>
          </cell>
          <cell r="P171">
            <v>0.72799999999999998</v>
          </cell>
          <cell r="Q171">
            <v>0.39600000000000002</v>
          </cell>
          <cell r="R171">
            <v>0.59699999999999998</v>
          </cell>
          <cell r="S171">
            <v>0.73299999999999998</v>
          </cell>
          <cell r="T171">
            <v>0.69299999999999995</v>
          </cell>
          <cell r="U171">
            <v>0.75</v>
          </cell>
          <cell r="V171">
            <v>0.41499999999999998</v>
          </cell>
          <cell r="W171">
            <v>0.52100000000000002</v>
          </cell>
          <cell r="X171">
            <v>0.65400000000000003</v>
          </cell>
          <cell r="Y171">
            <v>0.66700000000000004</v>
          </cell>
          <cell r="Z171">
            <v>0.41</v>
          </cell>
          <cell r="AA171">
            <v>0.72199999999999998</v>
          </cell>
          <cell r="AB171">
            <v>0.47599999999999998</v>
          </cell>
          <cell r="AC171">
            <v>0.85</v>
          </cell>
          <cell r="AD171">
            <v>0.224</v>
          </cell>
          <cell r="AE171">
            <v>0.44700000000000001</v>
          </cell>
        </row>
        <row r="172">
          <cell r="B172" t="str">
            <v>울산동구</v>
          </cell>
          <cell r="C172">
            <v>163</v>
          </cell>
          <cell r="D172" t="str">
            <v>울산</v>
          </cell>
          <cell r="E172" t="str">
            <v>울산</v>
          </cell>
          <cell r="F172">
            <v>30</v>
          </cell>
          <cell r="G172" t="str">
            <v>울산지방법원</v>
          </cell>
          <cell r="H172">
            <v>0.54700000000000004</v>
          </cell>
          <cell r="I172">
            <v>0.64600000000000002</v>
          </cell>
          <cell r="J172">
            <v>0.65600000000000003</v>
          </cell>
          <cell r="K172">
            <v>0.75900000000000001</v>
          </cell>
          <cell r="L172">
            <v>0.53900000000000003</v>
          </cell>
          <cell r="M172">
            <v>0.57999999999999996</v>
          </cell>
          <cell r="N172">
            <v>0.49099999999999999</v>
          </cell>
          <cell r="O172">
            <v>0.53900000000000003</v>
          </cell>
          <cell r="P172">
            <v>0.72799999999999998</v>
          </cell>
          <cell r="Q172">
            <v>0.39600000000000002</v>
          </cell>
          <cell r="R172">
            <v>0.59699999999999998</v>
          </cell>
          <cell r="S172">
            <v>0.73299999999999998</v>
          </cell>
          <cell r="T172">
            <v>0.69299999999999995</v>
          </cell>
          <cell r="U172">
            <v>0.75</v>
          </cell>
          <cell r="V172">
            <v>0.41499999999999998</v>
          </cell>
          <cell r="W172">
            <v>0.52100000000000002</v>
          </cell>
          <cell r="X172">
            <v>0.65400000000000003</v>
          </cell>
          <cell r="Y172">
            <v>0.66700000000000004</v>
          </cell>
          <cell r="Z172">
            <v>0.41</v>
          </cell>
          <cell r="AA172">
            <v>0.72199999999999998</v>
          </cell>
          <cell r="AB172">
            <v>0.47599999999999998</v>
          </cell>
          <cell r="AC172">
            <v>0.85</v>
          </cell>
          <cell r="AD172">
            <v>0.224</v>
          </cell>
          <cell r="AE172">
            <v>0.44700000000000001</v>
          </cell>
        </row>
        <row r="173">
          <cell r="B173" t="str">
            <v>울산북구</v>
          </cell>
          <cell r="C173">
            <v>164</v>
          </cell>
          <cell r="D173" t="str">
            <v>울산</v>
          </cell>
          <cell r="E173" t="str">
            <v>울산</v>
          </cell>
          <cell r="F173">
            <v>30</v>
          </cell>
          <cell r="G173" t="str">
            <v>울산지방법원</v>
          </cell>
          <cell r="H173">
            <v>0.54700000000000004</v>
          </cell>
          <cell r="I173">
            <v>0.64600000000000002</v>
          </cell>
          <cell r="J173">
            <v>0.65600000000000003</v>
          </cell>
          <cell r="K173">
            <v>0.75900000000000001</v>
          </cell>
          <cell r="L173">
            <v>0.53900000000000003</v>
          </cell>
          <cell r="M173">
            <v>0.57999999999999996</v>
          </cell>
          <cell r="N173">
            <v>0.49099999999999999</v>
          </cell>
          <cell r="O173">
            <v>0.53900000000000003</v>
          </cell>
          <cell r="P173">
            <v>0.72799999999999998</v>
          </cell>
          <cell r="Q173">
            <v>0.39600000000000002</v>
          </cell>
          <cell r="R173">
            <v>0.59699999999999998</v>
          </cell>
          <cell r="S173">
            <v>0.73299999999999998</v>
          </cell>
          <cell r="T173">
            <v>0.69299999999999995</v>
          </cell>
          <cell r="U173">
            <v>0.75</v>
          </cell>
          <cell r="V173">
            <v>0.41499999999999998</v>
          </cell>
          <cell r="W173">
            <v>0.52100000000000002</v>
          </cell>
          <cell r="X173">
            <v>0.65400000000000003</v>
          </cell>
          <cell r="Y173">
            <v>0.66700000000000004</v>
          </cell>
          <cell r="Z173">
            <v>0.41</v>
          </cell>
          <cell r="AA173">
            <v>0.72199999999999998</v>
          </cell>
          <cell r="AB173">
            <v>0.47599999999999998</v>
          </cell>
          <cell r="AC173">
            <v>0.85</v>
          </cell>
          <cell r="AD173">
            <v>0.224</v>
          </cell>
          <cell r="AE173">
            <v>0.44700000000000001</v>
          </cell>
        </row>
        <row r="174">
          <cell r="B174" t="str">
            <v>울주군</v>
          </cell>
          <cell r="C174">
            <v>165</v>
          </cell>
          <cell r="D174" t="str">
            <v>울산</v>
          </cell>
          <cell r="E174" t="str">
            <v>울산</v>
          </cell>
          <cell r="F174">
            <v>30</v>
          </cell>
          <cell r="G174" t="str">
            <v>울산지방법원</v>
          </cell>
          <cell r="H174">
            <v>0.54700000000000004</v>
          </cell>
          <cell r="I174">
            <v>0.64600000000000002</v>
          </cell>
          <cell r="J174">
            <v>0.65600000000000003</v>
          </cell>
          <cell r="K174">
            <v>0.75900000000000001</v>
          </cell>
          <cell r="L174">
            <v>0.53900000000000003</v>
          </cell>
          <cell r="M174">
            <v>0.57999999999999996</v>
          </cell>
          <cell r="N174">
            <v>0.49099999999999999</v>
          </cell>
          <cell r="O174">
            <v>0.53900000000000003</v>
          </cell>
          <cell r="P174">
            <v>0.72799999999999998</v>
          </cell>
          <cell r="Q174">
            <v>0.39600000000000002</v>
          </cell>
          <cell r="R174">
            <v>0.59699999999999998</v>
          </cell>
          <cell r="S174">
            <v>0.73299999999999998</v>
          </cell>
          <cell r="T174">
            <v>0.69299999999999995</v>
          </cell>
          <cell r="U174">
            <v>0.75</v>
          </cell>
          <cell r="V174">
            <v>0.41499999999999998</v>
          </cell>
          <cell r="W174">
            <v>0.52100000000000002</v>
          </cell>
          <cell r="X174">
            <v>0.65400000000000003</v>
          </cell>
          <cell r="Y174">
            <v>0.66700000000000004</v>
          </cell>
          <cell r="Z174">
            <v>0.41</v>
          </cell>
          <cell r="AA174">
            <v>0.72199999999999998</v>
          </cell>
          <cell r="AB174">
            <v>0.47599999999999998</v>
          </cell>
          <cell r="AC174">
            <v>0.85</v>
          </cell>
          <cell r="AD174">
            <v>0.224</v>
          </cell>
          <cell r="AE174">
            <v>0.44700000000000001</v>
          </cell>
        </row>
        <row r="175">
          <cell r="B175" t="str">
            <v>인천중구</v>
          </cell>
          <cell r="C175">
            <v>166</v>
          </cell>
          <cell r="D175" t="str">
            <v>인천</v>
          </cell>
          <cell r="E175" t="str">
            <v>인천</v>
          </cell>
          <cell r="F175">
            <v>7</v>
          </cell>
          <cell r="G175" t="str">
            <v>인천지방법원</v>
          </cell>
          <cell r="H175">
            <v>0.54400000000000004</v>
          </cell>
          <cell r="I175">
            <v>0.60199999999999998</v>
          </cell>
          <cell r="J175">
            <v>0.8</v>
          </cell>
          <cell r="K175">
            <v>0.56499999999999995</v>
          </cell>
          <cell r="L175">
            <v>0.55700000000000005</v>
          </cell>
          <cell r="M175">
            <v>0.52500000000000002</v>
          </cell>
          <cell r="N175">
            <v>0.39</v>
          </cell>
          <cell r="O175">
            <v>0.53900000000000003</v>
          </cell>
          <cell r="P175">
            <v>0.51900000000000002</v>
          </cell>
          <cell r="Q175">
            <v>0.45200000000000001</v>
          </cell>
          <cell r="R175">
            <v>0.68700000000000006</v>
          </cell>
          <cell r="S175">
            <v>0.69699999999999995</v>
          </cell>
          <cell r="T175">
            <v>0.57399999999999995</v>
          </cell>
          <cell r="U175">
            <v>0.49099999999999999</v>
          </cell>
          <cell r="V175">
            <v>0.65400000000000003</v>
          </cell>
          <cell r="W175">
            <v>0.625</v>
          </cell>
          <cell r="X175">
            <v>0.6</v>
          </cell>
          <cell r="Y175">
            <v>0.66700000000000004</v>
          </cell>
          <cell r="Z175">
            <v>0.52</v>
          </cell>
          <cell r="AA175">
            <v>0.61199999999999999</v>
          </cell>
          <cell r="AB175">
            <v>0.71799999999999997</v>
          </cell>
          <cell r="AC175">
            <v>0.77500000000000002</v>
          </cell>
          <cell r="AD175">
            <v>0.28799999999999998</v>
          </cell>
          <cell r="AE175">
            <v>0.44700000000000001</v>
          </cell>
        </row>
        <row r="176">
          <cell r="B176" t="str">
            <v>인천동구</v>
          </cell>
          <cell r="C176">
            <v>167</v>
          </cell>
          <cell r="D176" t="str">
            <v>인천</v>
          </cell>
          <cell r="E176" t="str">
            <v>인천</v>
          </cell>
          <cell r="F176">
            <v>7</v>
          </cell>
          <cell r="G176" t="str">
            <v>인천지방법원</v>
          </cell>
          <cell r="H176">
            <v>0.54400000000000004</v>
          </cell>
          <cell r="I176">
            <v>0.60199999999999998</v>
          </cell>
          <cell r="J176">
            <v>0.8</v>
          </cell>
          <cell r="K176">
            <v>0.56499999999999995</v>
          </cell>
          <cell r="L176">
            <v>0.55700000000000005</v>
          </cell>
          <cell r="M176">
            <v>0.52500000000000002</v>
          </cell>
          <cell r="N176">
            <v>0.39</v>
          </cell>
          <cell r="O176">
            <v>0.53900000000000003</v>
          </cell>
          <cell r="P176">
            <v>0.51900000000000002</v>
          </cell>
          <cell r="Q176">
            <v>0.45200000000000001</v>
          </cell>
          <cell r="R176">
            <v>0.68700000000000006</v>
          </cell>
          <cell r="S176">
            <v>0.69699999999999995</v>
          </cell>
          <cell r="T176">
            <v>0.57399999999999995</v>
          </cell>
          <cell r="U176">
            <v>0.49099999999999999</v>
          </cell>
          <cell r="V176">
            <v>0.65400000000000003</v>
          </cell>
          <cell r="W176">
            <v>0.625</v>
          </cell>
          <cell r="X176">
            <v>0.6</v>
          </cell>
          <cell r="Y176">
            <v>0.66700000000000004</v>
          </cell>
          <cell r="Z176">
            <v>0.52</v>
          </cell>
          <cell r="AA176">
            <v>0.61199999999999999</v>
          </cell>
          <cell r="AB176">
            <v>0.71799999999999997</v>
          </cell>
          <cell r="AC176">
            <v>0.77500000000000002</v>
          </cell>
          <cell r="AD176">
            <v>0.28799999999999998</v>
          </cell>
          <cell r="AE176">
            <v>0.44700000000000001</v>
          </cell>
        </row>
        <row r="177">
          <cell r="B177" t="str">
            <v>인천남구</v>
          </cell>
          <cell r="C177">
            <v>168</v>
          </cell>
          <cell r="D177" t="str">
            <v>인천</v>
          </cell>
          <cell r="E177" t="str">
            <v>인천</v>
          </cell>
          <cell r="F177">
            <v>7</v>
          </cell>
          <cell r="G177" t="str">
            <v>인천지방법원</v>
          </cell>
          <cell r="H177">
            <v>0.54400000000000004</v>
          </cell>
          <cell r="I177">
            <v>0.60199999999999998</v>
          </cell>
          <cell r="J177">
            <v>0.8</v>
          </cell>
          <cell r="K177">
            <v>0.56499999999999995</v>
          </cell>
          <cell r="L177">
            <v>0.55700000000000005</v>
          </cell>
          <cell r="M177">
            <v>0.52500000000000002</v>
          </cell>
          <cell r="N177">
            <v>0.39</v>
          </cell>
          <cell r="O177">
            <v>0.53900000000000003</v>
          </cell>
          <cell r="P177">
            <v>0.51900000000000002</v>
          </cell>
          <cell r="Q177">
            <v>0.45200000000000001</v>
          </cell>
          <cell r="R177">
            <v>0.68700000000000006</v>
          </cell>
          <cell r="S177">
            <v>0.69699999999999995</v>
          </cell>
          <cell r="T177">
            <v>0.57399999999999995</v>
          </cell>
          <cell r="U177">
            <v>0.49099999999999999</v>
          </cell>
          <cell r="V177">
            <v>0.65400000000000003</v>
          </cell>
          <cell r="W177">
            <v>0.625</v>
          </cell>
          <cell r="X177">
            <v>0.6</v>
          </cell>
          <cell r="Y177">
            <v>0.66700000000000004</v>
          </cell>
          <cell r="Z177">
            <v>0.52</v>
          </cell>
          <cell r="AA177">
            <v>0.61199999999999999</v>
          </cell>
          <cell r="AB177">
            <v>0.71799999999999997</v>
          </cell>
          <cell r="AC177">
            <v>0.77500000000000002</v>
          </cell>
          <cell r="AD177">
            <v>0.28799999999999998</v>
          </cell>
          <cell r="AE177">
            <v>0.44700000000000001</v>
          </cell>
        </row>
        <row r="178">
          <cell r="B178" t="str">
            <v>인천부평구</v>
          </cell>
          <cell r="C178">
            <v>169</v>
          </cell>
          <cell r="D178" t="str">
            <v>인천</v>
          </cell>
          <cell r="E178" t="str">
            <v>인천</v>
          </cell>
          <cell r="F178">
            <v>7</v>
          </cell>
          <cell r="G178" t="str">
            <v>인천지방법원</v>
          </cell>
          <cell r="H178">
            <v>0.54400000000000004</v>
          </cell>
          <cell r="I178">
            <v>0.60199999999999998</v>
          </cell>
          <cell r="J178">
            <v>0.8</v>
          </cell>
          <cell r="K178">
            <v>0.56499999999999995</v>
          </cell>
          <cell r="L178">
            <v>0.55700000000000005</v>
          </cell>
          <cell r="M178">
            <v>0.52500000000000002</v>
          </cell>
          <cell r="N178">
            <v>0.39</v>
          </cell>
          <cell r="O178">
            <v>0.53900000000000003</v>
          </cell>
          <cell r="P178">
            <v>0.51900000000000002</v>
          </cell>
          <cell r="Q178">
            <v>0.45200000000000001</v>
          </cell>
          <cell r="R178">
            <v>0.68700000000000006</v>
          </cell>
          <cell r="S178">
            <v>0.69699999999999995</v>
          </cell>
          <cell r="T178">
            <v>0.57399999999999995</v>
          </cell>
          <cell r="U178">
            <v>0.49099999999999999</v>
          </cell>
          <cell r="V178">
            <v>0.65400000000000003</v>
          </cell>
          <cell r="W178">
            <v>0.625</v>
          </cell>
          <cell r="X178">
            <v>0.6</v>
          </cell>
          <cell r="Y178">
            <v>0.66700000000000004</v>
          </cell>
          <cell r="Z178">
            <v>0.52</v>
          </cell>
          <cell r="AA178">
            <v>0.61199999999999999</v>
          </cell>
          <cell r="AB178">
            <v>0.71799999999999997</v>
          </cell>
          <cell r="AC178">
            <v>0.77500000000000002</v>
          </cell>
          <cell r="AD178">
            <v>0.28799999999999998</v>
          </cell>
          <cell r="AE178">
            <v>0.44700000000000001</v>
          </cell>
        </row>
        <row r="179">
          <cell r="B179" t="str">
            <v>인천서구</v>
          </cell>
          <cell r="C179">
            <v>170</v>
          </cell>
          <cell r="D179" t="str">
            <v>인천</v>
          </cell>
          <cell r="E179" t="str">
            <v>인천</v>
          </cell>
          <cell r="F179">
            <v>7</v>
          </cell>
          <cell r="G179" t="str">
            <v>인천지방법원</v>
          </cell>
          <cell r="H179">
            <v>0.54400000000000004</v>
          </cell>
          <cell r="I179">
            <v>0.60199999999999998</v>
          </cell>
          <cell r="J179">
            <v>0.8</v>
          </cell>
          <cell r="K179">
            <v>0.56499999999999995</v>
          </cell>
          <cell r="L179">
            <v>0.55700000000000005</v>
          </cell>
          <cell r="M179">
            <v>0.52500000000000002</v>
          </cell>
          <cell r="N179">
            <v>0.39</v>
          </cell>
          <cell r="O179">
            <v>0.53900000000000003</v>
          </cell>
          <cell r="P179">
            <v>0.51900000000000002</v>
          </cell>
          <cell r="Q179">
            <v>0.45200000000000001</v>
          </cell>
          <cell r="R179">
            <v>0.68700000000000006</v>
          </cell>
          <cell r="S179">
            <v>0.69699999999999995</v>
          </cell>
          <cell r="T179">
            <v>0.57399999999999995</v>
          </cell>
          <cell r="U179">
            <v>0.49099999999999999</v>
          </cell>
          <cell r="V179">
            <v>0.65400000000000003</v>
          </cell>
          <cell r="W179">
            <v>0.625</v>
          </cell>
          <cell r="X179">
            <v>0.6</v>
          </cell>
          <cell r="Y179">
            <v>0.66700000000000004</v>
          </cell>
          <cell r="Z179">
            <v>0.52</v>
          </cell>
          <cell r="AA179">
            <v>0.61199999999999999</v>
          </cell>
          <cell r="AB179">
            <v>0.71799999999999997</v>
          </cell>
          <cell r="AC179">
            <v>0.77500000000000002</v>
          </cell>
          <cell r="AD179">
            <v>0.28799999999999998</v>
          </cell>
          <cell r="AE179">
            <v>0.44700000000000001</v>
          </cell>
        </row>
        <row r="180">
          <cell r="B180" t="str">
            <v>인천남동구</v>
          </cell>
          <cell r="C180">
            <v>171</v>
          </cell>
          <cell r="D180" t="str">
            <v>인천</v>
          </cell>
          <cell r="E180" t="str">
            <v>인천</v>
          </cell>
          <cell r="F180">
            <v>7</v>
          </cell>
          <cell r="G180" t="str">
            <v>인천지방법원</v>
          </cell>
          <cell r="H180">
            <v>0.54400000000000004</v>
          </cell>
          <cell r="I180">
            <v>0.60199999999999998</v>
          </cell>
          <cell r="J180">
            <v>0.8</v>
          </cell>
          <cell r="K180">
            <v>0.56499999999999995</v>
          </cell>
          <cell r="L180">
            <v>0.55700000000000005</v>
          </cell>
          <cell r="M180">
            <v>0.52500000000000002</v>
          </cell>
          <cell r="N180">
            <v>0.39</v>
          </cell>
          <cell r="O180">
            <v>0.53900000000000003</v>
          </cell>
          <cell r="P180">
            <v>0.51900000000000002</v>
          </cell>
          <cell r="Q180">
            <v>0.45200000000000001</v>
          </cell>
          <cell r="R180">
            <v>0.68700000000000006</v>
          </cell>
          <cell r="S180">
            <v>0.69699999999999995</v>
          </cell>
          <cell r="T180">
            <v>0.57399999999999995</v>
          </cell>
          <cell r="U180">
            <v>0.49099999999999999</v>
          </cell>
          <cell r="V180">
            <v>0.65400000000000003</v>
          </cell>
          <cell r="W180">
            <v>0.625</v>
          </cell>
          <cell r="X180">
            <v>0.6</v>
          </cell>
          <cell r="Y180">
            <v>0.66700000000000004</v>
          </cell>
          <cell r="Z180">
            <v>0.52</v>
          </cell>
          <cell r="AA180">
            <v>0.61199999999999999</v>
          </cell>
          <cell r="AB180">
            <v>0.71799999999999997</v>
          </cell>
          <cell r="AC180">
            <v>0.77500000000000002</v>
          </cell>
          <cell r="AD180">
            <v>0.28799999999999998</v>
          </cell>
          <cell r="AE180">
            <v>0.44700000000000001</v>
          </cell>
        </row>
        <row r="181">
          <cell r="B181" t="str">
            <v>인천연수구</v>
          </cell>
          <cell r="C181">
            <v>172</v>
          </cell>
          <cell r="D181" t="str">
            <v>인천</v>
          </cell>
          <cell r="E181" t="str">
            <v>인천</v>
          </cell>
          <cell r="F181">
            <v>7</v>
          </cell>
          <cell r="G181" t="str">
            <v>인천지방법원</v>
          </cell>
          <cell r="H181">
            <v>0.54400000000000004</v>
          </cell>
          <cell r="I181">
            <v>0.60199999999999998</v>
          </cell>
          <cell r="J181">
            <v>0.8</v>
          </cell>
          <cell r="K181">
            <v>0.56499999999999995</v>
          </cell>
          <cell r="L181">
            <v>0.55700000000000005</v>
          </cell>
          <cell r="M181">
            <v>0.52500000000000002</v>
          </cell>
          <cell r="N181">
            <v>0.39</v>
          </cell>
          <cell r="O181">
            <v>0.53900000000000003</v>
          </cell>
          <cell r="P181">
            <v>0.51900000000000002</v>
          </cell>
          <cell r="Q181">
            <v>0.45200000000000001</v>
          </cell>
          <cell r="R181">
            <v>0.68700000000000006</v>
          </cell>
          <cell r="S181">
            <v>0.69699999999999995</v>
          </cell>
          <cell r="T181">
            <v>0.57399999999999995</v>
          </cell>
          <cell r="U181">
            <v>0.49099999999999999</v>
          </cell>
          <cell r="V181">
            <v>0.65400000000000003</v>
          </cell>
          <cell r="W181">
            <v>0.625</v>
          </cell>
          <cell r="X181">
            <v>0.6</v>
          </cell>
          <cell r="Y181">
            <v>0.66700000000000004</v>
          </cell>
          <cell r="Z181">
            <v>0.52</v>
          </cell>
          <cell r="AA181">
            <v>0.61199999999999999</v>
          </cell>
          <cell r="AB181">
            <v>0.71799999999999997</v>
          </cell>
          <cell r="AC181">
            <v>0.77500000000000002</v>
          </cell>
          <cell r="AD181">
            <v>0.28799999999999998</v>
          </cell>
          <cell r="AE181">
            <v>0.44700000000000001</v>
          </cell>
        </row>
        <row r="182">
          <cell r="B182" t="str">
            <v>인천계양구</v>
          </cell>
          <cell r="C182">
            <v>173</v>
          </cell>
          <cell r="D182" t="str">
            <v>인천</v>
          </cell>
          <cell r="E182" t="str">
            <v>인천</v>
          </cell>
          <cell r="F182">
            <v>7</v>
          </cell>
          <cell r="G182" t="str">
            <v>인천지방법원</v>
          </cell>
          <cell r="H182">
            <v>0.54400000000000004</v>
          </cell>
          <cell r="I182">
            <v>0.60199999999999998</v>
          </cell>
          <cell r="J182">
            <v>0.8</v>
          </cell>
          <cell r="K182">
            <v>0.56499999999999995</v>
          </cell>
          <cell r="L182">
            <v>0.55700000000000005</v>
          </cell>
          <cell r="M182">
            <v>0.52500000000000002</v>
          </cell>
          <cell r="N182">
            <v>0.39</v>
          </cell>
          <cell r="O182">
            <v>0.53900000000000003</v>
          </cell>
          <cell r="P182">
            <v>0.51900000000000002</v>
          </cell>
          <cell r="Q182">
            <v>0.45200000000000001</v>
          </cell>
          <cell r="R182">
            <v>0.68700000000000006</v>
          </cell>
          <cell r="S182">
            <v>0.69699999999999995</v>
          </cell>
          <cell r="T182">
            <v>0.57399999999999995</v>
          </cell>
          <cell r="U182">
            <v>0.49099999999999999</v>
          </cell>
          <cell r="V182">
            <v>0.65400000000000003</v>
          </cell>
          <cell r="W182">
            <v>0.625</v>
          </cell>
          <cell r="X182">
            <v>0.6</v>
          </cell>
          <cell r="Y182">
            <v>0.66700000000000004</v>
          </cell>
          <cell r="Z182">
            <v>0.52</v>
          </cell>
          <cell r="AA182">
            <v>0.61199999999999999</v>
          </cell>
          <cell r="AB182">
            <v>0.71799999999999997</v>
          </cell>
          <cell r="AC182">
            <v>0.77500000000000002</v>
          </cell>
          <cell r="AD182">
            <v>0.28799999999999998</v>
          </cell>
          <cell r="AE182">
            <v>0.44700000000000001</v>
          </cell>
        </row>
        <row r="183">
          <cell r="B183" t="str">
            <v>옹진군</v>
          </cell>
          <cell r="C183">
            <v>174</v>
          </cell>
          <cell r="D183" t="str">
            <v>인천</v>
          </cell>
          <cell r="E183" t="str">
            <v>인천</v>
          </cell>
          <cell r="F183">
            <v>7</v>
          </cell>
          <cell r="G183" t="str">
            <v>인천지방법원</v>
          </cell>
          <cell r="H183">
            <v>0.54400000000000004</v>
          </cell>
          <cell r="I183">
            <v>0.60199999999999998</v>
          </cell>
          <cell r="J183">
            <v>0.8</v>
          </cell>
          <cell r="K183">
            <v>0.56499999999999995</v>
          </cell>
          <cell r="L183">
            <v>0.55700000000000005</v>
          </cell>
          <cell r="M183">
            <v>0.52500000000000002</v>
          </cell>
          <cell r="N183">
            <v>0.39</v>
          </cell>
          <cell r="O183">
            <v>0.53900000000000003</v>
          </cell>
          <cell r="P183">
            <v>0.51900000000000002</v>
          </cell>
          <cell r="Q183">
            <v>0.45200000000000001</v>
          </cell>
          <cell r="R183">
            <v>0.68700000000000006</v>
          </cell>
          <cell r="S183">
            <v>0.69699999999999995</v>
          </cell>
          <cell r="T183">
            <v>0.57399999999999995</v>
          </cell>
          <cell r="U183">
            <v>0.49099999999999999</v>
          </cell>
          <cell r="V183">
            <v>0.65400000000000003</v>
          </cell>
          <cell r="W183">
            <v>0.625</v>
          </cell>
          <cell r="X183">
            <v>0.6</v>
          </cell>
          <cell r="Y183">
            <v>0.66700000000000004</v>
          </cell>
          <cell r="Z183">
            <v>0.52</v>
          </cell>
          <cell r="AA183">
            <v>0.61199999999999999</v>
          </cell>
          <cell r="AB183">
            <v>0.71799999999999997</v>
          </cell>
          <cell r="AC183">
            <v>0.77500000000000002</v>
          </cell>
          <cell r="AD183">
            <v>0.28799999999999998</v>
          </cell>
          <cell r="AE183">
            <v>0.44700000000000001</v>
          </cell>
        </row>
        <row r="184">
          <cell r="B184" t="str">
            <v>강화군</v>
          </cell>
          <cell r="C184">
            <v>175</v>
          </cell>
          <cell r="D184" t="str">
            <v>인천</v>
          </cell>
          <cell r="E184" t="str">
            <v>인천</v>
          </cell>
          <cell r="F184">
            <v>7</v>
          </cell>
          <cell r="G184" t="str">
            <v>인천지방법원</v>
          </cell>
          <cell r="H184">
            <v>0.54400000000000004</v>
          </cell>
          <cell r="I184">
            <v>0.60199999999999998</v>
          </cell>
          <cell r="J184">
            <v>0.8</v>
          </cell>
          <cell r="K184">
            <v>0.56499999999999995</v>
          </cell>
          <cell r="L184">
            <v>0.55700000000000005</v>
          </cell>
          <cell r="M184">
            <v>0.52500000000000002</v>
          </cell>
          <cell r="N184">
            <v>0.39</v>
          </cell>
          <cell r="O184">
            <v>0.53900000000000003</v>
          </cell>
          <cell r="P184">
            <v>0.51900000000000002</v>
          </cell>
          <cell r="Q184">
            <v>0.45200000000000001</v>
          </cell>
          <cell r="R184">
            <v>0.68700000000000006</v>
          </cell>
          <cell r="S184">
            <v>0.69699999999999995</v>
          </cell>
          <cell r="T184">
            <v>0.57399999999999995</v>
          </cell>
          <cell r="U184">
            <v>0.49099999999999999</v>
          </cell>
          <cell r="V184">
            <v>0.65400000000000003</v>
          </cell>
          <cell r="W184">
            <v>0.625</v>
          </cell>
          <cell r="X184">
            <v>0.6</v>
          </cell>
          <cell r="Y184">
            <v>0.66700000000000004</v>
          </cell>
          <cell r="Z184">
            <v>0.52</v>
          </cell>
          <cell r="AA184">
            <v>0.61199999999999999</v>
          </cell>
          <cell r="AB184">
            <v>0.71799999999999997</v>
          </cell>
          <cell r="AC184">
            <v>0.77500000000000002</v>
          </cell>
          <cell r="AD184">
            <v>0.28799999999999998</v>
          </cell>
          <cell r="AE184">
            <v>0.44700000000000001</v>
          </cell>
        </row>
        <row r="185">
          <cell r="B185" t="str">
            <v>영광군</v>
          </cell>
          <cell r="C185">
            <v>176</v>
          </cell>
          <cell r="D185" t="str">
            <v>전남</v>
          </cell>
          <cell r="E185" t="str">
            <v>군이하지역</v>
          </cell>
          <cell r="F185">
            <v>44</v>
          </cell>
          <cell r="G185" t="str">
            <v>광주지방법원</v>
          </cell>
          <cell r="H185">
            <v>0.56200000000000006</v>
          </cell>
          <cell r="I185">
            <v>0.53900000000000003</v>
          </cell>
          <cell r="J185">
            <v>0.65800000000000003</v>
          </cell>
          <cell r="K185">
            <v>0.69799999999999995</v>
          </cell>
          <cell r="L185">
            <v>0.52900000000000003</v>
          </cell>
          <cell r="M185">
            <v>0.505</v>
          </cell>
          <cell r="N185">
            <v>0.63700000000000001</v>
          </cell>
          <cell r="O185">
            <v>0.53900000000000003</v>
          </cell>
          <cell r="P185">
            <v>0.64600000000000002</v>
          </cell>
          <cell r="Q185">
            <v>0.39600000000000002</v>
          </cell>
          <cell r="R185">
            <v>0.55100000000000005</v>
          </cell>
          <cell r="S185">
            <v>0.58899999999999997</v>
          </cell>
          <cell r="T185">
            <v>0.51300000000000001</v>
          </cell>
          <cell r="U185">
            <v>0.61499999999999999</v>
          </cell>
          <cell r="V185">
            <v>0.64100000000000001</v>
          </cell>
          <cell r="W185">
            <v>0.63400000000000001</v>
          </cell>
          <cell r="X185">
            <v>0.65800000000000003</v>
          </cell>
          <cell r="Y185">
            <v>0.60799999999999998</v>
          </cell>
          <cell r="Z185">
            <v>0.5</v>
          </cell>
          <cell r="AA185">
            <v>0.84499999999999997</v>
          </cell>
          <cell r="AB185">
            <v>0.52400000000000002</v>
          </cell>
          <cell r="AC185">
            <v>0.68600000000000005</v>
          </cell>
          <cell r="AD185">
            <v>0.70199999999999996</v>
          </cell>
          <cell r="AE185">
            <v>0.33700000000000002</v>
          </cell>
        </row>
        <row r="186">
          <cell r="B186" t="str">
            <v>장성군</v>
          </cell>
          <cell r="C186">
            <v>177</v>
          </cell>
          <cell r="D186" t="str">
            <v>전남</v>
          </cell>
          <cell r="E186" t="str">
            <v>군이하지역</v>
          </cell>
          <cell r="F186">
            <v>44</v>
          </cell>
          <cell r="G186" t="str">
            <v>광주지방법원</v>
          </cell>
          <cell r="H186">
            <v>0.56200000000000006</v>
          </cell>
          <cell r="I186">
            <v>0.53900000000000003</v>
          </cell>
          <cell r="J186">
            <v>0.65800000000000003</v>
          </cell>
          <cell r="K186">
            <v>0.69799999999999995</v>
          </cell>
          <cell r="L186">
            <v>0.52900000000000003</v>
          </cell>
          <cell r="M186">
            <v>0.505</v>
          </cell>
          <cell r="N186">
            <v>0.63700000000000001</v>
          </cell>
          <cell r="O186">
            <v>0.53900000000000003</v>
          </cell>
          <cell r="P186">
            <v>0.64600000000000002</v>
          </cell>
          <cell r="Q186">
            <v>0.39600000000000002</v>
          </cell>
          <cell r="R186">
            <v>0.55100000000000005</v>
          </cell>
          <cell r="S186">
            <v>0.58899999999999997</v>
          </cell>
          <cell r="T186">
            <v>0.51300000000000001</v>
          </cell>
          <cell r="U186">
            <v>0.61499999999999999</v>
          </cell>
          <cell r="V186">
            <v>0.64100000000000001</v>
          </cell>
          <cell r="W186">
            <v>0.63400000000000001</v>
          </cell>
          <cell r="X186">
            <v>0.65800000000000003</v>
          </cell>
          <cell r="Y186">
            <v>0.60799999999999998</v>
          </cell>
          <cell r="Z186">
            <v>0.5</v>
          </cell>
          <cell r="AA186">
            <v>0.84499999999999997</v>
          </cell>
          <cell r="AB186">
            <v>0.52400000000000002</v>
          </cell>
          <cell r="AC186">
            <v>0.68600000000000005</v>
          </cell>
          <cell r="AD186">
            <v>0.70199999999999996</v>
          </cell>
          <cell r="AE186">
            <v>0.33700000000000002</v>
          </cell>
        </row>
        <row r="187">
          <cell r="B187" t="str">
            <v>담양군</v>
          </cell>
          <cell r="C187">
            <v>178</v>
          </cell>
          <cell r="D187" t="str">
            <v>전남</v>
          </cell>
          <cell r="E187" t="str">
            <v>군이하지역</v>
          </cell>
          <cell r="F187">
            <v>44</v>
          </cell>
          <cell r="G187" t="str">
            <v>광주지방법원</v>
          </cell>
          <cell r="H187">
            <v>0.56200000000000006</v>
          </cell>
          <cell r="I187">
            <v>0.53900000000000003</v>
          </cell>
          <cell r="J187">
            <v>0.65800000000000003</v>
          </cell>
          <cell r="K187">
            <v>0.69799999999999995</v>
          </cell>
          <cell r="L187">
            <v>0.52900000000000003</v>
          </cell>
          <cell r="M187">
            <v>0.505</v>
          </cell>
          <cell r="N187">
            <v>0.63700000000000001</v>
          </cell>
          <cell r="O187">
            <v>0.53900000000000003</v>
          </cell>
          <cell r="P187">
            <v>0.64600000000000002</v>
          </cell>
          <cell r="Q187">
            <v>0.39600000000000002</v>
          </cell>
          <cell r="R187">
            <v>0.55100000000000005</v>
          </cell>
          <cell r="S187">
            <v>0.58899999999999997</v>
          </cell>
          <cell r="T187">
            <v>0.51300000000000001</v>
          </cell>
          <cell r="U187">
            <v>0.61499999999999999</v>
          </cell>
          <cell r="V187">
            <v>0.64100000000000001</v>
          </cell>
          <cell r="W187">
            <v>0.63400000000000001</v>
          </cell>
          <cell r="X187">
            <v>0.65800000000000003</v>
          </cell>
          <cell r="Y187">
            <v>0.60799999999999998</v>
          </cell>
          <cell r="Z187">
            <v>0.5</v>
          </cell>
          <cell r="AA187">
            <v>0.84499999999999997</v>
          </cell>
          <cell r="AB187">
            <v>0.52400000000000002</v>
          </cell>
          <cell r="AC187">
            <v>0.68600000000000005</v>
          </cell>
          <cell r="AD187">
            <v>0.70199999999999996</v>
          </cell>
          <cell r="AE187">
            <v>0.33700000000000002</v>
          </cell>
        </row>
        <row r="188">
          <cell r="B188" t="str">
            <v>화순군</v>
          </cell>
          <cell r="C188">
            <v>179</v>
          </cell>
          <cell r="D188" t="str">
            <v>전남</v>
          </cell>
          <cell r="E188" t="str">
            <v>군이하지역</v>
          </cell>
          <cell r="F188">
            <v>44</v>
          </cell>
          <cell r="G188" t="str">
            <v>광주지방법원</v>
          </cell>
          <cell r="H188">
            <v>0.56200000000000006</v>
          </cell>
          <cell r="I188">
            <v>0.53900000000000003</v>
          </cell>
          <cell r="J188">
            <v>0.65800000000000003</v>
          </cell>
          <cell r="K188">
            <v>0.69799999999999995</v>
          </cell>
          <cell r="L188">
            <v>0.52900000000000003</v>
          </cell>
          <cell r="M188">
            <v>0.505</v>
          </cell>
          <cell r="N188">
            <v>0.63700000000000001</v>
          </cell>
          <cell r="O188">
            <v>0.53900000000000003</v>
          </cell>
          <cell r="P188">
            <v>0.64600000000000002</v>
          </cell>
          <cell r="Q188">
            <v>0.39600000000000002</v>
          </cell>
          <cell r="R188">
            <v>0.55100000000000005</v>
          </cell>
          <cell r="S188">
            <v>0.58899999999999997</v>
          </cell>
          <cell r="T188">
            <v>0.51300000000000001</v>
          </cell>
          <cell r="U188">
            <v>0.61499999999999999</v>
          </cell>
          <cell r="V188">
            <v>0.64100000000000001</v>
          </cell>
          <cell r="W188">
            <v>0.63400000000000001</v>
          </cell>
          <cell r="X188">
            <v>0.65800000000000003</v>
          </cell>
          <cell r="Y188">
            <v>0.60799999999999998</v>
          </cell>
          <cell r="Z188">
            <v>0.5</v>
          </cell>
          <cell r="AA188">
            <v>0.84499999999999997</v>
          </cell>
          <cell r="AB188">
            <v>0.52400000000000002</v>
          </cell>
          <cell r="AC188">
            <v>0.68600000000000005</v>
          </cell>
          <cell r="AD188">
            <v>0.70199999999999996</v>
          </cell>
          <cell r="AE188">
            <v>0.33700000000000002</v>
          </cell>
        </row>
        <row r="189">
          <cell r="B189" t="str">
            <v>나주시</v>
          </cell>
          <cell r="C189">
            <v>180</v>
          </cell>
          <cell r="D189" t="str">
            <v>전남</v>
          </cell>
          <cell r="E189" t="str">
            <v>시지역</v>
          </cell>
          <cell r="F189">
            <v>44</v>
          </cell>
          <cell r="G189" t="str">
            <v>광주지방법원</v>
          </cell>
          <cell r="H189">
            <v>0.56200000000000006</v>
          </cell>
          <cell r="I189">
            <v>0.63700000000000001</v>
          </cell>
          <cell r="J189">
            <v>0.68799999999999994</v>
          </cell>
          <cell r="K189">
            <v>0.51500000000000001</v>
          </cell>
          <cell r="L189">
            <v>0.59699999999999998</v>
          </cell>
          <cell r="M189">
            <v>0.56000000000000005</v>
          </cell>
          <cell r="N189">
            <v>0.52300000000000002</v>
          </cell>
          <cell r="O189">
            <v>0.49199999999999999</v>
          </cell>
          <cell r="P189">
            <v>0.55600000000000005</v>
          </cell>
          <cell r="Q189">
            <v>0.44800000000000001</v>
          </cell>
          <cell r="R189">
            <v>0.56499999999999995</v>
          </cell>
          <cell r="S189">
            <v>0.56399999999999995</v>
          </cell>
          <cell r="T189">
            <v>0.46700000000000003</v>
          </cell>
          <cell r="U189">
            <v>0.50800000000000001</v>
          </cell>
          <cell r="V189">
            <v>0.67</v>
          </cell>
          <cell r="W189">
            <v>0.61</v>
          </cell>
          <cell r="X189">
            <v>0.624</v>
          </cell>
          <cell r="Y189">
            <v>0.65</v>
          </cell>
          <cell r="Z189">
            <v>0.57099999999999995</v>
          </cell>
          <cell r="AA189">
            <v>0.66700000000000004</v>
          </cell>
          <cell r="AB189">
            <v>0.55800000000000005</v>
          </cell>
          <cell r="AC189">
            <v>0.751</v>
          </cell>
          <cell r="AD189">
            <v>0.27700000000000002</v>
          </cell>
          <cell r="AE189">
            <v>0.63</v>
          </cell>
        </row>
        <row r="190">
          <cell r="B190" t="str">
            <v>함평군</v>
          </cell>
          <cell r="C190">
            <v>181</v>
          </cell>
          <cell r="D190" t="str">
            <v>전남</v>
          </cell>
          <cell r="E190" t="str">
            <v>시지역</v>
          </cell>
          <cell r="F190">
            <v>45</v>
          </cell>
          <cell r="G190" t="str">
            <v>목포지원</v>
          </cell>
          <cell r="H190">
            <v>0.56200000000000006</v>
          </cell>
          <cell r="I190">
            <v>0.63700000000000001</v>
          </cell>
          <cell r="J190">
            <v>0.68799999999999994</v>
          </cell>
          <cell r="K190">
            <v>0.51500000000000001</v>
          </cell>
          <cell r="L190">
            <v>0.59699999999999998</v>
          </cell>
          <cell r="M190">
            <v>0.56000000000000005</v>
          </cell>
          <cell r="N190">
            <v>0.52300000000000002</v>
          </cell>
          <cell r="O190">
            <v>0.49199999999999999</v>
          </cell>
          <cell r="P190">
            <v>0.55600000000000005</v>
          </cell>
          <cell r="Q190">
            <v>0.44800000000000001</v>
          </cell>
          <cell r="R190">
            <v>0.56499999999999995</v>
          </cell>
          <cell r="S190">
            <v>0.56399999999999995</v>
          </cell>
          <cell r="T190">
            <v>0.46700000000000003</v>
          </cell>
          <cell r="U190">
            <v>0.50800000000000001</v>
          </cell>
          <cell r="V190">
            <v>0.67</v>
          </cell>
          <cell r="W190">
            <v>0.61</v>
          </cell>
          <cell r="X190">
            <v>0.624</v>
          </cell>
          <cell r="Y190">
            <v>0.65</v>
          </cell>
          <cell r="Z190">
            <v>0.57099999999999995</v>
          </cell>
          <cell r="AA190">
            <v>0.66700000000000004</v>
          </cell>
          <cell r="AB190">
            <v>0.55800000000000005</v>
          </cell>
          <cell r="AC190">
            <v>0.751</v>
          </cell>
          <cell r="AD190">
            <v>0.27700000000000002</v>
          </cell>
          <cell r="AE190">
            <v>0.63</v>
          </cell>
        </row>
        <row r="191">
          <cell r="B191" t="str">
            <v>영암군</v>
          </cell>
          <cell r="C191">
            <v>182</v>
          </cell>
          <cell r="D191" t="str">
            <v>전남</v>
          </cell>
          <cell r="E191" t="str">
            <v>시지역</v>
          </cell>
          <cell r="F191">
            <v>45</v>
          </cell>
          <cell r="G191" t="str">
            <v>목포지원</v>
          </cell>
          <cell r="H191">
            <v>0.56200000000000006</v>
          </cell>
          <cell r="I191">
            <v>0.63700000000000001</v>
          </cell>
          <cell r="J191">
            <v>0.68799999999999994</v>
          </cell>
          <cell r="K191">
            <v>0.51500000000000001</v>
          </cell>
          <cell r="L191">
            <v>0.59699999999999998</v>
          </cell>
          <cell r="M191">
            <v>0.56000000000000005</v>
          </cell>
          <cell r="N191">
            <v>0.52300000000000002</v>
          </cell>
          <cell r="O191">
            <v>0.49199999999999999</v>
          </cell>
          <cell r="P191">
            <v>0.55600000000000005</v>
          </cell>
          <cell r="Q191">
            <v>0.44800000000000001</v>
          </cell>
          <cell r="R191">
            <v>0.56499999999999995</v>
          </cell>
          <cell r="S191">
            <v>0.56399999999999995</v>
          </cell>
          <cell r="T191">
            <v>0.46700000000000003</v>
          </cell>
          <cell r="U191">
            <v>0.50800000000000001</v>
          </cell>
          <cell r="V191">
            <v>0.67</v>
          </cell>
          <cell r="W191">
            <v>0.61</v>
          </cell>
          <cell r="X191">
            <v>0.624</v>
          </cell>
          <cell r="Y191">
            <v>0.65</v>
          </cell>
          <cell r="Z191">
            <v>0.57099999999999995</v>
          </cell>
          <cell r="AA191">
            <v>0.66700000000000004</v>
          </cell>
          <cell r="AB191">
            <v>0.55800000000000005</v>
          </cell>
          <cell r="AC191">
            <v>0.751</v>
          </cell>
          <cell r="AD191">
            <v>0.27700000000000002</v>
          </cell>
          <cell r="AE191">
            <v>0.63</v>
          </cell>
        </row>
        <row r="192">
          <cell r="B192" t="str">
            <v>목포시</v>
          </cell>
          <cell r="C192">
            <v>183</v>
          </cell>
          <cell r="D192" t="str">
            <v>전남</v>
          </cell>
          <cell r="E192" t="str">
            <v>도청소재지</v>
          </cell>
          <cell r="F192">
            <v>45</v>
          </cell>
          <cell r="G192" t="str">
            <v>목포지원</v>
          </cell>
          <cell r="H192">
            <v>0.65800000000000003</v>
          </cell>
          <cell r="I192">
            <v>0.63700000000000001</v>
          </cell>
          <cell r="J192">
            <v>0.70399999999999996</v>
          </cell>
          <cell r="K192">
            <v>0.35</v>
          </cell>
          <cell r="L192">
            <v>0.62</v>
          </cell>
          <cell r="M192">
            <v>0.71199999999999997</v>
          </cell>
          <cell r="N192">
            <v>0.54500000000000004</v>
          </cell>
          <cell r="O192">
            <v>0.53900000000000003</v>
          </cell>
          <cell r="P192">
            <v>0.502</v>
          </cell>
          <cell r="Q192">
            <v>0.39300000000000002</v>
          </cell>
          <cell r="R192">
            <v>0.495</v>
          </cell>
          <cell r="S192">
            <v>0.55300000000000005</v>
          </cell>
          <cell r="T192">
            <v>0.64400000000000002</v>
          </cell>
          <cell r="U192">
            <v>0.7</v>
          </cell>
          <cell r="V192">
            <v>0.52900000000000003</v>
          </cell>
          <cell r="W192">
            <v>0.73699999999999999</v>
          </cell>
          <cell r="X192">
            <v>0.61799999999999999</v>
          </cell>
          <cell r="Y192">
            <v>0.72199999999999998</v>
          </cell>
          <cell r="Z192">
            <v>0.44600000000000001</v>
          </cell>
          <cell r="AA192">
            <v>0.72199999999999998</v>
          </cell>
          <cell r="AB192">
            <v>0.438</v>
          </cell>
          <cell r="AC192">
            <v>0.77300000000000002</v>
          </cell>
          <cell r="AD192">
            <v>0.224</v>
          </cell>
          <cell r="AE192">
            <v>0.44700000000000001</v>
          </cell>
        </row>
        <row r="193">
          <cell r="B193" t="str">
            <v>무안군</v>
          </cell>
          <cell r="C193">
            <v>184</v>
          </cell>
          <cell r="D193" t="str">
            <v>전남</v>
          </cell>
          <cell r="E193" t="str">
            <v>군이하지역</v>
          </cell>
          <cell r="F193">
            <v>45</v>
          </cell>
          <cell r="G193" t="str">
            <v>목포지원</v>
          </cell>
          <cell r="H193">
            <v>0.56200000000000006</v>
          </cell>
          <cell r="I193">
            <v>0.53900000000000003</v>
          </cell>
          <cell r="J193">
            <v>0.65800000000000003</v>
          </cell>
          <cell r="K193">
            <v>0.69799999999999995</v>
          </cell>
          <cell r="L193">
            <v>0.52900000000000003</v>
          </cell>
          <cell r="M193">
            <v>0.505</v>
          </cell>
          <cell r="N193">
            <v>0.63700000000000001</v>
          </cell>
          <cell r="O193">
            <v>0.53900000000000003</v>
          </cell>
          <cell r="P193">
            <v>0.64600000000000002</v>
          </cell>
          <cell r="Q193">
            <v>0.39600000000000002</v>
          </cell>
          <cell r="R193">
            <v>0.55100000000000005</v>
          </cell>
          <cell r="S193">
            <v>0.58899999999999997</v>
          </cell>
          <cell r="T193">
            <v>0.51300000000000001</v>
          </cell>
          <cell r="U193">
            <v>0.61499999999999999</v>
          </cell>
          <cell r="V193">
            <v>0.64100000000000001</v>
          </cell>
          <cell r="W193">
            <v>0.63400000000000001</v>
          </cell>
          <cell r="X193">
            <v>0.65800000000000003</v>
          </cell>
          <cell r="Y193">
            <v>0.60799999999999998</v>
          </cell>
          <cell r="Z193">
            <v>0.5</v>
          </cell>
          <cell r="AA193">
            <v>0.84499999999999997</v>
          </cell>
          <cell r="AB193">
            <v>0.52400000000000002</v>
          </cell>
          <cell r="AC193">
            <v>0.68600000000000005</v>
          </cell>
          <cell r="AD193">
            <v>0.70199999999999996</v>
          </cell>
          <cell r="AE193">
            <v>0.33700000000000002</v>
          </cell>
        </row>
        <row r="194">
          <cell r="B194" t="str">
            <v>신안군</v>
          </cell>
          <cell r="C194">
            <v>185</v>
          </cell>
          <cell r="D194" t="str">
            <v>전남</v>
          </cell>
          <cell r="E194" t="str">
            <v>군이하지역</v>
          </cell>
          <cell r="F194">
            <v>45</v>
          </cell>
          <cell r="G194" t="str">
            <v>목포지원</v>
          </cell>
          <cell r="H194">
            <v>0.56200000000000006</v>
          </cell>
          <cell r="I194">
            <v>0.53900000000000003</v>
          </cell>
          <cell r="J194">
            <v>0.65800000000000003</v>
          </cell>
          <cell r="K194">
            <v>0.69799999999999995</v>
          </cell>
          <cell r="L194">
            <v>0.52900000000000003</v>
          </cell>
          <cell r="M194">
            <v>0.505</v>
          </cell>
          <cell r="N194">
            <v>0.63700000000000001</v>
          </cell>
          <cell r="O194">
            <v>0.53900000000000003</v>
          </cell>
          <cell r="P194">
            <v>0.64600000000000002</v>
          </cell>
          <cell r="Q194">
            <v>0.39600000000000002</v>
          </cell>
          <cell r="R194">
            <v>0.55100000000000005</v>
          </cell>
          <cell r="S194">
            <v>0.58899999999999997</v>
          </cell>
          <cell r="T194">
            <v>0.51300000000000001</v>
          </cell>
          <cell r="U194">
            <v>0.61499999999999999</v>
          </cell>
          <cell r="V194">
            <v>0.64100000000000001</v>
          </cell>
          <cell r="W194">
            <v>0.63400000000000001</v>
          </cell>
          <cell r="X194">
            <v>0.65800000000000003</v>
          </cell>
          <cell r="Y194">
            <v>0.60799999999999998</v>
          </cell>
          <cell r="Z194">
            <v>0.5</v>
          </cell>
          <cell r="AA194">
            <v>0.84499999999999997</v>
          </cell>
          <cell r="AB194">
            <v>0.52400000000000002</v>
          </cell>
          <cell r="AC194">
            <v>0.68600000000000005</v>
          </cell>
          <cell r="AD194">
            <v>0.70199999999999996</v>
          </cell>
          <cell r="AE194">
            <v>0.33700000000000002</v>
          </cell>
        </row>
        <row r="195">
          <cell r="B195" t="str">
            <v>해남군</v>
          </cell>
          <cell r="C195">
            <v>186</v>
          </cell>
          <cell r="D195" t="str">
            <v>전남</v>
          </cell>
          <cell r="E195" t="str">
            <v>군이하지역</v>
          </cell>
          <cell r="F195">
            <v>47</v>
          </cell>
          <cell r="G195" t="str">
            <v>해남지원</v>
          </cell>
          <cell r="H195">
            <v>0.56200000000000006</v>
          </cell>
          <cell r="I195">
            <v>0.53900000000000003</v>
          </cell>
          <cell r="J195">
            <v>0.65800000000000003</v>
          </cell>
          <cell r="K195">
            <v>0.69799999999999995</v>
          </cell>
          <cell r="L195">
            <v>0.52900000000000003</v>
          </cell>
          <cell r="M195">
            <v>0.505</v>
          </cell>
          <cell r="N195">
            <v>0.63700000000000001</v>
          </cell>
          <cell r="O195">
            <v>0.53900000000000003</v>
          </cell>
          <cell r="P195">
            <v>0.64600000000000002</v>
          </cell>
          <cell r="Q195">
            <v>0.39600000000000002</v>
          </cell>
          <cell r="R195">
            <v>0.55100000000000005</v>
          </cell>
          <cell r="S195">
            <v>0.58899999999999997</v>
          </cell>
          <cell r="T195">
            <v>0.51300000000000001</v>
          </cell>
          <cell r="U195">
            <v>0.61499999999999999</v>
          </cell>
          <cell r="V195">
            <v>0.64100000000000001</v>
          </cell>
          <cell r="W195">
            <v>0.63400000000000001</v>
          </cell>
          <cell r="X195">
            <v>0.65800000000000003</v>
          </cell>
          <cell r="Y195">
            <v>0.60799999999999998</v>
          </cell>
          <cell r="Z195">
            <v>0.5</v>
          </cell>
          <cell r="AA195">
            <v>0.84499999999999997</v>
          </cell>
          <cell r="AB195">
            <v>0.52400000000000002</v>
          </cell>
          <cell r="AC195">
            <v>0.68600000000000005</v>
          </cell>
          <cell r="AD195">
            <v>0.70199999999999996</v>
          </cell>
          <cell r="AE195">
            <v>0.33700000000000002</v>
          </cell>
        </row>
        <row r="196">
          <cell r="B196" t="str">
            <v>완도군</v>
          </cell>
          <cell r="C196">
            <v>187</v>
          </cell>
          <cell r="D196" t="str">
            <v>전남</v>
          </cell>
          <cell r="E196" t="str">
            <v>군이하지역</v>
          </cell>
          <cell r="F196">
            <v>47</v>
          </cell>
          <cell r="G196" t="str">
            <v>해남지원</v>
          </cell>
          <cell r="H196">
            <v>0.56200000000000006</v>
          </cell>
          <cell r="I196">
            <v>0.53900000000000003</v>
          </cell>
          <cell r="J196">
            <v>0.65800000000000003</v>
          </cell>
          <cell r="K196">
            <v>0.69799999999999995</v>
          </cell>
          <cell r="L196">
            <v>0.52900000000000003</v>
          </cell>
          <cell r="M196">
            <v>0.505</v>
          </cell>
          <cell r="N196">
            <v>0.63700000000000001</v>
          </cell>
          <cell r="O196">
            <v>0.53900000000000003</v>
          </cell>
          <cell r="P196">
            <v>0.64600000000000002</v>
          </cell>
          <cell r="Q196">
            <v>0.39600000000000002</v>
          </cell>
          <cell r="R196">
            <v>0.55100000000000005</v>
          </cell>
          <cell r="S196">
            <v>0.58899999999999997</v>
          </cell>
          <cell r="T196">
            <v>0.51300000000000001</v>
          </cell>
          <cell r="U196">
            <v>0.61499999999999999</v>
          </cell>
          <cell r="V196">
            <v>0.64100000000000001</v>
          </cell>
          <cell r="W196">
            <v>0.63400000000000001</v>
          </cell>
          <cell r="X196">
            <v>0.65800000000000003</v>
          </cell>
          <cell r="Y196">
            <v>0.60799999999999998</v>
          </cell>
          <cell r="Z196">
            <v>0.5</v>
          </cell>
          <cell r="AA196">
            <v>0.84499999999999997</v>
          </cell>
          <cell r="AB196">
            <v>0.52400000000000002</v>
          </cell>
          <cell r="AC196">
            <v>0.68600000000000005</v>
          </cell>
          <cell r="AD196">
            <v>0.70199999999999996</v>
          </cell>
          <cell r="AE196">
            <v>0.33700000000000002</v>
          </cell>
        </row>
        <row r="197">
          <cell r="B197" t="str">
            <v>진도군</v>
          </cell>
          <cell r="C197">
            <v>188</v>
          </cell>
          <cell r="D197" t="str">
            <v>전남</v>
          </cell>
          <cell r="E197" t="str">
            <v>군이하지역</v>
          </cell>
          <cell r="F197">
            <v>47</v>
          </cell>
          <cell r="G197" t="str">
            <v>해남지원</v>
          </cell>
          <cell r="H197">
            <v>0.56200000000000006</v>
          </cell>
          <cell r="I197">
            <v>0.53900000000000003</v>
          </cell>
          <cell r="J197">
            <v>0.65800000000000003</v>
          </cell>
          <cell r="K197">
            <v>0.69799999999999995</v>
          </cell>
          <cell r="L197">
            <v>0.52900000000000003</v>
          </cell>
          <cell r="M197">
            <v>0.505</v>
          </cell>
          <cell r="N197">
            <v>0.63700000000000001</v>
          </cell>
          <cell r="O197">
            <v>0.53900000000000003</v>
          </cell>
          <cell r="P197">
            <v>0.64600000000000002</v>
          </cell>
          <cell r="Q197">
            <v>0.39600000000000002</v>
          </cell>
          <cell r="R197">
            <v>0.55100000000000005</v>
          </cell>
          <cell r="S197">
            <v>0.58899999999999997</v>
          </cell>
          <cell r="T197">
            <v>0.51300000000000001</v>
          </cell>
          <cell r="U197">
            <v>0.61499999999999999</v>
          </cell>
          <cell r="V197">
            <v>0.64100000000000001</v>
          </cell>
          <cell r="W197">
            <v>0.63400000000000001</v>
          </cell>
          <cell r="X197">
            <v>0.65800000000000003</v>
          </cell>
          <cell r="Y197">
            <v>0.60799999999999998</v>
          </cell>
          <cell r="Z197">
            <v>0.5</v>
          </cell>
          <cell r="AA197">
            <v>0.84499999999999997</v>
          </cell>
          <cell r="AB197">
            <v>0.52400000000000002</v>
          </cell>
          <cell r="AC197">
            <v>0.68600000000000005</v>
          </cell>
          <cell r="AD197">
            <v>0.70199999999999996</v>
          </cell>
          <cell r="AE197">
            <v>0.33700000000000002</v>
          </cell>
        </row>
        <row r="198">
          <cell r="B198" t="str">
            <v>순천시</v>
          </cell>
          <cell r="C198">
            <v>189</v>
          </cell>
          <cell r="D198" t="str">
            <v>전남</v>
          </cell>
          <cell r="E198" t="str">
            <v>시지역</v>
          </cell>
          <cell r="F198">
            <v>46</v>
          </cell>
          <cell r="G198" t="str">
            <v>순천지원</v>
          </cell>
          <cell r="H198">
            <v>0.56200000000000006</v>
          </cell>
          <cell r="I198">
            <v>0.63700000000000001</v>
          </cell>
          <cell r="J198">
            <v>0.68799999999999994</v>
          </cell>
          <cell r="K198">
            <v>0.51500000000000001</v>
          </cell>
          <cell r="L198">
            <v>0.59699999999999998</v>
          </cell>
          <cell r="M198">
            <v>0.56000000000000005</v>
          </cell>
          <cell r="N198">
            <v>0.52300000000000002</v>
          </cell>
          <cell r="O198">
            <v>0.49199999999999999</v>
          </cell>
          <cell r="P198">
            <v>0.55600000000000005</v>
          </cell>
          <cell r="Q198">
            <v>0.44800000000000001</v>
          </cell>
          <cell r="R198">
            <v>0.56499999999999995</v>
          </cell>
          <cell r="S198">
            <v>0.56399999999999995</v>
          </cell>
          <cell r="T198">
            <v>0.46700000000000003</v>
          </cell>
          <cell r="U198">
            <v>0.50800000000000001</v>
          </cell>
          <cell r="V198">
            <v>0.67</v>
          </cell>
          <cell r="W198">
            <v>0.61</v>
          </cell>
          <cell r="X198">
            <v>0.624</v>
          </cell>
          <cell r="Y198">
            <v>0.65</v>
          </cell>
          <cell r="Z198">
            <v>0.57099999999999995</v>
          </cell>
          <cell r="AA198">
            <v>0.66700000000000004</v>
          </cell>
          <cell r="AB198">
            <v>0.55800000000000005</v>
          </cell>
          <cell r="AC198">
            <v>0.751</v>
          </cell>
          <cell r="AD198">
            <v>0.27700000000000002</v>
          </cell>
          <cell r="AE198">
            <v>0.63</v>
          </cell>
        </row>
        <row r="199">
          <cell r="B199" t="str">
            <v>구례군</v>
          </cell>
          <cell r="C199">
            <v>190</v>
          </cell>
          <cell r="D199" t="str">
            <v>전남</v>
          </cell>
          <cell r="E199" t="str">
            <v>군이하지역</v>
          </cell>
          <cell r="F199">
            <v>46</v>
          </cell>
          <cell r="G199" t="str">
            <v>순천지원</v>
          </cell>
          <cell r="H199">
            <v>0.56200000000000006</v>
          </cell>
          <cell r="I199">
            <v>0.53900000000000003</v>
          </cell>
          <cell r="J199">
            <v>0.65800000000000003</v>
          </cell>
          <cell r="K199">
            <v>0.69799999999999995</v>
          </cell>
          <cell r="L199">
            <v>0.52900000000000003</v>
          </cell>
          <cell r="M199">
            <v>0.505</v>
          </cell>
          <cell r="N199">
            <v>0.63700000000000001</v>
          </cell>
          <cell r="O199">
            <v>0.53900000000000003</v>
          </cell>
          <cell r="P199">
            <v>0.64600000000000002</v>
          </cell>
          <cell r="Q199">
            <v>0.39600000000000002</v>
          </cell>
          <cell r="R199">
            <v>0.55100000000000005</v>
          </cell>
          <cell r="S199">
            <v>0.58899999999999997</v>
          </cell>
          <cell r="T199">
            <v>0.51300000000000001</v>
          </cell>
          <cell r="U199">
            <v>0.61499999999999999</v>
          </cell>
          <cell r="V199">
            <v>0.64100000000000001</v>
          </cell>
          <cell r="W199">
            <v>0.63400000000000001</v>
          </cell>
          <cell r="X199">
            <v>0.65800000000000003</v>
          </cell>
          <cell r="Y199">
            <v>0.60799999999999998</v>
          </cell>
          <cell r="Z199">
            <v>0.5</v>
          </cell>
          <cell r="AA199">
            <v>0.84499999999999997</v>
          </cell>
          <cell r="AB199">
            <v>0.52400000000000002</v>
          </cell>
          <cell r="AC199">
            <v>0.68600000000000005</v>
          </cell>
          <cell r="AD199">
            <v>0.70199999999999996</v>
          </cell>
          <cell r="AE199">
            <v>0.33700000000000002</v>
          </cell>
        </row>
        <row r="200">
          <cell r="B200" t="str">
            <v>곡성군</v>
          </cell>
          <cell r="C200">
            <v>191</v>
          </cell>
          <cell r="D200" t="str">
            <v>전남</v>
          </cell>
          <cell r="E200" t="str">
            <v>군이하지역</v>
          </cell>
          <cell r="F200">
            <v>44</v>
          </cell>
          <cell r="G200" t="str">
            <v>광주지방법원</v>
          </cell>
          <cell r="H200">
            <v>0.56200000000000006</v>
          </cell>
          <cell r="I200">
            <v>0.53900000000000003</v>
          </cell>
          <cell r="J200">
            <v>0.65800000000000003</v>
          </cell>
          <cell r="K200">
            <v>0.69799999999999995</v>
          </cell>
          <cell r="L200">
            <v>0.52900000000000003</v>
          </cell>
          <cell r="M200">
            <v>0.505</v>
          </cell>
          <cell r="N200">
            <v>0.63700000000000001</v>
          </cell>
          <cell r="O200">
            <v>0.53900000000000003</v>
          </cell>
          <cell r="P200">
            <v>0.64600000000000002</v>
          </cell>
          <cell r="Q200">
            <v>0.39600000000000002</v>
          </cell>
          <cell r="R200">
            <v>0.55100000000000005</v>
          </cell>
          <cell r="S200">
            <v>0.58899999999999997</v>
          </cell>
          <cell r="T200">
            <v>0.51300000000000001</v>
          </cell>
          <cell r="U200">
            <v>0.61499999999999999</v>
          </cell>
          <cell r="V200">
            <v>0.64100000000000001</v>
          </cell>
          <cell r="W200">
            <v>0.63400000000000001</v>
          </cell>
          <cell r="X200">
            <v>0.65800000000000003</v>
          </cell>
          <cell r="Y200">
            <v>0.60799999999999998</v>
          </cell>
          <cell r="Z200">
            <v>0.5</v>
          </cell>
          <cell r="AA200">
            <v>0.84499999999999997</v>
          </cell>
          <cell r="AB200">
            <v>0.52400000000000002</v>
          </cell>
          <cell r="AC200">
            <v>0.68600000000000005</v>
          </cell>
          <cell r="AD200">
            <v>0.70199999999999996</v>
          </cell>
          <cell r="AE200">
            <v>0.33700000000000002</v>
          </cell>
        </row>
        <row r="201">
          <cell r="B201" t="str">
            <v>광양시</v>
          </cell>
          <cell r="C201">
            <v>192</v>
          </cell>
          <cell r="D201" t="str">
            <v>전남</v>
          </cell>
          <cell r="E201" t="str">
            <v>시지역</v>
          </cell>
          <cell r="F201">
            <v>46</v>
          </cell>
          <cell r="G201" t="str">
            <v>순천지원</v>
          </cell>
          <cell r="H201">
            <v>0.56200000000000006</v>
          </cell>
          <cell r="I201">
            <v>0.63700000000000001</v>
          </cell>
          <cell r="J201">
            <v>0.68799999999999994</v>
          </cell>
          <cell r="K201">
            <v>0.51500000000000001</v>
          </cell>
          <cell r="L201">
            <v>0.59699999999999998</v>
          </cell>
          <cell r="M201">
            <v>0.56000000000000005</v>
          </cell>
          <cell r="N201">
            <v>0.52300000000000002</v>
          </cell>
          <cell r="O201">
            <v>0.49199999999999999</v>
          </cell>
          <cell r="P201">
            <v>0.55600000000000005</v>
          </cell>
          <cell r="Q201">
            <v>0.44800000000000001</v>
          </cell>
          <cell r="R201">
            <v>0.56499999999999995</v>
          </cell>
          <cell r="S201">
            <v>0.56399999999999995</v>
          </cell>
          <cell r="T201">
            <v>0.46700000000000003</v>
          </cell>
          <cell r="U201">
            <v>0.50800000000000001</v>
          </cell>
          <cell r="V201">
            <v>0.67</v>
          </cell>
          <cell r="W201">
            <v>0.61</v>
          </cell>
          <cell r="X201">
            <v>0.624</v>
          </cell>
          <cell r="Y201">
            <v>0.65</v>
          </cell>
          <cell r="Z201">
            <v>0.57099999999999995</v>
          </cell>
          <cell r="AA201">
            <v>0.66700000000000004</v>
          </cell>
          <cell r="AB201">
            <v>0.55800000000000005</v>
          </cell>
          <cell r="AC201">
            <v>0.751</v>
          </cell>
          <cell r="AD201">
            <v>0.27700000000000002</v>
          </cell>
          <cell r="AE201">
            <v>0.63</v>
          </cell>
        </row>
        <row r="202">
          <cell r="B202" t="str">
            <v>보성군</v>
          </cell>
          <cell r="C202">
            <v>193</v>
          </cell>
          <cell r="D202" t="str">
            <v>전남</v>
          </cell>
          <cell r="E202" t="str">
            <v>군이하지역</v>
          </cell>
          <cell r="F202">
            <v>46</v>
          </cell>
          <cell r="G202" t="str">
            <v>순천지원</v>
          </cell>
          <cell r="H202">
            <v>0.56200000000000006</v>
          </cell>
          <cell r="I202">
            <v>0.53900000000000003</v>
          </cell>
          <cell r="J202">
            <v>0.65800000000000003</v>
          </cell>
          <cell r="K202">
            <v>0.69799999999999995</v>
          </cell>
          <cell r="L202">
            <v>0.52900000000000003</v>
          </cell>
          <cell r="M202">
            <v>0.505</v>
          </cell>
          <cell r="N202">
            <v>0.63700000000000001</v>
          </cell>
          <cell r="O202">
            <v>0.53900000000000003</v>
          </cell>
          <cell r="P202">
            <v>0.64600000000000002</v>
          </cell>
          <cell r="Q202">
            <v>0.39600000000000002</v>
          </cell>
          <cell r="R202">
            <v>0.55100000000000005</v>
          </cell>
          <cell r="S202">
            <v>0.58899999999999997</v>
          </cell>
          <cell r="T202">
            <v>0.51300000000000001</v>
          </cell>
          <cell r="U202">
            <v>0.61499999999999999</v>
          </cell>
          <cell r="V202">
            <v>0.64100000000000001</v>
          </cell>
          <cell r="W202">
            <v>0.63400000000000001</v>
          </cell>
          <cell r="X202">
            <v>0.65800000000000003</v>
          </cell>
          <cell r="Y202">
            <v>0.60799999999999998</v>
          </cell>
          <cell r="Z202">
            <v>0.5</v>
          </cell>
          <cell r="AA202">
            <v>0.84499999999999997</v>
          </cell>
          <cell r="AB202">
            <v>0.52400000000000002</v>
          </cell>
          <cell r="AC202">
            <v>0.68600000000000005</v>
          </cell>
          <cell r="AD202">
            <v>0.70199999999999996</v>
          </cell>
          <cell r="AE202">
            <v>0.33700000000000002</v>
          </cell>
        </row>
        <row r="203">
          <cell r="B203" t="str">
            <v>고흥군</v>
          </cell>
          <cell r="C203">
            <v>194</v>
          </cell>
          <cell r="D203" t="str">
            <v>전남</v>
          </cell>
          <cell r="E203" t="str">
            <v>군이하지역</v>
          </cell>
          <cell r="F203">
            <v>46</v>
          </cell>
          <cell r="G203" t="str">
            <v>순천지원</v>
          </cell>
          <cell r="H203">
            <v>0.56200000000000006</v>
          </cell>
          <cell r="I203">
            <v>0.53900000000000003</v>
          </cell>
          <cell r="J203">
            <v>0.65800000000000003</v>
          </cell>
          <cell r="K203">
            <v>0.69799999999999995</v>
          </cell>
          <cell r="L203">
            <v>0.52900000000000003</v>
          </cell>
          <cell r="M203">
            <v>0.505</v>
          </cell>
          <cell r="N203">
            <v>0.63700000000000001</v>
          </cell>
          <cell r="O203">
            <v>0.53900000000000003</v>
          </cell>
          <cell r="P203">
            <v>0.64600000000000002</v>
          </cell>
          <cell r="Q203">
            <v>0.39600000000000002</v>
          </cell>
          <cell r="R203">
            <v>0.55100000000000005</v>
          </cell>
          <cell r="S203">
            <v>0.58899999999999997</v>
          </cell>
          <cell r="T203">
            <v>0.51300000000000001</v>
          </cell>
          <cell r="U203">
            <v>0.61499999999999999</v>
          </cell>
          <cell r="V203">
            <v>0.64100000000000001</v>
          </cell>
          <cell r="W203">
            <v>0.63400000000000001</v>
          </cell>
          <cell r="X203">
            <v>0.65800000000000003</v>
          </cell>
          <cell r="Y203">
            <v>0.60799999999999998</v>
          </cell>
          <cell r="Z203">
            <v>0.5</v>
          </cell>
          <cell r="AA203">
            <v>0.84499999999999997</v>
          </cell>
          <cell r="AB203">
            <v>0.52400000000000002</v>
          </cell>
          <cell r="AC203">
            <v>0.68600000000000005</v>
          </cell>
          <cell r="AD203">
            <v>0.70199999999999996</v>
          </cell>
          <cell r="AE203">
            <v>0.33700000000000002</v>
          </cell>
        </row>
        <row r="204">
          <cell r="B204" t="str">
            <v>여수시</v>
          </cell>
          <cell r="C204">
            <v>195</v>
          </cell>
          <cell r="D204" t="str">
            <v>전남</v>
          </cell>
          <cell r="E204" t="str">
            <v>시지역</v>
          </cell>
          <cell r="F204">
            <v>46</v>
          </cell>
          <cell r="G204" t="str">
            <v>순천지원</v>
          </cell>
          <cell r="H204">
            <v>0.56200000000000006</v>
          </cell>
          <cell r="I204">
            <v>0.63700000000000001</v>
          </cell>
          <cell r="J204">
            <v>0.68799999999999994</v>
          </cell>
          <cell r="K204">
            <v>0.51500000000000001</v>
          </cell>
          <cell r="L204">
            <v>0.59699999999999998</v>
          </cell>
          <cell r="M204">
            <v>0.56000000000000005</v>
          </cell>
          <cell r="N204">
            <v>0.52300000000000002</v>
          </cell>
          <cell r="O204">
            <v>0.49199999999999999</v>
          </cell>
          <cell r="P204">
            <v>0.55600000000000005</v>
          </cell>
          <cell r="Q204">
            <v>0.44800000000000001</v>
          </cell>
          <cell r="R204">
            <v>0.56499999999999995</v>
          </cell>
          <cell r="S204">
            <v>0.56399999999999995</v>
          </cell>
          <cell r="T204">
            <v>0.46700000000000003</v>
          </cell>
          <cell r="U204">
            <v>0.50800000000000001</v>
          </cell>
          <cell r="V204">
            <v>0.67</v>
          </cell>
          <cell r="W204">
            <v>0.61</v>
          </cell>
          <cell r="X204">
            <v>0.624</v>
          </cell>
          <cell r="Y204">
            <v>0.65</v>
          </cell>
          <cell r="Z204">
            <v>0.57099999999999995</v>
          </cell>
          <cell r="AA204">
            <v>0.66700000000000004</v>
          </cell>
          <cell r="AB204">
            <v>0.55800000000000005</v>
          </cell>
          <cell r="AC204">
            <v>0.751</v>
          </cell>
          <cell r="AD204">
            <v>0.27700000000000002</v>
          </cell>
          <cell r="AE204">
            <v>0.63</v>
          </cell>
        </row>
        <row r="205">
          <cell r="B205" t="str">
            <v>강진군</v>
          </cell>
          <cell r="C205">
            <v>196</v>
          </cell>
          <cell r="D205" t="str">
            <v>전남</v>
          </cell>
          <cell r="E205" t="str">
            <v>군이하지역</v>
          </cell>
          <cell r="F205">
            <v>48</v>
          </cell>
          <cell r="G205" t="str">
            <v>장흥지원</v>
          </cell>
          <cell r="H205">
            <v>0.56200000000000006</v>
          </cell>
          <cell r="I205">
            <v>0.53900000000000003</v>
          </cell>
          <cell r="J205">
            <v>0.65800000000000003</v>
          </cell>
          <cell r="K205">
            <v>0.69799999999999995</v>
          </cell>
          <cell r="L205">
            <v>0.52900000000000003</v>
          </cell>
          <cell r="M205">
            <v>0.505</v>
          </cell>
          <cell r="N205">
            <v>0.63700000000000001</v>
          </cell>
          <cell r="O205">
            <v>0.53900000000000003</v>
          </cell>
          <cell r="P205">
            <v>0.64600000000000002</v>
          </cell>
          <cell r="Q205">
            <v>0.39600000000000002</v>
          </cell>
          <cell r="R205">
            <v>0.55100000000000005</v>
          </cell>
          <cell r="S205">
            <v>0.58899999999999997</v>
          </cell>
          <cell r="T205">
            <v>0.51300000000000001</v>
          </cell>
          <cell r="U205">
            <v>0.61499999999999999</v>
          </cell>
          <cell r="V205">
            <v>0.64100000000000001</v>
          </cell>
          <cell r="W205">
            <v>0.63400000000000001</v>
          </cell>
          <cell r="X205">
            <v>0.65800000000000003</v>
          </cell>
          <cell r="Y205">
            <v>0.60799999999999998</v>
          </cell>
          <cell r="Z205">
            <v>0.5</v>
          </cell>
          <cell r="AA205">
            <v>0.84499999999999997</v>
          </cell>
          <cell r="AB205">
            <v>0.52400000000000002</v>
          </cell>
          <cell r="AC205">
            <v>0.68600000000000005</v>
          </cell>
          <cell r="AD205">
            <v>0.70199999999999996</v>
          </cell>
          <cell r="AE205">
            <v>0.33700000000000002</v>
          </cell>
        </row>
        <row r="206">
          <cell r="B206" t="str">
            <v>장흥군</v>
          </cell>
          <cell r="C206">
            <v>197</v>
          </cell>
          <cell r="D206" t="str">
            <v>전남</v>
          </cell>
          <cell r="E206" t="str">
            <v>군이하지역</v>
          </cell>
          <cell r="F206">
            <v>48</v>
          </cell>
          <cell r="G206" t="str">
            <v>장흥지원</v>
          </cell>
          <cell r="H206">
            <v>0.56200000000000006</v>
          </cell>
          <cell r="I206">
            <v>0.53900000000000003</v>
          </cell>
          <cell r="J206">
            <v>0.65800000000000003</v>
          </cell>
          <cell r="K206">
            <v>0.69799999999999995</v>
          </cell>
          <cell r="L206">
            <v>0.52900000000000003</v>
          </cell>
          <cell r="M206">
            <v>0.505</v>
          </cell>
          <cell r="N206">
            <v>0.63700000000000001</v>
          </cell>
          <cell r="O206">
            <v>0.53900000000000003</v>
          </cell>
          <cell r="P206">
            <v>0.64600000000000002</v>
          </cell>
          <cell r="Q206">
            <v>0.39600000000000002</v>
          </cell>
          <cell r="R206">
            <v>0.55100000000000005</v>
          </cell>
          <cell r="S206">
            <v>0.58899999999999997</v>
          </cell>
          <cell r="T206">
            <v>0.51300000000000001</v>
          </cell>
          <cell r="U206">
            <v>0.61499999999999999</v>
          </cell>
          <cell r="V206">
            <v>0.64100000000000001</v>
          </cell>
          <cell r="W206">
            <v>0.63400000000000001</v>
          </cell>
          <cell r="X206">
            <v>0.65800000000000003</v>
          </cell>
          <cell r="Y206">
            <v>0.60799999999999998</v>
          </cell>
          <cell r="Z206">
            <v>0.5</v>
          </cell>
          <cell r="AA206">
            <v>0.84499999999999997</v>
          </cell>
          <cell r="AB206">
            <v>0.52400000000000002</v>
          </cell>
          <cell r="AC206">
            <v>0.68600000000000005</v>
          </cell>
          <cell r="AD206">
            <v>0.70199999999999996</v>
          </cell>
          <cell r="AE206">
            <v>0.33700000000000002</v>
          </cell>
        </row>
        <row r="207">
          <cell r="B207" t="str">
            <v>전주시완산구</v>
          </cell>
          <cell r="C207">
            <v>198</v>
          </cell>
          <cell r="D207" t="str">
            <v>전북</v>
          </cell>
          <cell r="E207" t="str">
            <v>도청소재지</v>
          </cell>
          <cell r="F207">
            <v>49</v>
          </cell>
          <cell r="G207" t="str">
            <v>전주지방법원</v>
          </cell>
          <cell r="H207">
            <v>0.65800000000000003</v>
          </cell>
          <cell r="I207">
            <v>0.63700000000000001</v>
          </cell>
          <cell r="J207">
            <v>0.70399999999999996</v>
          </cell>
          <cell r="K207">
            <v>0.35</v>
          </cell>
          <cell r="L207">
            <v>0.62</v>
          </cell>
          <cell r="M207">
            <v>0.71199999999999997</v>
          </cell>
          <cell r="N207">
            <v>0.54500000000000004</v>
          </cell>
          <cell r="O207">
            <v>0.53900000000000003</v>
          </cell>
          <cell r="P207">
            <v>0.502</v>
          </cell>
          <cell r="Q207">
            <v>0.39300000000000002</v>
          </cell>
          <cell r="R207">
            <v>0.495</v>
          </cell>
          <cell r="S207">
            <v>0.55300000000000005</v>
          </cell>
          <cell r="T207">
            <v>0.64400000000000002</v>
          </cell>
          <cell r="U207">
            <v>0.7</v>
          </cell>
          <cell r="V207">
            <v>0.52900000000000003</v>
          </cell>
          <cell r="W207">
            <v>0.73699999999999999</v>
          </cell>
          <cell r="X207">
            <v>0.61799999999999999</v>
          </cell>
          <cell r="Y207">
            <v>0.72199999999999998</v>
          </cell>
          <cell r="Z207">
            <v>0.44600000000000001</v>
          </cell>
          <cell r="AA207">
            <v>0.72199999999999998</v>
          </cell>
          <cell r="AB207">
            <v>0.438</v>
          </cell>
          <cell r="AC207">
            <v>0.77300000000000002</v>
          </cell>
          <cell r="AD207">
            <v>0.224</v>
          </cell>
          <cell r="AE207">
            <v>0.44700000000000001</v>
          </cell>
        </row>
        <row r="208">
          <cell r="B208" t="str">
            <v>전주시덕진구</v>
          </cell>
          <cell r="C208">
            <v>199</v>
          </cell>
          <cell r="D208" t="str">
            <v>전북</v>
          </cell>
          <cell r="E208" t="str">
            <v>도청소재지</v>
          </cell>
          <cell r="F208">
            <v>49</v>
          </cell>
          <cell r="G208" t="str">
            <v>전주지방법원</v>
          </cell>
          <cell r="H208">
            <v>0.65800000000000003</v>
          </cell>
          <cell r="I208">
            <v>0.63700000000000001</v>
          </cell>
          <cell r="J208">
            <v>0.70399999999999996</v>
          </cell>
          <cell r="K208">
            <v>0.35</v>
          </cell>
          <cell r="L208">
            <v>0.62</v>
          </cell>
          <cell r="M208">
            <v>0.71199999999999997</v>
          </cell>
          <cell r="N208">
            <v>0.54500000000000004</v>
          </cell>
          <cell r="O208">
            <v>0.53900000000000003</v>
          </cell>
          <cell r="P208">
            <v>0.502</v>
          </cell>
          <cell r="Q208">
            <v>0.39300000000000002</v>
          </cell>
          <cell r="R208">
            <v>0.495</v>
          </cell>
          <cell r="S208">
            <v>0.55300000000000005</v>
          </cell>
          <cell r="T208">
            <v>0.64400000000000002</v>
          </cell>
          <cell r="U208">
            <v>0.7</v>
          </cell>
          <cell r="V208">
            <v>0.52900000000000003</v>
          </cell>
          <cell r="W208">
            <v>0.73699999999999999</v>
          </cell>
          <cell r="X208">
            <v>0.61799999999999999</v>
          </cell>
          <cell r="Y208">
            <v>0.72199999999999998</v>
          </cell>
          <cell r="Z208">
            <v>0.44600000000000001</v>
          </cell>
          <cell r="AA208">
            <v>0.72199999999999998</v>
          </cell>
          <cell r="AB208">
            <v>0.438</v>
          </cell>
          <cell r="AC208">
            <v>0.77300000000000002</v>
          </cell>
          <cell r="AD208">
            <v>0.224</v>
          </cell>
          <cell r="AE208">
            <v>0.44700000000000001</v>
          </cell>
        </row>
        <row r="209">
          <cell r="B209" t="str">
            <v>완주군</v>
          </cell>
          <cell r="C209">
            <v>200</v>
          </cell>
          <cell r="D209" t="str">
            <v>전북</v>
          </cell>
          <cell r="E209" t="str">
            <v>군이하지역</v>
          </cell>
          <cell r="F209">
            <v>49</v>
          </cell>
          <cell r="G209" t="str">
            <v>전주지방법원</v>
          </cell>
          <cell r="H209">
            <v>0.56200000000000006</v>
          </cell>
          <cell r="I209">
            <v>0.53900000000000003</v>
          </cell>
          <cell r="J209">
            <v>0.65800000000000003</v>
          </cell>
          <cell r="K209">
            <v>0.69799999999999995</v>
          </cell>
          <cell r="L209">
            <v>0.52900000000000003</v>
          </cell>
          <cell r="M209">
            <v>0.505</v>
          </cell>
          <cell r="N209">
            <v>0.63700000000000001</v>
          </cell>
          <cell r="O209">
            <v>0.53900000000000003</v>
          </cell>
          <cell r="P209">
            <v>0.64600000000000002</v>
          </cell>
          <cell r="Q209">
            <v>0.39600000000000002</v>
          </cell>
          <cell r="R209">
            <v>0.55100000000000005</v>
          </cell>
          <cell r="S209">
            <v>0.58899999999999997</v>
          </cell>
          <cell r="T209">
            <v>0.51300000000000001</v>
          </cell>
          <cell r="U209">
            <v>0.61499999999999999</v>
          </cell>
          <cell r="V209">
            <v>0.64100000000000001</v>
          </cell>
          <cell r="W209">
            <v>0.63400000000000001</v>
          </cell>
          <cell r="X209">
            <v>0.65800000000000003</v>
          </cell>
          <cell r="Y209">
            <v>0.60799999999999998</v>
          </cell>
          <cell r="Z209">
            <v>0.5</v>
          </cell>
          <cell r="AA209">
            <v>0.84499999999999997</v>
          </cell>
          <cell r="AB209">
            <v>0.52400000000000002</v>
          </cell>
          <cell r="AC209">
            <v>0.68600000000000005</v>
          </cell>
          <cell r="AD209">
            <v>0.70199999999999996</v>
          </cell>
          <cell r="AE209">
            <v>0.33700000000000002</v>
          </cell>
        </row>
        <row r="210">
          <cell r="B210" t="str">
            <v>임실군</v>
          </cell>
          <cell r="C210">
            <v>201</v>
          </cell>
          <cell r="D210" t="str">
            <v>전북</v>
          </cell>
          <cell r="E210" t="str">
            <v>군이하지역</v>
          </cell>
          <cell r="F210">
            <v>49</v>
          </cell>
          <cell r="G210" t="str">
            <v>전주지방법원</v>
          </cell>
          <cell r="H210">
            <v>0.56200000000000006</v>
          </cell>
          <cell r="I210">
            <v>0.53900000000000003</v>
          </cell>
          <cell r="J210">
            <v>0.65800000000000003</v>
          </cell>
          <cell r="K210">
            <v>0.69799999999999995</v>
          </cell>
          <cell r="L210">
            <v>0.52900000000000003</v>
          </cell>
          <cell r="M210">
            <v>0.505</v>
          </cell>
          <cell r="N210">
            <v>0.63700000000000001</v>
          </cell>
          <cell r="O210">
            <v>0.53900000000000003</v>
          </cell>
          <cell r="P210">
            <v>0.64600000000000002</v>
          </cell>
          <cell r="Q210">
            <v>0.39600000000000002</v>
          </cell>
          <cell r="R210">
            <v>0.55100000000000005</v>
          </cell>
          <cell r="S210">
            <v>0.58899999999999997</v>
          </cell>
          <cell r="T210">
            <v>0.51300000000000001</v>
          </cell>
          <cell r="U210">
            <v>0.61499999999999999</v>
          </cell>
          <cell r="V210">
            <v>0.64100000000000001</v>
          </cell>
          <cell r="W210">
            <v>0.63400000000000001</v>
          </cell>
          <cell r="X210">
            <v>0.65800000000000003</v>
          </cell>
          <cell r="Y210">
            <v>0.60799999999999998</v>
          </cell>
          <cell r="Z210">
            <v>0.5</v>
          </cell>
          <cell r="AA210">
            <v>0.84499999999999997</v>
          </cell>
          <cell r="AB210">
            <v>0.52400000000000002</v>
          </cell>
          <cell r="AC210">
            <v>0.68600000000000005</v>
          </cell>
          <cell r="AD210">
            <v>0.70199999999999996</v>
          </cell>
          <cell r="AE210">
            <v>0.33700000000000002</v>
          </cell>
        </row>
        <row r="211">
          <cell r="B211" t="str">
            <v>진안군</v>
          </cell>
          <cell r="C211">
            <v>202</v>
          </cell>
          <cell r="D211" t="str">
            <v>전북</v>
          </cell>
          <cell r="E211" t="str">
            <v>군이하지역</v>
          </cell>
          <cell r="F211">
            <v>49</v>
          </cell>
          <cell r="G211" t="str">
            <v>전주지방법원</v>
          </cell>
          <cell r="H211">
            <v>0.56200000000000006</v>
          </cell>
          <cell r="I211">
            <v>0.53900000000000003</v>
          </cell>
          <cell r="J211">
            <v>0.65800000000000003</v>
          </cell>
          <cell r="K211">
            <v>0.69799999999999995</v>
          </cell>
          <cell r="L211">
            <v>0.52900000000000003</v>
          </cell>
          <cell r="M211">
            <v>0.505</v>
          </cell>
          <cell r="N211">
            <v>0.63700000000000001</v>
          </cell>
          <cell r="O211">
            <v>0.53900000000000003</v>
          </cell>
          <cell r="P211">
            <v>0.64600000000000002</v>
          </cell>
          <cell r="Q211">
            <v>0.39600000000000002</v>
          </cell>
          <cell r="R211">
            <v>0.55100000000000005</v>
          </cell>
          <cell r="S211">
            <v>0.58899999999999997</v>
          </cell>
          <cell r="T211">
            <v>0.51300000000000001</v>
          </cell>
          <cell r="U211">
            <v>0.61499999999999999</v>
          </cell>
          <cell r="V211">
            <v>0.64100000000000001</v>
          </cell>
          <cell r="W211">
            <v>0.63400000000000001</v>
          </cell>
          <cell r="X211">
            <v>0.65800000000000003</v>
          </cell>
          <cell r="Y211">
            <v>0.60799999999999998</v>
          </cell>
          <cell r="Z211">
            <v>0.5</v>
          </cell>
          <cell r="AA211">
            <v>0.84499999999999997</v>
          </cell>
          <cell r="AB211">
            <v>0.52400000000000002</v>
          </cell>
          <cell r="AC211">
            <v>0.68600000000000005</v>
          </cell>
          <cell r="AD211">
            <v>0.70199999999999996</v>
          </cell>
          <cell r="AE211">
            <v>0.33700000000000002</v>
          </cell>
        </row>
        <row r="212">
          <cell r="B212" t="str">
            <v>무주군</v>
          </cell>
          <cell r="C212">
            <v>203</v>
          </cell>
          <cell r="D212" t="str">
            <v>전북</v>
          </cell>
          <cell r="E212" t="str">
            <v>군이하지역</v>
          </cell>
          <cell r="F212">
            <v>49</v>
          </cell>
          <cell r="G212" t="str">
            <v>전주지방법원</v>
          </cell>
          <cell r="H212">
            <v>0.56200000000000006</v>
          </cell>
          <cell r="I212">
            <v>0.53900000000000003</v>
          </cell>
          <cell r="J212">
            <v>0.65800000000000003</v>
          </cell>
          <cell r="K212">
            <v>0.69799999999999995</v>
          </cell>
          <cell r="L212">
            <v>0.52900000000000003</v>
          </cell>
          <cell r="M212">
            <v>0.505</v>
          </cell>
          <cell r="N212">
            <v>0.63700000000000001</v>
          </cell>
          <cell r="O212">
            <v>0.53900000000000003</v>
          </cell>
          <cell r="P212">
            <v>0.64600000000000002</v>
          </cell>
          <cell r="Q212">
            <v>0.39600000000000002</v>
          </cell>
          <cell r="R212">
            <v>0.55100000000000005</v>
          </cell>
          <cell r="S212">
            <v>0.58899999999999997</v>
          </cell>
          <cell r="T212">
            <v>0.51300000000000001</v>
          </cell>
          <cell r="U212">
            <v>0.61499999999999999</v>
          </cell>
          <cell r="V212">
            <v>0.64100000000000001</v>
          </cell>
          <cell r="W212">
            <v>0.63400000000000001</v>
          </cell>
          <cell r="X212">
            <v>0.65800000000000003</v>
          </cell>
          <cell r="Y212">
            <v>0.60799999999999998</v>
          </cell>
          <cell r="Z212">
            <v>0.5</v>
          </cell>
          <cell r="AA212">
            <v>0.84499999999999997</v>
          </cell>
          <cell r="AB212">
            <v>0.52400000000000002</v>
          </cell>
          <cell r="AC212">
            <v>0.68600000000000005</v>
          </cell>
          <cell r="AD212">
            <v>0.70199999999999996</v>
          </cell>
          <cell r="AE212">
            <v>0.33700000000000002</v>
          </cell>
        </row>
        <row r="213">
          <cell r="B213" t="str">
            <v>익산시</v>
          </cell>
          <cell r="C213">
            <v>204</v>
          </cell>
          <cell r="D213" t="str">
            <v>전북</v>
          </cell>
          <cell r="E213" t="str">
            <v>시지역</v>
          </cell>
          <cell r="F213">
            <v>51</v>
          </cell>
          <cell r="G213" t="str">
            <v>군산지원</v>
          </cell>
          <cell r="H213">
            <v>0.56200000000000006</v>
          </cell>
          <cell r="I213">
            <v>0.63700000000000001</v>
          </cell>
          <cell r="J213">
            <v>0.68799999999999994</v>
          </cell>
          <cell r="K213">
            <v>0.51500000000000001</v>
          </cell>
          <cell r="L213">
            <v>0.59699999999999998</v>
          </cell>
          <cell r="M213">
            <v>0.56000000000000005</v>
          </cell>
          <cell r="N213">
            <v>0.52300000000000002</v>
          </cell>
          <cell r="O213">
            <v>0.49199999999999999</v>
          </cell>
          <cell r="P213">
            <v>0.55600000000000005</v>
          </cell>
          <cell r="Q213">
            <v>0.44800000000000001</v>
          </cell>
          <cell r="R213">
            <v>0.56499999999999995</v>
          </cell>
          <cell r="S213">
            <v>0.56399999999999995</v>
          </cell>
          <cell r="T213">
            <v>0.46700000000000003</v>
          </cell>
          <cell r="U213">
            <v>0.50800000000000001</v>
          </cell>
          <cell r="V213">
            <v>0.67</v>
          </cell>
          <cell r="W213">
            <v>0.61</v>
          </cell>
          <cell r="X213">
            <v>0.624</v>
          </cell>
          <cell r="Y213">
            <v>0.65</v>
          </cell>
          <cell r="Z213">
            <v>0.57099999999999995</v>
          </cell>
          <cell r="AA213">
            <v>0.66700000000000004</v>
          </cell>
          <cell r="AB213">
            <v>0.55800000000000005</v>
          </cell>
          <cell r="AC213">
            <v>0.751</v>
          </cell>
          <cell r="AD213">
            <v>0.27700000000000002</v>
          </cell>
          <cell r="AE213">
            <v>0.63</v>
          </cell>
        </row>
        <row r="214">
          <cell r="B214" t="str">
            <v>군산시</v>
          </cell>
          <cell r="C214">
            <v>205</v>
          </cell>
          <cell r="D214" t="str">
            <v>전북</v>
          </cell>
          <cell r="E214" t="str">
            <v>시지역</v>
          </cell>
          <cell r="F214">
            <v>51</v>
          </cell>
          <cell r="G214" t="str">
            <v>군산지원</v>
          </cell>
          <cell r="H214">
            <v>0.56200000000000006</v>
          </cell>
          <cell r="I214">
            <v>0.63700000000000001</v>
          </cell>
          <cell r="J214">
            <v>0.68799999999999994</v>
          </cell>
          <cell r="K214">
            <v>0.51500000000000001</v>
          </cell>
          <cell r="L214">
            <v>0.59699999999999998</v>
          </cell>
          <cell r="M214">
            <v>0.56000000000000005</v>
          </cell>
          <cell r="N214">
            <v>0.52300000000000002</v>
          </cell>
          <cell r="O214">
            <v>0.49199999999999999</v>
          </cell>
          <cell r="P214">
            <v>0.55600000000000005</v>
          </cell>
          <cell r="Q214">
            <v>0.44800000000000001</v>
          </cell>
          <cell r="R214">
            <v>0.56499999999999995</v>
          </cell>
          <cell r="S214">
            <v>0.56399999999999995</v>
          </cell>
          <cell r="T214">
            <v>0.46700000000000003</v>
          </cell>
          <cell r="U214">
            <v>0.50800000000000001</v>
          </cell>
          <cell r="V214">
            <v>0.67</v>
          </cell>
          <cell r="W214">
            <v>0.61</v>
          </cell>
          <cell r="X214">
            <v>0.624</v>
          </cell>
          <cell r="Y214">
            <v>0.65</v>
          </cell>
          <cell r="Z214">
            <v>0.57099999999999995</v>
          </cell>
          <cell r="AA214">
            <v>0.66700000000000004</v>
          </cell>
          <cell r="AB214">
            <v>0.55800000000000005</v>
          </cell>
          <cell r="AC214">
            <v>0.751</v>
          </cell>
          <cell r="AD214">
            <v>0.27700000000000002</v>
          </cell>
          <cell r="AE214">
            <v>0.63</v>
          </cell>
        </row>
        <row r="215">
          <cell r="B215" t="str">
            <v>김제시</v>
          </cell>
          <cell r="C215">
            <v>206</v>
          </cell>
          <cell r="D215" t="str">
            <v>전북</v>
          </cell>
          <cell r="E215" t="str">
            <v>시지역</v>
          </cell>
          <cell r="F215">
            <v>49</v>
          </cell>
          <cell r="G215" t="str">
            <v>전주지방법원</v>
          </cell>
          <cell r="H215">
            <v>0.56200000000000006</v>
          </cell>
          <cell r="I215">
            <v>0.63700000000000001</v>
          </cell>
          <cell r="J215">
            <v>0.68799999999999994</v>
          </cell>
          <cell r="K215">
            <v>0.51500000000000001</v>
          </cell>
          <cell r="L215">
            <v>0.59699999999999998</v>
          </cell>
          <cell r="M215">
            <v>0.56000000000000005</v>
          </cell>
          <cell r="N215">
            <v>0.52300000000000002</v>
          </cell>
          <cell r="O215">
            <v>0.49199999999999999</v>
          </cell>
          <cell r="P215">
            <v>0.55600000000000005</v>
          </cell>
          <cell r="Q215">
            <v>0.44800000000000001</v>
          </cell>
          <cell r="R215">
            <v>0.56499999999999995</v>
          </cell>
          <cell r="S215">
            <v>0.56399999999999995</v>
          </cell>
          <cell r="T215">
            <v>0.46700000000000003</v>
          </cell>
          <cell r="U215">
            <v>0.50800000000000001</v>
          </cell>
          <cell r="V215">
            <v>0.67</v>
          </cell>
          <cell r="W215">
            <v>0.61</v>
          </cell>
          <cell r="X215">
            <v>0.624</v>
          </cell>
          <cell r="Y215">
            <v>0.65</v>
          </cell>
          <cell r="Z215">
            <v>0.57099999999999995</v>
          </cell>
          <cell r="AA215">
            <v>0.66700000000000004</v>
          </cell>
          <cell r="AB215">
            <v>0.55800000000000005</v>
          </cell>
          <cell r="AC215">
            <v>0.751</v>
          </cell>
          <cell r="AD215">
            <v>0.27700000000000002</v>
          </cell>
          <cell r="AE215">
            <v>0.63</v>
          </cell>
        </row>
        <row r="216">
          <cell r="B216" t="str">
            <v>부안군</v>
          </cell>
          <cell r="C216">
            <v>207</v>
          </cell>
          <cell r="D216" t="str">
            <v>전북</v>
          </cell>
          <cell r="E216" t="str">
            <v>군이하지역</v>
          </cell>
          <cell r="F216">
            <v>52</v>
          </cell>
          <cell r="G216" t="str">
            <v>정읍지원</v>
          </cell>
          <cell r="H216">
            <v>0.56200000000000006</v>
          </cell>
          <cell r="I216">
            <v>0.53900000000000003</v>
          </cell>
          <cell r="J216">
            <v>0.65800000000000003</v>
          </cell>
          <cell r="K216">
            <v>0.69799999999999995</v>
          </cell>
          <cell r="L216">
            <v>0.52900000000000003</v>
          </cell>
          <cell r="M216">
            <v>0.505</v>
          </cell>
          <cell r="N216">
            <v>0.63700000000000001</v>
          </cell>
          <cell r="O216">
            <v>0.53900000000000003</v>
          </cell>
          <cell r="P216">
            <v>0.64600000000000002</v>
          </cell>
          <cell r="Q216">
            <v>0.39600000000000002</v>
          </cell>
          <cell r="R216">
            <v>0.55100000000000005</v>
          </cell>
          <cell r="S216">
            <v>0.58899999999999997</v>
          </cell>
          <cell r="T216">
            <v>0.51300000000000001</v>
          </cell>
          <cell r="U216">
            <v>0.61499999999999999</v>
          </cell>
          <cell r="V216">
            <v>0.64100000000000001</v>
          </cell>
          <cell r="W216">
            <v>0.63400000000000001</v>
          </cell>
          <cell r="X216">
            <v>0.65800000000000003</v>
          </cell>
          <cell r="Y216">
            <v>0.60799999999999998</v>
          </cell>
          <cell r="Z216">
            <v>0.5</v>
          </cell>
          <cell r="AA216">
            <v>0.84499999999999997</v>
          </cell>
          <cell r="AB216">
            <v>0.52400000000000002</v>
          </cell>
          <cell r="AC216">
            <v>0.68600000000000005</v>
          </cell>
          <cell r="AD216">
            <v>0.70199999999999996</v>
          </cell>
          <cell r="AE216">
            <v>0.33700000000000002</v>
          </cell>
        </row>
        <row r="217">
          <cell r="B217" t="str">
            <v>정읍시</v>
          </cell>
          <cell r="C217">
            <v>208</v>
          </cell>
          <cell r="D217" t="str">
            <v>전북</v>
          </cell>
          <cell r="E217" t="str">
            <v>시지역</v>
          </cell>
          <cell r="F217">
            <v>52</v>
          </cell>
          <cell r="G217" t="str">
            <v>정읍지원</v>
          </cell>
          <cell r="H217">
            <v>0.56200000000000006</v>
          </cell>
          <cell r="I217">
            <v>0.63700000000000001</v>
          </cell>
          <cell r="J217">
            <v>0.68799999999999994</v>
          </cell>
          <cell r="K217">
            <v>0.51500000000000001</v>
          </cell>
          <cell r="L217">
            <v>0.59699999999999998</v>
          </cell>
          <cell r="M217">
            <v>0.56000000000000005</v>
          </cell>
          <cell r="N217">
            <v>0.52300000000000002</v>
          </cell>
          <cell r="O217">
            <v>0.49199999999999999</v>
          </cell>
          <cell r="P217">
            <v>0.55600000000000005</v>
          </cell>
          <cell r="Q217">
            <v>0.44800000000000001</v>
          </cell>
          <cell r="R217">
            <v>0.56499999999999995</v>
          </cell>
          <cell r="S217">
            <v>0.56399999999999995</v>
          </cell>
          <cell r="T217">
            <v>0.46700000000000003</v>
          </cell>
          <cell r="U217">
            <v>0.50800000000000001</v>
          </cell>
          <cell r="V217">
            <v>0.67</v>
          </cell>
          <cell r="W217">
            <v>0.61</v>
          </cell>
          <cell r="X217">
            <v>0.624</v>
          </cell>
          <cell r="Y217">
            <v>0.65</v>
          </cell>
          <cell r="Z217">
            <v>0.57099999999999995</v>
          </cell>
          <cell r="AA217">
            <v>0.66700000000000004</v>
          </cell>
          <cell r="AB217">
            <v>0.55800000000000005</v>
          </cell>
          <cell r="AC217">
            <v>0.751</v>
          </cell>
          <cell r="AD217">
            <v>0.27700000000000002</v>
          </cell>
          <cell r="AE217">
            <v>0.63</v>
          </cell>
        </row>
        <row r="218">
          <cell r="B218" t="str">
            <v>고창군</v>
          </cell>
          <cell r="C218">
            <v>209</v>
          </cell>
          <cell r="D218" t="str">
            <v>전북</v>
          </cell>
          <cell r="E218" t="str">
            <v>군이하지역</v>
          </cell>
          <cell r="F218">
            <v>52</v>
          </cell>
          <cell r="G218" t="str">
            <v>정읍지원</v>
          </cell>
          <cell r="H218">
            <v>0.56200000000000006</v>
          </cell>
          <cell r="I218">
            <v>0.53900000000000003</v>
          </cell>
          <cell r="J218">
            <v>0.65800000000000003</v>
          </cell>
          <cell r="K218">
            <v>0.69799999999999995</v>
          </cell>
          <cell r="L218">
            <v>0.52900000000000003</v>
          </cell>
          <cell r="M218">
            <v>0.505</v>
          </cell>
          <cell r="N218">
            <v>0.63700000000000001</v>
          </cell>
          <cell r="O218">
            <v>0.53900000000000003</v>
          </cell>
          <cell r="P218">
            <v>0.64600000000000002</v>
          </cell>
          <cell r="Q218">
            <v>0.39600000000000002</v>
          </cell>
          <cell r="R218">
            <v>0.55100000000000005</v>
          </cell>
          <cell r="S218">
            <v>0.58899999999999997</v>
          </cell>
          <cell r="T218">
            <v>0.51300000000000001</v>
          </cell>
          <cell r="U218">
            <v>0.61499999999999999</v>
          </cell>
          <cell r="V218">
            <v>0.64100000000000001</v>
          </cell>
          <cell r="W218">
            <v>0.63400000000000001</v>
          </cell>
          <cell r="X218">
            <v>0.65800000000000003</v>
          </cell>
          <cell r="Y218">
            <v>0.60799999999999998</v>
          </cell>
          <cell r="Z218">
            <v>0.5</v>
          </cell>
          <cell r="AA218">
            <v>0.84499999999999997</v>
          </cell>
          <cell r="AB218">
            <v>0.52400000000000002</v>
          </cell>
          <cell r="AC218">
            <v>0.68600000000000005</v>
          </cell>
          <cell r="AD218">
            <v>0.70199999999999996</v>
          </cell>
          <cell r="AE218">
            <v>0.33700000000000002</v>
          </cell>
        </row>
        <row r="219">
          <cell r="B219" t="str">
            <v>남원시</v>
          </cell>
          <cell r="C219">
            <v>210</v>
          </cell>
          <cell r="D219" t="str">
            <v>전북</v>
          </cell>
          <cell r="E219" t="str">
            <v>시지역</v>
          </cell>
          <cell r="F219">
            <v>50</v>
          </cell>
          <cell r="G219" t="str">
            <v>남원지원</v>
          </cell>
          <cell r="H219">
            <v>0.56200000000000006</v>
          </cell>
          <cell r="I219">
            <v>0.63700000000000001</v>
          </cell>
          <cell r="J219">
            <v>0.68799999999999994</v>
          </cell>
          <cell r="K219">
            <v>0.51500000000000001</v>
          </cell>
          <cell r="L219">
            <v>0.59699999999999998</v>
          </cell>
          <cell r="M219">
            <v>0.56000000000000005</v>
          </cell>
          <cell r="N219">
            <v>0.52300000000000002</v>
          </cell>
          <cell r="O219">
            <v>0.49199999999999999</v>
          </cell>
          <cell r="P219">
            <v>0.55600000000000005</v>
          </cell>
          <cell r="Q219">
            <v>0.44800000000000001</v>
          </cell>
          <cell r="R219">
            <v>0.56499999999999995</v>
          </cell>
          <cell r="S219">
            <v>0.56399999999999995</v>
          </cell>
          <cell r="T219">
            <v>0.46700000000000003</v>
          </cell>
          <cell r="U219">
            <v>0.50800000000000001</v>
          </cell>
          <cell r="V219">
            <v>0.67</v>
          </cell>
          <cell r="W219">
            <v>0.61</v>
          </cell>
          <cell r="X219">
            <v>0.624</v>
          </cell>
          <cell r="Y219">
            <v>0.65</v>
          </cell>
          <cell r="Z219">
            <v>0.57099999999999995</v>
          </cell>
          <cell r="AA219">
            <v>0.66700000000000004</v>
          </cell>
          <cell r="AB219">
            <v>0.55800000000000005</v>
          </cell>
          <cell r="AC219">
            <v>0.751</v>
          </cell>
          <cell r="AD219">
            <v>0.27700000000000002</v>
          </cell>
          <cell r="AE219">
            <v>0.63</v>
          </cell>
        </row>
        <row r="220">
          <cell r="B220" t="str">
            <v>순창군</v>
          </cell>
          <cell r="C220">
            <v>211</v>
          </cell>
          <cell r="D220" t="str">
            <v>전북</v>
          </cell>
          <cell r="E220" t="str">
            <v>군이하지역</v>
          </cell>
          <cell r="F220">
            <v>50</v>
          </cell>
          <cell r="G220" t="str">
            <v>남원지원</v>
          </cell>
          <cell r="H220">
            <v>0.56200000000000006</v>
          </cell>
          <cell r="I220">
            <v>0.53900000000000003</v>
          </cell>
          <cell r="J220">
            <v>0.65800000000000003</v>
          </cell>
          <cell r="K220">
            <v>0.69799999999999995</v>
          </cell>
          <cell r="L220">
            <v>0.52900000000000003</v>
          </cell>
          <cell r="M220">
            <v>0.505</v>
          </cell>
          <cell r="N220">
            <v>0.63700000000000001</v>
          </cell>
          <cell r="O220">
            <v>0.53900000000000003</v>
          </cell>
          <cell r="P220">
            <v>0.64600000000000002</v>
          </cell>
          <cell r="Q220">
            <v>0.39600000000000002</v>
          </cell>
          <cell r="R220">
            <v>0.55100000000000005</v>
          </cell>
          <cell r="S220">
            <v>0.58899999999999997</v>
          </cell>
          <cell r="T220">
            <v>0.51300000000000001</v>
          </cell>
          <cell r="U220">
            <v>0.61499999999999999</v>
          </cell>
          <cell r="V220">
            <v>0.64100000000000001</v>
          </cell>
          <cell r="W220">
            <v>0.63400000000000001</v>
          </cell>
          <cell r="X220">
            <v>0.65800000000000003</v>
          </cell>
          <cell r="Y220">
            <v>0.60799999999999998</v>
          </cell>
          <cell r="Z220">
            <v>0.5</v>
          </cell>
          <cell r="AA220">
            <v>0.84499999999999997</v>
          </cell>
          <cell r="AB220">
            <v>0.52400000000000002</v>
          </cell>
          <cell r="AC220">
            <v>0.68600000000000005</v>
          </cell>
          <cell r="AD220">
            <v>0.70199999999999996</v>
          </cell>
          <cell r="AE220">
            <v>0.33700000000000002</v>
          </cell>
        </row>
        <row r="221">
          <cell r="B221" t="str">
            <v>장수군</v>
          </cell>
          <cell r="C221">
            <v>212</v>
          </cell>
          <cell r="D221" t="str">
            <v>전북</v>
          </cell>
          <cell r="E221" t="str">
            <v>군이하지역</v>
          </cell>
          <cell r="F221">
            <v>50</v>
          </cell>
          <cell r="G221" t="str">
            <v>남원지원</v>
          </cell>
          <cell r="H221">
            <v>0.56200000000000006</v>
          </cell>
          <cell r="I221">
            <v>0.53900000000000003</v>
          </cell>
          <cell r="J221">
            <v>0.65800000000000003</v>
          </cell>
          <cell r="K221">
            <v>0.69799999999999995</v>
          </cell>
          <cell r="L221">
            <v>0.52900000000000003</v>
          </cell>
          <cell r="M221">
            <v>0.505</v>
          </cell>
          <cell r="N221">
            <v>0.63700000000000001</v>
          </cell>
          <cell r="O221">
            <v>0.53900000000000003</v>
          </cell>
          <cell r="P221">
            <v>0.64600000000000002</v>
          </cell>
          <cell r="Q221">
            <v>0.39600000000000002</v>
          </cell>
          <cell r="R221">
            <v>0.55100000000000005</v>
          </cell>
          <cell r="S221">
            <v>0.58899999999999997</v>
          </cell>
          <cell r="T221">
            <v>0.51300000000000001</v>
          </cell>
          <cell r="U221">
            <v>0.61499999999999999</v>
          </cell>
          <cell r="V221">
            <v>0.64100000000000001</v>
          </cell>
          <cell r="W221">
            <v>0.63400000000000001</v>
          </cell>
          <cell r="X221">
            <v>0.65800000000000003</v>
          </cell>
          <cell r="Y221">
            <v>0.60799999999999998</v>
          </cell>
          <cell r="Z221">
            <v>0.5</v>
          </cell>
          <cell r="AA221">
            <v>0.84499999999999997</v>
          </cell>
          <cell r="AB221">
            <v>0.52400000000000002</v>
          </cell>
          <cell r="AC221">
            <v>0.68600000000000005</v>
          </cell>
          <cell r="AD221">
            <v>0.70199999999999996</v>
          </cell>
          <cell r="AE221">
            <v>0.33700000000000002</v>
          </cell>
        </row>
        <row r="222">
          <cell r="B222" t="str">
            <v>제주시</v>
          </cell>
          <cell r="C222">
            <v>213</v>
          </cell>
          <cell r="D222" t="str">
            <v>제주</v>
          </cell>
          <cell r="E222" t="str">
            <v>도청소재지</v>
          </cell>
          <cell r="F222">
            <v>53</v>
          </cell>
          <cell r="G222" t="str">
            <v>제주지방법원</v>
          </cell>
          <cell r="H222">
            <v>0.65800000000000003</v>
          </cell>
          <cell r="I222">
            <v>0.63700000000000001</v>
          </cell>
          <cell r="J222">
            <v>0.70399999999999996</v>
          </cell>
          <cell r="K222">
            <v>0.35</v>
          </cell>
          <cell r="L222">
            <v>0.62</v>
          </cell>
          <cell r="M222">
            <v>0.71199999999999997</v>
          </cell>
          <cell r="N222">
            <v>0.54500000000000004</v>
          </cell>
          <cell r="O222">
            <v>0.53900000000000003</v>
          </cell>
          <cell r="P222">
            <v>0.502</v>
          </cell>
          <cell r="Q222">
            <v>0.39300000000000002</v>
          </cell>
          <cell r="R222">
            <v>0.495</v>
          </cell>
          <cell r="S222">
            <v>0.55300000000000005</v>
          </cell>
          <cell r="T222">
            <v>0.64400000000000002</v>
          </cell>
          <cell r="U222">
            <v>0.7</v>
          </cell>
          <cell r="V222">
            <v>0.52900000000000003</v>
          </cell>
          <cell r="W222">
            <v>0.73699999999999999</v>
          </cell>
          <cell r="X222">
            <v>0.61799999999999999</v>
          </cell>
          <cell r="Y222">
            <v>0.72199999999999998</v>
          </cell>
          <cell r="Z222">
            <v>0.44600000000000001</v>
          </cell>
          <cell r="AA222">
            <v>0.72199999999999998</v>
          </cell>
          <cell r="AB222">
            <v>0.438</v>
          </cell>
          <cell r="AC222">
            <v>0.77300000000000002</v>
          </cell>
          <cell r="AD222">
            <v>0.224</v>
          </cell>
          <cell r="AE222">
            <v>0.44700000000000001</v>
          </cell>
        </row>
        <row r="223">
          <cell r="B223" t="str">
            <v>북제주군</v>
          </cell>
          <cell r="C223">
            <v>214</v>
          </cell>
          <cell r="D223" t="str">
            <v>제주</v>
          </cell>
          <cell r="E223" t="str">
            <v>군이하지역</v>
          </cell>
          <cell r="F223">
            <v>53</v>
          </cell>
          <cell r="G223" t="str">
            <v>제주지방법원</v>
          </cell>
          <cell r="H223">
            <v>0.56200000000000006</v>
          </cell>
          <cell r="I223">
            <v>0.53900000000000003</v>
          </cell>
          <cell r="J223">
            <v>0.65800000000000003</v>
          </cell>
          <cell r="K223">
            <v>0.69799999999999995</v>
          </cell>
          <cell r="L223">
            <v>0.52900000000000003</v>
          </cell>
          <cell r="M223">
            <v>0.505</v>
          </cell>
          <cell r="N223">
            <v>0.63700000000000001</v>
          </cell>
          <cell r="O223">
            <v>0.53900000000000003</v>
          </cell>
          <cell r="P223">
            <v>0.64600000000000002</v>
          </cell>
          <cell r="Q223">
            <v>0.39600000000000002</v>
          </cell>
          <cell r="R223">
            <v>0.55100000000000005</v>
          </cell>
          <cell r="S223">
            <v>0.58899999999999997</v>
          </cell>
          <cell r="T223">
            <v>0.51300000000000001</v>
          </cell>
          <cell r="U223">
            <v>0.61499999999999999</v>
          </cell>
          <cell r="V223">
            <v>0.64100000000000001</v>
          </cell>
          <cell r="W223">
            <v>0.63400000000000001</v>
          </cell>
          <cell r="X223">
            <v>0.65800000000000003</v>
          </cell>
          <cell r="Y223">
            <v>0.60799999999999998</v>
          </cell>
          <cell r="Z223">
            <v>0.5</v>
          </cell>
          <cell r="AA223">
            <v>0.84499999999999997</v>
          </cell>
          <cell r="AB223">
            <v>0.52400000000000002</v>
          </cell>
          <cell r="AC223">
            <v>0.68600000000000005</v>
          </cell>
          <cell r="AD223">
            <v>0.70199999999999996</v>
          </cell>
          <cell r="AE223">
            <v>0.33700000000000002</v>
          </cell>
        </row>
        <row r="224">
          <cell r="B224" t="str">
            <v>서귀포시</v>
          </cell>
          <cell r="C224">
            <v>215</v>
          </cell>
          <cell r="D224" t="str">
            <v>제주</v>
          </cell>
          <cell r="E224" t="str">
            <v>시지역</v>
          </cell>
          <cell r="F224">
            <v>53</v>
          </cell>
          <cell r="G224" t="str">
            <v>제주지방법원</v>
          </cell>
          <cell r="H224">
            <v>0.56200000000000006</v>
          </cell>
          <cell r="I224">
            <v>0.63700000000000001</v>
          </cell>
          <cell r="J224">
            <v>0.68799999999999994</v>
          </cell>
          <cell r="K224">
            <v>0.51500000000000001</v>
          </cell>
          <cell r="L224">
            <v>0.59699999999999998</v>
          </cell>
          <cell r="M224">
            <v>0.56000000000000005</v>
          </cell>
          <cell r="N224">
            <v>0.52300000000000002</v>
          </cell>
          <cell r="O224">
            <v>0.49199999999999999</v>
          </cell>
          <cell r="P224">
            <v>0.55600000000000005</v>
          </cell>
          <cell r="Q224">
            <v>0.44800000000000001</v>
          </cell>
          <cell r="R224">
            <v>0.56499999999999995</v>
          </cell>
          <cell r="S224">
            <v>0.56399999999999995</v>
          </cell>
          <cell r="T224">
            <v>0.46700000000000003</v>
          </cell>
          <cell r="U224">
            <v>0.50800000000000001</v>
          </cell>
          <cell r="V224">
            <v>0.67</v>
          </cell>
          <cell r="W224">
            <v>0.61</v>
          </cell>
          <cell r="X224">
            <v>0.624</v>
          </cell>
          <cell r="Y224">
            <v>0.65</v>
          </cell>
          <cell r="Z224">
            <v>0.57099999999999995</v>
          </cell>
          <cell r="AA224">
            <v>0.66700000000000004</v>
          </cell>
          <cell r="AB224">
            <v>0.55800000000000005</v>
          </cell>
          <cell r="AC224">
            <v>0.751</v>
          </cell>
          <cell r="AD224">
            <v>0.27700000000000002</v>
          </cell>
          <cell r="AE224">
            <v>0.63</v>
          </cell>
        </row>
        <row r="225">
          <cell r="B225" t="str">
            <v>남제주군</v>
          </cell>
          <cell r="C225">
            <v>216</v>
          </cell>
          <cell r="D225" t="str">
            <v>제주</v>
          </cell>
          <cell r="E225" t="str">
            <v>군이하지역</v>
          </cell>
          <cell r="F225">
            <v>53</v>
          </cell>
          <cell r="G225" t="str">
            <v>제주지방법원</v>
          </cell>
          <cell r="H225">
            <v>0.56200000000000006</v>
          </cell>
          <cell r="I225">
            <v>0.53900000000000003</v>
          </cell>
          <cell r="J225">
            <v>0.65800000000000003</v>
          </cell>
          <cell r="K225">
            <v>0.69799999999999995</v>
          </cell>
          <cell r="L225">
            <v>0.52900000000000003</v>
          </cell>
          <cell r="M225">
            <v>0.505</v>
          </cell>
          <cell r="N225">
            <v>0.63700000000000001</v>
          </cell>
          <cell r="O225">
            <v>0.53900000000000003</v>
          </cell>
          <cell r="P225">
            <v>0.64600000000000002</v>
          </cell>
          <cell r="Q225">
            <v>0.39600000000000002</v>
          </cell>
          <cell r="R225">
            <v>0.55100000000000005</v>
          </cell>
          <cell r="S225">
            <v>0.58899999999999997</v>
          </cell>
          <cell r="T225">
            <v>0.51300000000000001</v>
          </cell>
          <cell r="U225">
            <v>0.61499999999999999</v>
          </cell>
          <cell r="V225">
            <v>0.64100000000000001</v>
          </cell>
          <cell r="W225">
            <v>0.63400000000000001</v>
          </cell>
          <cell r="X225">
            <v>0.65800000000000003</v>
          </cell>
          <cell r="Y225">
            <v>0.60799999999999998</v>
          </cell>
          <cell r="Z225">
            <v>0.5</v>
          </cell>
          <cell r="AA225">
            <v>0.84499999999999997</v>
          </cell>
          <cell r="AB225">
            <v>0.52400000000000002</v>
          </cell>
          <cell r="AC225">
            <v>0.68600000000000005</v>
          </cell>
          <cell r="AD225">
            <v>0.70199999999999996</v>
          </cell>
          <cell r="AE225">
            <v>0.33700000000000002</v>
          </cell>
        </row>
        <row r="226">
          <cell r="B226" t="str">
            <v>금산군</v>
          </cell>
          <cell r="C226">
            <v>217</v>
          </cell>
          <cell r="D226" t="str">
            <v>충남</v>
          </cell>
          <cell r="E226" t="str">
            <v>군이하지역</v>
          </cell>
          <cell r="F226">
            <v>13</v>
          </cell>
          <cell r="G226" t="str">
            <v>대전지방법원</v>
          </cell>
          <cell r="H226">
            <v>0.56200000000000006</v>
          </cell>
          <cell r="I226">
            <v>0.53900000000000003</v>
          </cell>
          <cell r="J226">
            <v>0.65800000000000003</v>
          </cell>
          <cell r="K226">
            <v>0.69799999999999995</v>
          </cell>
          <cell r="L226">
            <v>0.52900000000000003</v>
          </cell>
          <cell r="M226">
            <v>0.505</v>
          </cell>
          <cell r="N226">
            <v>0.63700000000000001</v>
          </cell>
          <cell r="O226">
            <v>0.53900000000000003</v>
          </cell>
          <cell r="P226">
            <v>0.64600000000000002</v>
          </cell>
          <cell r="Q226">
            <v>0.39600000000000002</v>
          </cell>
          <cell r="R226">
            <v>0.55100000000000005</v>
          </cell>
          <cell r="S226">
            <v>0.58899999999999997</v>
          </cell>
          <cell r="T226">
            <v>0.51300000000000001</v>
          </cell>
          <cell r="U226">
            <v>0.61499999999999999</v>
          </cell>
          <cell r="V226">
            <v>0.64100000000000001</v>
          </cell>
          <cell r="W226">
            <v>0.63400000000000001</v>
          </cell>
          <cell r="X226">
            <v>0.65800000000000003</v>
          </cell>
          <cell r="Y226">
            <v>0.60799999999999998</v>
          </cell>
          <cell r="Z226">
            <v>0.5</v>
          </cell>
          <cell r="AA226">
            <v>0.84499999999999997</v>
          </cell>
          <cell r="AB226">
            <v>0.52400000000000002</v>
          </cell>
          <cell r="AC226">
            <v>0.68600000000000005</v>
          </cell>
          <cell r="AD226">
            <v>0.70199999999999996</v>
          </cell>
          <cell r="AE226">
            <v>0.33700000000000002</v>
          </cell>
        </row>
        <row r="227">
          <cell r="B227" t="str">
            <v>공주시</v>
          </cell>
          <cell r="C227">
            <v>218</v>
          </cell>
          <cell r="D227" t="str">
            <v>충남</v>
          </cell>
          <cell r="E227" t="str">
            <v>시지역</v>
          </cell>
          <cell r="F227">
            <v>15</v>
          </cell>
          <cell r="G227" t="str">
            <v>공주지원</v>
          </cell>
          <cell r="H227">
            <v>0.56200000000000006</v>
          </cell>
          <cell r="I227">
            <v>0.63700000000000001</v>
          </cell>
          <cell r="J227">
            <v>0.68799999999999994</v>
          </cell>
          <cell r="K227">
            <v>0.51500000000000001</v>
          </cell>
          <cell r="L227">
            <v>0.59699999999999998</v>
          </cell>
          <cell r="M227">
            <v>0.56000000000000005</v>
          </cell>
          <cell r="N227">
            <v>0.52300000000000002</v>
          </cell>
          <cell r="O227">
            <v>0.49199999999999999</v>
          </cell>
          <cell r="P227">
            <v>0.55600000000000005</v>
          </cell>
          <cell r="Q227">
            <v>0.44800000000000001</v>
          </cell>
          <cell r="R227">
            <v>0.56499999999999995</v>
          </cell>
          <cell r="S227">
            <v>0.56399999999999995</v>
          </cell>
          <cell r="T227">
            <v>0.46700000000000003</v>
          </cell>
          <cell r="U227">
            <v>0.50800000000000001</v>
          </cell>
          <cell r="V227">
            <v>0.67</v>
          </cell>
          <cell r="W227">
            <v>0.61</v>
          </cell>
          <cell r="X227">
            <v>0.624</v>
          </cell>
          <cell r="Y227">
            <v>0.65</v>
          </cell>
          <cell r="Z227">
            <v>0.57099999999999995</v>
          </cell>
          <cell r="AA227">
            <v>0.66700000000000004</v>
          </cell>
          <cell r="AB227">
            <v>0.55800000000000005</v>
          </cell>
          <cell r="AC227">
            <v>0.751</v>
          </cell>
          <cell r="AD227">
            <v>0.27700000000000002</v>
          </cell>
          <cell r="AE227">
            <v>0.63</v>
          </cell>
        </row>
        <row r="228">
          <cell r="B228" t="str">
            <v>논산시</v>
          </cell>
          <cell r="C228">
            <v>219</v>
          </cell>
          <cell r="D228" t="str">
            <v>충남</v>
          </cell>
          <cell r="E228" t="str">
            <v>시지역</v>
          </cell>
          <cell r="F228">
            <v>18</v>
          </cell>
          <cell r="G228" t="str">
            <v>강경지원</v>
          </cell>
          <cell r="H228">
            <v>0.56200000000000006</v>
          </cell>
          <cell r="I228">
            <v>0.63700000000000001</v>
          </cell>
          <cell r="J228">
            <v>0.68799999999999994</v>
          </cell>
          <cell r="K228">
            <v>0.51500000000000001</v>
          </cell>
          <cell r="L228">
            <v>0.59699999999999998</v>
          </cell>
          <cell r="M228">
            <v>0.56000000000000005</v>
          </cell>
          <cell r="N228">
            <v>0.52300000000000002</v>
          </cell>
          <cell r="O228">
            <v>0.49199999999999999</v>
          </cell>
          <cell r="P228">
            <v>0.55600000000000005</v>
          </cell>
          <cell r="Q228">
            <v>0.44800000000000001</v>
          </cell>
          <cell r="R228">
            <v>0.56499999999999995</v>
          </cell>
          <cell r="S228">
            <v>0.56399999999999995</v>
          </cell>
          <cell r="T228">
            <v>0.46700000000000003</v>
          </cell>
          <cell r="U228">
            <v>0.50800000000000001</v>
          </cell>
          <cell r="V228">
            <v>0.67</v>
          </cell>
          <cell r="W228">
            <v>0.61</v>
          </cell>
          <cell r="X228">
            <v>0.624</v>
          </cell>
          <cell r="Y228">
            <v>0.65</v>
          </cell>
          <cell r="Z228">
            <v>0.57099999999999995</v>
          </cell>
          <cell r="AA228">
            <v>0.66700000000000004</v>
          </cell>
          <cell r="AB228">
            <v>0.55800000000000005</v>
          </cell>
          <cell r="AC228">
            <v>0.751</v>
          </cell>
          <cell r="AD228">
            <v>0.27700000000000002</v>
          </cell>
          <cell r="AE228">
            <v>0.63</v>
          </cell>
        </row>
        <row r="229">
          <cell r="B229" t="str">
            <v>부여군</v>
          </cell>
          <cell r="C229">
            <v>220</v>
          </cell>
          <cell r="D229" t="str">
            <v>충남</v>
          </cell>
          <cell r="E229" t="str">
            <v>군이하지역</v>
          </cell>
          <cell r="F229">
            <v>18</v>
          </cell>
          <cell r="G229" t="str">
            <v>강경지원</v>
          </cell>
          <cell r="H229">
            <v>0.56200000000000006</v>
          </cell>
          <cell r="I229">
            <v>0.53900000000000003</v>
          </cell>
          <cell r="J229">
            <v>0.65800000000000003</v>
          </cell>
          <cell r="K229">
            <v>0.69799999999999995</v>
          </cell>
          <cell r="L229">
            <v>0.52900000000000003</v>
          </cell>
          <cell r="M229">
            <v>0.505</v>
          </cell>
          <cell r="N229">
            <v>0.63700000000000001</v>
          </cell>
          <cell r="O229">
            <v>0.53900000000000003</v>
          </cell>
          <cell r="P229">
            <v>0.64600000000000002</v>
          </cell>
          <cell r="Q229">
            <v>0.39600000000000002</v>
          </cell>
          <cell r="R229">
            <v>0.55100000000000005</v>
          </cell>
          <cell r="S229">
            <v>0.58899999999999997</v>
          </cell>
          <cell r="T229">
            <v>0.51300000000000001</v>
          </cell>
          <cell r="U229">
            <v>0.61499999999999999</v>
          </cell>
          <cell r="V229">
            <v>0.64100000000000001</v>
          </cell>
          <cell r="W229">
            <v>0.63400000000000001</v>
          </cell>
          <cell r="X229">
            <v>0.65800000000000003</v>
          </cell>
          <cell r="Y229">
            <v>0.60799999999999998</v>
          </cell>
          <cell r="Z229">
            <v>0.5</v>
          </cell>
          <cell r="AA229">
            <v>0.84499999999999997</v>
          </cell>
          <cell r="AB229">
            <v>0.52400000000000002</v>
          </cell>
          <cell r="AC229">
            <v>0.68600000000000005</v>
          </cell>
          <cell r="AD229">
            <v>0.70199999999999996</v>
          </cell>
          <cell r="AE229">
            <v>0.33700000000000002</v>
          </cell>
        </row>
        <row r="230">
          <cell r="B230" t="str">
            <v>서천군</v>
          </cell>
          <cell r="C230">
            <v>221</v>
          </cell>
          <cell r="D230" t="str">
            <v>충남</v>
          </cell>
          <cell r="E230" t="str">
            <v>군이하지역</v>
          </cell>
          <cell r="F230">
            <v>17</v>
          </cell>
          <cell r="G230" t="str">
            <v>홍성지원</v>
          </cell>
          <cell r="H230">
            <v>0.56200000000000006</v>
          </cell>
          <cell r="I230">
            <v>0.53900000000000003</v>
          </cell>
          <cell r="J230">
            <v>0.65800000000000003</v>
          </cell>
          <cell r="K230">
            <v>0.69799999999999995</v>
          </cell>
          <cell r="L230">
            <v>0.52900000000000003</v>
          </cell>
          <cell r="M230">
            <v>0.505</v>
          </cell>
          <cell r="N230">
            <v>0.63700000000000001</v>
          </cell>
          <cell r="O230">
            <v>0.53900000000000003</v>
          </cell>
          <cell r="P230">
            <v>0.64600000000000002</v>
          </cell>
          <cell r="Q230">
            <v>0.39600000000000002</v>
          </cell>
          <cell r="R230">
            <v>0.55100000000000005</v>
          </cell>
          <cell r="S230">
            <v>0.58899999999999997</v>
          </cell>
          <cell r="T230">
            <v>0.51300000000000001</v>
          </cell>
          <cell r="U230">
            <v>0.61499999999999999</v>
          </cell>
          <cell r="V230">
            <v>0.64100000000000001</v>
          </cell>
          <cell r="W230">
            <v>0.63400000000000001</v>
          </cell>
          <cell r="X230">
            <v>0.65800000000000003</v>
          </cell>
          <cell r="Y230">
            <v>0.60799999999999998</v>
          </cell>
          <cell r="Z230">
            <v>0.5</v>
          </cell>
          <cell r="AA230">
            <v>0.84499999999999997</v>
          </cell>
          <cell r="AB230">
            <v>0.52400000000000002</v>
          </cell>
          <cell r="AC230">
            <v>0.68600000000000005</v>
          </cell>
          <cell r="AD230">
            <v>0.70199999999999996</v>
          </cell>
          <cell r="AE230">
            <v>0.33700000000000002</v>
          </cell>
        </row>
        <row r="231">
          <cell r="B231" t="str">
            <v>천안시</v>
          </cell>
          <cell r="C231">
            <v>222</v>
          </cell>
          <cell r="D231" t="str">
            <v>충남</v>
          </cell>
          <cell r="E231" t="str">
            <v>시지역</v>
          </cell>
          <cell r="F231">
            <v>14</v>
          </cell>
          <cell r="G231" t="str">
            <v>천안지원</v>
          </cell>
          <cell r="H231">
            <v>0.56200000000000006</v>
          </cell>
          <cell r="I231">
            <v>0.63700000000000001</v>
          </cell>
          <cell r="J231">
            <v>0.68799999999999994</v>
          </cell>
          <cell r="K231">
            <v>0.51500000000000001</v>
          </cell>
          <cell r="L231">
            <v>0.59699999999999998</v>
          </cell>
          <cell r="M231">
            <v>0.56000000000000005</v>
          </cell>
          <cell r="N231">
            <v>0.52300000000000002</v>
          </cell>
          <cell r="O231">
            <v>0.49199999999999999</v>
          </cell>
          <cell r="P231">
            <v>0.55600000000000005</v>
          </cell>
          <cell r="Q231">
            <v>0.44800000000000001</v>
          </cell>
          <cell r="R231">
            <v>0.56499999999999995</v>
          </cell>
          <cell r="S231">
            <v>0.56399999999999995</v>
          </cell>
          <cell r="T231">
            <v>0.46700000000000003</v>
          </cell>
          <cell r="U231">
            <v>0.50800000000000001</v>
          </cell>
          <cell r="V231">
            <v>0.67</v>
          </cell>
          <cell r="W231">
            <v>0.61</v>
          </cell>
          <cell r="X231">
            <v>0.624</v>
          </cell>
          <cell r="Y231">
            <v>0.65</v>
          </cell>
          <cell r="Z231">
            <v>0.57099999999999995</v>
          </cell>
          <cell r="AA231">
            <v>0.66700000000000004</v>
          </cell>
          <cell r="AB231">
            <v>0.55800000000000005</v>
          </cell>
          <cell r="AC231">
            <v>0.751</v>
          </cell>
          <cell r="AD231">
            <v>0.27700000000000002</v>
          </cell>
          <cell r="AE231">
            <v>0.63</v>
          </cell>
        </row>
        <row r="232">
          <cell r="B232" t="str">
            <v>아산시</v>
          </cell>
          <cell r="C232">
            <v>223</v>
          </cell>
          <cell r="D232" t="str">
            <v>충남</v>
          </cell>
          <cell r="E232" t="str">
            <v>시지역</v>
          </cell>
          <cell r="F232">
            <v>14</v>
          </cell>
          <cell r="G232" t="str">
            <v>천안지원</v>
          </cell>
          <cell r="H232">
            <v>0.56200000000000006</v>
          </cell>
          <cell r="I232">
            <v>0.63700000000000001</v>
          </cell>
          <cell r="J232">
            <v>0.68799999999999994</v>
          </cell>
          <cell r="K232">
            <v>0.51500000000000001</v>
          </cell>
          <cell r="L232">
            <v>0.59699999999999998</v>
          </cell>
          <cell r="M232">
            <v>0.56000000000000005</v>
          </cell>
          <cell r="N232">
            <v>0.52300000000000002</v>
          </cell>
          <cell r="O232">
            <v>0.49199999999999999</v>
          </cell>
          <cell r="P232">
            <v>0.55600000000000005</v>
          </cell>
          <cell r="Q232">
            <v>0.44800000000000001</v>
          </cell>
          <cell r="R232">
            <v>0.56499999999999995</v>
          </cell>
          <cell r="S232">
            <v>0.56399999999999995</v>
          </cell>
          <cell r="T232">
            <v>0.46700000000000003</v>
          </cell>
          <cell r="U232">
            <v>0.50800000000000001</v>
          </cell>
          <cell r="V232">
            <v>0.67</v>
          </cell>
          <cell r="W232">
            <v>0.61</v>
          </cell>
          <cell r="X232">
            <v>0.624</v>
          </cell>
          <cell r="Y232">
            <v>0.65</v>
          </cell>
          <cell r="Z232">
            <v>0.57099999999999995</v>
          </cell>
          <cell r="AA232">
            <v>0.66700000000000004</v>
          </cell>
          <cell r="AB232">
            <v>0.55800000000000005</v>
          </cell>
          <cell r="AC232">
            <v>0.751</v>
          </cell>
          <cell r="AD232">
            <v>0.27700000000000002</v>
          </cell>
          <cell r="AE232">
            <v>0.63</v>
          </cell>
        </row>
        <row r="233">
          <cell r="B233" t="str">
            <v>연기군</v>
          </cell>
          <cell r="C233">
            <v>224</v>
          </cell>
          <cell r="D233" t="str">
            <v>충남</v>
          </cell>
          <cell r="E233" t="str">
            <v>군이하지역</v>
          </cell>
          <cell r="F233">
            <v>13</v>
          </cell>
          <cell r="G233" t="str">
            <v>대전지방법원</v>
          </cell>
          <cell r="H233">
            <v>0.56200000000000006</v>
          </cell>
          <cell r="I233">
            <v>0.53900000000000003</v>
          </cell>
          <cell r="J233">
            <v>0.65800000000000003</v>
          </cell>
          <cell r="K233">
            <v>0.69799999999999995</v>
          </cell>
          <cell r="L233">
            <v>0.52900000000000003</v>
          </cell>
          <cell r="M233">
            <v>0.505</v>
          </cell>
          <cell r="N233">
            <v>0.63700000000000001</v>
          </cell>
          <cell r="O233">
            <v>0.53900000000000003</v>
          </cell>
          <cell r="P233">
            <v>0.64600000000000002</v>
          </cell>
          <cell r="Q233">
            <v>0.39600000000000002</v>
          </cell>
          <cell r="R233">
            <v>0.55100000000000005</v>
          </cell>
          <cell r="S233">
            <v>0.58899999999999997</v>
          </cell>
          <cell r="T233">
            <v>0.51300000000000001</v>
          </cell>
          <cell r="U233">
            <v>0.61499999999999999</v>
          </cell>
          <cell r="V233">
            <v>0.64100000000000001</v>
          </cell>
          <cell r="W233">
            <v>0.63400000000000001</v>
          </cell>
          <cell r="X233">
            <v>0.65800000000000003</v>
          </cell>
          <cell r="Y233">
            <v>0.60799999999999998</v>
          </cell>
          <cell r="Z233">
            <v>0.5</v>
          </cell>
          <cell r="AA233">
            <v>0.84499999999999997</v>
          </cell>
          <cell r="AB233">
            <v>0.52400000000000002</v>
          </cell>
          <cell r="AC233">
            <v>0.68600000000000005</v>
          </cell>
          <cell r="AD233">
            <v>0.70199999999999996</v>
          </cell>
          <cell r="AE233">
            <v>0.33700000000000002</v>
          </cell>
        </row>
        <row r="234">
          <cell r="B234" t="str">
            <v>예산군</v>
          </cell>
          <cell r="C234">
            <v>225</v>
          </cell>
          <cell r="D234" t="str">
            <v>충남</v>
          </cell>
          <cell r="E234" t="str">
            <v>군이하지역</v>
          </cell>
          <cell r="F234">
            <v>17</v>
          </cell>
          <cell r="G234" t="str">
            <v>홍성지원</v>
          </cell>
          <cell r="H234">
            <v>0.56200000000000006</v>
          </cell>
          <cell r="I234">
            <v>0.53900000000000003</v>
          </cell>
          <cell r="J234">
            <v>0.65800000000000003</v>
          </cell>
          <cell r="K234">
            <v>0.69799999999999995</v>
          </cell>
          <cell r="L234">
            <v>0.52900000000000003</v>
          </cell>
          <cell r="M234">
            <v>0.505</v>
          </cell>
          <cell r="N234">
            <v>0.63700000000000001</v>
          </cell>
          <cell r="O234">
            <v>0.53900000000000003</v>
          </cell>
          <cell r="P234">
            <v>0.64600000000000002</v>
          </cell>
          <cell r="Q234">
            <v>0.39600000000000002</v>
          </cell>
          <cell r="R234">
            <v>0.55100000000000005</v>
          </cell>
          <cell r="S234">
            <v>0.58899999999999997</v>
          </cell>
          <cell r="T234">
            <v>0.51300000000000001</v>
          </cell>
          <cell r="U234">
            <v>0.61499999999999999</v>
          </cell>
          <cell r="V234">
            <v>0.64100000000000001</v>
          </cell>
          <cell r="W234">
            <v>0.63400000000000001</v>
          </cell>
          <cell r="X234">
            <v>0.65800000000000003</v>
          </cell>
          <cell r="Y234">
            <v>0.60799999999999998</v>
          </cell>
          <cell r="Z234">
            <v>0.5</v>
          </cell>
          <cell r="AA234">
            <v>0.84499999999999997</v>
          </cell>
          <cell r="AB234">
            <v>0.52400000000000002</v>
          </cell>
          <cell r="AC234">
            <v>0.68600000000000005</v>
          </cell>
          <cell r="AD234">
            <v>0.70199999999999996</v>
          </cell>
          <cell r="AE234">
            <v>0.33700000000000002</v>
          </cell>
        </row>
        <row r="235">
          <cell r="B235" t="str">
            <v>당진군</v>
          </cell>
          <cell r="C235">
            <v>226</v>
          </cell>
          <cell r="D235" t="str">
            <v>충남</v>
          </cell>
          <cell r="E235" t="str">
            <v>군이하지역</v>
          </cell>
          <cell r="F235">
            <v>16</v>
          </cell>
          <cell r="G235" t="str">
            <v>서산지원</v>
          </cell>
          <cell r="H235">
            <v>0.56200000000000006</v>
          </cell>
          <cell r="I235">
            <v>0.53900000000000003</v>
          </cell>
          <cell r="J235">
            <v>0.65800000000000003</v>
          </cell>
          <cell r="K235">
            <v>0.69799999999999995</v>
          </cell>
          <cell r="L235">
            <v>0.52900000000000003</v>
          </cell>
          <cell r="M235">
            <v>0.505</v>
          </cell>
          <cell r="N235">
            <v>0.63700000000000001</v>
          </cell>
          <cell r="O235">
            <v>0.53900000000000003</v>
          </cell>
          <cell r="P235">
            <v>0.64600000000000002</v>
          </cell>
          <cell r="Q235">
            <v>0.39600000000000002</v>
          </cell>
          <cell r="R235">
            <v>0.55100000000000005</v>
          </cell>
          <cell r="S235">
            <v>0.58899999999999997</v>
          </cell>
          <cell r="T235">
            <v>0.51300000000000001</v>
          </cell>
          <cell r="U235">
            <v>0.61499999999999999</v>
          </cell>
          <cell r="V235">
            <v>0.64100000000000001</v>
          </cell>
          <cell r="W235">
            <v>0.63400000000000001</v>
          </cell>
          <cell r="X235">
            <v>0.65800000000000003</v>
          </cell>
          <cell r="Y235">
            <v>0.60799999999999998</v>
          </cell>
          <cell r="Z235">
            <v>0.5</v>
          </cell>
          <cell r="AA235">
            <v>0.84499999999999997</v>
          </cell>
          <cell r="AB235">
            <v>0.52400000000000002</v>
          </cell>
          <cell r="AC235">
            <v>0.68600000000000005</v>
          </cell>
          <cell r="AD235">
            <v>0.70199999999999996</v>
          </cell>
          <cell r="AE235">
            <v>0.33700000000000002</v>
          </cell>
        </row>
        <row r="236">
          <cell r="B236" t="str">
            <v>청양군</v>
          </cell>
          <cell r="C236">
            <v>227</v>
          </cell>
          <cell r="D236" t="str">
            <v>충남</v>
          </cell>
          <cell r="E236" t="str">
            <v>군이하지역</v>
          </cell>
          <cell r="F236">
            <v>15</v>
          </cell>
          <cell r="G236" t="str">
            <v>공주지원</v>
          </cell>
          <cell r="H236">
            <v>0.56200000000000006</v>
          </cell>
          <cell r="I236">
            <v>0.53900000000000003</v>
          </cell>
          <cell r="J236">
            <v>0.65800000000000003</v>
          </cell>
          <cell r="K236">
            <v>0.69799999999999995</v>
          </cell>
          <cell r="L236">
            <v>0.52900000000000003</v>
          </cell>
          <cell r="M236">
            <v>0.505</v>
          </cell>
          <cell r="N236">
            <v>0.63700000000000001</v>
          </cell>
          <cell r="O236">
            <v>0.53900000000000003</v>
          </cell>
          <cell r="P236">
            <v>0.64600000000000002</v>
          </cell>
          <cell r="Q236">
            <v>0.39600000000000002</v>
          </cell>
          <cell r="R236">
            <v>0.55100000000000005</v>
          </cell>
          <cell r="S236">
            <v>0.58899999999999997</v>
          </cell>
          <cell r="T236">
            <v>0.51300000000000001</v>
          </cell>
          <cell r="U236">
            <v>0.61499999999999999</v>
          </cell>
          <cell r="V236">
            <v>0.64100000000000001</v>
          </cell>
          <cell r="W236">
            <v>0.63400000000000001</v>
          </cell>
          <cell r="X236">
            <v>0.65800000000000003</v>
          </cell>
          <cell r="Y236">
            <v>0.60799999999999998</v>
          </cell>
          <cell r="Z236">
            <v>0.5</v>
          </cell>
          <cell r="AA236">
            <v>0.84499999999999997</v>
          </cell>
          <cell r="AB236">
            <v>0.52400000000000002</v>
          </cell>
          <cell r="AC236">
            <v>0.68600000000000005</v>
          </cell>
          <cell r="AD236">
            <v>0.70199999999999996</v>
          </cell>
          <cell r="AE236">
            <v>0.33700000000000002</v>
          </cell>
        </row>
        <row r="237">
          <cell r="B237" t="str">
            <v>홍성군</v>
          </cell>
          <cell r="C237">
            <v>228</v>
          </cell>
          <cell r="D237" t="str">
            <v>충남</v>
          </cell>
          <cell r="E237" t="str">
            <v>군이하지역</v>
          </cell>
          <cell r="F237">
            <v>17</v>
          </cell>
          <cell r="G237" t="str">
            <v>홍성지원</v>
          </cell>
          <cell r="H237">
            <v>0.56200000000000006</v>
          </cell>
          <cell r="I237">
            <v>0.53900000000000003</v>
          </cell>
          <cell r="J237">
            <v>0.65800000000000003</v>
          </cell>
          <cell r="K237">
            <v>0.69799999999999995</v>
          </cell>
          <cell r="L237">
            <v>0.52900000000000003</v>
          </cell>
          <cell r="M237">
            <v>0.505</v>
          </cell>
          <cell r="N237">
            <v>0.63700000000000001</v>
          </cell>
          <cell r="O237">
            <v>0.53900000000000003</v>
          </cell>
          <cell r="P237">
            <v>0.64600000000000002</v>
          </cell>
          <cell r="Q237">
            <v>0.39600000000000002</v>
          </cell>
          <cell r="R237">
            <v>0.55100000000000005</v>
          </cell>
          <cell r="S237">
            <v>0.58899999999999997</v>
          </cell>
          <cell r="T237">
            <v>0.51300000000000001</v>
          </cell>
          <cell r="U237">
            <v>0.61499999999999999</v>
          </cell>
          <cell r="V237">
            <v>0.64100000000000001</v>
          </cell>
          <cell r="W237">
            <v>0.63400000000000001</v>
          </cell>
          <cell r="X237">
            <v>0.65800000000000003</v>
          </cell>
          <cell r="Y237">
            <v>0.60799999999999998</v>
          </cell>
          <cell r="Z237">
            <v>0.5</v>
          </cell>
          <cell r="AA237">
            <v>0.84499999999999997</v>
          </cell>
          <cell r="AB237">
            <v>0.52400000000000002</v>
          </cell>
          <cell r="AC237">
            <v>0.68600000000000005</v>
          </cell>
          <cell r="AD237">
            <v>0.70199999999999996</v>
          </cell>
          <cell r="AE237">
            <v>0.33700000000000002</v>
          </cell>
        </row>
        <row r="238">
          <cell r="B238" t="str">
            <v>보령시</v>
          </cell>
          <cell r="C238">
            <v>229</v>
          </cell>
          <cell r="D238" t="str">
            <v>충남</v>
          </cell>
          <cell r="E238" t="str">
            <v>시지역</v>
          </cell>
          <cell r="F238">
            <v>17</v>
          </cell>
          <cell r="G238" t="str">
            <v>홍성지원</v>
          </cell>
          <cell r="H238">
            <v>0.56200000000000006</v>
          </cell>
          <cell r="I238">
            <v>0.63700000000000001</v>
          </cell>
          <cell r="J238">
            <v>0.68799999999999994</v>
          </cell>
          <cell r="K238">
            <v>0.51500000000000001</v>
          </cell>
          <cell r="L238">
            <v>0.59699999999999998</v>
          </cell>
          <cell r="M238">
            <v>0.56000000000000005</v>
          </cell>
          <cell r="N238">
            <v>0.52300000000000002</v>
          </cell>
          <cell r="O238">
            <v>0.49199999999999999</v>
          </cell>
          <cell r="P238">
            <v>0.55600000000000005</v>
          </cell>
          <cell r="Q238">
            <v>0.44800000000000001</v>
          </cell>
          <cell r="R238">
            <v>0.56499999999999995</v>
          </cell>
          <cell r="S238">
            <v>0.56399999999999995</v>
          </cell>
          <cell r="T238">
            <v>0.46700000000000003</v>
          </cell>
          <cell r="U238">
            <v>0.50800000000000001</v>
          </cell>
          <cell r="V238">
            <v>0.67</v>
          </cell>
          <cell r="W238">
            <v>0.61</v>
          </cell>
          <cell r="X238">
            <v>0.624</v>
          </cell>
          <cell r="Y238">
            <v>0.65</v>
          </cell>
          <cell r="Z238">
            <v>0.57099999999999995</v>
          </cell>
          <cell r="AA238">
            <v>0.66700000000000004</v>
          </cell>
          <cell r="AB238">
            <v>0.55800000000000005</v>
          </cell>
          <cell r="AC238">
            <v>0.751</v>
          </cell>
          <cell r="AD238">
            <v>0.27700000000000002</v>
          </cell>
          <cell r="AE238">
            <v>0.63</v>
          </cell>
        </row>
        <row r="239">
          <cell r="B239" t="str">
            <v>서산시</v>
          </cell>
          <cell r="C239">
            <v>230</v>
          </cell>
          <cell r="D239" t="str">
            <v>충남</v>
          </cell>
          <cell r="E239" t="str">
            <v>시지역</v>
          </cell>
          <cell r="F239">
            <v>16</v>
          </cell>
          <cell r="G239" t="str">
            <v>서산지원</v>
          </cell>
          <cell r="H239">
            <v>0.56200000000000006</v>
          </cell>
          <cell r="I239">
            <v>0.63700000000000001</v>
          </cell>
          <cell r="J239">
            <v>0.68799999999999994</v>
          </cell>
          <cell r="K239">
            <v>0.51500000000000001</v>
          </cell>
          <cell r="L239">
            <v>0.59699999999999998</v>
          </cell>
          <cell r="M239">
            <v>0.56000000000000005</v>
          </cell>
          <cell r="N239">
            <v>0.52300000000000002</v>
          </cell>
          <cell r="O239">
            <v>0.49199999999999999</v>
          </cell>
          <cell r="P239">
            <v>0.55600000000000005</v>
          </cell>
          <cell r="Q239">
            <v>0.44800000000000001</v>
          </cell>
          <cell r="R239">
            <v>0.56499999999999995</v>
          </cell>
          <cell r="S239">
            <v>0.56399999999999995</v>
          </cell>
          <cell r="T239">
            <v>0.46700000000000003</v>
          </cell>
          <cell r="U239">
            <v>0.50800000000000001</v>
          </cell>
          <cell r="V239">
            <v>0.67</v>
          </cell>
          <cell r="W239">
            <v>0.61</v>
          </cell>
          <cell r="X239">
            <v>0.624</v>
          </cell>
          <cell r="Y239">
            <v>0.65</v>
          </cell>
          <cell r="Z239">
            <v>0.57099999999999995</v>
          </cell>
          <cell r="AA239">
            <v>0.66700000000000004</v>
          </cell>
          <cell r="AB239">
            <v>0.55800000000000005</v>
          </cell>
          <cell r="AC239">
            <v>0.751</v>
          </cell>
          <cell r="AD239">
            <v>0.27700000000000002</v>
          </cell>
          <cell r="AE239">
            <v>0.63</v>
          </cell>
        </row>
        <row r="240">
          <cell r="B240" t="str">
            <v>태안군</v>
          </cell>
          <cell r="C240">
            <v>231</v>
          </cell>
          <cell r="D240" t="str">
            <v>충남</v>
          </cell>
          <cell r="E240" t="str">
            <v>군이하지역</v>
          </cell>
          <cell r="F240">
            <v>16</v>
          </cell>
          <cell r="G240" t="str">
            <v>서산지원</v>
          </cell>
          <cell r="H240">
            <v>0.56200000000000006</v>
          </cell>
          <cell r="I240">
            <v>0.53900000000000003</v>
          </cell>
          <cell r="J240">
            <v>0.65800000000000003</v>
          </cell>
          <cell r="K240">
            <v>0.69799999999999995</v>
          </cell>
          <cell r="L240">
            <v>0.52900000000000003</v>
          </cell>
          <cell r="M240">
            <v>0.505</v>
          </cell>
          <cell r="N240">
            <v>0.63700000000000001</v>
          </cell>
          <cell r="O240">
            <v>0.53900000000000003</v>
          </cell>
          <cell r="P240">
            <v>0.64600000000000002</v>
          </cell>
          <cell r="Q240">
            <v>0.39600000000000002</v>
          </cell>
          <cell r="R240">
            <v>0.55100000000000005</v>
          </cell>
          <cell r="S240">
            <v>0.58899999999999997</v>
          </cell>
          <cell r="T240">
            <v>0.51300000000000001</v>
          </cell>
          <cell r="U240">
            <v>0.61499999999999999</v>
          </cell>
          <cell r="V240">
            <v>0.64100000000000001</v>
          </cell>
          <cell r="W240">
            <v>0.63400000000000001</v>
          </cell>
          <cell r="X240">
            <v>0.65800000000000003</v>
          </cell>
          <cell r="Y240">
            <v>0.60799999999999998</v>
          </cell>
          <cell r="Z240">
            <v>0.5</v>
          </cell>
          <cell r="AA240">
            <v>0.84499999999999997</v>
          </cell>
          <cell r="AB240">
            <v>0.52400000000000002</v>
          </cell>
          <cell r="AC240">
            <v>0.68600000000000005</v>
          </cell>
          <cell r="AD240">
            <v>0.70199999999999996</v>
          </cell>
          <cell r="AE240">
            <v>0.33700000000000002</v>
          </cell>
        </row>
        <row r="241">
          <cell r="B241" t="str">
            <v>청주시상당구</v>
          </cell>
          <cell r="C241">
            <v>232</v>
          </cell>
          <cell r="D241" t="str">
            <v>충북</v>
          </cell>
          <cell r="E241" t="str">
            <v>도청소재지</v>
          </cell>
          <cell r="F241">
            <v>19</v>
          </cell>
          <cell r="G241" t="str">
            <v>청주지방법원</v>
          </cell>
          <cell r="H241">
            <v>0.65800000000000003</v>
          </cell>
          <cell r="I241">
            <v>0.63700000000000001</v>
          </cell>
          <cell r="J241">
            <v>0.70399999999999996</v>
          </cell>
          <cell r="K241">
            <v>0.35</v>
          </cell>
          <cell r="L241">
            <v>0.62</v>
          </cell>
          <cell r="M241">
            <v>0.71199999999999997</v>
          </cell>
          <cell r="N241">
            <v>0.54500000000000004</v>
          </cell>
          <cell r="O241">
            <v>0.53900000000000003</v>
          </cell>
          <cell r="P241">
            <v>0.502</v>
          </cell>
          <cell r="Q241">
            <v>0.39300000000000002</v>
          </cell>
          <cell r="R241">
            <v>0.495</v>
          </cell>
          <cell r="S241">
            <v>0.55300000000000005</v>
          </cell>
          <cell r="T241">
            <v>0.64400000000000002</v>
          </cell>
          <cell r="U241">
            <v>0.7</v>
          </cell>
          <cell r="V241">
            <v>0.52900000000000003</v>
          </cell>
          <cell r="W241">
            <v>0.73699999999999999</v>
          </cell>
          <cell r="X241">
            <v>0.61799999999999999</v>
          </cell>
          <cell r="Y241">
            <v>0.72199999999999998</v>
          </cell>
          <cell r="Z241">
            <v>0.44600000000000001</v>
          </cell>
          <cell r="AA241">
            <v>0.72199999999999998</v>
          </cell>
          <cell r="AB241">
            <v>0.438</v>
          </cell>
          <cell r="AC241">
            <v>0.77300000000000002</v>
          </cell>
          <cell r="AD241">
            <v>0.224</v>
          </cell>
          <cell r="AE241">
            <v>0.44700000000000001</v>
          </cell>
        </row>
        <row r="242">
          <cell r="B242" t="str">
            <v>청주시흥덕구</v>
          </cell>
          <cell r="C242">
            <v>233</v>
          </cell>
          <cell r="D242" t="str">
            <v>충북</v>
          </cell>
          <cell r="E242" t="str">
            <v>도청소재지</v>
          </cell>
          <cell r="F242">
            <v>19</v>
          </cell>
          <cell r="G242" t="str">
            <v>청주지방법원</v>
          </cell>
          <cell r="H242">
            <v>0.65800000000000003</v>
          </cell>
          <cell r="I242">
            <v>0.63700000000000001</v>
          </cell>
          <cell r="J242">
            <v>0.70399999999999996</v>
          </cell>
          <cell r="K242">
            <v>0.35</v>
          </cell>
          <cell r="L242">
            <v>0.62</v>
          </cell>
          <cell r="M242">
            <v>0.71199999999999997</v>
          </cell>
          <cell r="N242">
            <v>0.54500000000000004</v>
          </cell>
          <cell r="O242">
            <v>0.53900000000000003</v>
          </cell>
          <cell r="P242">
            <v>0.502</v>
          </cell>
          <cell r="Q242">
            <v>0.39300000000000002</v>
          </cell>
          <cell r="R242">
            <v>0.495</v>
          </cell>
          <cell r="S242">
            <v>0.55300000000000005</v>
          </cell>
          <cell r="T242">
            <v>0.64400000000000002</v>
          </cell>
          <cell r="U242">
            <v>0.7</v>
          </cell>
          <cell r="V242">
            <v>0.52900000000000003</v>
          </cell>
          <cell r="W242">
            <v>0.73699999999999999</v>
          </cell>
          <cell r="X242">
            <v>0.61799999999999999</v>
          </cell>
          <cell r="Y242">
            <v>0.72199999999999998</v>
          </cell>
          <cell r="Z242">
            <v>0.44600000000000001</v>
          </cell>
          <cell r="AA242">
            <v>0.72199999999999998</v>
          </cell>
          <cell r="AB242">
            <v>0.438</v>
          </cell>
          <cell r="AC242">
            <v>0.77300000000000002</v>
          </cell>
          <cell r="AD242">
            <v>0.224</v>
          </cell>
          <cell r="AE242">
            <v>0.44700000000000001</v>
          </cell>
        </row>
        <row r="243">
          <cell r="B243" t="str">
            <v>청원군</v>
          </cell>
          <cell r="C243">
            <v>234</v>
          </cell>
          <cell r="D243" t="str">
            <v>충북</v>
          </cell>
          <cell r="E243" t="str">
            <v>군이하지역</v>
          </cell>
          <cell r="F243">
            <v>19</v>
          </cell>
          <cell r="G243" t="str">
            <v>청주지방법원</v>
          </cell>
          <cell r="H243">
            <v>0.56200000000000006</v>
          </cell>
          <cell r="I243">
            <v>0.53900000000000003</v>
          </cell>
          <cell r="J243">
            <v>0.65800000000000003</v>
          </cell>
          <cell r="K243">
            <v>0.69799999999999995</v>
          </cell>
          <cell r="L243">
            <v>0.52900000000000003</v>
          </cell>
          <cell r="M243">
            <v>0.505</v>
          </cell>
          <cell r="N243">
            <v>0.63700000000000001</v>
          </cell>
          <cell r="O243">
            <v>0.53900000000000003</v>
          </cell>
          <cell r="P243">
            <v>0.64600000000000002</v>
          </cell>
          <cell r="Q243">
            <v>0.39600000000000002</v>
          </cell>
          <cell r="R243">
            <v>0.55100000000000005</v>
          </cell>
          <cell r="S243">
            <v>0.58899999999999997</v>
          </cell>
          <cell r="T243">
            <v>0.51300000000000001</v>
          </cell>
          <cell r="U243">
            <v>0.61499999999999999</v>
          </cell>
          <cell r="V243">
            <v>0.64100000000000001</v>
          </cell>
          <cell r="W243">
            <v>0.63400000000000001</v>
          </cell>
          <cell r="X243">
            <v>0.65800000000000003</v>
          </cell>
          <cell r="Y243">
            <v>0.60799999999999998</v>
          </cell>
          <cell r="Z243">
            <v>0.5</v>
          </cell>
          <cell r="AA243">
            <v>0.84499999999999997</v>
          </cell>
          <cell r="AB243">
            <v>0.52400000000000002</v>
          </cell>
          <cell r="AC243">
            <v>0.68600000000000005</v>
          </cell>
          <cell r="AD243">
            <v>0.70199999999999996</v>
          </cell>
          <cell r="AE243">
            <v>0.33700000000000002</v>
          </cell>
        </row>
        <row r="244">
          <cell r="B244" t="str">
            <v>진천군</v>
          </cell>
          <cell r="C244">
            <v>235</v>
          </cell>
          <cell r="D244" t="str">
            <v>충북</v>
          </cell>
          <cell r="E244" t="str">
            <v>군이하지역</v>
          </cell>
          <cell r="F244">
            <v>19</v>
          </cell>
          <cell r="G244" t="str">
            <v>청주지방법원</v>
          </cell>
          <cell r="H244">
            <v>0.56200000000000006</v>
          </cell>
          <cell r="I244">
            <v>0.53900000000000003</v>
          </cell>
          <cell r="J244">
            <v>0.65800000000000003</v>
          </cell>
          <cell r="K244">
            <v>0.69799999999999995</v>
          </cell>
          <cell r="L244">
            <v>0.52900000000000003</v>
          </cell>
          <cell r="M244">
            <v>0.505</v>
          </cell>
          <cell r="N244">
            <v>0.63700000000000001</v>
          </cell>
          <cell r="O244">
            <v>0.53900000000000003</v>
          </cell>
          <cell r="P244">
            <v>0.64600000000000002</v>
          </cell>
          <cell r="Q244">
            <v>0.39600000000000002</v>
          </cell>
          <cell r="R244">
            <v>0.55100000000000005</v>
          </cell>
          <cell r="S244">
            <v>0.58899999999999997</v>
          </cell>
          <cell r="T244">
            <v>0.51300000000000001</v>
          </cell>
          <cell r="U244">
            <v>0.61499999999999999</v>
          </cell>
          <cell r="V244">
            <v>0.64100000000000001</v>
          </cell>
          <cell r="W244">
            <v>0.63400000000000001</v>
          </cell>
          <cell r="X244">
            <v>0.65800000000000003</v>
          </cell>
          <cell r="Y244">
            <v>0.60799999999999998</v>
          </cell>
          <cell r="Z244">
            <v>0.5</v>
          </cell>
          <cell r="AA244">
            <v>0.84499999999999997</v>
          </cell>
          <cell r="AB244">
            <v>0.52400000000000002</v>
          </cell>
          <cell r="AC244">
            <v>0.68600000000000005</v>
          </cell>
          <cell r="AD244">
            <v>0.70199999999999996</v>
          </cell>
          <cell r="AE244">
            <v>0.33700000000000002</v>
          </cell>
        </row>
        <row r="245">
          <cell r="B245" t="str">
            <v>괴산군</v>
          </cell>
          <cell r="C245">
            <v>236</v>
          </cell>
          <cell r="D245" t="str">
            <v>충북</v>
          </cell>
          <cell r="E245" t="str">
            <v>군이하지역</v>
          </cell>
          <cell r="F245">
            <v>19</v>
          </cell>
          <cell r="G245" t="str">
            <v>청주지방법원</v>
          </cell>
          <cell r="H245">
            <v>0.56200000000000006</v>
          </cell>
          <cell r="I245">
            <v>0.53900000000000003</v>
          </cell>
          <cell r="J245">
            <v>0.65800000000000003</v>
          </cell>
          <cell r="K245">
            <v>0.69799999999999995</v>
          </cell>
          <cell r="L245">
            <v>0.52900000000000003</v>
          </cell>
          <cell r="M245">
            <v>0.505</v>
          </cell>
          <cell r="N245">
            <v>0.63700000000000001</v>
          </cell>
          <cell r="O245">
            <v>0.53900000000000003</v>
          </cell>
          <cell r="P245">
            <v>0.64600000000000002</v>
          </cell>
          <cell r="Q245">
            <v>0.39600000000000002</v>
          </cell>
          <cell r="R245">
            <v>0.55100000000000005</v>
          </cell>
          <cell r="S245">
            <v>0.58899999999999997</v>
          </cell>
          <cell r="T245">
            <v>0.51300000000000001</v>
          </cell>
          <cell r="U245">
            <v>0.61499999999999999</v>
          </cell>
          <cell r="V245">
            <v>0.64100000000000001</v>
          </cell>
          <cell r="W245">
            <v>0.63400000000000001</v>
          </cell>
          <cell r="X245">
            <v>0.65800000000000003</v>
          </cell>
          <cell r="Y245">
            <v>0.60799999999999998</v>
          </cell>
          <cell r="Z245">
            <v>0.5</v>
          </cell>
          <cell r="AA245">
            <v>0.84499999999999997</v>
          </cell>
          <cell r="AB245">
            <v>0.52400000000000002</v>
          </cell>
          <cell r="AC245">
            <v>0.68600000000000005</v>
          </cell>
          <cell r="AD245">
            <v>0.70199999999999996</v>
          </cell>
          <cell r="AE245">
            <v>0.33700000000000002</v>
          </cell>
        </row>
        <row r="246">
          <cell r="B246" t="str">
            <v>음성군</v>
          </cell>
          <cell r="C246">
            <v>237</v>
          </cell>
          <cell r="D246" t="str">
            <v>충북</v>
          </cell>
          <cell r="E246" t="str">
            <v>군이하지역</v>
          </cell>
          <cell r="F246">
            <v>20</v>
          </cell>
          <cell r="G246" t="str">
            <v>충주지원</v>
          </cell>
          <cell r="H246">
            <v>0.56200000000000006</v>
          </cell>
          <cell r="I246">
            <v>0.53900000000000003</v>
          </cell>
          <cell r="J246">
            <v>0.65800000000000003</v>
          </cell>
          <cell r="K246">
            <v>0.69799999999999995</v>
          </cell>
          <cell r="L246">
            <v>0.52900000000000003</v>
          </cell>
          <cell r="M246">
            <v>0.505</v>
          </cell>
          <cell r="N246">
            <v>0.63700000000000001</v>
          </cell>
          <cell r="O246">
            <v>0.53900000000000003</v>
          </cell>
          <cell r="P246">
            <v>0.64600000000000002</v>
          </cell>
          <cell r="Q246">
            <v>0.39600000000000002</v>
          </cell>
          <cell r="R246">
            <v>0.55100000000000005</v>
          </cell>
          <cell r="S246">
            <v>0.58899999999999997</v>
          </cell>
          <cell r="T246">
            <v>0.51300000000000001</v>
          </cell>
          <cell r="U246">
            <v>0.61499999999999999</v>
          </cell>
          <cell r="V246">
            <v>0.64100000000000001</v>
          </cell>
          <cell r="W246">
            <v>0.63400000000000001</v>
          </cell>
          <cell r="X246">
            <v>0.65800000000000003</v>
          </cell>
          <cell r="Y246">
            <v>0.60799999999999998</v>
          </cell>
          <cell r="Z246">
            <v>0.5</v>
          </cell>
          <cell r="AA246">
            <v>0.84499999999999997</v>
          </cell>
          <cell r="AB246">
            <v>0.52400000000000002</v>
          </cell>
          <cell r="AC246">
            <v>0.68600000000000005</v>
          </cell>
          <cell r="AD246">
            <v>0.70199999999999996</v>
          </cell>
          <cell r="AE246">
            <v>0.33700000000000002</v>
          </cell>
        </row>
        <row r="247">
          <cell r="B247" t="str">
            <v>영동군</v>
          </cell>
          <cell r="C247">
            <v>238</v>
          </cell>
          <cell r="D247" t="str">
            <v>충북</v>
          </cell>
          <cell r="E247" t="str">
            <v>군이하지역</v>
          </cell>
          <cell r="F247">
            <v>22</v>
          </cell>
          <cell r="G247" t="str">
            <v>영동지원</v>
          </cell>
          <cell r="H247">
            <v>0.56200000000000006</v>
          </cell>
          <cell r="I247">
            <v>0.53900000000000003</v>
          </cell>
          <cell r="J247">
            <v>0.65800000000000003</v>
          </cell>
          <cell r="K247">
            <v>0.69799999999999995</v>
          </cell>
          <cell r="L247">
            <v>0.52900000000000003</v>
          </cell>
          <cell r="M247">
            <v>0.505</v>
          </cell>
          <cell r="N247">
            <v>0.63700000000000001</v>
          </cell>
          <cell r="O247">
            <v>0.53900000000000003</v>
          </cell>
          <cell r="P247">
            <v>0.64600000000000002</v>
          </cell>
          <cell r="Q247">
            <v>0.39600000000000002</v>
          </cell>
          <cell r="R247">
            <v>0.55100000000000005</v>
          </cell>
          <cell r="S247">
            <v>0.58899999999999997</v>
          </cell>
          <cell r="T247">
            <v>0.51300000000000001</v>
          </cell>
          <cell r="U247">
            <v>0.61499999999999999</v>
          </cell>
          <cell r="V247">
            <v>0.64100000000000001</v>
          </cell>
          <cell r="W247">
            <v>0.63400000000000001</v>
          </cell>
          <cell r="X247">
            <v>0.65800000000000003</v>
          </cell>
          <cell r="Y247">
            <v>0.60799999999999998</v>
          </cell>
          <cell r="Z247">
            <v>0.5</v>
          </cell>
          <cell r="AA247">
            <v>0.84499999999999997</v>
          </cell>
          <cell r="AB247">
            <v>0.52400000000000002</v>
          </cell>
          <cell r="AC247">
            <v>0.68600000000000005</v>
          </cell>
          <cell r="AD247">
            <v>0.70199999999999996</v>
          </cell>
          <cell r="AE247">
            <v>0.33700000000000002</v>
          </cell>
        </row>
        <row r="248">
          <cell r="B248" t="str">
            <v>옥천군</v>
          </cell>
          <cell r="C248">
            <v>239</v>
          </cell>
          <cell r="D248" t="str">
            <v>충북</v>
          </cell>
          <cell r="E248" t="str">
            <v>군이하지역</v>
          </cell>
          <cell r="F248">
            <v>22</v>
          </cell>
          <cell r="G248" t="str">
            <v>영동지원</v>
          </cell>
          <cell r="H248">
            <v>0.56200000000000006</v>
          </cell>
          <cell r="I248">
            <v>0.53900000000000003</v>
          </cell>
          <cell r="J248">
            <v>0.65800000000000003</v>
          </cell>
          <cell r="K248">
            <v>0.69799999999999995</v>
          </cell>
          <cell r="L248">
            <v>0.52900000000000003</v>
          </cell>
          <cell r="M248">
            <v>0.505</v>
          </cell>
          <cell r="N248">
            <v>0.63700000000000001</v>
          </cell>
          <cell r="O248">
            <v>0.53900000000000003</v>
          </cell>
          <cell r="P248">
            <v>0.64600000000000002</v>
          </cell>
          <cell r="Q248">
            <v>0.39600000000000002</v>
          </cell>
          <cell r="R248">
            <v>0.55100000000000005</v>
          </cell>
          <cell r="S248">
            <v>0.58899999999999997</v>
          </cell>
          <cell r="T248">
            <v>0.51300000000000001</v>
          </cell>
          <cell r="U248">
            <v>0.61499999999999999</v>
          </cell>
          <cell r="V248">
            <v>0.64100000000000001</v>
          </cell>
          <cell r="W248">
            <v>0.63400000000000001</v>
          </cell>
          <cell r="X248">
            <v>0.65800000000000003</v>
          </cell>
          <cell r="Y248">
            <v>0.60799999999999998</v>
          </cell>
          <cell r="Z248">
            <v>0.5</v>
          </cell>
          <cell r="AA248">
            <v>0.84499999999999997</v>
          </cell>
          <cell r="AB248">
            <v>0.52400000000000002</v>
          </cell>
          <cell r="AC248">
            <v>0.68600000000000005</v>
          </cell>
          <cell r="AD248">
            <v>0.70199999999999996</v>
          </cell>
          <cell r="AE248">
            <v>0.33700000000000002</v>
          </cell>
        </row>
        <row r="249">
          <cell r="B249" t="str">
            <v>보은군</v>
          </cell>
          <cell r="C249">
            <v>240</v>
          </cell>
          <cell r="D249" t="str">
            <v>충북</v>
          </cell>
          <cell r="E249" t="str">
            <v>군이하지역</v>
          </cell>
          <cell r="F249">
            <v>19</v>
          </cell>
          <cell r="G249" t="str">
            <v>청주지방법원</v>
          </cell>
          <cell r="H249">
            <v>0.56200000000000006</v>
          </cell>
          <cell r="I249">
            <v>0.53900000000000003</v>
          </cell>
          <cell r="J249">
            <v>0.65800000000000003</v>
          </cell>
          <cell r="K249">
            <v>0.69799999999999995</v>
          </cell>
          <cell r="L249">
            <v>0.52900000000000003</v>
          </cell>
          <cell r="M249">
            <v>0.505</v>
          </cell>
          <cell r="N249">
            <v>0.63700000000000001</v>
          </cell>
          <cell r="O249">
            <v>0.53900000000000003</v>
          </cell>
          <cell r="P249">
            <v>0.64600000000000002</v>
          </cell>
          <cell r="Q249">
            <v>0.39600000000000002</v>
          </cell>
          <cell r="R249">
            <v>0.55100000000000005</v>
          </cell>
          <cell r="S249">
            <v>0.58899999999999997</v>
          </cell>
          <cell r="T249">
            <v>0.51300000000000001</v>
          </cell>
          <cell r="U249">
            <v>0.61499999999999999</v>
          </cell>
          <cell r="V249">
            <v>0.64100000000000001</v>
          </cell>
          <cell r="W249">
            <v>0.63400000000000001</v>
          </cell>
          <cell r="X249">
            <v>0.65800000000000003</v>
          </cell>
          <cell r="Y249">
            <v>0.60799999999999998</v>
          </cell>
          <cell r="Z249">
            <v>0.5</v>
          </cell>
          <cell r="AA249">
            <v>0.84499999999999997</v>
          </cell>
          <cell r="AB249">
            <v>0.52400000000000002</v>
          </cell>
          <cell r="AC249">
            <v>0.68600000000000005</v>
          </cell>
          <cell r="AD249">
            <v>0.70199999999999996</v>
          </cell>
          <cell r="AE249">
            <v>0.33700000000000002</v>
          </cell>
        </row>
        <row r="250">
          <cell r="B250" t="str">
            <v>충주시</v>
          </cell>
          <cell r="C250">
            <v>241</v>
          </cell>
          <cell r="D250" t="str">
            <v>충북</v>
          </cell>
          <cell r="E250" t="str">
            <v>시지역</v>
          </cell>
          <cell r="F250">
            <v>20</v>
          </cell>
          <cell r="G250" t="str">
            <v>충주지원</v>
          </cell>
          <cell r="H250">
            <v>0.56200000000000006</v>
          </cell>
          <cell r="I250">
            <v>0.63700000000000001</v>
          </cell>
          <cell r="J250">
            <v>0.68799999999999994</v>
          </cell>
          <cell r="K250">
            <v>0.51500000000000001</v>
          </cell>
          <cell r="L250">
            <v>0.59699999999999998</v>
          </cell>
          <cell r="M250">
            <v>0.56000000000000005</v>
          </cell>
          <cell r="N250">
            <v>0.52300000000000002</v>
          </cell>
          <cell r="O250">
            <v>0.49199999999999999</v>
          </cell>
          <cell r="P250">
            <v>0.55600000000000005</v>
          </cell>
          <cell r="Q250">
            <v>0.44800000000000001</v>
          </cell>
          <cell r="R250">
            <v>0.56499999999999995</v>
          </cell>
          <cell r="S250">
            <v>0.56399999999999995</v>
          </cell>
          <cell r="T250">
            <v>0.46700000000000003</v>
          </cell>
          <cell r="U250">
            <v>0.50800000000000001</v>
          </cell>
          <cell r="V250">
            <v>0.67</v>
          </cell>
          <cell r="W250">
            <v>0.61</v>
          </cell>
          <cell r="X250">
            <v>0.624</v>
          </cell>
          <cell r="Y250">
            <v>0.65</v>
          </cell>
          <cell r="Z250">
            <v>0.57099999999999995</v>
          </cell>
          <cell r="AA250">
            <v>0.66700000000000004</v>
          </cell>
          <cell r="AB250">
            <v>0.55800000000000005</v>
          </cell>
          <cell r="AC250">
            <v>0.751</v>
          </cell>
          <cell r="AD250">
            <v>0.27700000000000002</v>
          </cell>
          <cell r="AE250">
            <v>0.63</v>
          </cell>
        </row>
        <row r="251">
          <cell r="B251" t="str">
            <v>제천시</v>
          </cell>
          <cell r="C251">
            <v>242</v>
          </cell>
          <cell r="D251" t="str">
            <v>충북</v>
          </cell>
          <cell r="E251" t="str">
            <v>시지역</v>
          </cell>
          <cell r="F251">
            <v>21</v>
          </cell>
          <cell r="G251" t="str">
            <v>제천지원</v>
          </cell>
          <cell r="H251">
            <v>0.56200000000000006</v>
          </cell>
          <cell r="I251">
            <v>0.63700000000000001</v>
          </cell>
          <cell r="J251">
            <v>0.68799999999999994</v>
          </cell>
          <cell r="K251">
            <v>0.51500000000000001</v>
          </cell>
          <cell r="L251">
            <v>0.59699999999999998</v>
          </cell>
          <cell r="M251">
            <v>0.56000000000000005</v>
          </cell>
          <cell r="N251">
            <v>0.52300000000000002</v>
          </cell>
          <cell r="O251">
            <v>0.49199999999999999</v>
          </cell>
          <cell r="P251">
            <v>0.55600000000000005</v>
          </cell>
          <cell r="Q251">
            <v>0.44800000000000001</v>
          </cell>
          <cell r="R251">
            <v>0.56499999999999995</v>
          </cell>
          <cell r="S251">
            <v>0.56399999999999995</v>
          </cell>
          <cell r="T251">
            <v>0.46700000000000003</v>
          </cell>
          <cell r="U251">
            <v>0.50800000000000001</v>
          </cell>
          <cell r="V251">
            <v>0.67</v>
          </cell>
          <cell r="W251">
            <v>0.61</v>
          </cell>
          <cell r="X251">
            <v>0.624</v>
          </cell>
          <cell r="Y251">
            <v>0.65</v>
          </cell>
          <cell r="Z251">
            <v>0.57099999999999995</v>
          </cell>
          <cell r="AA251">
            <v>0.66700000000000004</v>
          </cell>
          <cell r="AB251">
            <v>0.55800000000000005</v>
          </cell>
          <cell r="AC251">
            <v>0.751</v>
          </cell>
          <cell r="AD251">
            <v>0.27700000000000002</v>
          </cell>
          <cell r="AE251">
            <v>0.63</v>
          </cell>
        </row>
        <row r="252">
          <cell r="B252" t="str">
            <v>단양군</v>
          </cell>
          <cell r="C252">
            <v>243</v>
          </cell>
          <cell r="D252" t="str">
            <v>충북</v>
          </cell>
          <cell r="E252" t="str">
            <v>군이하지역</v>
          </cell>
          <cell r="F252">
            <v>21</v>
          </cell>
          <cell r="G252" t="str">
            <v>제천지원</v>
          </cell>
          <cell r="H252">
            <v>0.56200000000000006</v>
          </cell>
          <cell r="I252">
            <v>0.53900000000000003</v>
          </cell>
          <cell r="J252">
            <v>0.65800000000000003</v>
          </cell>
          <cell r="K252">
            <v>0.69799999999999995</v>
          </cell>
          <cell r="L252">
            <v>0.52900000000000003</v>
          </cell>
          <cell r="M252">
            <v>0.505</v>
          </cell>
          <cell r="N252">
            <v>0.63700000000000001</v>
          </cell>
          <cell r="O252">
            <v>0.53900000000000003</v>
          </cell>
          <cell r="P252">
            <v>0.64600000000000002</v>
          </cell>
          <cell r="Q252">
            <v>0.39600000000000002</v>
          </cell>
          <cell r="R252">
            <v>0.55100000000000005</v>
          </cell>
          <cell r="S252">
            <v>0.58899999999999997</v>
          </cell>
          <cell r="T252">
            <v>0.51300000000000001</v>
          </cell>
          <cell r="U252">
            <v>0.61499999999999999</v>
          </cell>
          <cell r="V252">
            <v>0.64100000000000001</v>
          </cell>
          <cell r="W252">
            <v>0.63400000000000001</v>
          </cell>
          <cell r="X252">
            <v>0.65800000000000003</v>
          </cell>
          <cell r="Y252">
            <v>0.60799999999999998</v>
          </cell>
          <cell r="Z252">
            <v>0.5</v>
          </cell>
          <cell r="AA252">
            <v>0.84499999999999997</v>
          </cell>
          <cell r="AB252">
            <v>0.52400000000000002</v>
          </cell>
          <cell r="AC252">
            <v>0.68600000000000005</v>
          </cell>
          <cell r="AD252">
            <v>0.70199999999999996</v>
          </cell>
          <cell r="AE252">
            <v>0.33700000000000002</v>
          </cell>
        </row>
      </sheetData>
      <sheetData sheetId="9" refreshError="1">
        <row r="9">
          <cell r="F9">
            <v>1</v>
          </cell>
          <cell r="G9">
            <v>2</v>
          </cell>
          <cell r="H9">
            <v>3</v>
          </cell>
          <cell r="I9">
            <v>4</v>
          </cell>
          <cell r="J9">
            <v>5</v>
          </cell>
          <cell r="K9">
            <v>6</v>
          </cell>
          <cell r="L9">
            <v>7</v>
          </cell>
          <cell r="M9">
            <v>8</v>
          </cell>
          <cell r="N9">
            <v>9</v>
          </cell>
          <cell r="O9">
            <v>10</v>
          </cell>
        </row>
        <row r="10">
          <cell r="F10">
            <v>1</v>
          </cell>
          <cell r="G10">
            <v>0.8</v>
          </cell>
          <cell r="H10">
            <v>0.64</v>
          </cell>
          <cell r="I10">
            <v>0.51200000000000012</v>
          </cell>
          <cell r="J10">
            <v>0.40960000000000013</v>
          </cell>
          <cell r="K10">
            <v>0.32768000000000014</v>
          </cell>
          <cell r="L10">
            <v>0.2621440000000001</v>
          </cell>
          <cell r="M10">
            <v>0.2097152000000001</v>
          </cell>
          <cell r="N10">
            <v>0.16777216000000009</v>
          </cell>
          <cell r="O10">
            <v>0.13421772800000006</v>
          </cell>
        </row>
        <row r="11">
          <cell r="F11">
            <v>1</v>
          </cell>
          <cell r="G11">
            <v>0.8</v>
          </cell>
          <cell r="H11">
            <v>0.64</v>
          </cell>
          <cell r="I11">
            <v>0.51200000000000012</v>
          </cell>
          <cell r="J11">
            <v>0.40960000000000013</v>
          </cell>
          <cell r="K11">
            <v>0.32768000000000014</v>
          </cell>
          <cell r="L11">
            <v>0.2621440000000001</v>
          </cell>
          <cell r="M11">
            <v>0.2097152000000001</v>
          </cell>
          <cell r="N11">
            <v>0.16777216000000009</v>
          </cell>
          <cell r="O11">
            <v>0.13421772800000006</v>
          </cell>
        </row>
        <row r="12">
          <cell r="F12">
            <v>1</v>
          </cell>
          <cell r="G12">
            <v>0.7</v>
          </cell>
          <cell r="H12">
            <v>0.48999999999999994</v>
          </cell>
          <cell r="I12">
            <v>0.39199999999999996</v>
          </cell>
          <cell r="J12">
            <v>0.31359999999999999</v>
          </cell>
          <cell r="K12">
            <v>0.25087999999999999</v>
          </cell>
          <cell r="L12">
            <v>0.20070399999999999</v>
          </cell>
          <cell r="M12">
            <v>0.16056320000000002</v>
          </cell>
          <cell r="N12">
            <v>0.12845056000000002</v>
          </cell>
          <cell r="O12">
            <v>0.10276044800000002</v>
          </cell>
        </row>
        <row r="13">
          <cell r="F13">
            <v>1</v>
          </cell>
          <cell r="G13">
            <v>0.8</v>
          </cell>
          <cell r="H13">
            <v>0.64</v>
          </cell>
          <cell r="I13">
            <v>0.51200000000000012</v>
          </cell>
          <cell r="J13">
            <v>0.40960000000000013</v>
          </cell>
          <cell r="K13">
            <v>0.32768000000000014</v>
          </cell>
          <cell r="L13">
            <v>0.2621440000000001</v>
          </cell>
          <cell r="M13">
            <v>0.2097152000000001</v>
          </cell>
          <cell r="N13">
            <v>0.16777216000000009</v>
          </cell>
          <cell r="O13">
            <v>0.13421772800000006</v>
          </cell>
        </row>
        <row r="14">
          <cell r="F14">
            <v>1</v>
          </cell>
          <cell r="G14">
            <v>0.8</v>
          </cell>
          <cell r="H14">
            <v>0.64</v>
          </cell>
          <cell r="I14">
            <v>0.51200000000000012</v>
          </cell>
          <cell r="J14">
            <v>0.40960000000000013</v>
          </cell>
          <cell r="K14">
            <v>0.32768000000000014</v>
          </cell>
          <cell r="L14">
            <v>0.2621440000000001</v>
          </cell>
          <cell r="M14">
            <v>0.2097152000000001</v>
          </cell>
          <cell r="N14">
            <v>0.16777216000000009</v>
          </cell>
          <cell r="O14">
            <v>0.13421772800000006</v>
          </cell>
        </row>
        <row r="15">
          <cell r="F15">
            <v>1</v>
          </cell>
          <cell r="G15">
            <v>0.8</v>
          </cell>
          <cell r="H15">
            <v>0.64</v>
          </cell>
          <cell r="I15">
            <v>0.51200000000000012</v>
          </cell>
          <cell r="J15">
            <v>0.40960000000000013</v>
          </cell>
          <cell r="K15">
            <v>0.32768000000000014</v>
          </cell>
          <cell r="L15">
            <v>0.2621440000000001</v>
          </cell>
          <cell r="M15">
            <v>0.2097152000000001</v>
          </cell>
          <cell r="N15">
            <v>0.16777216000000009</v>
          </cell>
          <cell r="O15">
            <v>0.13421772800000006</v>
          </cell>
        </row>
        <row r="16">
          <cell r="F16">
            <v>1</v>
          </cell>
          <cell r="G16">
            <v>0.7</v>
          </cell>
          <cell r="H16">
            <v>0.49</v>
          </cell>
          <cell r="I16">
            <v>0.34299999999999992</v>
          </cell>
          <cell r="J16">
            <v>0.24009999999999992</v>
          </cell>
          <cell r="K16">
            <v>0.16806999999999994</v>
          </cell>
          <cell r="L16">
            <v>0.11764899999999995</v>
          </cell>
          <cell r="M16">
            <v>8.2354299999999964E-2</v>
          </cell>
          <cell r="N16">
            <v>5.7648009999999972E-2</v>
          </cell>
          <cell r="O16">
            <v>4.0353606999999979E-2</v>
          </cell>
        </row>
        <row r="17">
          <cell r="F17">
            <v>1</v>
          </cell>
          <cell r="G17">
            <v>0.8</v>
          </cell>
          <cell r="H17">
            <v>0.64000000000000012</v>
          </cell>
          <cell r="I17">
            <v>0.51200000000000012</v>
          </cell>
          <cell r="J17">
            <v>0.40960000000000013</v>
          </cell>
          <cell r="K17">
            <v>0.32768000000000014</v>
          </cell>
          <cell r="L17">
            <v>0.2621440000000001</v>
          </cell>
          <cell r="M17">
            <v>0.2097152000000001</v>
          </cell>
          <cell r="N17">
            <v>0.16777216000000009</v>
          </cell>
          <cell r="O17">
            <v>0.13421772800000006</v>
          </cell>
        </row>
        <row r="18">
          <cell r="F18">
            <v>1</v>
          </cell>
          <cell r="G18">
            <v>0.7</v>
          </cell>
          <cell r="H18">
            <v>0.48999999999999994</v>
          </cell>
          <cell r="I18">
            <v>0.34299999999999992</v>
          </cell>
          <cell r="J18">
            <v>0.24009999999999992</v>
          </cell>
          <cell r="K18">
            <v>0.16806999999999994</v>
          </cell>
          <cell r="L18">
            <v>0.11764899999999995</v>
          </cell>
          <cell r="M18">
            <v>8.2354299999999964E-2</v>
          </cell>
          <cell r="N18">
            <v>5.7648009999999972E-2</v>
          </cell>
          <cell r="O18">
            <v>4.0353606999999979E-2</v>
          </cell>
        </row>
        <row r="19">
          <cell r="F19">
            <v>1</v>
          </cell>
          <cell r="G19">
            <v>0.8</v>
          </cell>
          <cell r="H19">
            <v>0.64</v>
          </cell>
          <cell r="I19">
            <v>0.51200000000000012</v>
          </cell>
          <cell r="J19">
            <v>0.40960000000000013</v>
          </cell>
          <cell r="K19">
            <v>0.32768000000000014</v>
          </cell>
          <cell r="L19">
            <v>0.2621440000000001</v>
          </cell>
          <cell r="M19">
            <v>0.2097152000000001</v>
          </cell>
          <cell r="N19">
            <v>0.16777216000000009</v>
          </cell>
          <cell r="O19">
            <v>0.13421772800000006</v>
          </cell>
        </row>
        <row r="20">
          <cell r="F20">
            <v>1</v>
          </cell>
          <cell r="G20">
            <v>0.8</v>
          </cell>
          <cell r="H20">
            <v>0.64</v>
          </cell>
          <cell r="I20">
            <v>0.51200000000000012</v>
          </cell>
          <cell r="J20">
            <v>0.40960000000000013</v>
          </cell>
          <cell r="K20">
            <v>0.32768000000000014</v>
          </cell>
          <cell r="L20">
            <v>0.2621440000000001</v>
          </cell>
          <cell r="M20">
            <v>0.2097152000000001</v>
          </cell>
          <cell r="N20">
            <v>0.16777216000000009</v>
          </cell>
          <cell r="O20">
            <v>0.13421772800000006</v>
          </cell>
        </row>
        <row r="21">
          <cell r="F21">
            <v>1</v>
          </cell>
          <cell r="G21">
            <v>0.8</v>
          </cell>
          <cell r="H21">
            <v>0.64</v>
          </cell>
          <cell r="I21">
            <v>0.51200000000000012</v>
          </cell>
          <cell r="J21">
            <v>0.40960000000000013</v>
          </cell>
          <cell r="K21">
            <v>0.32768000000000014</v>
          </cell>
          <cell r="L21">
            <v>0.2621440000000001</v>
          </cell>
          <cell r="M21">
            <v>0.2097152000000001</v>
          </cell>
          <cell r="N21">
            <v>0.16777216000000009</v>
          </cell>
          <cell r="O21">
            <v>0.13421772800000006</v>
          </cell>
        </row>
        <row r="22">
          <cell r="F22">
            <v>1</v>
          </cell>
          <cell r="G22">
            <v>0.7</v>
          </cell>
          <cell r="H22">
            <v>0.49</v>
          </cell>
          <cell r="I22">
            <v>0.34299999999999992</v>
          </cell>
          <cell r="J22">
            <v>0.24009999999999992</v>
          </cell>
          <cell r="K22">
            <v>0.16806999999999994</v>
          </cell>
          <cell r="L22">
            <v>0.11764899999999995</v>
          </cell>
          <cell r="M22">
            <v>8.2354299999999964E-2</v>
          </cell>
          <cell r="N22">
            <v>5.7648009999999972E-2</v>
          </cell>
          <cell r="O22">
            <v>4.0353606999999979E-2</v>
          </cell>
        </row>
        <row r="23">
          <cell r="F23">
            <v>1</v>
          </cell>
          <cell r="G23">
            <v>0.7</v>
          </cell>
          <cell r="H23">
            <v>0.49</v>
          </cell>
          <cell r="I23">
            <v>0.34299999999999992</v>
          </cell>
          <cell r="J23">
            <v>0.24009999999999992</v>
          </cell>
          <cell r="K23">
            <v>0.16806999999999994</v>
          </cell>
          <cell r="L23">
            <v>0.11764899999999995</v>
          </cell>
          <cell r="M23">
            <v>8.2354299999999964E-2</v>
          </cell>
          <cell r="N23">
            <v>5.7648009999999972E-2</v>
          </cell>
          <cell r="O23">
            <v>4.0353606999999979E-2</v>
          </cell>
        </row>
        <row r="24">
          <cell r="F24">
            <v>1</v>
          </cell>
          <cell r="G24">
            <v>0.7</v>
          </cell>
          <cell r="H24">
            <v>0.55999999999999994</v>
          </cell>
          <cell r="I24">
            <v>0.44799999999999995</v>
          </cell>
          <cell r="J24">
            <v>0.3584</v>
          </cell>
          <cell r="K24">
            <v>0.28672000000000003</v>
          </cell>
          <cell r="L24">
            <v>0.22937600000000002</v>
          </cell>
          <cell r="M24">
            <v>0.18350080000000002</v>
          </cell>
          <cell r="N24">
            <v>0.14680064000000001</v>
          </cell>
          <cell r="O24">
            <v>0.11744051200000001</v>
          </cell>
        </row>
        <row r="25">
          <cell r="F25">
            <v>1</v>
          </cell>
          <cell r="G25">
            <v>0.7</v>
          </cell>
          <cell r="H25">
            <v>0.49</v>
          </cell>
          <cell r="I25">
            <v>0.34299999999999992</v>
          </cell>
          <cell r="J25">
            <v>0.24009999999999992</v>
          </cell>
          <cell r="K25">
            <v>0.16806999999999994</v>
          </cell>
          <cell r="L25">
            <v>0.11764899999999995</v>
          </cell>
          <cell r="M25">
            <v>8.2354299999999964E-2</v>
          </cell>
          <cell r="N25">
            <v>5.7648009999999972E-2</v>
          </cell>
          <cell r="O25">
            <v>4.0353606999999979E-2</v>
          </cell>
        </row>
        <row r="26">
          <cell r="F26">
            <v>1</v>
          </cell>
          <cell r="G26">
            <v>0.7</v>
          </cell>
          <cell r="H26">
            <v>0.56000000000000005</v>
          </cell>
          <cell r="I26">
            <v>0.44799999999999995</v>
          </cell>
          <cell r="J26">
            <v>0.3584</v>
          </cell>
          <cell r="K26">
            <v>0.28672000000000003</v>
          </cell>
          <cell r="L26">
            <v>0.22937600000000002</v>
          </cell>
          <cell r="M26">
            <v>0.18350080000000002</v>
          </cell>
          <cell r="N26">
            <v>0.14680064000000001</v>
          </cell>
          <cell r="O26">
            <v>0.11744051200000001</v>
          </cell>
        </row>
        <row r="27">
          <cell r="F27">
            <v>1</v>
          </cell>
          <cell r="G27">
            <v>0.8</v>
          </cell>
          <cell r="H27">
            <v>0.64</v>
          </cell>
          <cell r="I27">
            <v>0.51200000000000012</v>
          </cell>
          <cell r="J27">
            <v>0.40960000000000013</v>
          </cell>
          <cell r="K27">
            <v>0.32768000000000014</v>
          </cell>
          <cell r="L27">
            <v>0.2621440000000001</v>
          </cell>
          <cell r="M27">
            <v>0.2097152000000001</v>
          </cell>
          <cell r="N27">
            <v>0.16777216000000009</v>
          </cell>
          <cell r="O27">
            <v>0.13421772800000006</v>
          </cell>
        </row>
        <row r="28">
          <cell r="F28">
            <v>1</v>
          </cell>
          <cell r="G28">
            <v>0.7</v>
          </cell>
          <cell r="H28">
            <v>0.56000000000000005</v>
          </cell>
          <cell r="I28">
            <v>0.44799999999999995</v>
          </cell>
          <cell r="J28">
            <v>0.3584</v>
          </cell>
          <cell r="K28">
            <v>0.28672000000000003</v>
          </cell>
          <cell r="L28">
            <v>0.22937600000000002</v>
          </cell>
          <cell r="M28">
            <v>0.18350080000000002</v>
          </cell>
          <cell r="N28">
            <v>0.14680064000000001</v>
          </cell>
          <cell r="O28">
            <v>0.11744051200000001</v>
          </cell>
        </row>
        <row r="29">
          <cell r="F29">
            <v>1</v>
          </cell>
          <cell r="G29">
            <v>0.7</v>
          </cell>
          <cell r="H29">
            <v>0.56000000000000005</v>
          </cell>
          <cell r="I29">
            <v>0.44799999999999995</v>
          </cell>
          <cell r="J29">
            <v>0.3584</v>
          </cell>
          <cell r="K29">
            <v>0.28672000000000003</v>
          </cell>
          <cell r="L29">
            <v>0.22937600000000002</v>
          </cell>
          <cell r="M29">
            <v>0.18350080000000002</v>
          </cell>
          <cell r="N29">
            <v>0.14680064000000001</v>
          </cell>
          <cell r="O29">
            <v>0.11744051200000001</v>
          </cell>
        </row>
        <row r="30">
          <cell r="F30">
            <v>1</v>
          </cell>
          <cell r="G30">
            <v>0.7</v>
          </cell>
          <cell r="H30">
            <v>0.56000000000000005</v>
          </cell>
          <cell r="I30">
            <v>0.44799999999999995</v>
          </cell>
          <cell r="J30">
            <v>0.3584</v>
          </cell>
          <cell r="K30">
            <v>0.28672000000000003</v>
          </cell>
          <cell r="L30">
            <v>0.22937600000000002</v>
          </cell>
          <cell r="M30">
            <v>0.18350080000000002</v>
          </cell>
          <cell r="N30">
            <v>0.14680064000000001</v>
          </cell>
          <cell r="O30">
            <v>0.11744051200000001</v>
          </cell>
        </row>
        <row r="31">
          <cell r="F31">
            <v>1</v>
          </cell>
          <cell r="G31">
            <v>0.7</v>
          </cell>
          <cell r="H31">
            <v>0.56000000000000005</v>
          </cell>
          <cell r="I31">
            <v>0.44799999999999995</v>
          </cell>
          <cell r="J31">
            <v>0.3584</v>
          </cell>
          <cell r="K31">
            <v>0.28672000000000003</v>
          </cell>
          <cell r="L31">
            <v>0.22937600000000002</v>
          </cell>
          <cell r="M31">
            <v>0.18350080000000002</v>
          </cell>
          <cell r="N31">
            <v>0.14680064000000001</v>
          </cell>
          <cell r="O31">
            <v>0.11744051200000001</v>
          </cell>
        </row>
        <row r="32">
          <cell r="F32">
            <v>1</v>
          </cell>
          <cell r="G32">
            <v>0.7</v>
          </cell>
          <cell r="H32">
            <v>0.49</v>
          </cell>
          <cell r="I32">
            <v>0.34299999999999992</v>
          </cell>
          <cell r="J32">
            <v>0.24009999999999992</v>
          </cell>
          <cell r="K32">
            <v>0.16806999999999994</v>
          </cell>
          <cell r="L32">
            <v>0.11764899999999995</v>
          </cell>
          <cell r="M32">
            <v>8.2354299999999964E-2</v>
          </cell>
          <cell r="N32">
            <v>5.7648009999999972E-2</v>
          </cell>
          <cell r="O32">
            <v>4.0353606999999979E-2</v>
          </cell>
        </row>
        <row r="33">
          <cell r="F33">
            <v>1</v>
          </cell>
          <cell r="G33">
            <v>0.7</v>
          </cell>
          <cell r="H33">
            <v>0.49</v>
          </cell>
          <cell r="I33">
            <v>0.34299999999999992</v>
          </cell>
          <cell r="J33">
            <v>0.24009999999999992</v>
          </cell>
          <cell r="K33">
            <v>0.16806999999999994</v>
          </cell>
          <cell r="L33">
            <v>0.11764899999999995</v>
          </cell>
          <cell r="M33">
            <v>8.2354299999999964E-2</v>
          </cell>
          <cell r="N33">
            <v>5.7648009999999972E-2</v>
          </cell>
          <cell r="O33">
            <v>4.0353606999999979E-2</v>
          </cell>
        </row>
        <row r="34">
          <cell r="F34">
            <v>1</v>
          </cell>
          <cell r="G34">
            <v>0.7</v>
          </cell>
          <cell r="H34">
            <v>0.49</v>
          </cell>
          <cell r="I34">
            <v>0.34299999999999992</v>
          </cell>
          <cell r="J34">
            <v>0.24009999999999992</v>
          </cell>
          <cell r="K34">
            <v>0.16806999999999994</v>
          </cell>
          <cell r="L34">
            <v>0.11764899999999995</v>
          </cell>
          <cell r="M34">
            <v>8.2354299999999964E-2</v>
          </cell>
          <cell r="N34">
            <v>5.7648009999999972E-2</v>
          </cell>
          <cell r="O34">
            <v>4.0353606999999979E-2</v>
          </cell>
        </row>
        <row r="35">
          <cell r="F35">
            <v>1</v>
          </cell>
          <cell r="G35">
            <v>0.7</v>
          </cell>
          <cell r="H35">
            <v>0.49</v>
          </cell>
          <cell r="I35">
            <v>0.34299999999999992</v>
          </cell>
          <cell r="J35">
            <v>0.24009999999999992</v>
          </cell>
          <cell r="K35">
            <v>0.16806999999999994</v>
          </cell>
          <cell r="L35">
            <v>0.11764899999999995</v>
          </cell>
          <cell r="M35">
            <v>8.2354299999999964E-2</v>
          </cell>
          <cell r="N35">
            <v>5.7648009999999972E-2</v>
          </cell>
          <cell r="O35">
            <v>4.0353606999999979E-2</v>
          </cell>
        </row>
        <row r="36">
          <cell r="F36">
            <v>1</v>
          </cell>
          <cell r="G36">
            <v>0.7</v>
          </cell>
          <cell r="H36">
            <v>0.49</v>
          </cell>
          <cell r="I36">
            <v>0.34299999999999992</v>
          </cell>
          <cell r="J36">
            <v>0.24009999999999992</v>
          </cell>
          <cell r="K36">
            <v>0.16806999999999994</v>
          </cell>
          <cell r="L36">
            <v>0.11764899999999995</v>
          </cell>
          <cell r="M36">
            <v>8.2354299999999964E-2</v>
          </cell>
          <cell r="N36">
            <v>5.7648009999999972E-2</v>
          </cell>
          <cell r="O36">
            <v>4.0353606999999979E-2</v>
          </cell>
        </row>
        <row r="37">
          <cell r="F37">
            <v>1</v>
          </cell>
          <cell r="G37">
            <v>0.7</v>
          </cell>
          <cell r="H37">
            <v>0.49</v>
          </cell>
          <cell r="I37">
            <v>0.34299999999999992</v>
          </cell>
          <cell r="J37">
            <v>0.24009999999999992</v>
          </cell>
          <cell r="K37">
            <v>0.16806999999999994</v>
          </cell>
          <cell r="L37">
            <v>0.11764899999999995</v>
          </cell>
          <cell r="M37">
            <v>8.2354299999999964E-2</v>
          </cell>
          <cell r="N37">
            <v>5.7648009999999972E-2</v>
          </cell>
          <cell r="O37">
            <v>4.0353606999999979E-2</v>
          </cell>
        </row>
        <row r="38">
          <cell r="F38">
            <v>1</v>
          </cell>
          <cell r="G38">
            <v>0.7</v>
          </cell>
          <cell r="H38">
            <v>0.49</v>
          </cell>
          <cell r="I38">
            <v>0.34299999999999992</v>
          </cell>
          <cell r="J38">
            <v>0.24009999999999992</v>
          </cell>
          <cell r="K38">
            <v>0.16806999999999994</v>
          </cell>
          <cell r="L38">
            <v>0.11764899999999995</v>
          </cell>
          <cell r="M38">
            <v>8.2354299999999964E-2</v>
          </cell>
          <cell r="N38">
            <v>5.7648009999999972E-2</v>
          </cell>
          <cell r="O38">
            <v>4.0353606999999979E-2</v>
          </cell>
        </row>
        <row r="39">
          <cell r="F39">
            <v>1</v>
          </cell>
          <cell r="G39">
            <v>0.7</v>
          </cell>
          <cell r="H39">
            <v>0.56000000000000005</v>
          </cell>
          <cell r="I39">
            <v>0.44799999999999995</v>
          </cell>
          <cell r="J39">
            <v>0.3584</v>
          </cell>
          <cell r="K39">
            <v>0.28672000000000003</v>
          </cell>
          <cell r="L39">
            <v>0.22937600000000002</v>
          </cell>
          <cell r="M39">
            <v>0.18350080000000002</v>
          </cell>
          <cell r="N39">
            <v>0.14680064000000001</v>
          </cell>
          <cell r="O39">
            <v>0.11744051200000001</v>
          </cell>
        </row>
        <row r="40">
          <cell r="F40">
            <v>1</v>
          </cell>
          <cell r="G40">
            <v>0.8</v>
          </cell>
          <cell r="H40">
            <v>0.64</v>
          </cell>
          <cell r="I40">
            <v>0.51200000000000012</v>
          </cell>
          <cell r="J40">
            <v>0.40960000000000013</v>
          </cell>
          <cell r="K40">
            <v>0.32768000000000014</v>
          </cell>
          <cell r="L40">
            <v>0.2621440000000001</v>
          </cell>
          <cell r="M40">
            <v>0.2097152000000001</v>
          </cell>
          <cell r="N40">
            <v>0.16777216000000009</v>
          </cell>
          <cell r="O40">
            <v>0.13421772800000006</v>
          </cell>
        </row>
        <row r="41">
          <cell r="F41">
            <v>1</v>
          </cell>
          <cell r="G41">
            <v>0.7</v>
          </cell>
          <cell r="H41">
            <v>0.56000000000000005</v>
          </cell>
          <cell r="I41">
            <v>0.44799999999999995</v>
          </cell>
          <cell r="J41">
            <v>0.3584</v>
          </cell>
          <cell r="K41">
            <v>0.28672000000000003</v>
          </cell>
          <cell r="L41">
            <v>0.22937600000000002</v>
          </cell>
          <cell r="M41">
            <v>0.18350080000000002</v>
          </cell>
          <cell r="N41">
            <v>0.14680064000000001</v>
          </cell>
          <cell r="O41">
            <v>0.11744051200000001</v>
          </cell>
        </row>
        <row r="42">
          <cell r="F42">
            <v>1</v>
          </cell>
          <cell r="G42">
            <v>0.7</v>
          </cell>
          <cell r="H42">
            <v>0.49</v>
          </cell>
          <cell r="I42">
            <v>0.34299999999999992</v>
          </cell>
          <cell r="J42">
            <v>0.24009999999999992</v>
          </cell>
          <cell r="K42">
            <v>0.16806999999999994</v>
          </cell>
          <cell r="L42">
            <v>0.11764899999999995</v>
          </cell>
          <cell r="M42">
            <v>8.2354299999999964E-2</v>
          </cell>
          <cell r="N42">
            <v>5.7648009999999972E-2</v>
          </cell>
          <cell r="O42">
            <v>4.0353606999999979E-2</v>
          </cell>
        </row>
        <row r="43">
          <cell r="F43">
            <v>1</v>
          </cell>
          <cell r="G43">
            <v>0.7</v>
          </cell>
          <cell r="H43">
            <v>0.56000000000000005</v>
          </cell>
          <cell r="I43">
            <v>0.44799999999999995</v>
          </cell>
          <cell r="J43">
            <v>0.3584</v>
          </cell>
          <cell r="K43">
            <v>0.28672000000000003</v>
          </cell>
          <cell r="L43">
            <v>0.22937600000000002</v>
          </cell>
          <cell r="M43">
            <v>0.18350080000000002</v>
          </cell>
          <cell r="N43">
            <v>0.14680064000000001</v>
          </cell>
          <cell r="O43">
            <v>0.11744051200000001</v>
          </cell>
        </row>
        <row r="44">
          <cell r="F44">
            <v>1</v>
          </cell>
          <cell r="G44">
            <v>0.7</v>
          </cell>
          <cell r="H44">
            <v>0.49</v>
          </cell>
          <cell r="I44">
            <v>0.34299999999999992</v>
          </cell>
          <cell r="J44">
            <v>0.24009999999999992</v>
          </cell>
          <cell r="K44">
            <v>0.16806999999999994</v>
          </cell>
          <cell r="L44">
            <v>0.11764899999999995</v>
          </cell>
          <cell r="M44">
            <v>8.2354299999999964E-2</v>
          </cell>
          <cell r="N44">
            <v>5.7648009999999972E-2</v>
          </cell>
          <cell r="O44">
            <v>4.0353606999999979E-2</v>
          </cell>
        </row>
        <row r="45">
          <cell r="F45">
            <v>1</v>
          </cell>
          <cell r="G45">
            <v>0.7</v>
          </cell>
          <cell r="H45">
            <v>0.49</v>
          </cell>
          <cell r="I45">
            <v>0.34299999999999992</v>
          </cell>
          <cell r="J45">
            <v>0.24009999999999992</v>
          </cell>
          <cell r="K45">
            <v>0.16806999999999994</v>
          </cell>
          <cell r="L45">
            <v>0.11764899999999995</v>
          </cell>
          <cell r="M45">
            <v>8.2354299999999964E-2</v>
          </cell>
          <cell r="N45">
            <v>5.7648009999999972E-2</v>
          </cell>
          <cell r="O45">
            <v>4.0353606999999979E-2</v>
          </cell>
        </row>
        <row r="46">
          <cell r="F46">
            <v>1</v>
          </cell>
          <cell r="G46">
            <v>0.7</v>
          </cell>
          <cell r="H46">
            <v>0.49</v>
          </cell>
          <cell r="I46">
            <v>0.34299999999999992</v>
          </cell>
          <cell r="J46">
            <v>0.24009999999999992</v>
          </cell>
          <cell r="K46">
            <v>0.16806999999999994</v>
          </cell>
          <cell r="L46">
            <v>0.11764899999999995</v>
          </cell>
          <cell r="M46">
            <v>8.2354299999999964E-2</v>
          </cell>
          <cell r="N46">
            <v>5.7648009999999972E-2</v>
          </cell>
          <cell r="O46">
            <v>4.0353606999999979E-2</v>
          </cell>
        </row>
        <row r="47">
          <cell r="F47">
            <v>1</v>
          </cell>
          <cell r="G47">
            <v>0.7</v>
          </cell>
          <cell r="H47">
            <v>0.49</v>
          </cell>
          <cell r="I47">
            <v>0.34300000000000003</v>
          </cell>
          <cell r="J47">
            <v>0.24010000000000001</v>
          </cell>
          <cell r="K47">
            <v>0.16807</v>
          </cell>
          <cell r="L47">
            <v>0.117649</v>
          </cell>
          <cell r="M47">
            <v>8.2354300000000005E-2</v>
          </cell>
          <cell r="N47">
            <v>5.764801E-2</v>
          </cell>
          <cell r="O47">
            <v>4.0353607E-2</v>
          </cell>
        </row>
        <row r="48">
          <cell r="F48">
            <v>1</v>
          </cell>
          <cell r="G48">
            <v>0.7</v>
          </cell>
          <cell r="H48">
            <v>0.49</v>
          </cell>
          <cell r="I48">
            <v>0.34300000000000003</v>
          </cell>
          <cell r="J48">
            <v>0.24010000000000001</v>
          </cell>
          <cell r="K48">
            <v>0.16807</v>
          </cell>
          <cell r="L48">
            <v>0.117649</v>
          </cell>
          <cell r="M48">
            <v>8.2354300000000005E-2</v>
          </cell>
          <cell r="N48">
            <v>5.764801E-2</v>
          </cell>
          <cell r="O48">
            <v>4.0353607E-2</v>
          </cell>
        </row>
        <row r="49">
          <cell r="F49">
            <v>1</v>
          </cell>
          <cell r="G49">
            <v>0.7</v>
          </cell>
          <cell r="H49">
            <v>0.48999999999999994</v>
          </cell>
          <cell r="I49">
            <v>0.39199999999999996</v>
          </cell>
          <cell r="J49">
            <v>0.31359999999999999</v>
          </cell>
          <cell r="K49">
            <v>0.25087999999999999</v>
          </cell>
          <cell r="L49">
            <v>0.20070399999999999</v>
          </cell>
          <cell r="M49">
            <v>0.16056320000000002</v>
          </cell>
          <cell r="N49">
            <v>0.12845056000000002</v>
          </cell>
          <cell r="O49">
            <v>0.10276044800000002</v>
          </cell>
        </row>
        <row r="50">
          <cell r="F50">
            <v>1</v>
          </cell>
          <cell r="G50">
            <v>0.7</v>
          </cell>
          <cell r="H50">
            <v>0.49</v>
          </cell>
          <cell r="I50">
            <v>0.39199999999999996</v>
          </cell>
          <cell r="J50">
            <v>0.31359999999999999</v>
          </cell>
          <cell r="K50">
            <v>0.25087999999999999</v>
          </cell>
          <cell r="L50">
            <v>0.20070399999999999</v>
          </cell>
          <cell r="M50">
            <v>0.16056320000000002</v>
          </cell>
          <cell r="N50">
            <v>0.12845056000000002</v>
          </cell>
          <cell r="O50">
            <v>0.10276044800000002</v>
          </cell>
        </row>
        <row r="51">
          <cell r="F51">
            <v>1</v>
          </cell>
          <cell r="G51">
            <v>0.7</v>
          </cell>
          <cell r="H51">
            <v>0.49</v>
          </cell>
          <cell r="I51">
            <v>0.34300000000000003</v>
          </cell>
          <cell r="J51">
            <v>0.24010000000000001</v>
          </cell>
          <cell r="K51">
            <v>0.16807</v>
          </cell>
          <cell r="L51">
            <v>0.117649</v>
          </cell>
          <cell r="M51">
            <v>8.2354300000000005E-2</v>
          </cell>
          <cell r="N51">
            <v>5.764801E-2</v>
          </cell>
          <cell r="O51">
            <v>4.0353607E-2</v>
          </cell>
        </row>
        <row r="52">
          <cell r="F52">
            <v>1</v>
          </cell>
          <cell r="G52">
            <v>0.7</v>
          </cell>
          <cell r="H52">
            <v>0.49</v>
          </cell>
          <cell r="I52">
            <v>0.39199999999999996</v>
          </cell>
          <cell r="J52">
            <v>0.31359999999999999</v>
          </cell>
          <cell r="K52">
            <v>0.25087999999999999</v>
          </cell>
          <cell r="L52">
            <v>0.20070399999999999</v>
          </cell>
          <cell r="M52">
            <v>0.16056320000000002</v>
          </cell>
          <cell r="N52">
            <v>0.12845056000000002</v>
          </cell>
          <cell r="O52">
            <v>0.10276044800000002</v>
          </cell>
        </row>
        <row r="53">
          <cell r="F53">
            <v>1</v>
          </cell>
          <cell r="G53">
            <v>0.8</v>
          </cell>
          <cell r="H53">
            <v>0.64</v>
          </cell>
          <cell r="I53">
            <v>0.51200000000000012</v>
          </cell>
          <cell r="J53">
            <v>0.40960000000000013</v>
          </cell>
          <cell r="K53">
            <v>0.32768000000000014</v>
          </cell>
          <cell r="L53">
            <v>0.2621440000000001</v>
          </cell>
          <cell r="M53">
            <v>0.2097152000000001</v>
          </cell>
          <cell r="N53">
            <v>0.16777216000000009</v>
          </cell>
          <cell r="O53">
            <v>0.13421772800000006</v>
          </cell>
        </row>
        <row r="54">
          <cell r="F54">
            <v>1</v>
          </cell>
          <cell r="G54">
            <v>0.8</v>
          </cell>
          <cell r="H54">
            <v>0.64</v>
          </cell>
          <cell r="I54">
            <v>0.51200000000000012</v>
          </cell>
          <cell r="J54">
            <v>0.40960000000000013</v>
          </cell>
          <cell r="K54">
            <v>0.32768000000000014</v>
          </cell>
          <cell r="L54">
            <v>0.2621440000000001</v>
          </cell>
          <cell r="M54">
            <v>0.2097152000000001</v>
          </cell>
          <cell r="N54">
            <v>0.16777216000000009</v>
          </cell>
          <cell r="O54">
            <v>0.13421772800000006</v>
          </cell>
        </row>
        <row r="55">
          <cell r="F55">
            <v>1</v>
          </cell>
          <cell r="G55">
            <v>0.8</v>
          </cell>
          <cell r="H55">
            <v>0.64</v>
          </cell>
          <cell r="I55">
            <v>0.51200000000000012</v>
          </cell>
          <cell r="J55">
            <v>0.40960000000000013</v>
          </cell>
          <cell r="K55">
            <v>0.32768000000000014</v>
          </cell>
          <cell r="L55">
            <v>0.2621440000000001</v>
          </cell>
          <cell r="M55">
            <v>0.2097152000000001</v>
          </cell>
          <cell r="N55">
            <v>0.16777216000000009</v>
          </cell>
          <cell r="O55">
            <v>0.13421772800000006</v>
          </cell>
        </row>
        <row r="56">
          <cell r="F56">
            <v>1</v>
          </cell>
          <cell r="G56">
            <v>0.8</v>
          </cell>
          <cell r="H56">
            <v>0.64</v>
          </cell>
          <cell r="I56">
            <v>0.51200000000000012</v>
          </cell>
          <cell r="J56">
            <v>0.40960000000000013</v>
          </cell>
          <cell r="K56">
            <v>0.32768000000000014</v>
          </cell>
          <cell r="L56">
            <v>0.2621440000000001</v>
          </cell>
          <cell r="M56">
            <v>0.2097152000000001</v>
          </cell>
          <cell r="N56">
            <v>0.16777216000000009</v>
          </cell>
          <cell r="O56">
            <v>0.13421772800000006</v>
          </cell>
        </row>
        <row r="57">
          <cell r="F57">
            <v>1</v>
          </cell>
          <cell r="G57">
            <v>0.8</v>
          </cell>
          <cell r="H57">
            <v>0.64</v>
          </cell>
          <cell r="I57">
            <v>0.51200000000000012</v>
          </cell>
          <cell r="J57">
            <v>0.40960000000000013</v>
          </cell>
          <cell r="K57">
            <v>0.32768000000000014</v>
          </cell>
          <cell r="L57">
            <v>0.2621440000000001</v>
          </cell>
          <cell r="M57">
            <v>0.2097152000000001</v>
          </cell>
          <cell r="N57">
            <v>0.16777216000000009</v>
          </cell>
          <cell r="O57">
            <v>0.13421772800000006</v>
          </cell>
        </row>
        <row r="58">
          <cell r="F58">
            <v>1</v>
          </cell>
          <cell r="G58">
            <v>0.8</v>
          </cell>
          <cell r="H58">
            <v>0.64</v>
          </cell>
          <cell r="I58">
            <v>0.51200000000000012</v>
          </cell>
          <cell r="J58">
            <v>0.40960000000000013</v>
          </cell>
          <cell r="K58">
            <v>0.32768000000000014</v>
          </cell>
          <cell r="L58">
            <v>0.2621440000000001</v>
          </cell>
          <cell r="M58">
            <v>0.2097152000000001</v>
          </cell>
          <cell r="N58">
            <v>0.16777216000000009</v>
          </cell>
          <cell r="O58">
            <v>0.13421772800000006</v>
          </cell>
        </row>
        <row r="59">
          <cell r="F59">
            <v>1</v>
          </cell>
          <cell r="G59">
            <v>0.8</v>
          </cell>
          <cell r="H59">
            <v>0.64</v>
          </cell>
          <cell r="I59">
            <v>0.51200000000000012</v>
          </cell>
          <cell r="J59">
            <v>0.40960000000000013</v>
          </cell>
          <cell r="K59">
            <v>0.32768000000000014</v>
          </cell>
          <cell r="L59">
            <v>0.2621440000000001</v>
          </cell>
          <cell r="M59">
            <v>0.2097152000000001</v>
          </cell>
          <cell r="N59">
            <v>0.16777216000000009</v>
          </cell>
          <cell r="O59">
            <v>0.13421772800000006</v>
          </cell>
        </row>
        <row r="60">
          <cell r="F60">
            <v>1</v>
          </cell>
          <cell r="G60">
            <v>0.8</v>
          </cell>
          <cell r="H60">
            <v>0.64</v>
          </cell>
          <cell r="I60">
            <v>0.51200000000000012</v>
          </cell>
          <cell r="J60">
            <v>0.40960000000000013</v>
          </cell>
          <cell r="K60">
            <v>0.32768000000000014</v>
          </cell>
          <cell r="L60">
            <v>0.2621440000000001</v>
          </cell>
          <cell r="M60">
            <v>0.2097152000000001</v>
          </cell>
          <cell r="N60">
            <v>0.16777216000000009</v>
          </cell>
          <cell r="O60">
            <v>0.13421772800000006</v>
          </cell>
        </row>
        <row r="61">
          <cell r="F61">
            <v>1</v>
          </cell>
          <cell r="G61">
            <v>0.7</v>
          </cell>
          <cell r="H61">
            <v>0.49</v>
          </cell>
          <cell r="I61">
            <v>0.34299999999999992</v>
          </cell>
          <cell r="J61">
            <v>0.24009999999999992</v>
          </cell>
          <cell r="K61">
            <v>0.16806999999999994</v>
          </cell>
          <cell r="L61">
            <v>0.11764899999999995</v>
          </cell>
          <cell r="M61">
            <v>8.2354299999999964E-2</v>
          </cell>
          <cell r="N61">
            <v>5.7648009999999972E-2</v>
          </cell>
          <cell r="O61">
            <v>4.0353606999999979E-2</v>
          </cell>
        </row>
        <row r="62">
          <cell r="F62">
            <v>1</v>
          </cell>
          <cell r="G62">
            <v>0.7</v>
          </cell>
          <cell r="H62">
            <v>0.49</v>
          </cell>
          <cell r="I62">
            <v>0.34299999999999992</v>
          </cell>
          <cell r="J62">
            <v>0.24009999999999992</v>
          </cell>
          <cell r="K62">
            <v>0.16806999999999994</v>
          </cell>
          <cell r="L62">
            <v>0.11764899999999995</v>
          </cell>
          <cell r="M62">
            <v>8.2354299999999964E-2</v>
          </cell>
          <cell r="N62">
            <v>5.7648009999999972E-2</v>
          </cell>
          <cell r="O62">
            <v>4.0353606999999979E-2</v>
          </cell>
        </row>
      </sheetData>
      <sheetData sheetId="10"/>
      <sheetData sheetId="11" refreshError="1">
        <row r="9">
          <cell r="B9" t="str">
            <v>용도</v>
          </cell>
          <cell r="C9" t="str">
            <v>번호</v>
          </cell>
          <cell r="D9" t="str">
            <v>항고구분</v>
          </cell>
        </row>
        <row r="10">
          <cell r="B10" t="str">
            <v>단독주택</v>
          </cell>
          <cell r="C10">
            <v>1</v>
          </cell>
          <cell r="D10">
            <v>1</v>
          </cell>
        </row>
        <row r="11">
          <cell r="B11" t="str">
            <v>근린주택</v>
          </cell>
          <cell r="C11">
            <v>2</v>
          </cell>
          <cell r="D11">
            <v>1</v>
          </cell>
        </row>
        <row r="12">
          <cell r="B12" t="str">
            <v>아파트</v>
          </cell>
          <cell r="C12">
            <v>3</v>
          </cell>
          <cell r="D12">
            <v>1</v>
          </cell>
        </row>
        <row r="13">
          <cell r="B13" t="str">
            <v>상가아파트</v>
          </cell>
          <cell r="C13">
            <v>4</v>
          </cell>
          <cell r="D13">
            <v>1</v>
          </cell>
        </row>
        <row r="14">
          <cell r="B14" t="str">
            <v>연립주택</v>
          </cell>
          <cell r="C14">
            <v>5</v>
          </cell>
          <cell r="D14">
            <v>1</v>
          </cell>
        </row>
        <row r="15">
          <cell r="B15" t="str">
            <v>다세대,빌라</v>
          </cell>
          <cell r="C15">
            <v>6</v>
          </cell>
          <cell r="D15">
            <v>1</v>
          </cell>
        </row>
        <row r="16">
          <cell r="B16" t="str">
            <v>점포상가</v>
          </cell>
          <cell r="C16">
            <v>7</v>
          </cell>
          <cell r="D16">
            <v>1</v>
          </cell>
        </row>
        <row r="17">
          <cell r="B17" t="str">
            <v>빌딩</v>
          </cell>
          <cell r="C17">
            <v>8</v>
          </cell>
          <cell r="D17">
            <v>0</v>
          </cell>
        </row>
        <row r="18">
          <cell r="B18" t="str">
            <v>근린상가</v>
          </cell>
          <cell r="C18">
            <v>9</v>
          </cell>
          <cell r="D18">
            <v>1</v>
          </cell>
        </row>
        <row r="19">
          <cell r="B19" t="str">
            <v>오피스텔</v>
          </cell>
          <cell r="C19">
            <v>10</v>
          </cell>
          <cell r="D19">
            <v>1</v>
          </cell>
        </row>
        <row r="20">
          <cell r="B20" t="str">
            <v>숙박시설</v>
          </cell>
          <cell r="C20">
            <v>11</v>
          </cell>
          <cell r="D20">
            <v>0</v>
          </cell>
        </row>
        <row r="21">
          <cell r="B21" t="str">
            <v>기타건물</v>
          </cell>
          <cell r="C21">
            <v>12</v>
          </cell>
          <cell r="D21">
            <v>0</v>
          </cell>
        </row>
        <row r="22">
          <cell r="B22" t="str">
            <v>임야</v>
          </cell>
          <cell r="C22">
            <v>13</v>
          </cell>
          <cell r="D22">
            <v>0</v>
          </cell>
        </row>
        <row r="23">
          <cell r="B23" t="str">
            <v>대지</v>
          </cell>
          <cell r="C23">
            <v>14</v>
          </cell>
          <cell r="D23">
            <v>0</v>
          </cell>
        </row>
        <row r="24">
          <cell r="B24" t="str">
            <v>잡종지</v>
          </cell>
          <cell r="C24">
            <v>15</v>
          </cell>
          <cell r="D24">
            <v>0</v>
          </cell>
        </row>
        <row r="25">
          <cell r="B25" t="str">
            <v>전</v>
          </cell>
          <cell r="C25">
            <v>16</v>
          </cell>
          <cell r="D25">
            <v>0</v>
          </cell>
        </row>
        <row r="26">
          <cell r="B26" t="str">
            <v>답</v>
          </cell>
          <cell r="C26">
            <v>17</v>
          </cell>
          <cell r="D26">
            <v>0</v>
          </cell>
        </row>
        <row r="27">
          <cell r="B27" t="str">
            <v>과수원</v>
          </cell>
          <cell r="C27">
            <v>18</v>
          </cell>
          <cell r="D27">
            <v>0</v>
          </cell>
        </row>
        <row r="28">
          <cell r="B28" t="str">
            <v>목장용지</v>
          </cell>
          <cell r="C28">
            <v>19</v>
          </cell>
          <cell r="D28">
            <v>0</v>
          </cell>
        </row>
        <row r="29">
          <cell r="B29" t="str">
            <v>기타토지</v>
          </cell>
          <cell r="C29">
            <v>20</v>
          </cell>
          <cell r="D29">
            <v>0</v>
          </cell>
        </row>
        <row r="30">
          <cell r="B30" t="str">
            <v>공장</v>
          </cell>
          <cell r="C30">
            <v>21</v>
          </cell>
          <cell r="D30">
            <v>0</v>
          </cell>
        </row>
        <row r="31">
          <cell r="B31" t="str">
            <v>차량,중기</v>
          </cell>
          <cell r="C31">
            <v>22</v>
          </cell>
          <cell r="D31">
            <v>0</v>
          </cell>
        </row>
        <row r="32">
          <cell r="B32" t="str">
            <v>선박</v>
          </cell>
          <cell r="C32">
            <v>23</v>
          </cell>
          <cell r="D32">
            <v>0</v>
          </cell>
        </row>
        <row r="33">
          <cell r="B33" t="str">
            <v>광업권</v>
          </cell>
          <cell r="C33">
            <v>24</v>
          </cell>
          <cell r="D33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첨부 I. 추정현금흐름 및 평가내역 총괄표"/>
      <sheetName val="첨부 II. 담보부채권 월별추정현금흐름 및 평가내역"/>
      <sheetName val="차주별평가액(함수)"/>
      <sheetName val="Assumption"/>
      <sheetName val="Cashflow 및 결과"/>
      <sheetName val="담보Cashflow"/>
      <sheetName val="Valuation-담보"/>
      <sheetName val="경매비용"/>
      <sheetName val="잔존채권"/>
      <sheetName val="Valuation-신용보증서"/>
      <sheetName val="1.채권명세"/>
      <sheetName val="BasicInfo"/>
      <sheetName val="200805-200810(6개월)"/>
      <sheetName val="상각편입후회수율"/>
      <sheetName val="Code"/>
      <sheetName val="기일"/>
      <sheetName val="회차가격율"/>
      <sheetName val="경락률"/>
      <sheetName val="법원비용"/>
      <sheetName val="항고구분"/>
      <sheetName val="경매회차하락률"/>
    </sheetNames>
    <sheetDataSet>
      <sheetData sheetId="0"/>
      <sheetData sheetId="1"/>
      <sheetData sheetId="2"/>
      <sheetData sheetId="3">
        <row r="5">
          <cell r="C5">
            <v>39844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P_과거"/>
      <sheetName val="MRP"/>
      <sheetName val="비용반영"/>
      <sheetName val="Cashflow"/>
      <sheetName val="차주별 summary"/>
      <sheetName val="차주별평가액"/>
      <sheetName val="차주별물건별CF"/>
      <sheetName val="2.MRP붙임자료"/>
      <sheetName val="MRP 조정내역 검토"/>
      <sheetName val="은행과비교"/>
      <sheetName val="Valuation-담보"/>
      <sheetName val="Valuation-잔존채권 "/>
      <sheetName val="신용보증서"/>
      <sheetName val="Assumption"/>
      <sheetName val="법원별가격하락율_수정"/>
      <sheetName val="낙찰률_수정"/>
      <sheetName val="법원별기일"/>
      <sheetName val="지역용도구분"/>
      <sheetName val="무담보상각편입후회수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6">
          <cell r="D6">
            <v>41754</v>
          </cell>
        </row>
        <row r="12">
          <cell r="D12">
            <v>41851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P"/>
      <sheetName val="MRP 붙임자료"/>
      <sheetName val="보고"/>
      <sheetName val="MRP 조정내역 검토"/>
      <sheetName val="유효담보가비교(최초)"/>
      <sheetName val="Pool A_가압류"/>
      <sheetName val="Pool B_가압류"/>
      <sheetName val="유효담보가비교(수정)"/>
      <sheetName val="차주별평가액"/>
      <sheetName val="차주별물건별CF"/>
      <sheetName val="담보채권"/>
      <sheetName val="비용반영"/>
      <sheetName val="Valuation-담보"/>
      <sheetName val="Valuation-잔존채권 "/>
      <sheetName val="Assumption"/>
      <sheetName val="Cashflow"/>
      <sheetName val="신용보증서"/>
      <sheetName val="법원별가격하락율_수정"/>
      <sheetName val="낙찰률_수정"/>
      <sheetName val="낙찰률_최신"/>
      <sheetName val="법원별기일"/>
      <sheetName val="지역용도구분"/>
      <sheetName val="무담보상각편입후회수율"/>
      <sheetName val="Sheet1"/>
      <sheetName val="Sheet2"/>
      <sheetName val="Sheet3"/>
      <sheetName val="Sheet4"/>
      <sheetName val="Sheet5"/>
      <sheetName val="Sheet6"/>
      <sheetName val="보고서"/>
      <sheetName val="회사정보"/>
      <sheetName val="약정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7">
          <cell r="C47">
            <v>63260</v>
          </cell>
        </row>
        <row r="52">
          <cell r="C52">
            <v>3</v>
          </cell>
        </row>
        <row r="54">
          <cell r="C54">
            <v>0.2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매각기표(실기표)"/>
      <sheetName val="분개내역"/>
      <sheetName val="환매"/>
      <sheetName val="매각기표(충당금환입감안)"/>
      <sheetName val="개별기표"/>
      <sheetName val="대사"/>
      <sheetName val="매각대상(전체)"/>
      <sheetName val="충당금사용명세(일반)"/>
      <sheetName val="충당금사용명세(특채)"/>
      <sheetName val="매각대상(전체)_임시원화변환"/>
      <sheetName val="충당금(원화)_전년말"/>
      <sheetName val="충당금(원화,외화)_전년말"/>
      <sheetName val="충당금(카드)_전년말"/>
      <sheetName val="충당금(가지급)_전년말"/>
      <sheetName val="충당금(원화)_CUT"/>
      <sheetName val="가지급금_Cut"/>
      <sheetName val="충당금(가지급)_Cut"/>
      <sheetName val="국가코드"/>
      <sheetName val="세무서코드(2004.4.1이후)"/>
      <sheetName val="유가증권현황"/>
      <sheetName val="상환익(2001년도)"/>
      <sheetName val="통합건전성별분류(0201)"/>
      <sheetName val="통합지보건전성(0201)"/>
      <sheetName val="세부PL"/>
      <sheetName val="계정code"/>
      <sheetName val="기본데이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CA9">
            <v>39979504</v>
          </cell>
          <cell r="CB9">
            <v>298729</v>
          </cell>
        </row>
        <row r="10">
          <cell r="CA10">
            <v>46290490</v>
          </cell>
          <cell r="CB10">
            <v>332500</v>
          </cell>
        </row>
        <row r="11">
          <cell r="CA11">
            <v>256252773</v>
          </cell>
          <cell r="CB11">
            <v>21000000</v>
          </cell>
        </row>
        <row r="12">
          <cell r="CA12">
            <v>16385813</v>
          </cell>
          <cell r="CB12">
            <v>128400</v>
          </cell>
        </row>
        <row r="13">
          <cell r="CA13">
            <v>44120872</v>
          </cell>
          <cell r="CB13">
            <v>402547</v>
          </cell>
        </row>
        <row r="14">
          <cell r="CA14">
            <v>159442177</v>
          </cell>
          <cell r="CB14">
            <v>1050000</v>
          </cell>
        </row>
        <row r="15">
          <cell r="CA15">
            <v>6539948</v>
          </cell>
          <cell r="CB15">
            <v>49946</v>
          </cell>
        </row>
        <row r="16">
          <cell r="CA16">
            <v>11645442</v>
          </cell>
          <cell r="CB16">
            <v>0</v>
          </cell>
        </row>
        <row r="17">
          <cell r="CA17">
            <v>119927989</v>
          </cell>
          <cell r="CB17">
            <v>719355</v>
          </cell>
        </row>
        <row r="18">
          <cell r="CA18">
            <v>26856952</v>
          </cell>
          <cell r="CB18">
            <v>151069</v>
          </cell>
        </row>
        <row r="19">
          <cell r="CA19">
            <v>21415657</v>
          </cell>
          <cell r="CB19">
            <v>127980</v>
          </cell>
        </row>
        <row r="20">
          <cell r="CA20">
            <v>147115378</v>
          </cell>
          <cell r="CB20">
            <v>945420</v>
          </cell>
        </row>
        <row r="21">
          <cell r="CA21">
            <v>266174523</v>
          </cell>
          <cell r="CB21">
            <v>0</v>
          </cell>
        </row>
        <row r="22">
          <cell r="CA22">
            <v>98833140</v>
          </cell>
          <cell r="CB22">
            <v>0</v>
          </cell>
        </row>
        <row r="23">
          <cell r="CA23">
            <v>389112839</v>
          </cell>
          <cell r="CB23">
            <v>0</v>
          </cell>
        </row>
        <row r="24">
          <cell r="CA24">
            <v>201261989</v>
          </cell>
          <cell r="CB24">
            <v>0</v>
          </cell>
        </row>
        <row r="25">
          <cell r="CA25">
            <v>262954924</v>
          </cell>
          <cell r="CB25">
            <v>0</v>
          </cell>
        </row>
        <row r="26">
          <cell r="CA26">
            <v>23671186</v>
          </cell>
          <cell r="CB26">
            <v>12579400</v>
          </cell>
        </row>
        <row r="27">
          <cell r="CA27">
            <v>40543767</v>
          </cell>
          <cell r="CB27">
            <v>11391320</v>
          </cell>
        </row>
        <row r="28">
          <cell r="CA28">
            <v>34788238</v>
          </cell>
          <cell r="CB28">
            <v>0</v>
          </cell>
        </row>
        <row r="29">
          <cell r="CA29">
            <v>4851591</v>
          </cell>
          <cell r="CB29">
            <v>0</v>
          </cell>
        </row>
        <row r="30">
          <cell r="CA30">
            <v>7377966</v>
          </cell>
          <cell r="CB30">
            <v>0</v>
          </cell>
        </row>
        <row r="31">
          <cell r="CA31">
            <v>928443017</v>
          </cell>
          <cell r="CB31">
            <v>123492040</v>
          </cell>
        </row>
        <row r="32">
          <cell r="CA32">
            <v>233455579</v>
          </cell>
          <cell r="CB32">
            <v>55413221</v>
          </cell>
        </row>
        <row r="33">
          <cell r="CA33">
            <v>143675247</v>
          </cell>
          <cell r="CB33">
            <v>26000000</v>
          </cell>
        </row>
        <row r="34">
          <cell r="CA34">
            <v>104000834</v>
          </cell>
          <cell r="CB34">
            <v>8088348</v>
          </cell>
        </row>
        <row r="35">
          <cell r="CA35">
            <v>321376052</v>
          </cell>
          <cell r="CB35">
            <v>11277150</v>
          </cell>
        </row>
        <row r="36">
          <cell r="CA36">
            <v>105702129</v>
          </cell>
          <cell r="CB36">
            <v>35723543</v>
          </cell>
        </row>
        <row r="37">
          <cell r="CA37">
            <v>13480487</v>
          </cell>
          <cell r="CB37">
            <v>0</v>
          </cell>
        </row>
        <row r="38">
          <cell r="CA38">
            <v>43272341</v>
          </cell>
          <cell r="CB38">
            <v>0</v>
          </cell>
        </row>
        <row r="39">
          <cell r="CA39">
            <v>19051705</v>
          </cell>
          <cell r="CB39">
            <v>0</v>
          </cell>
        </row>
        <row r="40">
          <cell r="CA40">
            <v>54146030</v>
          </cell>
          <cell r="CB40">
            <v>0</v>
          </cell>
        </row>
        <row r="41">
          <cell r="CA41">
            <v>36639789</v>
          </cell>
          <cell r="CB41">
            <v>0</v>
          </cell>
        </row>
        <row r="42">
          <cell r="CA42">
            <v>26869178</v>
          </cell>
          <cell r="CB42">
            <v>0</v>
          </cell>
        </row>
        <row r="43">
          <cell r="CA43">
            <v>53654001</v>
          </cell>
          <cell r="CB43">
            <v>0</v>
          </cell>
        </row>
        <row r="44">
          <cell r="CA44">
            <v>17185339</v>
          </cell>
          <cell r="CB44">
            <v>0</v>
          </cell>
        </row>
        <row r="45">
          <cell r="CA45">
            <v>6197880</v>
          </cell>
          <cell r="CB45">
            <v>0</v>
          </cell>
        </row>
        <row r="46">
          <cell r="CA46">
            <v>73440170</v>
          </cell>
          <cell r="CB46">
            <v>0</v>
          </cell>
        </row>
        <row r="47">
          <cell r="CA47">
            <v>177432700</v>
          </cell>
          <cell r="CB47">
            <v>45617800</v>
          </cell>
        </row>
        <row r="48">
          <cell r="CA48">
            <v>6998257</v>
          </cell>
          <cell r="CB48">
            <v>532091</v>
          </cell>
        </row>
        <row r="49">
          <cell r="CA49">
            <v>70826579</v>
          </cell>
          <cell r="CB49">
            <v>37187500</v>
          </cell>
        </row>
        <row r="50">
          <cell r="CA50">
            <v>351996998</v>
          </cell>
          <cell r="CB50">
            <v>103326200</v>
          </cell>
        </row>
        <row r="51">
          <cell r="CA51">
            <v>370093929</v>
          </cell>
          <cell r="CB51">
            <v>445012203</v>
          </cell>
        </row>
        <row r="52">
          <cell r="CA52">
            <v>12000061</v>
          </cell>
          <cell r="CB52">
            <v>200000000</v>
          </cell>
        </row>
        <row r="53">
          <cell r="CA53">
            <v>11558485</v>
          </cell>
          <cell r="CB53">
            <v>200000000</v>
          </cell>
        </row>
        <row r="54">
          <cell r="CA54">
            <v>650532867</v>
          </cell>
          <cell r="CB54">
            <v>163780000</v>
          </cell>
        </row>
        <row r="55">
          <cell r="CA55">
            <v>119230891</v>
          </cell>
          <cell r="CB55">
            <v>30340000</v>
          </cell>
        </row>
        <row r="56">
          <cell r="CA56">
            <v>120174049</v>
          </cell>
          <cell r="CB56">
            <v>30580000</v>
          </cell>
        </row>
        <row r="57">
          <cell r="CA57">
            <v>23264563</v>
          </cell>
          <cell r="CB57">
            <v>5920000</v>
          </cell>
        </row>
        <row r="58">
          <cell r="CA58">
            <v>141945279</v>
          </cell>
          <cell r="CB58">
            <v>36120000</v>
          </cell>
        </row>
        <row r="59">
          <cell r="CA59">
            <v>27272985</v>
          </cell>
          <cell r="CB59">
            <v>6940000</v>
          </cell>
        </row>
        <row r="60">
          <cell r="CA60">
            <v>316115124</v>
          </cell>
          <cell r="CB60">
            <v>80440000</v>
          </cell>
        </row>
        <row r="61">
          <cell r="CA61">
            <v>352797052</v>
          </cell>
          <cell r="CB61">
            <v>89740000</v>
          </cell>
        </row>
        <row r="62">
          <cell r="CA62">
            <v>225815274</v>
          </cell>
          <cell r="CB62">
            <v>57440000</v>
          </cell>
        </row>
        <row r="63">
          <cell r="CA63">
            <v>9277925</v>
          </cell>
          <cell r="CB63">
            <v>2360000</v>
          </cell>
        </row>
        <row r="64">
          <cell r="CA64">
            <v>352797052</v>
          </cell>
          <cell r="CB64">
            <v>89740000</v>
          </cell>
        </row>
        <row r="65">
          <cell r="CA65">
            <v>28378744</v>
          </cell>
          <cell r="CB65">
            <v>7360000</v>
          </cell>
        </row>
        <row r="66">
          <cell r="CA66">
            <v>20326158</v>
          </cell>
          <cell r="CB66">
            <v>5280000</v>
          </cell>
        </row>
        <row r="67">
          <cell r="CA67">
            <v>434778639</v>
          </cell>
          <cell r="CB67">
            <v>112980000</v>
          </cell>
        </row>
        <row r="68">
          <cell r="CA68">
            <v>293469808</v>
          </cell>
          <cell r="CB68">
            <v>76260000</v>
          </cell>
        </row>
        <row r="69">
          <cell r="CA69">
            <v>73466299</v>
          </cell>
          <cell r="CB69">
            <v>19380000</v>
          </cell>
        </row>
        <row r="70">
          <cell r="CA70">
            <v>7487609</v>
          </cell>
          <cell r="CB70">
            <v>2000000</v>
          </cell>
        </row>
        <row r="71">
          <cell r="CA71">
            <v>18719022</v>
          </cell>
          <cell r="CB71">
            <v>5000000</v>
          </cell>
        </row>
        <row r="72">
          <cell r="CA72">
            <v>32951764</v>
          </cell>
          <cell r="CB72">
            <v>8820000</v>
          </cell>
        </row>
        <row r="73">
          <cell r="CA73">
            <v>3738637</v>
          </cell>
          <cell r="CB73">
            <v>1020000</v>
          </cell>
        </row>
        <row r="74">
          <cell r="CA74">
            <v>285804556</v>
          </cell>
          <cell r="CB74">
            <v>73000000</v>
          </cell>
        </row>
        <row r="75">
          <cell r="CA75">
            <v>140318291</v>
          </cell>
          <cell r="CB75">
            <v>35840000</v>
          </cell>
        </row>
        <row r="76">
          <cell r="CA76">
            <v>5345602215</v>
          </cell>
          <cell r="CB76">
            <v>1020000000</v>
          </cell>
        </row>
        <row r="77">
          <cell r="CA77">
            <v>53948854</v>
          </cell>
          <cell r="CB77">
            <v>14501051</v>
          </cell>
        </row>
        <row r="78">
          <cell r="CA78">
            <v>21519294</v>
          </cell>
          <cell r="CB78">
            <v>761437</v>
          </cell>
        </row>
        <row r="79">
          <cell r="CA79">
            <v>5719303</v>
          </cell>
          <cell r="CB79">
            <v>994768</v>
          </cell>
        </row>
        <row r="80">
          <cell r="CA80">
            <v>60620568</v>
          </cell>
          <cell r="CB80">
            <v>11000000</v>
          </cell>
        </row>
        <row r="81">
          <cell r="CA81">
            <v>1094502</v>
          </cell>
          <cell r="CB81">
            <v>0</v>
          </cell>
        </row>
        <row r="82">
          <cell r="CA82">
            <v>492069</v>
          </cell>
          <cell r="CB82">
            <v>0</v>
          </cell>
        </row>
        <row r="83">
          <cell r="CA83">
            <v>1089093</v>
          </cell>
          <cell r="CB83">
            <v>0</v>
          </cell>
        </row>
        <row r="84">
          <cell r="CA84">
            <v>1905912</v>
          </cell>
          <cell r="CB84">
            <v>0</v>
          </cell>
        </row>
        <row r="85">
          <cell r="CA85">
            <v>2306074</v>
          </cell>
          <cell r="CB85">
            <v>0</v>
          </cell>
        </row>
        <row r="86">
          <cell r="CA86">
            <v>956352</v>
          </cell>
          <cell r="CB86">
            <v>0</v>
          </cell>
        </row>
        <row r="87">
          <cell r="CA87">
            <v>1366218</v>
          </cell>
          <cell r="CB87">
            <v>0</v>
          </cell>
        </row>
        <row r="88">
          <cell r="CA88">
            <v>1776084</v>
          </cell>
          <cell r="CB88">
            <v>0</v>
          </cell>
        </row>
        <row r="89">
          <cell r="CA89">
            <v>2721532</v>
          </cell>
          <cell r="CB89">
            <v>0</v>
          </cell>
        </row>
        <row r="90">
          <cell r="CA90">
            <v>127437478</v>
          </cell>
          <cell r="CB90">
            <v>39058777</v>
          </cell>
        </row>
        <row r="91">
          <cell r="CA91">
            <v>1301816</v>
          </cell>
          <cell r="CB91">
            <v>0</v>
          </cell>
        </row>
        <row r="92">
          <cell r="CA92">
            <v>19452431</v>
          </cell>
          <cell r="CB92">
            <v>0</v>
          </cell>
        </row>
        <row r="93">
          <cell r="CA93">
            <v>45673009</v>
          </cell>
          <cell r="CB93">
            <v>0</v>
          </cell>
        </row>
        <row r="94">
          <cell r="CA94">
            <v>156208288</v>
          </cell>
          <cell r="CB94">
            <v>34905600</v>
          </cell>
        </row>
        <row r="95">
          <cell r="CA95">
            <v>45099337</v>
          </cell>
          <cell r="CB95">
            <v>21711744</v>
          </cell>
        </row>
        <row r="96">
          <cell r="CA96">
            <v>53635366</v>
          </cell>
          <cell r="CB96">
            <v>3499953</v>
          </cell>
        </row>
        <row r="97">
          <cell r="CA97">
            <v>26022707</v>
          </cell>
          <cell r="CB97">
            <v>826640</v>
          </cell>
        </row>
        <row r="98">
          <cell r="CA98">
            <v>54307834</v>
          </cell>
          <cell r="CB98">
            <v>3640000</v>
          </cell>
        </row>
        <row r="99">
          <cell r="CA99">
            <v>3880640</v>
          </cell>
          <cell r="CB99">
            <v>34597</v>
          </cell>
        </row>
        <row r="100">
          <cell r="CA100">
            <v>4246437</v>
          </cell>
          <cell r="CB100">
            <v>280000</v>
          </cell>
        </row>
        <row r="101">
          <cell r="CA101">
            <v>65864461</v>
          </cell>
          <cell r="CB101">
            <v>4410000</v>
          </cell>
        </row>
        <row r="102">
          <cell r="CA102">
            <v>1000</v>
          </cell>
          <cell r="CB102">
            <v>0</v>
          </cell>
        </row>
        <row r="103">
          <cell r="CA103">
            <v>232057</v>
          </cell>
          <cell r="CB103">
            <v>0</v>
          </cell>
        </row>
        <row r="104">
          <cell r="CA104">
            <v>34930841</v>
          </cell>
          <cell r="CB104">
            <v>0</v>
          </cell>
        </row>
        <row r="105">
          <cell r="CA105">
            <v>584587576</v>
          </cell>
          <cell r="CB105">
            <v>96000000</v>
          </cell>
        </row>
        <row r="106">
          <cell r="CA106">
            <v>73539784</v>
          </cell>
          <cell r="CB106">
            <v>0</v>
          </cell>
        </row>
        <row r="107">
          <cell r="CA107">
            <v>117971395</v>
          </cell>
          <cell r="CB107">
            <v>99637750</v>
          </cell>
        </row>
        <row r="108">
          <cell r="CA108">
            <v>173619035</v>
          </cell>
          <cell r="CB108">
            <v>57506302</v>
          </cell>
        </row>
        <row r="109">
          <cell r="CA109">
            <v>44338785</v>
          </cell>
          <cell r="CB109">
            <v>20900739</v>
          </cell>
        </row>
        <row r="110">
          <cell r="CA110">
            <v>14341037</v>
          </cell>
          <cell r="CB110">
            <v>2551591</v>
          </cell>
        </row>
        <row r="111">
          <cell r="CA111">
            <v>5968880</v>
          </cell>
          <cell r="CB111">
            <v>1206807</v>
          </cell>
        </row>
        <row r="112">
          <cell r="CA112">
            <v>120172779</v>
          </cell>
          <cell r="CB112">
            <v>46214837</v>
          </cell>
        </row>
        <row r="113">
          <cell r="CA113">
            <v>37236468</v>
          </cell>
          <cell r="CB113">
            <v>0</v>
          </cell>
        </row>
        <row r="114">
          <cell r="CA114">
            <v>7970012</v>
          </cell>
          <cell r="CB114">
            <v>0</v>
          </cell>
        </row>
        <row r="115">
          <cell r="CA115">
            <v>22555146</v>
          </cell>
          <cell r="CB115">
            <v>3800000</v>
          </cell>
        </row>
        <row r="116">
          <cell r="CA116">
            <v>258036173</v>
          </cell>
          <cell r="CB116">
            <v>47090978</v>
          </cell>
        </row>
        <row r="117">
          <cell r="CA117">
            <v>1362712</v>
          </cell>
          <cell r="CB117">
            <v>0</v>
          </cell>
        </row>
        <row r="118">
          <cell r="CA118">
            <v>6928599</v>
          </cell>
          <cell r="CB118">
            <v>0</v>
          </cell>
        </row>
        <row r="119">
          <cell r="CA119">
            <v>56785941</v>
          </cell>
          <cell r="CB119">
            <v>0</v>
          </cell>
        </row>
        <row r="120">
          <cell r="CA120">
            <v>56052154</v>
          </cell>
          <cell r="CB120">
            <v>15944961</v>
          </cell>
        </row>
        <row r="121">
          <cell r="CA121">
            <v>4181161</v>
          </cell>
          <cell r="CB121">
            <v>0</v>
          </cell>
        </row>
        <row r="122">
          <cell r="CA122">
            <v>2067358</v>
          </cell>
          <cell r="CB122">
            <v>0</v>
          </cell>
        </row>
        <row r="123">
          <cell r="CA123">
            <v>142951821</v>
          </cell>
          <cell r="CB123">
            <v>0</v>
          </cell>
        </row>
        <row r="124">
          <cell r="CA124">
            <v>18370291</v>
          </cell>
          <cell r="CB124">
            <v>0</v>
          </cell>
        </row>
        <row r="125">
          <cell r="CA125">
            <v>27422079</v>
          </cell>
          <cell r="CB125">
            <v>0</v>
          </cell>
        </row>
        <row r="126">
          <cell r="CA126">
            <v>20419601</v>
          </cell>
          <cell r="CB126">
            <v>0</v>
          </cell>
        </row>
        <row r="127">
          <cell r="CA127">
            <v>82111704</v>
          </cell>
          <cell r="CB127">
            <v>896000</v>
          </cell>
        </row>
        <row r="128">
          <cell r="CA128">
            <v>51116058</v>
          </cell>
          <cell r="CB128">
            <v>560000</v>
          </cell>
        </row>
        <row r="129">
          <cell r="CA129">
            <v>239139650</v>
          </cell>
          <cell r="CB129">
            <v>1540000</v>
          </cell>
        </row>
        <row r="130">
          <cell r="CA130">
            <v>1068674729</v>
          </cell>
          <cell r="CB130">
            <v>200000000</v>
          </cell>
        </row>
        <row r="131">
          <cell r="CA131">
            <v>217167540</v>
          </cell>
          <cell r="CB131">
            <v>39471004</v>
          </cell>
        </row>
        <row r="132">
          <cell r="CA132">
            <v>20067792</v>
          </cell>
          <cell r="CB132">
            <v>13572988</v>
          </cell>
        </row>
        <row r="133">
          <cell r="CA133">
            <v>26430005</v>
          </cell>
          <cell r="CB133">
            <v>14977146</v>
          </cell>
        </row>
        <row r="134">
          <cell r="CA134">
            <v>112118584</v>
          </cell>
          <cell r="CB134">
            <v>32826777</v>
          </cell>
        </row>
        <row r="135">
          <cell r="CA135">
            <v>270787009</v>
          </cell>
          <cell r="CB135">
            <v>0</v>
          </cell>
        </row>
        <row r="136">
          <cell r="CA136">
            <v>19491617</v>
          </cell>
          <cell r="CB136">
            <v>0</v>
          </cell>
        </row>
        <row r="137">
          <cell r="CA137">
            <v>2495312</v>
          </cell>
          <cell r="CB137">
            <v>0</v>
          </cell>
        </row>
        <row r="138">
          <cell r="CA138">
            <v>41289941</v>
          </cell>
          <cell r="CB138">
            <v>11628800</v>
          </cell>
        </row>
        <row r="139">
          <cell r="CA139">
            <v>22269954</v>
          </cell>
          <cell r="CB139">
            <v>0</v>
          </cell>
        </row>
        <row r="140">
          <cell r="CA140">
            <v>191602917</v>
          </cell>
          <cell r="CB140">
            <v>42160000</v>
          </cell>
        </row>
        <row r="141">
          <cell r="CA141">
            <v>31369625</v>
          </cell>
          <cell r="CB141">
            <v>0</v>
          </cell>
        </row>
        <row r="142">
          <cell r="CA142">
            <v>60911272</v>
          </cell>
          <cell r="CB142">
            <v>0</v>
          </cell>
        </row>
        <row r="143">
          <cell r="CA143">
            <v>641347343</v>
          </cell>
          <cell r="CB143">
            <v>277894000</v>
          </cell>
        </row>
        <row r="144">
          <cell r="CA144">
            <v>1000</v>
          </cell>
          <cell r="CB144">
            <v>241068</v>
          </cell>
        </row>
        <row r="145">
          <cell r="CA145">
            <v>87085615</v>
          </cell>
          <cell r="CB145">
            <v>15200000</v>
          </cell>
        </row>
        <row r="146">
          <cell r="CA146">
            <v>25649346</v>
          </cell>
          <cell r="CB146">
            <v>4329288</v>
          </cell>
        </row>
        <row r="147">
          <cell r="CA147">
            <v>38040772</v>
          </cell>
          <cell r="CB147">
            <v>0</v>
          </cell>
        </row>
        <row r="148">
          <cell r="CA148">
            <v>830468714</v>
          </cell>
          <cell r="CB148">
            <v>646728144</v>
          </cell>
        </row>
        <row r="149">
          <cell r="CA149">
            <v>72674760</v>
          </cell>
          <cell r="CB149">
            <v>14220000</v>
          </cell>
        </row>
        <row r="150">
          <cell r="CA150">
            <v>103769192</v>
          </cell>
          <cell r="CB150">
            <v>18567217</v>
          </cell>
        </row>
        <row r="151">
          <cell r="CA151">
            <v>40680700</v>
          </cell>
          <cell r="CB151">
            <v>7060827</v>
          </cell>
        </row>
        <row r="152">
          <cell r="CA152">
            <v>23397225</v>
          </cell>
          <cell r="CB152">
            <v>10149439</v>
          </cell>
        </row>
        <row r="153">
          <cell r="CA153">
            <v>83411968</v>
          </cell>
          <cell r="CB153">
            <v>13856000</v>
          </cell>
        </row>
        <row r="154">
          <cell r="CA154">
            <v>185830692</v>
          </cell>
          <cell r="CB154">
            <v>0</v>
          </cell>
        </row>
        <row r="155">
          <cell r="CA155">
            <v>213259343</v>
          </cell>
          <cell r="CB155">
            <v>0</v>
          </cell>
        </row>
        <row r="156">
          <cell r="CA156">
            <v>5825430</v>
          </cell>
          <cell r="CB156">
            <v>0</v>
          </cell>
        </row>
        <row r="157">
          <cell r="CA157">
            <v>973049</v>
          </cell>
          <cell r="CB157">
            <v>0</v>
          </cell>
        </row>
        <row r="158">
          <cell r="CA158">
            <v>1409964</v>
          </cell>
          <cell r="CB158">
            <v>0</v>
          </cell>
        </row>
        <row r="159">
          <cell r="CA159">
            <v>713685</v>
          </cell>
          <cell r="CB159">
            <v>0</v>
          </cell>
        </row>
        <row r="160">
          <cell r="CA160">
            <v>3011405</v>
          </cell>
          <cell r="CB160">
            <v>0</v>
          </cell>
        </row>
        <row r="161">
          <cell r="CA161">
            <v>21915296</v>
          </cell>
          <cell r="CB161">
            <v>0</v>
          </cell>
        </row>
        <row r="162">
          <cell r="CA162">
            <v>53194490</v>
          </cell>
          <cell r="CB162">
            <v>0</v>
          </cell>
        </row>
        <row r="163">
          <cell r="CA163">
            <v>26463206</v>
          </cell>
          <cell r="CB163">
            <v>0</v>
          </cell>
        </row>
        <row r="164">
          <cell r="CA164">
            <v>67507865</v>
          </cell>
          <cell r="CB164">
            <v>0</v>
          </cell>
        </row>
        <row r="165">
          <cell r="CA165">
            <v>70335793</v>
          </cell>
          <cell r="CB165">
            <v>0</v>
          </cell>
        </row>
        <row r="166">
          <cell r="CA166">
            <v>5895474</v>
          </cell>
          <cell r="CB166">
            <v>0</v>
          </cell>
        </row>
        <row r="167">
          <cell r="CA167">
            <v>3460793</v>
          </cell>
          <cell r="CB167">
            <v>0</v>
          </cell>
        </row>
        <row r="168">
          <cell r="CA168">
            <v>11284022</v>
          </cell>
          <cell r="CB168">
            <v>0</v>
          </cell>
        </row>
        <row r="169">
          <cell r="CA169">
            <v>9749930</v>
          </cell>
          <cell r="CB169">
            <v>0</v>
          </cell>
        </row>
        <row r="170">
          <cell r="CA170">
            <v>7144754</v>
          </cell>
          <cell r="CB170">
            <v>0</v>
          </cell>
        </row>
        <row r="171">
          <cell r="CA171">
            <v>76143045</v>
          </cell>
          <cell r="CB171">
            <v>31280013</v>
          </cell>
        </row>
        <row r="172">
          <cell r="CA172">
            <v>1744567</v>
          </cell>
          <cell r="CB172">
            <v>0</v>
          </cell>
        </row>
        <row r="173">
          <cell r="CA173">
            <v>10943102</v>
          </cell>
          <cell r="CB173">
            <v>0</v>
          </cell>
        </row>
        <row r="174">
          <cell r="CA174">
            <v>52051820</v>
          </cell>
          <cell r="CB174">
            <v>14100000</v>
          </cell>
        </row>
        <row r="175">
          <cell r="CA175">
            <v>6737328</v>
          </cell>
          <cell r="CB175">
            <v>4539872</v>
          </cell>
        </row>
        <row r="176">
          <cell r="CA176">
            <v>7768629</v>
          </cell>
          <cell r="CB176">
            <v>4931187</v>
          </cell>
        </row>
        <row r="177">
          <cell r="CA177">
            <v>1141833</v>
          </cell>
          <cell r="CB177">
            <v>857991</v>
          </cell>
        </row>
        <row r="178">
          <cell r="CA178">
            <v>77847762</v>
          </cell>
          <cell r="CB178">
            <v>14000000</v>
          </cell>
        </row>
        <row r="179">
          <cell r="CA179">
            <v>23996427</v>
          </cell>
          <cell r="CB179">
            <v>0</v>
          </cell>
        </row>
        <row r="180">
          <cell r="CA180">
            <v>29784940</v>
          </cell>
          <cell r="CB180">
            <v>0</v>
          </cell>
        </row>
        <row r="181">
          <cell r="CA181">
            <v>37263465</v>
          </cell>
          <cell r="CB181">
            <v>0</v>
          </cell>
        </row>
        <row r="182">
          <cell r="CA182">
            <v>497260924</v>
          </cell>
          <cell r="CB182">
            <v>100000000</v>
          </cell>
        </row>
        <row r="183">
          <cell r="CA183">
            <v>251251</v>
          </cell>
          <cell r="CB183">
            <v>3384946</v>
          </cell>
        </row>
        <row r="184">
          <cell r="CA184">
            <v>234842</v>
          </cell>
          <cell r="CB184">
            <v>3112979</v>
          </cell>
        </row>
        <row r="185">
          <cell r="CA185">
            <v>72668</v>
          </cell>
          <cell r="CB185">
            <v>4447</v>
          </cell>
        </row>
        <row r="186">
          <cell r="CA186">
            <v>20130</v>
          </cell>
          <cell r="CB186">
            <v>4447</v>
          </cell>
        </row>
        <row r="187">
          <cell r="CA187">
            <v>109054</v>
          </cell>
          <cell r="CB187">
            <v>1477320</v>
          </cell>
        </row>
        <row r="188">
          <cell r="CA188">
            <v>86901877</v>
          </cell>
          <cell r="CB188">
            <v>16439050</v>
          </cell>
        </row>
        <row r="189">
          <cell r="CA189">
            <v>99971245</v>
          </cell>
          <cell r="CB189">
            <v>18904908</v>
          </cell>
        </row>
        <row r="190">
          <cell r="CA190">
            <v>225036798</v>
          </cell>
          <cell r="CB190">
            <v>375905334</v>
          </cell>
        </row>
        <row r="191">
          <cell r="CA191">
            <v>23231040</v>
          </cell>
          <cell r="CB191">
            <v>5979232</v>
          </cell>
        </row>
        <row r="192">
          <cell r="CA192">
            <v>47325804</v>
          </cell>
          <cell r="CB192">
            <v>19000000</v>
          </cell>
        </row>
        <row r="193">
          <cell r="CA193">
            <v>6401182</v>
          </cell>
          <cell r="CB193">
            <v>0</v>
          </cell>
        </row>
        <row r="194">
          <cell r="CA194">
            <v>411853</v>
          </cell>
          <cell r="CB194">
            <v>0</v>
          </cell>
        </row>
        <row r="195">
          <cell r="CA195">
            <v>411853</v>
          </cell>
          <cell r="CB195">
            <v>0</v>
          </cell>
        </row>
        <row r="196">
          <cell r="CA196">
            <v>739968</v>
          </cell>
          <cell r="CB196">
            <v>0</v>
          </cell>
        </row>
        <row r="197">
          <cell r="CA197">
            <v>413968</v>
          </cell>
          <cell r="CB197">
            <v>0</v>
          </cell>
        </row>
        <row r="198">
          <cell r="CA198">
            <v>2198227</v>
          </cell>
          <cell r="CB198">
            <v>0</v>
          </cell>
        </row>
        <row r="199">
          <cell r="CA199">
            <v>413968</v>
          </cell>
          <cell r="CB199">
            <v>0</v>
          </cell>
        </row>
        <row r="200">
          <cell r="CA200">
            <v>410355</v>
          </cell>
          <cell r="CB200">
            <v>0</v>
          </cell>
        </row>
        <row r="201">
          <cell r="CA201">
            <v>743033</v>
          </cell>
          <cell r="CB201">
            <v>0</v>
          </cell>
        </row>
        <row r="202">
          <cell r="CA202">
            <v>3591603063</v>
          </cell>
          <cell r="CB202">
            <v>1376882483</v>
          </cell>
        </row>
        <row r="203">
          <cell r="CA203">
            <v>143341641</v>
          </cell>
          <cell r="CB203">
            <v>2905068</v>
          </cell>
        </row>
        <row r="204">
          <cell r="CA204">
            <v>159240091</v>
          </cell>
          <cell r="CB204">
            <v>3806340</v>
          </cell>
        </row>
        <row r="205">
          <cell r="CA205">
            <v>10017900</v>
          </cell>
          <cell r="CB205">
            <v>10934782</v>
          </cell>
        </row>
        <row r="206">
          <cell r="CA206">
            <v>464263257</v>
          </cell>
          <cell r="CB206">
            <v>42000000</v>
          </cell>
        </row>
        <row r="207">
          <cell r="CA207">
            <v>122101786</v>
          </cell>
          <cell r="CB207">
            <v>8704535</v>
          </cell>
        </row>
        <row r="208">
          <cell r="CA208">
            <v>343655616</v>
          </cell>
          <cell r="CB208">
            <v>267372800</v>
          </cell>
        </row>
        <row r="209">
          <cell r="CA209">
            <v>14157214</v>
          </cell>
          <cell r="CB209">
            <v>0</v>
          </cell>
        </row>
        <row r="210">
          <cell r="CA210">
            <v>58320450</v>
          </cell>
          <cell r="CB210">
            <v>0</v>
          </cell>
        </row>
        <row r="211">
          <cell r="CA211">
            <v>5238352</v>
          </cell>
          <cell r="CB211">
            <v>125756</v>
          </cell>
        </row>
        <row r="212">
          <cell r="CA212">
            <v>5309102</v>
          </cell>
          <cell r="CB212">
            <v>124496</v>
          </cell>
        </row>
        <row r="213">
          <cell r="CA213">
            <v>102685497</v>
          </cell>
          <cell r="CB213">
            <v>630000</v>
          </cell>
        </row>
        <row r="214">
          <cell r="CA214">
            <v>7978462</v>
          </cell>
          <cell r="CB214">
            <v>231681</v>
          </cell>
        </row>
        <row r="215">
          <cell r="CA215">
            <v>191678542</v>
          </cell>
          <cell r="CB215">
            <v>37060370</v>
          </cell>
        </row>
        <row r="216">
          <cell r="CA216">
            <v>9070508</v>
          </cell>
          <cell r="CB216">
            <v>0</v>
          </cell>
        </row>
        <row r="217">
          <cell r="CA217">
            <v>25618583</v>
          </cell>
          <cell r="CB217">
            <v>19738974</v>
          </cell>
        </row>
        <row r="218">
          <cell r="CA218">
            <v>15261474</v>
          </cell>
          <cell r="CB218">
            <v>76000000</v>
          </cell>
        </row>
        <row r="219">
          <cell r="CA219">
            <v>25712471</v>
          </cell>
          <cell r="CB219">
            <v>128112272</v>
          </cell>
        </row>
        <row r="220">
          <cell r="CA220">
            <v>7392725</v>
          </cell>
          <cell r="CB220">
            <v>2722286</v>
          </cell>
        </row>
        <row r="221">
          <cell r="CA221">
            <v>2012040</v>
          </cell>
          <cell r="CB221">
            <v>10072690</v>
          </cell>
        </row>
        <row r="222">
          <cell r="CA222">
            <v>417951031</v>
          </cell>
          <cell r="CB222">
            <v>122239297</v>
          </cell>
        </row>
        <row r="223">
          <cell r="CA223">
            <v>866961583</v>
          </cell>
          <cell r="CB223">
            <v>446557959</v>
          </cell>
        </row>
        <row r="224">
          <cell r="CA224">
            <v>4033022</v>
          </cell>
          <cell r="CB224">
            <v>4049874</v>
          </cell>
        </row>
        <row r="225">
          <cell r="CA225">
            <v>12475087</v>
          </cell>
          <cell r="CB225">
            <v>24494953</v>
          </cell>
        </row>
        <row r="226">
          <cell r="CA226">
            <v>2031677</v>
          </cell>
          <cell r="CB226">
            <v>10259428</v>
          </cell>
        </row>
        <row r="227">
          <cell r="CA227">
            <v>17971936</v>
          </cell>
          <cell r="CB227">
            <v>91542337</v>
          </cell>
        </row>
        <row r="228">
          <cell r="CA228">
            <v>7780880</v>
          </cell>
          <cell r="CB228">
            <v>39632901</v>
          </cell>
        </row>
        <row r="229">
          <cell r="CA229">
            <v>10851499</v>
          </cell>
          <cell r="CB229">
            <v>55411091</v>
          </cell>
        </row>
        <row r="230">
          <cell r="CA230">
            <v>587378</v>
          </cell>
          <cell r="CB230">
            <v>3000579</v>
          </cell>
        </row>
        <row r="231">
          <cell r="CA231">
            <v>2324821</v>
          </cell>
          <cell r="CB231">
            <v>11876177</v>
          </cell>
        </row>
        <row r="232">
          <cell r="CA232">
            <v>4036188</v>
          </cell>
          <cell r="CB232">
            <v>20670059</v>
          </cell>
        </row>
        <row r="233">
          <cell r="CA233">
            <v>2950628</v>
          </cell>
          <cell r="CB233">
            <v>15205616</v>
          </cell>
        </row>
        <row r="234">
          <cell r="CA234">
            <v>30271664</v>
          </cell>
          <cell r="CB234">
            <v>153052300</v>
          </cell>
        </row>
        <row r="235">
          <cell r="CA235">
            <v>7405610</v>
          </cell>
          <cell r="CB235">
            <v>39316154</v>
          </cell>
        </row>
        <row r="236">
          <cell r="CA236">
            <v>95725616</v>
          </cell>
          <cell r="CB236">
            <v>770000</v>
          </cell>
        </row>
        <row r="237">
          <cell r="CA237">
            <v>341877596</v>
          </cell>
          <cell r="CB237">
            <v>270986780</v>
          </cell>
        </row>
        <row r="238">
          <cell r="CA238">
            <v>95846212</v>
          </cell>
          <cell r="CB238">
            <v>50557787</v>
          </cell>
        </row>
        <row r="239">
          <cell r="CA239">
            <v>7501101</v>
          </cell>
          <cell r="CB239">
            <v>0</v>
          </cell>
        </row>
        <row r="240">
          <cell r="CA240">
            <v>679716</v>
          </cell>
          <cell r="CB240">
            <v>0</v>
          </cell>
        </row>
        <row r="241">
          <cell r="CA241">
            <v>479626</v>
          </cell>
          <cell r="CB241">
            <v>0</v>
          </cell>
        </row>
        <row r="242">
          <cell r="CA242">
            <v>1062262082</v>
          </cell>
          <cell r="CB242">
            <v>220000000</v>
          </cell>
        </row>
        <row r="243">
          <cell r="CA243">
            <v>188740010</v>
          </cell>
          <cell r="CB243">
            <v>80509706</v>
          </cell>
        </row>
        <row r="244">
          <cell r="CA244">
            <v>63267605</v>
          </cell>
          <cell r="CB244">
            <v>13177800</v>
          </cell>
        </row>
        <row r="245">
          <cell r="CA245">
            <v>472415114</v>
          </cell>
          <cell r="CB245">
            <v>350896086</v>
          </cell>
        </row>
        <row r="246">
          <cell r="CA246">
            <v>131549529</v>
          </cell>
          <cell r="CB246">
            <v>37764309</v>
          </cell>
        </row>
        <row r="247">
          <cell r="CA247">
            <v>52979630</v>
          </cell>
          <cell r="CB247">
            <v>0</v>
          </cell>
        </row>
        <row r="248">
          <cell r="CA248">
            <v>33471531</v>
          </cell>
          <cell r="CB248">
            <v>0</v>
          </cell>
        </row>
        <row r="249">
          <cell r="CA249">
            <v>11096843</v>
          </cell>
          <cell r="CB249">
            <v>7940166</v>
          </cell>
        </row>
        <row r="250">
          <cell r="CA250">
            <v>256888126</v>
          </cell>
          <cell r="CB250">
            <v>87781886</v>
          </cell>
        </row>
        <row r="251">
          <cell r="CA251">
            <v>855383508</v>
          </cell>
          <cell r="CB251">
            <v>294000000</v>
          </cell>
        </row>
        <row r="252">
          <cell r="CA252">
            <v>17136176</v>
          </cell>
          <cell r="CB252">
            <v>84000000</v>
          </cell>
        </row>
        <row r="253">
          <cell r="CA253">
            <v>835602007</v>
          </cell>
          <cell r="CB253">
            <v>212571553</v>
          </cell>
        </row>
        <row r="254">
          <cell r="CA254">
            <v>42959747</v>
          </cell>
          <cell r="CB254">
            <v>0</v>
          </cell>
        </row>
        <row r="255">
          <cell r="CA255">
            <v>319011283</v>
          </cell>
          <cell r="CB255">
            <v>0</v>
          </cell>
        </row>
        <row r="256">
          <cell r="CA256">
            <v>448591346</v>
          </cell>
          <cell r="CB256">
            <v>139737973</v>
          </cell>
        </row>
        <row r="257">
          <cell r="CA257">
            <v>735293556</v>
          </cell>
          <cell r="CB257">
            <v>274513207</v>
          </cell>
        </row>
        <row r="258">
          <cell r="CA258">
            <v>220854190</v>
          </cell>
          <cell r="CB258">
            <v>15260000</v>
          </cell>
        </row>
        <row r="259">
          <cell r="CA259">
            <v>276270574</v>
          </cell>
          <cell r="CB259">
            <v>200000000</v>
          </cell>
        </row>
        <row r="260">
          <cell r="CA260">
            <v>204944908</v>
          </cell>
          <cell r="CB260">
            <v>35260885</v>
          </cell>
        </row>
        <row r="261">
          <cell r="CA261">
            <v>351670</v>
          </cell>
          <cell r="CB261">
            <v>0</v>
          </cell>
        </row>
        <row r="262">
          <cell r="CA262">
            <v>125418719</v>
          </cell>
          <cell r="CB262">
            <v>0</v>
          </cell>
        </row>
        <row r="263">
          <cell r="CA263">
            <v>1862380</v>
          </cell>
          <cell r="CB263">
            <v>0</v>
          </cell>
        </row>
        <row r="264">
          <cell r="CA264">
            <v>1104666</v>
          </cell>
          <cell r="CB264">
            <v>0</v>
          </cell>
        </row>
        <row r="265">
          <cell r="CA265">
            <v>182225461</v>
          </cell>
          <cell r="CB265">
            <v>0</v>
          </cell>
        </row>
        <row r="266">
          <cell r="CA266">
            <v>64376350</v>
          </cell>
          <cell r="CB266">
            <v>0</v>
          </cell>
        </row>
        <row r="267">
          <cell r="CA267">
            <v>885595142</v>
          </cell>
          <cell r="CB267">
            <v>132514132</v>
          </cell>
        </row>
        <row r="268">
          <cell r="CA268">
            <v>168089299</v>
          </cell>
          <cell r="CB268">
            <v>0</v>
          </cell>
        </row>
        <row r="269">
          <cell r="CA269">
            <v>54395874</v>
          </cell>
          <cell r="CB269">
            <v>10000000</v>
          </cell>
        </row>
        <row r="270">
          <cell r="CA270">
            <v>18837747</v>
          </cell>
          <cell r="CB270">
            <v>700000</v>
          </cell>
        </row>
        <row r="271">
          <cell r="CA271">
            <v>16087108</v>
          </cell>
          <cell r="CB271">
            <v>1188099</v>
          </cell>
        </row>
        <row r="272">
          <cell r="CA272">
            <v>65105682</v>
          </cell>
          <cell r="CB272">
            <v>0</v>
          </cell>
        </row>
        <row r="273">
          <cell r="CA273">
            <v>284473145</v>
          </cell>
          <cell r="CB273">
            <v>48083715</v>
          </cell>
        </row>
        <row r="274">
          <cell r="CA274">
            <v>25812077</v>
          </cell>
          <cell r="CB274">
            <v>0</v>
          </cell>
        </row>
        <row r="275">
          <cell r="CA275">
            <v>1034763</v>
          </cell>
          <cell r="CB275">
            <v>0</v>
          </cell>
        </row>
        <row r="276">
          <cell r="CA276">
            <v>8360347</v>
          </cell>
          <cell r="CB276">
            <v>0</v>
          </cell>
        </row>
        <row r="277">
          <cell r="CA277">
            <v>262624034</v>
          </cell>
          <cell r="CB277">
            <v>28000000</v>
          </cell>
        </row>
        <row r="278">
          <cell r="CA278">
            <v>15733192</v>
          </cell>
          <cell r="CB278">
            <v>0</v>
          </cell>
        </row>
        <row r="279">
          <cell r="CA279">
            <v>19962551</v>
          </cell>
          <cell r="CB279">
            <v>0</v>
          </cell>
        </row>
        <row r="280">
          <cell r="CA280">
            <v>8703489</v>
          </cell>
          <cell r="CB280">
            <v>0</v>
          </cell>
        </row>
        <row r="281">
          <cell r="CA281">
            <v>1901521</v>
          </cell>
          <cell r="CB281">
            <v>0</v>
          </cell>
        </row>
        <row r="282">
          <cell r="CA282">
            <v>158133467</v>
          </cell>
          <cell r="CB282">
            <v>44223014</v>
          </cell>
        </row>
        <row r="283">
          <cell r="CA283">
            <v>25345002</v>
          </cell>
          <cell r="CB283">
            <v>0</v>
          </cell>
        </row>
        <row r="284">
          <cell r="CA284">
            <v>11493378</v>
          </cell>
          <cell r="CB284">
            <v>0</v>
          </cell>
        </row>
        <row r="285">
          <cell r="CA285">
            <v>1098505</v>
          </cell>
          <cell r="CB285">
            <v>133940</v>
          </cell>
        </row>
        <row r="286">
          <cell r="CA286">
            <v>170220187</v>
          </cell>
          <cell r="CB286">
            <v>1120000</v>
          </cell>
        </row>
        <row r="287">
          <cell r="CA287">
            <v>10993350</v>
          </cell>
          <cell r="CB287">
            <v>1400000</v>
          </cell>
        </row>
        <row r="288">
          <cell r="CA288">
            <v>16663856</v>
          </cell>
          <cell r="CB288">
            <v>436751</v>
          </cell>
        </row>
        <row r="289">
          <cell r="CA289">
            <v>132441821</v>
          </cell>
          <cell r="CB289">
            <v>8113000</v>
          </cell>
        </row>
        <row r="290">
          <cell r="CA290">
            <v>161458</v>
          </cell>
          <cell r="CB290">
            <v>0</v>
          </cell>
        </row>
        <row r="291">
          <cell r="CA291">
            <v>214573</v>
          </cell>
          <cell r="CB291">
            <v>0</v>
          </cell>
        </row>
        <row r="292">
          <cell r="CA292">
            <v>1636518</v>
          </cell>
          <cell r="CB292">
            <v>503248</v>
          </cell>
        </row>
        <row r="293">
          <cell r="CA293">
            <v>389335606</v>
          </cell>
          <cell r="CB293">
            <v>2800000</v>
          </cell>
        </row>
        <row r="294">
          <cell r="CA294">
            <v>92421324</v>
          </cell>
          <cell r="CB294">
            <v>840000</v>
          </cell>
        </row>
        <row r="295">
          <cell r="CA295">
            <v>16623693</v>
          </cell>
          <cell r="CB295">
            <v>0</v>
          </cell>
        </row>
        <row r="296">
          <cell r="CA296">
            <v>241560436</v>
          </cell>
          <cell r="CB296">
            <v>1743350</v>
          </cell>
        </row>
        <row r="297">
          <cell r="CA297">
            <v>285043175</v>
          </cell>
          <cell r="CB297">
            <v>52197938</v>
          </cell>
        </row>
        <row r="298">
          <cell r="CA298">
            <v>28026960</v>
          </cell>
          <cell r="CB298">
            <v>5000650</v>
          </cell>
        </row>
        <row r="299">
          <cell r="CA299">
            <v>31327467</v>
          </cell>
          <cell r="CB299">
            <v>0</v>
          </cell>
        </row>
        <row r="300">
          <cell r="CA300">
            <v>62462465</v>
          </cell>
          <cell r="CB300">
            <v>0</v>
          </cell>
        </row>
        <row r="301">
          <cell r="CA301">
            <v>12701140</v>
          </cell>
          <cell r="CB301">
            <v>0</v>
          </cell>
        </row>
        <row r="302">
          <cell r="CA302">
            <v>18743126</v>
          </cell>
          <cell r="CB302">
            <v>0</v>
          </cell>
        </row>
        <row r="303">
          <cell r="CA303">
            <v>29364230</v>
          </cell>
          <cell r="CB303">
            <v>0</v>
          </cell>
        </row>
        <row r="304">
          <cell r="CA304">
            <v>8291071</v>
          </cell>
          <cell r="CB304">
            <v>0</v>
          </cell>
        </row>
        <row r="305">
          <cell r="CA305">
            <v>28029144</v>
          </cell>
          <cell r="CB305">
            <v>0</v>
          </cell>
        </row>
        <row r="306">
          <cell r="CA306">
            <v>4263666</v>
          </cell>
          <cell r="CB306">
            <v>0</v>
          </cell>
        </row>
        <row r="307">
          <cell r="CA307">
            <v>25083623</v>
          </cell>
          <cell r="CB307">
            <v>0</v>
          </cell>
        </row>
        <row r="308">
          <cell r="CA308">
            <v>37388207</v>
          </cell>
          <cell r="CB308">
            <v>0</v>
          </cell>
        </row>
        <row r="309">
          <cell r="CA309">
            <v>1914531</v>
          </cell>
          <cell r="CB309">
            <v>190421</v>
          </cell>
        </row>
        <row r="310">
          <cell r="CA310">
            <v>926076</v>
          </cell>
          <cell r="CB310">
            <v>111414</v>
          </cell>
        </row>
        <row r="311">
          <cell r="CA311">
            <v>146939736</v>
          </cell>
          <cell r="CB311">
            <v>1400000</v>
          </cell>
        </row>
        <row r="312">
          <cell r="CA312">
            <v>13186152</v>
          </cell>
          <cell r="CB312">
            <v>0</v>
          </cell>
        </row>
        <row r="313">
          <cell r="CA313">
            <v>254555698</v>
          </cell>
          <cell r="CB313">
            <v>14143200</v>
          </cell>
        </row>
        <row r="314">
          <cell r="CA314">
            <v>134832815</v>
          </cell>
          <cell r="CB314">
            <v>97433997</v>
          </cell>
        </row>
        <row r="315">
          <cell r="CA315">
            <v>263761933</v>
          </cell>
          <cell r="CB315">
            <v>11277150</v>
          </cell>
        </row>
        <row r="316">
          <cell r="CA316">
            <v>397034505</v>
          </cell>
          <cell r="CB316">
            <v>16915725</v>
          </cell>
        </row>
        <row r="317">
          <cell r="CA317">
            <v>640908184</v>
          </cell>
          <cell r="CB317">
            <v>120000000</v>
          </cell>
        </row>
        <row r="318">
          <cell r="CA318">
            <v>855635957</v>
          </cell>
          <cell r="CB318">
            <v>108028960</v>
          </cell>
        </row>
        <row r="319">
          <cell r="CA319">
            <v>319470003</v>
          </cell>
          <cell r="CB319">
            <v>30766290</v>
          </cell>
        </row>
        <row r="320">
          <cell r="CA320">
            <v>13364904</v>
          </cell>
          <cell r="CB320">
            <v>0</v>
          </cell>
        </row>
        <row r="321">
          <cell r="CA321">
            <v>4478285</v>
          </cell>
          <cell r="CB321">
            <v>0</v>
          </cell>
        </row>
        <row r="322">
          <cell r="CA322">
            <v>3800721</v>
          </cell>
          <cell r="CB322">
            <v>61061824</v>
          </cell>
        </row>
        <row r="323">
          <cell r="CA323">
            <v>891194536</v>
          </cell>
          <cell r="CB323">
            <v>326306361</v>
          </cell>
        </row>
        <row r="324">
          <cell r="CA324">
            <v>9041105</v>
          </cell>
          <cell r="CB324">
            <v>145473882</v>
          </cell>
        </row>
        <row r="325">
          <cell r="CA325">
            <v>287297082</v>
          </cell>
          <cell r="CB325">
            <v>95927687</v>
          </cell>
        </row>
        <row r="326">
          <cell r="CA326">
            <v>24131672</v>
          </cell>
          <cell r="CB326">
            <v>105000000</v>
          </cell>
        </row>
        <row r="327">
          <cell r="CA327">
            <v>9081136</v>
          </cell>
          <cell r="CB327">
            <v>42000000</v>
          </cell>
        </row>
        <row r="328">
          <cell r="CA328">
            <v>700034</v>
          </cell>
          <cell r="CB328">
            <v>0</v>
          </cell>
        </row>
        <row r="329">
          <cell r="CA329">
            <v>12321244</v>
          </cell>
          <cell r="CB329">
            <v>54403305</v>
          </cell>
        </row>
        <row r="330">
          <cell r="CA330">
            <v>6005212</v>
          </cell>
          <cell r="CB330">
            <v>0</v>
          </cell>
        </row>
        <row r="331">
          <cell r="CA331">
            <v>185187023</v>
          </cell>
          <cell r="CB331">
            <v>1330000</v>
          </cell>
        </row>
        <row r="332">
          <cell r="CA332">
            <v>116805122</v>
          </cell>
          <cell r="CB332">
            <v>840000</v>
          </cell>
        </row>
        <row r="333">
          <cell r="CA333">
            <v>237161548</v>
          </cell>
          <cell r="CB333">
            <v>2100000</v>
          </cell>
        </row>
        <row r="334">
          <cell r="CA334">
            <v>87937895</v>
          </cell>
          <cell r="CB334">
            <v>630000</v>
          </cell>
        </row>
        <row r="335">
          <cell r="CA335">
            <v>5814029</v>
          </cell>
          <cell r="CB335">
            <v>787920</v>
          </cell>
        </row>
        <row r="336">
          <cell r="CA336">
            <v>7644714</v>
          </cell>
          <cell r="CB336">
            <v>1050000</v>
          </cell>
        </row>
        <row r="337">
          <cell r="CA337">
            <v>1611857</v>
          </cell>
          <cell r="CB337">
            <v>6024174</v>
          </cell>
        </row>
        <row r="338">
          <cell r="CA338">
            <v>217066959</v>
          </cell>
          <cell r="CB338">
            <v>107560000</v>
          </cell>
        </row>
        <row r="339">
          <cell r="CA339">
            <v>579121</v>
          </cell>
          <cell r="CB339">
            <v>0</v>
          </cell>
        </row>
        <row r="340">
          <cell r="CA340">
            <v>105851778</v>
          </cell>
          <cell r="CB340">
            <v>66570880</v>
          </cell>
        </row>
        <row r="341">
          <cell r="CA341">
            <v>14516742</v>
          </cell>
          <cell r="CB341">
            <v>0</v>
          </cell>
        </row>
        <row r="342">
          <cell r="CA342">
            <v>18015521</v>
          </cell>
          <cell r="CB342">
            <v>0</v>
          </cell>
        </row>
        <row r="343">
          <cell r="CA343">
            <v>18085973</v>
          </cell>
          <cell r="CB343">
            <v>0</v>
          </cell>
        </row>
        <row r="344">
          <cell r="CA344">
            <v>18008645</v>
          </cell>
          <cell r="CB344">
            <v>0</v>
          </cell>
        </row>
        <row r="345">
          <cell r="CA345">
            <v>3135505374</v>
          </cell>
          <cell r="CB345">
            <v>584890390</v>
          </cell>
        </row>
        <row r="346">
          <cell r="CA346">
            <v>304721899</v>
          </cell>
          <cell r="CB346">
            <v>0</v>
          </cell>
        </row>
        <row r="347">
          <cell r="CA347">
            <v>803937</v>
          </cell>
          <cell r="CB347">
            <v>0</v>
          </cell>
        </row>
        <row r="348">
          <cell r="CA348">
            <v>93471913</v>
          </cell>
          <cell r="CB348">
            <v>840000</v>
          </cell>
        </row>
        <row r="349">
          <cell r="CA349">
            <v>258894051</v>
          </cell>
          <cell r="CB349">
            <v>86000000</v>
          </cell>
        </row>
        <row r="350">
          <cell r="CA350">
            <v>466766226</v>
          </cell>
          <cell r="CB350">
            <v>143153583</v>
          </cell>
        </row>
        <row r="351">
          <cell r="CA351">
            <v>247883659</v>
          </cell>
          <cell r="CB351">
            <v>2058197</v>
          </cell>
        </row>
        <row r="352">
          <cell r="CA352">
            <v>18799717</v>
          </cell>
          <cell r="CB352">
            <v>626938</v>
          </cell>
        </row>
        <row r="353">
          <cell r="CA353">
            <v>54600781</v>
          </cell>
          <cell r="CB353">
            <v>350000</v>
          </cell>
        </row>
        <row r="354">
          <cell r="CA354">
            <v>11433657</v>
          </cell>
          <cell r="CB354">
            <v>9000000</v>
          </cell>
        </row>
        <row r="355">
          <cell r="CA355">
            <v>490063</v>
          </cell>
          <cell r="CB355">
            <v>0</v>
          </cell>
        </row>
        <row r="356">
          <cell r="CA356">
            <v>662564</v>
          </cell>
          <cell r="CB356">
            <v>0</v>
          </cell>
        </row>
        <row r="357">
          <cell r="CA357">
            <v>1551285</v>
          </cell>
          <cell r="CB357">
            <v>0</v>
          </cell>
        </row>
        <row r="358">
          <cell r="CA358">
            <v>41515539</v>
          </cell>
          <cell r="CB358">
            <v>0</v>
          </cell>
        </row>
        <row r="359">
          <cell r="CA359">
            <v>231028492</v>
          </cell>
          <cell r="CB359">
            <v>70899524</v>
          </cell>
        </row>
        <row r="360">
          <cell r="CA360">
            <v>17303534</v>
          </cell>
          <cell r="CB360">
            <v>1022490</v>
          </cell>
        </row>
        <row r="361">
          <cell r="CA361">
            <v>15816585</v>
          </cell>
          <cell r="CB361">
            <v>2601421</v>
          </cell>
        </row>
        <row r="362">
          <cell r="CA362">
            <v>369963525</v>
          </cell>
          <cell r="CB362">
            <v>70000000</v>
          </cell>
        </row>
        <row r="363">
          <cell r="CA363">
            <v>91786297</v>
          </cell>
          <cell r="CB363">
            <v>18175000</v>
          </cell>
        </row>
        <row r="364">
          <cell r="CA364">
            <v>8217601</v>
          </cell>
          <cell r="CB364">
            <v>0</v>
          </cell>
        </row>
        <row r="365">
          <cell r="CA365">
            <v>81539680</v>
          </cell>
          <cell r="CB365">
            <v>11369600</v>
          </cell>
        </row>
        <row r="366">
          <cell r="CA366">
            <v>18563461</v>
          </cell>
          <cell r="CB366">
            <v>2800000</v>
          </cell>
        </row>
        <row r="367">
          <cell r="CA367">
            <v>1000</v>
          </cell>
          <cell r="CB367">
            <v>0</v>
          </cell>
        </row>
        <row r="368">
          <cell r="CA368">
            <v>1000</v>
          </cell>
          <cell r="CB368">
            <v>0</v>
          </cell>
        </row>
        <row r="369">
          <cell r="CA369">
            <v>1000</v>
          </cell>
          <cell r="CB369">
            <v>0</v>
          </cell>
        </row>
        <row r="370">
          <cell r="CA370">
            <v>1000</v>
          </cell>
          <cell r="CB370">
            <v>0</v>
          </cell>
        </row>
        <row r="371">
          <cell r="CA371">
            <v>73246788</v>
          </cell>
          <cell r="CB371">
            <v>12000000</v>
          </cell>
        </row>
        <row r="372">
          <cell r="CA372">
            <v>11175933</v>
          </cell>
          <cell r="CB372">
            <v>1400000</v>
          </cell>
        </row>
        <row r="373">
          <cell r="CA373">
            <v>53283562</v>
          </cell>
          <cell r="CB373">
            <v>14201379</v>
          </cell>
        </row>
        <row r="374">
          <cell r="CA374">
            <v>9598563</v>
          </cell>
          <cell r="CB374">
            <v>0</v>
          </cell>
        </row>
        <row r="375">
          <cell r="CA375">
            <v>232959402</v>
          </cell>
          <cell r="CB375">
            <v>2404959</v>
          </cell>
        </row>
        <row r="376">
          <cell r="CA376">
            <v>355204360</v>
          </cell>
          <cell r="CB376">
            <v>37998264</v>
          </cell>
        </row>
        <row r="377">
          <cell r="CA377">
            <v>20887171</v>
          </cell>
          <cell r="CB377">
            <v>199988</v>
          </cell>
        </row>
        <row r="378">
          <cell r="CA378">
            <v>41702418</v>
          </cell>
          <cell r="CB378">
            <v>400000</v>
          </cell>
        </row>
        <row r="379">
          <cell r="CA379">
            <v>27034554</v>
          </cell>
          <cell r="CB379">
            <v>4380000</v>
          </cell>
        </row>
        <row r="380">
          <cell r="CA380">
            <v>2002242</v>
          </cell>
          <cell r="CB380">
            <v>0</v>
          </cell>
        </row>
        <row r="381">
          <cell r="CA381">
            <v>1223424</v>
          </cell>
          <cell r="CB381">
            <v>0</v>
          </cell>
        </row>
        <row r="382">
          <cell r="CA382">
            <v>1061402</v>
          </cell>
          <cell r="CB382">
            <v>0</v>
          </cell>
        </row>
        <row r="383">
          <cell r="CA383">
            <v>55944374</v>
          </cell>
          <cell r="CB383">
            <v>6476800</v>
          </cell>
        </row>
        <row r="384">
          <cell r="CA384">
            <v>21003671</v>
          </cell>
          <cell r="CB384">
            <v>3600000</v>
          </cell>
        </row>
        <row r="385">
          <cell r="CA385">
            <v>68618271</v>
          </cell>
          <cell r="CB385">
            <v>14000000</v>
          </cell>
        </row>
        <row r="386">
          <cell r="CA386">
            <v>13806188</v>
          </cell>
          <cell r="CB386">
            <v>1200000</v>
          </cell>
        </row>
        <row r="387">
          <cell r="CA387">
            <v>24254307</v>
          </cell>
          <cell r="CB387">
            <v>6912373</v>
          </cell>
        </row>
        <row r="388">
          <cell r="CA388">
            <v>228071032</v>
          </cell>
          <cell r="CB388">
            <v>2299993</v>
          </cell>
        </row>
        <row r="389">
          <cell r="CA389">
            <v>260204831</v>
          </cell>
          <cell r="CB389">
            <v>2520000</v>
          </cell>
        </row>
        <row r="390">
          <cell r="CA390">
            <v>14465232</v>
          </cell>
          <cell r="CB390">
            <v>2396421</v>
          </cell>
        </row>
        <row r="391">
          <cell r="CA391">
            <v>7666850</v>
          </cell>
          <cell r="CB391">
            <v>2806600</v>
          </cell>
        </row>
        <row r="392">
          <cell r="CA392">
            <v>12979411</v>
          </cell>
          <cell r="CB392">
            <v>1998037</v>
          </cell>
        </row>
        <row r="393">
          <cell r="CA393">
            <v>5870452</v>
          </cell>
          <cell r="CB393">
            <v>984236</v>
          </cell>
        </row>
        <row r="394">
          <cell r="CA394">
            <v>43233741</v>
          </cell>
          <cell r="CB394">
            <v>15065760</v>
          </cell>
        </row>
        <row r="395">
          <cell r="CA395">
            <v>6278726</v>
          </cell>
          <cell r="CB395">
            <v>76499592</v>
          </cell>
        </row>
        <row r="396">
          <cell r="CA396">
            <v>14042031</v>
          </cell>
          <cell r="CB396">
            <v>133538</v>
          </cell>
        </row>
        <row r="397">
          <cell r="CA397">
            <v>14010650</v>
          </cell>
          <cell r="CB397">
            <v>1332176</v>
          </cell>
        </row>
        <row r="398">
          <cell r="CA398">
            <v>17924805</v>
          </cell>
          <cell r="CB398">
            <v>2998869</v>
          </cell>
        </row>
        <row r="399">
          <cell r="CA399">
            <v>5369871</v>
          </cell>
          <cell r="CB399">
            <v>1077788</v>
          </cell>
        </row>
        <row r="400">
          <cell r="CA400">
            <v>15471402</v>
          </cell>
          <cell r="CB400">
            <v>3000000</v>
          </cell>
        </row>
        <row r="401">
          <cell r="CA401">
            <v>55023753</v>
          </cell>
          <cell r="CB401">
            <v>14328578</v>
          </cell>
        </row>
        <row r="402">
          <cell r="CA402">
            <v>112040843</v>
          </cell>
          <cell r="CB402">
            <v>10500000</v>
          </cell>
        </row>
        <row r="403">
          <cell r="CA403">
            <v>21553675</v>
          </cell>
          <cell r="CB403">
            <v>2000000</v>
          </cell>
        </row>
        <row r="404">
          <cell r="CA404">
            <v>43877882</v>
          </cell>
          <cell r="CB404">
            <v>430000</v>
          </cell>
        </row>
        <row r="405">
          <cell r="CA405">
            <v>3765800</v>
          </cell>
          <cell r="CB405">
            <v>0</v>
          </cell>
        </row>
        <row r="406">
          <cell r="CA406">
            <v>67991484</v>
          </cell>
          <cell r="CB406">
            <v>11899367</v>
          </cell>
        </row>
        <row r="407">
          <cell r="CA407">
            <v>13089138</v>
          </cell>
          <cell r="CB407">
            <v>2300130</v>
          </cell>
        </row>
        <row r="408">
          <cell r="CA408">
            <v>50905256</v>
          </cell>
          <cell r="CB408">
            <v>8747200</v>
          </cell>
        </row>
        <row r="409">
          <cell r="CA409">
            <v>2305454</v>
          </cell>
          <cell r="CB409">
            <v>0</v>
          </cell>
        </row>
        <row r="410">
          <cell r="CA410">
            <v>18230710</v>
          </cell>
          <cell r="CB410">
            <v>3398566</v>
          </cell>
        </row>
        <row r="411">
          <cell r="CA411">
            <v>29199298</v>
          </cell>
          <cell r="CB411">
            <v>280000</v>
          </cell>
        </row>
        <row r="412">
          <cell r="CA412">
            <v>186447659</v>
          </cell>
          <cell r="CB412">
            <v>42094800</v>
          </cell>
        </row>
        <row r="413">
          <cell r="CA413">
            <v>109764810</v>
          </cell>
          <cell r="CB413">
            <v>770000</v>
          </cell>
        </row>
        <row r="414">
          <cell r="CA414">
            <v>23651242</v>
          </cell>
          <cell r="CB414">
            <v>0</v>
          </cell>
        </row>
        <row r="415">
          <cell r="CA415">
            <v>57152222</v>
          </cell>
          <cell r="CB415">
            <v>20867831</v>
          </cell>
        </row>
        <row r="416">
          <cell r="CA416">
            <v>21405591</v>
          </cell>
          <cell r="CB416">
            <v>0</v>
          </cell>
        </row>
        <row r="417">
          <cell r="CA417">
            <v>135047115</v>
          </cell>
          <cell r="CB417">
            <v>13305379</v>
          </cell>
        </row>
        <row r="418">
          <cell r="CA418">
            <v>1596959</v>
          </cell>
          <cell r="CB418">
            <v>165280</v>
          </cell>
        </row>
        <row r="419">
          <cell r="CA419">
            <v>44360747</v>
          </cell>
          <cell r="CB419">
            <v>8000000</v>
          </cell>
        </row>
        <row r="420">
          <cell r="CA420">
            <v>11366606</v>
          </cell>
          <cell r="CB420">
            <v>2000000</v>
          </cell>
        </row>
        <row r="421">
          <cell r="CA421">
            <v>4474653</v>
          </cell>
          <cell r="CB421">
            <v>2200000</v>
          </cell>
        </row>
        <row r="422">
          <cell r="CA422">
            <v>6433602</v>
          </cell>
          <cell r="CB422">
            <v>150000</v>
          </cell>
        </row>
        <row r="423">
          <cell r="CA423">
            <v>30093790</v>
          </cell>
          <cell r="CB423">
            <v>269822</v>
          </cell>
        </row>
        <row r="424">
          <cell r="CA424">
            <v>46681775</v>
          </cell>
          <cell r="CB424">
            <v>339500</v>
          </cell>
        </row>
        <row r="425">
          <cell r="CA425">
            <v>12653059</v>
          </cell>
          <cell r="CB425">
            <v>90300</v>
          </cell>
        </row>
        <row r="426">
          <cell r="CA426">
            <v>5493567</v>
          </cell>
          <cell r="CB426">
            <v>932183</v>
          </cell>
        </row>
        <row r="427">
          <cell r="CA427">
            <v>37923507</v>
          </cell>
          <cell r="CB427">
            <v>3498260</v>
          </cell>
        </row>
        <row r="428">
          <cell r="CA428">
            <v>10074465</v>
          </cell>
          <cell r="CB428">
            <v>0</v>
          </cell>
        </row>
        <row r="429">
          <cell r="CA429">
            <v>6831790</v>
          </cell>
          <cell r="CB429">
            <v>29700000</v>
          </cell>
        </row>
        <row r="430">
          <cell r="CA430">
            <v>32954299</v>
          </cell>
          <cell r="CB430">
            <v>6000000</v>
          </cell>
        </row>
        <row r="431">
          <cell r="CA431">
            <v>29537888</v>
          </cell>
          <cell r="CB431">
            <v>5800000</v>
          </cell>
        </row>
        <row r="432">
          <cell r="CA432">
            <v>102818780</v>
          </cell>
          <cell r="CB432">
            <v>18000000</v>
          </cell>
        </row>
        <row r="433">
          <cell r="CA433">
            <v>15086818</v>
          </cell>
          <cell r="CB433">
            <v>2560000</v>
          </cell>
        </row>
        <row r="434">
          <cell r="CA434">
            <v>3783206</v>
          </cell>
          <cell r="CB434">
            <v>684647</v>
          </cell>
        </row>
        <row r="435">
          <cell r="CA435">
            <v>6506978</v>
          </cell>
          <cell r="CB435">
            <v>604318</v>
          </cell>
        </row>
        <row r="436">
          <cell r="CA436">
            <v>4788472</v>
          </cell>
          <cell r="CB436">
            <v>850000</v>
          </cell>
        </row>
        <row r="437">
          <cell r="CA437">
            <v>20399188</v>
          </cell>
          <cell r="CB437">
            <v>200000</v>
          </cell>
        </row>
        <row r="438">
          <cell r="CA438">
            <v>17403269</v>
          </cell>
          <cell r="CB438">
            <v>0</v>
          </cell>
        </row>
        <row r="439">
          <cell r="CA439">
            <v>69807322</v>
          </cell>
          <cell r="CB439">
            <v>10698116</v>
          </cell>
        </row>
        <row r="440">
          <cell r="CA440">
            <v>18961541</v>
          </cell>
          <cell r="CB440">
            <v>18449400</v>
          </cell>
        </row>
        <row r="441">
          <cell r="CA441">
            <v>33824387</v>
          </cell>
          <cell r="CB441">
            <v>5599950</v>
          </cell>
        </row>
        <row r="442">
          <cell r="CA442">
            <v>1817767</v>
          </cell>
          <cell r="CB442">
            <v>180000</v>
          </cell>
        </row>
        <row r="443">
          <cell r="CA443">
            <v>298982</v>
          </cell>
          <cell r="CB443">
            <v>1800000</v>
          </cell>
        </row>
        <row r="444">
          <cell r="CA444">
            <v>11460383</v>
          </cell>
          <cell r="CB444">
            <v>99853</v>
          </cell>
        </row>
        <row r="445">
          <cell r="CA445">
            <v>286762</v>
          </cell>
          <cell r="CB445">
            <v>0</v>
          </cell>
        </row>
        <row r="446">
          <cell r="CA446">
            <v>11710079</v>
          </cell>
          <cell r="CB446">
            <v>2169098</v>
          </cell>
        </row>
        <row r="447">
          <cell r="CA447">
            <v>4666919</v>
          </cell>
          <cell r="CB447">
            <v>0</v>
          </cell>
        </row>
        <row r="448">
          <cell r="CA448">
            <v>53539384</v>
          </cell>
          <cell r="CB448">
            <v>9997468</v>
          </cell>
        </row>
        <row r="449">
          <cell r="CA449">
            <v>21829139</v>
          </cell>
          <cell r="CB449">
            <v>3994687</v>
          </cell>
        </row>
        <row r="450">
          <cell r="CA450">
            <v>2536620</v>
          </cell>
          <cell r="CB450">
            <v>0</v>
          </cell>
        </row>
        <row r="451">
          <cell r="CA451">
            <v>97729420</v>
          </cell>
          <cell r="CB451">
            <v>21555264</v>
          </cell>
        </row>
        <row r="452">
          <cell r="CA452">
            <v>14134358</v>
          </cell>
          <cell r="CB452">
            <v>0</v>
          </cell>
        </row>
        <row r="453">
          <cell r="CA453">
            <v>587842</v>
          </cell>
          <cell r="CB453">
            <v>0</v>
          </cell>
        </row>
        <row r="454">
          <cell r="CA454">
            <v>14379355</v>
          </cell>
          <cell r="CB454">
            <v>1199368</v>
          </cell>
        </row>
        <row r="455">
          <cell r="CA455">
            <v>10175601</v>
          </cell>
          <cell r="CB455">
            <v>15913040</v>
          </cell>
        </row>
        <row r="456">
          <cell r="CA456">
            <v>2008832</v>
          </cell>
          <cell r="CB456">
            <v>0</v>
          </cell>
        </row>
        <row r="457">
          <cell r="CA457">
            <v>15311315</v>
          </cell>
          <cell r="CB457">
            <v>3203642</v>
          </cell>
        </row>
        <row r="458">
          <cell r="CA458">
            <v>16200327</v>
          </cell>
          <cell r="CB458">
            <v>1400000</v>
          </cell>
        </row>
        <row r="459">
          <cell r="CA459">
            <v>2846056</v>
          </cell>
          <cell r="CB459">
            <v>600000</v>
          </cell>
        </row>
        <row r="460">
          <cell r="CA460">
            <v>9415734</v>
          </cell>
          <cell r="CB460">
            <v>100000</v>
          </cell>
        </row>
        <row r="461">
          <cell r="CA461">
            <v>18216382</v>
          </cell>
          <cell r="CB461">
            <v>3266255</v>
          </cell>
        </row>
        <row r="462">
          <cell r="CA462">
            <v>50672835</v>
          </cell>
          <cell r="CB462">
            <v>10000000</v>
          </cell>
        </row>
        <row r="463">
          <cell r="CA463">
            <v>1000</v>
          </cell>
          <cell r="CB463">
            <v>9716864</v>
          </cell>
        </row>
        <row r="464">
          <cell r="CA464">
            <v>461258232</v>
          </cell>
          <cell r="CB464">
            <v>116701888</v>
          </cell>
        </row>
        <row r="465">
          <cell r="CA465">
            <v>1000</v>
          </cell>
          <cell r="CB465">
            <v>8399122</v>
          </cell>
        </row>
        <row r="466">
          <cell r="CA466">
            <v>1000</v>
          </cell>
          <cell r="CB466">
            <v>4442634</v>
          </cell>
        </row>
        <row r="467">
          <cell r="CA467">
            <v>32829494</v>
          </cell>
          <cell r="CB467">
            <v>7312909</v>
          </cell>
        </row>
        <row r="468">
          <cell r="CA468">
            <v>649593</v>
          </cell>
          <cell r="CB468">
            <v>0</v>
          </cell>
        </row>
        <row r="469">
          <cell r="CA469">
            <v>1122300</v>
          </cell>
          <cell r="CB469">
            <v>0</v>
          </cell>
        </row>
        <row r="470">
          <cell r="CA470">
            <v>66628854</v>
          </cell>
          <cell r="CB470">
            <v>13510159</v>
          </cell>
        </row>
        <row r="471">
          <cell r="CA471">
            <v>1166289</v>
          </cell>
          <cell r="CB471">
            <v>0</v>
          </cell>
        </row>
        <row r="472">
          <cell r="CA472">
            <v>75209758</v>
          </cell>
          <cell r="CB472">
            <v>7998053</v>
          </cell>
        </row>
        <row r="473">
          <cell r="CA473">
            <v>27862759</v>
          </cell>
          <cell r="CB473">
            <v>3000000</v>
          </cell>
        </row>
        <row r="474">
          <cell r="CA474">
            <v>317997899</v>
          </cell>
          <cell r="CB474">
            <v>30000000</v>
          </cell>
        </row>
        <row r="475">
          <cell r="CA475">
            <v>19889891</v>
          </cell>
          <cell r="CB475">
            <v>3682553</v>
          </cell>
        </row>
        <row r="476">
          <cell r="CA476">
            <v>2684526</v>
          </cell>
          <cell r="CB476">
            <v>0</v>
          </cell>
        </row>
        <row r="477">
          <cell r="CA477">
            <v>4717015</v>
          </cell>
          <cell r="CB477">
            <v>0</v>
          </cell>
        </row>
        <row r="478">
          <cell r="CA478">
            <v>1733243</v>
          </cell>
          <cell r="CB478">
            <v>0</v>
          </cell>
        </row>
        <row r="479">
          <cell r="CA479">
            <v>2265833</v>
          </cell>
          <cell r="CB479">
            <v>0</v>
          </cell>
        </row>
        <row r="480">
          <cell r="CA480">
            <v>820545</v>
          </cell>
          <cell r="CB480">
            <v>0</v>
          </cell>
        </row>
        <row r="481">
          <cell r="CA481">
            <v>3494309</v>
          </cell>
          <cell r="CB481">
            <v>0</v>
          </cell>
        </row>
        <row r="482">
          <cell r="CA482">
            <v>17225776</v>
          </cell>
          <cell r="CB482">
            <v>1498420</v>
          </cell>
        </row>
        <row r="483">
          <cell r="CA483">
            <v>16151563</v>
          </cell>
          <cell r="CB483">
            <v>1600000</v>
          </cell>
        </row>
        <row r="484">
          <cell r="CA484">
            <v>194894049</v>
          </cell>
          <cell r="CB484">
            <v>58184924</v>
          </cell>
        </row>
        <row r="485">
          <cell r="CA485">
            <v>119214599</v>
          </cell>
          <cell r="CB485">
            <v>0</v>
          </cell>
        </row>
        <row r="486">
          <cell r="CA486">
            <v>29317572</v>
          </cell>
          <cell r="CB486">
            <v>0</v>
          </cell>
        </row>
        <row r="487">
          <cell r="CA487">
            <v>2544055</v>
          </cell>
          <cell r="CB487">
            <v>150000000</v>
          </cell>
        </row>
        <row r="488">
          <cell r="CA488">
            <v>422709237</v>
          </cell>
          <cell r="CB488">
            <v>210072241</v>
          </cell>
        </row>
        <row r="489">
          <cell r="CA489">
            <v>27805558</v>
          </cell>
          <cell r="CB489">
            <v>5000000</v>
          </cell>
        </row>
        <row r="490">
          <cell r="CA490">
            <v>15264243</v>
          </cell>
          <cell r="CB490">
            <v>3000000</v>
          </cell>
        </row>
        <row r="491">
          <cell r="CA491">
            <v>10295448</v>
          </cell>
          <cell r="CB491">
            <v>1999476</v>
          </cell>
        </row>
        <row r="492">
          <cell r="CA492">
            <v>15942033</v>
          </cell>
          <cell r="CB492">
            <v>1384152</v>
          </cell>
        </row>
        <row r="493">
          <cell r="CA493">
            <v>62119</v>
          </cell>
          <cell r="CB493">
            <v>0</v>
          </cell>
        </row>
        <row r="494">
          <cell r="CA494">
            <v>18806293</v>
          </cell>
          <cell r="CB494">
            <v>3168361</v>
          </cell>
        </row>
        <row r="495">
          <cell r="CA495">
            <v>1519560</v>
          </cell>
          <cell r="CB495">
            <v>0</v>
          </cell>
        </row>
        <row r="496">
          <cell r="CA496">
            <v>25507715</v>
          </cell>
          <cell r="CB496">
            <v>500000</v>
          </cell>
        </row>
        <row r="497">
          <cell r="CA497">
            <v>110791278</v>
          </cell>
          <cell r="CB497">
            <v>1030000</v>
          </cell>
        </row>
        <row r="498">
          <cell r="CA498">
            <v>56651404</v>
          </cell>
          <cell r="CB498">
            <v>530000</v>
          </cell>
        </row>
        <row r="499">
          <cell r="CA499">
            <v>334690</v>
          </cell>
          <cell r="CB499">
            <v>0</v>
          </cell>
        </row>
        <row r="500">
          <cell r="CA500">
            <v>33005853</v>
          </cell>
          <cell r="CB500">
            <v>49500000</v>
          </cell>
        </row>
        <row r="501">
          <cell r="CA501">
            <v>360453645</v>
          </cell>
          <cell r="CB501">
            <v>63600000</v>
          </cell>
        </row>
        <row r="502">
          <cell r="CA502">
            <v>54481579</v>
          </cell>
          <cell r="CB502">
            <v>40275840</v>
          </cell>
        </row>
        <row r="503">
          <cell r="CA503">
            <v>160246011</v>
          </cell>
          <cell r="CB503">
            <v>155300000</v>
          </cell>
        </row>
        <row r="504">
          <cell r="CA504">
            <v>65699043</v>
          </cell>
          <cell r="CB504">
            <v>64600000</v>
          </cell>
        </row>
        <row r="505">
          <cell r="CA505">
            <v>52579575</v>
          </cell>
          <cell r="CB505">
            <v>51700000</v>
          </cell>
        </row>
        <row r="506">
          <cell r="CA506">
            <v>44856797</v>
          </cell>
          <cell r="CB506">
            <v>44600000</v>
          </cell>
        </row>
        <row r="507">
          <cell r="CA507">
            <v>79857167</v>
          </cell>
          <cell r="CB507">
            <v>79400000</v>
          </cell>
        </row>
        <row r="508">
          <cell r="CA508">
            <v>133889057</v>
          </cell>
          <cell r="CB508">
            <v>25966070</v>
          </cell>
        </row>
        <row r="509">
          <cell r="CA509">
            <v>326905469</v>
          </cell>
          <cell r="CB509">
            <v>49317150</v>
          </cell>
        </row>
        <row r="510">
          <cell r="CA510">
            <v>342895863</v>
          </cell>
          <cell r="CB510">
            <v>65850000</v>
          </cell>
        </row>
        <row r="511">
          <cell r="CA511">
            <v>415681745</v>
          </cell>
          <cell r="CB511">
            <v>76125897</v>
          </cell>
        </row>
        <row r="512">
          <cell r="CA512">
            <v>75993257</v>
          </cell>
          <cell r="CB512">
            <v>0</v>
          </cell>
        </row>
        <row r="513">
          <cell r="CA513">
            <v>152505909</v>
          </cell>
          <cell r="CB513">
            <v>0</v>
          </cell>
        </row>
        <row r="514">
          <cell r="CA514">
            <v>102981</v>
          </cell>
          <cell r="CB514">
            <v>0</v>
          </cell>
        </row>
        <row r="515">
          <cell r="CA515">
            <v>804263</v>
          </cell>
          <cell r="CB515">
            <v>0</v>
          </cell>
        </row>
        <row r="516">
          <cell r="CA516">
            <v>52251928</v>
          </cell>
          <cell r="CB516">
            <v>7350000</v>
          </cell>
        </row>
        <row r="517">
          <cell r="CA517">
            <v>59388149</v>
          </cell>
          <cell r="CB517">
            <v>10000000</v>
          </cell>
        </row>
        <row r="518">
          <cell r="CA518">
            <v>1173919</v>
          </cell>
          <cell r="CB518">
            <v>0</v>
          </cell>
        </row>
        <row r="519">
          <cell r="CA519">
            <v>137192783</v>
          </cell>
          <cell r="CB519">
            <v>209984000</v>
          </cell>
        </row>
        <row r="520">
          <cell r="CA520">
            <v>80125</v>
          </cell>
          <cell r="CB520">
            <v>7500000</v>
          </cell>
        </row>
        <row r="521">
          <cell r="CA521">
            <v>242931559</v>
          </cell>
          <cell r="CB521">
            <v>77000000</v>
          </cell>
        </row>
        <row r="522">
          <cell r="CA522">
            <v>87403044</v>
          </cell>
          <cell r="CB522">
            <v>22591028</v>
          </cell>
        </row>
        <row r="523">
          <cell r="CA523">
            <v>7440034</v>
          </cell>
          <cell r="CB523">
            <v>0</v>
          </cell>
        </row>
        <row r="524">
          <cell r="CA524">
            <v>663633</v>
          </cell>
          <cell r="CB524">
            <v>0</v>
          </cell>
        </row>
        <row r="525">
          <cell r="CA525">
            <v>1357541</v>
          </cell>
          <cell r="CB525">
            <v>0</v>
          </cell>
        </row>
        <row r="526">
          <cell r="CA526">
            <v>30883831</v>
          </cell>
          <cell r="CB526">
            <v>4916480</v>
          </cell>
        </row>
        <row r="527">
          <cell r="CA527">
            <v>13294409</v>
          </cell>
          <cell r="CB527">
            <v>0</v>
          </cell>
        </row>
        <row r="528">
          <cell r="CA528">
            <v>3934105</v>
          </cell>
          <cell r="CB528">
            <v>42103</v>
          </cell>
        </row>
        <row r="529">
          <cell r="CA529">
            <v>371157448</v>
          </cell>
          <cell r="CB529">
            <v>3960000</v>
          </cell>
        </row>
        <row r="530">
          <cell r="CA530">
            <v>874100654</v>
          </cell>
          <cell r="CB530">
            <v>90000000</v>
          </cell>
        </row>
        <row r="531">
          <cell r="CA531">
            <v>2516959</v>
          </cell>
          <cell r="CB531">
            <v>24584000</v>
          </cell>
        </row>
        <row r="532">
          <cell r="CA532">
            <v>1565370</v>
          </cell>
          <cell r="CB532">
            <v>74210000</v>
          </cell>
        </row>
        <row r="533">
          <cell r="CA533">
            <v>634791808</v>
          </cell>
          <cell r="CB533">
            <v>235207600</v>
          </cell>
        </row>
        <row r="534">
          <cell r="CA534">
            <v>24282409</v>
          </cell>
          <cell r="CB534">
            <v>25973500</v>
          </cell>
        </row>
        <row r="535">
          <cell r="CA535">
            <v>5044394</v>
          </cell>
          <cell r="CB535">
            <v>0</v>
          </cell>
        </row>
        <row r="536">
          <cell r="CA536">
            <v>2694309</v>
          </cell>
          <cell r="CB536">
            <v>0</v>
          </cell>
        </row>
        <row r="537">
          <cell r="CA537">
            <v>12132652</v>
          </cell>
          <cell r="CB537">
            <v>2222817</v>
          </cell>
        </row>
        <row r="538">
          <cell r="CA538">
            <v>80544320</v>
          </cell>
          <cell r="CB538">
            <v>840000</v>
          </cell>
        </row>
        <row r="539">
          <cell r="CA539">
            <v>25856426</v>
          </cell>
          <cell r="CB539">
            <v>2500000</v>
          </cell>
        </row>
        <row r="540">
          <cell r="CA540">
            <v>26363811</v>
          </cell>
          <cell r="CB540">
            <v>8690451</v>
          </cell>
        </row>
        <row r="541">
          <cell r="CA541">
            <v>7027803</v>
          </cell>
          <cell r="CB541">
            <v>0</v>
          </cell>
        </row>
        <row r="542">
          <cell r="CA542">
            <v>43593564</v>
          </cell>
          <cell r="CB542">
            <v>995189</v>
          </cell>
        </row>
        <row r="543">
          <cell r="CA543">
            <v>48307607</v>
          </cell>
          <cell r="CB543">
            <v>40200000</v>
          </cell>
        </row>
        <row r="544">
          <cell r="CA544">
            <v>3093876</v>
          </cell>
          <cell r="CB544">
            <v>0</v>
          </cell>
        </row>
        <row r="545">
          <cell r="CA545">
            <v>4052634</v>
          </cell>
          <cell r="CB545">
            <v>0</v>
          </cell>
        </row>
        <row r="546">
          <cell r="CA546">
            <v>29652326</v>
          </cell>
          <cell r="CB546">
            <v>5256000</v>
          </cell>
        </row>
        <row r="547">
          <cell r="CA547">
            <v>31355267</v>
          </cell>
          <cell r="CB547">
            <v>6000000</v>
          </cell>
        </row>
        <row r="548">
          <cell r="CA548">
            <v>30444195</v>
          </cell>
          <cell r="CB548">
            <v>6000000</v>
          </cell>
        </row>
        <row r="549">
          <cell r="CA549">
            <v>87253567</v>
          </cell>
          <cell r="CB549">
            <v>17200000</v>
          </cell>
        </row>
        <row r="550">
          <cell r="CA550">
            <v>114607067</v>
          </cell>
          <cell r="CB550">
            <v>22300000</v>
          </cell>
        </row>
        <row r="551">
          <cell r="CA551">
            <v>38621205</v>
          </cell>
          <cell r="CB551">
            <v>369733</v>
          </cell>
        </row>
        <row r="552">
          <cell r="CA552">
            <v>129680777</v>
          </cell>
          <cell r="CB552">
            <v>23990924</v>
          </cell>
        </row>
        <row r="553">
          <cell r="CA553">
            <v>28292673</v>
          </cell>
          <cell r="CB553">
            <v>3000000</v>
          </cell>
        </row>
        <row r="554">
          <cell r="CA554">
            <v>96655013</v>
          </cell>
          <cell r="CB554">
            <v>9999319</v>
          </cell>
        </row>
        <row r="555">
          <cell r="CA555">
            <v>46922649</v>
          </cell>
          <cell r="CB555">
            <v>7318025</v>
          </cell>
        </row>
        <row r="556">
          <cell r="CA556">
            <v>9254025</v>
          </cell>
          <cell r="CB556">
            <v>0</v>
          </cell>
        </row>
        <row r="557">
          <cell r="CA557">
            <v>10926215</v>
          </cell>
          <cell r="CB557">
            <v>1900000</v>
          </cell>
        </row>
        <row r="558">
          <cell r="CA558">
            <v>39969879</v>
          </cell>
          <cell r="CB558">
            <v>2520000</v>
          </cell>
        </row>
        <row r="559">
          <cell r="CA559">
            <v>3590732</v>
          </cell>
          <cell r="CB559">
            <v>0</v>
          </cell>
        </row>
        <row r="560">
          <cell r="CA560">
            <v>11922315</v>
          </cell>
          <cell r="CB560">
            <v>1700000</v>
          </cell>
        </row>
        <row r="561">
          <cell r="CA561">
            <v>170956595</v>
          </cell>
          <cell r="CB561">
            <v>15731743</v>
          </cell>
        </row>
        <row r="562">
          <cell r="CA562">
            <v>5510070</v>
          </cell>
          <cell r="CB562">
            <v>1000000</v>
          </cell>
        </row>
        <row r="563">
          <cell r="CA563">
            <v>16542245</v>
          </cell>
          <cell r="CB563">
            <v>2999653</v>
          </cell>
        </row>
        <row r="564">
          <cell r="CA564">
            <v>9971474</v>
          </cell>
          <cell r="CB564">
            <v>1800000</v>
          </cell>
        </row>
        <row r="565">
          <cell r="CA565">
            <v>5359441</v>
          </cell>
          <cell r="CB565">
            <v>0</v>
          </cell>
        </row>
        <row r="566">
          <cell r="CA566">
            <v>2497701</v>
          </cell>
          <cell r="CB566">
            <v>0</v>
          </cell>
        </row>
        <row r="567">
          <cell r="CA567">
            <v>135706387</v>
          </cell>
          <cell r="CB567">
            <v>34216416</v>
          </cell>
        </row>
        <row r="568">
          <cell r="CA568">
            <v>25281777</v>
          </cell>
          <cell r="CB568">
            <v>0</v>
          </cell>
        </row>
        <row r="569">
          <cell r="CA569">
            <v>97802938</v>
          </cell>
          <cell r="CB569">
            <v>1000000</v>
          </cell>
        </row>
        <row r="570">
          <cell r="CA570">
            <v>1158038</v>
          </cell>
          <cell r="CB570">
            <v>2000000</v>
          </cell>
        </row>
        <row r="571">
          <cell r="CA571">
            <v>24932288</v>
          </cell>
          <cell r="CB571">
            <v>3998245</v>
          </cell>
        </row>
        <row r="572">
          <cell r="CA572">
            <v>5573146</v>
          </cell>
          <cell r="CB572">
            <v>897971</v>
          </cell>
        </row>
        <row r="573">
          <cell r="CA573">
            <v>42435162</v>
          </cell>
          <cell r="CB573">
            <v>9869109</v>
          </cell>
        </row>
        <row r="574">
          <cell r="CA574">
            <v>889010</v>
          </cell>
          <cell r="CB574">
            <v>0</v>
          </cell>
        </row>
        <row r="575">
          <cell r="CA575">
            <v>9460448</v>
          </cell>
          <cell r="CB575">
            <v>0</v>
          </cell>
        </row>
        <row r="576">
          <cell r="CA576">
            <v>158854279</v>
          </cell>
          <cell r="CB576">
            <v>32212473</v>
          </cell>
        </row>
        <row r="577">
          <cell r="CA577">
            <v>7958473</v>
          </cell>
          <cell r="CB577">
            <v>0</v>
          </cell>
        </row>
        <row r="578">
          <cell r="CA578">
            <v>6373436</v>
          </cell>
          <cell r="CB578">
            <v>0</v>
          </cell>
        </row>
        <row r="579">
          <cell r="CA579">
            <v>27596199</v>
          </cell>
          <cell r="CB579">
            <v>7993447</v>
          </cell>
        </row>
        <row r="580">
          <cell r="CA580">
            <v>26773027</v>
          </cell>
          <cell r="CB580">
            <v>4812279</v>
          </cell>
        </row>
        <row r="581">
          <cell r="CA581">
            <v>16784718</v>
          </cell>
          <cell r="CB581">
            <v>173507</v>
          </cell>
        </row>
        <row r="582">
          <cell r="CA582">
            <v>40056833</v>
          </cell>
          <cell r="CB582">
            <v>400000</v>
          </cell>
        </row>
        <row r="583">
          <cell r="CA583">
            <v>118138896</v>
          </cell>
          <cell r="CB583">
            <v>819000</v>
          </cell>
        </row>
        <row r="584">
          <cell r="CA584">
            <v>149482</v>
          </cell>
          <cell r="CB584">
            <v>9892964</v>
          </cell>
        </row>
        <row r="585">
          <cell r="CA585">
            <v>168988023</v>
          </cell>
          <cell r="CB585">
            <v>38770325</v>
          </cell>
        </row>
        <row r="586">
          <cell r="CA586">
            <v>231082</v>
          </cell>
          <cell r="CB586">
            <v>14850000</v>
          </cell>
        </row>
        <row r="587">
          <cell r="CA587">
            <v>107123</v>
          </cell>
          <cell r="CB587">
            <v>6991804</v>
          </cell>
        </row>
        <row r="588">
          <cell r="CA588">
            <v>1044836</v>
          </cell>
          <cell r="CB588">
            <v>0</v>
          </cell>
        </row>
        <row r="589">
          <cell r="CA589">
            <v>69814178</v>
          </cell>
          <cell r="CB589">
            <v>939844</v>
          </cell>
        </row>
        <row r="590">
          <cell r="CA590">
            <v>36718348</v>
          </cell>
          <cell r="CB590">
            <v>354900</v>
          </cell>
        </row>
        <row r="591">
          <cell r="CA591">
            <v>588696</v>
          </cell>
          <cell r="CB591">
            <v>124600</v>
          </cell>
        </row>
        <row r="592">
          <cell r="CA592">
            <v>23788482</v>
          </cell>
          <cell r="CB592">
            <v>214200</v>
          </cell>
        </row>
        <row r="593">
          <cell r="CA593">
            <v>105636689</v>
          </cell>
          <cell r="CB593">
            <v>10500000</v>
          </cell>
        </row>
        <row r="594">
          <cell r="CA594">
            <v>319738619</v>
          </cell>
          <cell r="CB594">
            <v>158039164</v>
          </cell>
        </row>
        <row r="595">
          <cell r="CA595">
            <v>26153156</v>
          </cell>
          <cell r="CB595">
            <v>4825953</v>
          </cell>
        </row>
        <row r="596">
          <cell r="CA596">
            <v>31267465</v>
          </cell>
          <cell r="CB596">
            <v>7440638</v>
          </cell>
        </row>
        <row r="597">
          <cell r="CA597">
            <v>1860623</v>
          </cell>
          <cell r="CB597">
            <v>0</v>
          </cell>
        </row>
        <row r="598">
          <cell r="CA598">
            <v>16129188</v>
          </cell>
          <cell r="CB598">
            <v>0</v>
          </cell>
        </row>
        <row r="599">
          <cell r="CA599">
            <v>309147635</v>
          </cell>
          <cell r="CB599">
            <v>54800000</v>
          </cell>
        </row>
        <row r="600">
          <cell r="CA600">
            <v>28024907</v>
          </cell>
          <cell r="CB600">
            <v>1257249</v>
          </cell>
        </row>
        <row r="601">
          <cell r="CA601">
            <v>1067000573</v>
          </cell>
          <cell r="CB601">
            <v>187200000</v>
          </cell>
        </row>
        <row r="602">
          <cell r="CA602">
            <v>188585</v>
          </cell>
          <cell r="CB602">
            <v>39594</v>
          </cell>
        </row>
        <row r="603">
          <cell r="CA603">
            <v>11473375</v>
          </cell>
          <cell r="CB603">
            <v>177188</v>
          </cell>
        </row>
        <row r="604">
          <cell r="CA604">
            <v>157142790</v>
          </cell>
          <cell r="CB604">
            <v>131023040</v>
          </cell>
        </row>
        <row r="605">
          <cell r="CA605">
            <v>4549117</v>
          </cell>
          <cell r="CB605">
            <v>0</v>
          </cell>
        </row>
        <row r="606">
          <cell r="CA606">
            <v>120761057</v>
          </cell>
          <cell r="CB606">
            <v>21995812</v>
          </cell>
        </row>
        <row r="607">
          <cell r="CA607">
            <v>15950377</v>
          </cell>
          <cell r="CB607">
            <v>0</v>
          </cell>
        </row>
        <row r="608">
          <cell r="CA608">
            <v>2194508</v>
          </cell>
          <cell r="CB608">
            <v>0</v>
          </cell>
        </row>
        <row r="609">
          <cell r="CA609">
            <v>107160777</v>
          </cell>
          <cell r="CB609">
            <v>999959</v>
          </cell>
        </row>
        <row r="610">
          <cell r="CA610">
            <v>4905886</v>
          </cell>
          <cell r="CB610">
            <v>0</v>
          </cell>
        </row>
        <row r="611">
          <cell r="CA611">
            <v>10935003</v>
          </cell>
          <cell r="CB611">
            <v>170000</v>
          </cell>
        </row>
        <row r="612">
          <cell r="CA612">
            <v>177094151</v>
          </cell>
          <cell r="CB612">
            <v>3589600</v>
          </cell>
        </row>
        <row r="613">
          <cell r="CA613">
            <v>8157752</v>
          </cell>
          <cell r="CB613">
            <v>750000</v>
          </cell>
        </row>
        <row r="614">
          <cell r="CA614">
            <v>20205334</v>
          </cell>
          <cell r="CB614">
            <v>1973761</v>
          </cell>
        </row>
        <row r="615">
          <cell r="CA615">
            <v>2687987</v>
          </cell>
          <cell r="CB615">
            <v>17579</v>
          </cell>
        </row>
        <row r="616">
          <cell r="CA616">
            <v>3362684</v>
          </cell>
          <cell r="CB616">
            <v>450000</v>
          </cell>
        </row>
        <row r="617">
          <cell r="CA617">
            <v>278174642</v>
          </cell>
          <cell r="CB617">
            <v>46990543</v>
          </cell>
        </row>
        <row r="618">
          <cell r="CA618">
            <v>1000</v>
          </cell>
          <cell r="CB618">
            <v>0</v>
          </cell>
        </row>
        <row r="619">
          <cell r="CA619">
            <v>1000</v>
          </cell>
          <cell r="CB619">
            <v>0</v>
          </cell>
        </row>
        <row r="620">
          <cell r="CA620">
            <v>55311707</v>
          </cell>
          <cell r="CB620">
            <v>10000000</v>
          </cell>
        </row>
        <row r="621">
          <cell r="CA621">
            <v>4856099</v>
          </cell>
          <cell r="CB621">
            <v>0</v>
          </cell>
        </row>
        <row r="622">
          <cell r="CA622">
            <v>531696</v>
          </cell>
          <cell r="CB622">
            <v>0</v>
          </cell>
        </row>
        <row r="623">
          <cell r="CA623">
            <v>2410749</v>
          </cell>
          <cell r="CB623">
            <v>0</v>
          </cell>
        </row>
        <row r="624">
          <cell r="CA624">
            <v>4246061</v>
          </cell>
          <cell r="CB624">
            <v>0</v>
          </cell>
        </row>
        <row r="625">
          <cell r="CA625">
            <v>173022831</v>
          </cell>
          <cell r="CB625">
            <v>2060000</v>
          </cell>
        </row>
        <row r="626">
          <cell r="CA626">
            <v>27840</v>
          </cell>
          <cell r="CB626">
            <v>41437</v>
          </cell>
        </row>
        <row r="627">
          <cell r="CA627">
            <v>85779991</v>
          </cell>
          <cell r="CB627">
            <v>33522829</v>
          </cell>
        </row>
        <row r="628">
          <cell r="CA628">
            <v>1472332</v>
          </cell>
          <cell r="CB628">
            <v>0</v>
          </cell>
        </row>
        <row r="629">
          <cell r="CA629">
            <v>280606</v>
          </cell>
          <cell r="CB629">
            <v>0</v>
          </cell>
        </row>
        <row r="630">
          <cell r="CA630">
            <v>119155</v>
          </cell>
          <cell r="CB630">
            <v>0</v>
          </cell>
        </row>
        <row r="631">
          <cell r="CA631">
            <v>38387259</v>
          </cell>
          <cell r="CB631">
            <v>6996814</v>
          </cell>
        </row>
        <row r="632">
          <cell r="CA632">
            <v>32504440</v>
          </cell>
          <cell r="CB632">
            <v>5996628</v>
          </cell>
        </row>
        <row r="633">
          <cell r="CA633">
            <v>115380979</v>
          </cell>
          <cell r="CB633">
            <v>21197250</v>
          </cell>
        </row>
        <row r="634">
          <cell r="CA634">
            <v>54228470</v>
          </cell>
          <cell r="CB634">
            <v>9799444</v>
          </cell>
        </row>
        <row r="635">
          <cell r="CA635">
            <v>572892512</v>
          </cell>
          <cell r="CB635">
            <v>0</v>
          </cell>
        </row>
        <row r="636">
          <cell r="CA636">
            <v>2120392455</v>
          </cell>
          <cell r="CB636">
            <v>398200000</v>
          </cell>
        </row>
        <row r="637">
          <cell r="CA637">
            <v>2877422975</v>
          </cell>
          <cell r="CB637">
            <v>1488423969</v>
          </cell>
        </row>
        <row r="638">
          <cell r="CA638">
            <v>9071687</v>
          </cell>
          <cell r="CB638">
            <v>0</v>
          </cell>
        </row>
        <row r="639">
          <cell r="CA639">
            <v>24249693</v>
          </cell>
          <cell r="CB639">
            <v>0</v>
          </cell>
        </row>
        <row r="640">
          <cell r="CA640">
            <v>14806236</v>
          </cell>
          <cell r="CB640">
            <v>1360678</v>
          </cell>
        </row>
        <row r="641">
          <cell r="CA641">
            <v>7012757</v>
          </cell>
          <cell r="CB641">
            <v>539322</v>
          </cell>
        </row>
        <row r="642">
          <cell r="CA642">
            <v>21241110</v>
          </cell>
          <cell r="CB642">
            <v>2000000</v>
          </cell>
        </row>
        <row r="643">
          <cell r="CA643">
            <v>4753090</v>
          </cell>
          <cell r="CB643">
            <v>0</v>
          </cell>
        </row>
        <row r="644">
          <cell r="CA644">
            <v>3163508</v>
          </cell>
          <cell r="CB644">
            <v>0</v>
          </cell>
        </row>
        <row r="645">
          <cell r="CA645">
            <v>990773</v>
          </cell>
          <cell r="CB645">
            <v>0</v>
          </cell>
        </row>
        <row r="646">
          <cell r="CA646">
            <v>1006710</v>
          </cell>
          <cell r="CB646">
            <v>0</v>
          </cell>
        </row>
        <row r="647">
          <cell r="CA647">
            <v>3981725</v>
          </cell>
          <cell r="CB647">
            <v>0</v>
          </cell>
        </row>
        <row r="648">
          <cell r="CA648">
            <v>33309050</v>
          </cell>
          <cell r="CB648">
            <v>5998996</v>
          </cell>
        </row>
        <row r="649">
          <cell r="CA649">
            <v>9700578</v>
          </cell>
          <cell r="CB649">
            <v>0</v>
          </cell>
        </row>
        <row r="650">
          <cell r="CA650">
            <v>50201372</v>
          </cell>
          <cell r="CB650">
            <v>11199349</v>
          </cell>
        </row>
        <row r="651">
          <cell r="CA651">
            <v>424074</v>
          </cell>
          <cell r="CB651">
            <v>0</v>
          </cell>
        </row>
        <row r="652">
          <cell r="CA652">
            <v>16852968</v>
          </cell>
          <cell r="CB652">
            <v>3600000</v>
          </cell>
        </row>
        <row r="653">
          <cell r="CA653">
            <v>4379161</v>
          </cell>
          <cell r="CB653">
            <v>800000</v>
          </cell>
        </row>
        <row r="654">
          <cell r="CA654">
            <v>1000</v>
          </cell>
          <cell r="CB654">
            <v>399221</v>
          </cell>
        </row>
        <row r="655">
          <cell r="CA655">
            <v>63687850</v>
          </cell>
          <cell r="CB655">
            <v>11998399</v>
          </cell>
        </row>
        <row r="656">
          <cell r="CA656">
            <v>19088060</v>
          </cell>
          <cell r="CB656">
            <v>7628518</v>
          </cell>
        </row>
        <row r="657">
          <cell r="CA657">
            <v>42846176</v>
          </cell>
          <cell r="CB657">
            <v>9281424</v>
          </cell>
        </row>
        <row r="658">
          <cell r="CA658">
            <v>231311</v>
          </cell>
          <cell r="CB658">
            <v>8999864</v>
          </cell>
        </row>
        <row r="659">
          <cell r="CA659">
            <v>348645</v>
          </cell>
          <cell r="CB659">
            <v>0</v>
          </cell>
        </row>
        <row r="660">
          <cell r="CA660">
            <v>2583538</v>
          </cell>
          <cell r="CB660">
            <v>0</v>
          </cell>
        </row>
        <row r="661">
          <cell r="CA661">
            <v>925915</v>
          </cell>
          <cell r="CB661">
            <v>0</v>
          </cell>
        </row>
        <row r="662">
          <cell r="CA662">
            <v>719448</v>
          </cell>
          <cell r="CB662">
            <v>0</v>
          </cell>
        </row>
        <row r="663">
          <cell r="CA663">
            <v>504068</v>
          </cell>
          <cell r="CB663">
            <v>0</v>
          </cell>
        </row>
        <row r="664">
          <cell r="CA664">
            <v>1796436</v>
          </cell>
          <cell r="CB664">
            <v>0</v>
          </cell>
        </row>
        <row r="665">
          <cell r="CA665">
            <v>40977349</v>
          </cell>
          <cell r="CB665">
            <v>7000000</v>
          </cell>
        </row>
        <row r="666">
          <cell r="CA666">
            <v>11801767</v>
          </cell>
          <cell r="CB666">
            <v>2000000</v>
          </cell>
        </row>
        <row r="667">
          <cell r="CA667">
            <v>743919</v>
          </cell>
          <cell r="CB667">
            <v>0</v>
          </cell>
        </row>
        <row r="668">
          <cell r="CA668">
            <v>658701</v>
          </cell>
          <cell r="CB668">
            <v>0</v>
          </cell>
        </row>
        <row r="669">
          <cell r="CA669">
            <v>1065097</v>
          </cell>
          <cell r="CB669">
            <v>0</v>
          </cell>
        </row>
        <row r="670">
          <cell r="CA670">
            <v>4121</v>
          </cell>
          <cell r="CB670">
            <v>0</v>
          </cell>
        </row>
        <row r="671">
          <cell r="CA671">
            <v>149944819</v>
          </cell>
          <cell r="CB671">
            <v>1500000</v>
          </cell>
        </row>
        <row r="672">
          <cell r="CA672">
            <v>1000</v>
          </cell>
          <cell r="CB672">
            <v>4710944</v>
          </cell>
        </row>
        <row r="673">
          <cell r="CA673">
            <v>146644477</v>
          </cell>
          <cell r="CB673">
            <v>28800000</v>
          </cell>
        </row>
        <row r="674">
          <cell r="CA674">
            <v>7499446</v>
          </cell>
          <cell r="CB674">
            <v>1358636</v>
          </cell>
        </row>
        <row r="675">
          <cell r="CA675">
            <v>12274932</v>
          </cell>
          <cell r="CB675">
            <v>2000000</v>
          </cell>
        </row>
        <row r="676">
          <cell r="CA676">
            <v>121012</v>
          </cell>
          <cell r="CB676">
            <v>0</v>
          </cell>
        </row>
        <row r="677">
          <cell r="CA677">
            <v>17634957</v>
          </cell>
          <cell r="CB677">
            <v>1600000</v>
          </cell>
        </row>
        <row r="678">
          <cell r="CA678">
            <v>41803451</v>
          </cell>
          <cell r="CB678">
            <v>420000</v>
          </cell>
        </row>
        <row r="679">
          <cell r="CA679">
            <v>338148161</v>
          </cell>
          <cell r="CB679">
            <v>3390000</v>
          </cell>
        </row>
        <row r="680">
          <cell r="CA680">
            <v>20154445</v>
          </cell>
          <cell r="CB680">
            <v>187024</v>
          </cell>
        </row>
        <row r="681">
          <cell r="CA681">
            <v>27092092</v>
          </cell>
          <cell r="CB681">
            <v>5597295</v>
          </cell>
        </row>
        <row r="682">
          <cell r="CA682">
            <v>9289169</v>
          </cell>
          <cell r="CB682">
            <v>6998013</v>
          </cell>
        </row>
        <row r="683">
          <cell r="CA683">
            <v>7816003</v>
          </cell>
          <cell r="CB683">
            <v>4186091</v>
          </cell>
        </row>
        <row r="684">
          <cell r="CA684">
            <v>48864822</v>
          </cell>
          <cell r="CB684">
            <v>4500000</v>
          </cell>
        </row>
        <row r="685">
          <cell r="CA685">
            <v>194164602</v>
          </cell>
          <cell r="CB685">
            <v>46137553</v>
          </cell>
        </row>
        <row r="686">
          <cell r="CA686">
            <v>37123975</v>
          </cell>
          <cell r="CB686">
            <v>0</v>
          </cell>
        </row>
        <row r="687">
          <cell r="CA687">
            <v>34185174</v>
          </cell>
          <cell r="CB687">
            <v>8012297</v>
          </cell>
        </row>
        <row r="688">
          <cell r="CA688">
            <v>566556</v>
          </cell>
          <cell r="CB688">
            <v>0</v>
          </cell>
        </row>
        <row r="689">
          <cell r="CA689">
            <v>916737</v>
          </cell>
          <cell r="CB689">
            <v>0</v>
          </cell>
        </row>
        <row r="690">
          <cell r="CA690">
            <v>1013799</v>
          </cell>
          <cell r="CB690">
            <v>0</v>
          </cell>
        </row>
        <row r="691">
          <cell r="CA691">
            <v>695214</v>
          </cell>
          <cell r="CB691">
            <v>0</v>
          </cell>
        </row>
        <row r="692">
          <cell r="CA692">
            <v>2899586398</v>
          </cell>
          <cell r="CB692">
            <v>770091840</v>
          </cell>
        </row>
        <row r="693">
          <cell r="CA693">
            <v>287544026</v>
          </cell>
          <cell r="CB693">
            <v>0</v>
          </cell>
        </row>
        <row r="694">
          <cell r="CA694">
            <v>4641763</v>
          </cell>
          <cell r="CB694">
            <v>0</v>
          </cell>
        </row>
        <row r="695">
          <cell r="CA695">
            <v>35422967</v>
          </cell>
          <cell r="CB695">
            <v>10382704</v>
          </cell>
        </row>
        <row r="696">
          <cell r="CA696">
            <v>7519582</v>
          </cell>
          <cell r="CB696">
            <v>0</v>
          </cell>
        </row>
        <row r="697">
          <cell r="CA697">
            <v>10650984</v>
          </cell>
          <cell r="CB697">
            <v>0</v>
          </cell>
        </row>
        <row r="698">
          <cell r="CA698">
            <v>11061070</v>
          </cell>
          <cell r="CB698">
            <v>0</v>
          </cell>
        </row>
        <row r="699">
          <cell r="CA699">
            <v>24817474</v>
          </cell>
          <cell r="CB699">
            <v>4200000</v>
          </cell>
        </row>
        <row r="700">
          <cell r="CA700">
            <v>11847694</v>
          </cell>
          <cell r="CB700">
            <v>2100000</v>
          </cell>
        </row>
        <row r="701">
          <cell r="CA701">
            <v>8208565</v>
          </cell>
          <cell r="CB701">
            <v>1537743</v>
          </cell>
        </row>
        <row r="702">
          <cell r="CA702">
            <v>10674053</v>
          </cell>
          <cell r="CB702">
            <v>199108</v>
          </cell>
        </row>
        <row r="703">
          <cell r="CA703">
            <v>223521428</v>
          </cell>
          <cell r="CB703">
            <v>1470000</v>
          </cell>
        </row>
        <row r="704">
          <cell r="CA704">
            <v>8124078</v>
          </cell>
          <cell r="CB704">
            <v>105122</v>
          </cell>
        </row>
        <row r="705">
          <cell r="CA705">
            <v>51230541</v>
          </cell>
          <cell r="CB705">
            <v>10000000</v>
          </cell>
        </row>
        <row r="706">
          <cell r="CA706">
            <v>2168991609</v>
          </cell>
          <cell r="CB706">
            <v>511695360</v>
          </cell>
        </row>
        <row r="707">
          <cell r="CA707">
            <v>237839</v>
          </cell>
          <cell r="CB707">
            <v>0</v>
          </cell>
        </row>
        <row r="708">
          <cell r="CA708">
            <v>152583373</v>
          </cell>
          <cell r="CB708">
            <v>0</v>
          </cell>
        </row>
        <row r="709">
          <cell r="CA709">
            <v>1439960952</v>
          </cell>
          <cell r="CB709">
            <v>251100000</v>
          </cell>
        </row>
        <row r="710">
          <cell r="CA710">
            <v>738851372</v>
          </cell>
          <cell r="CB710">
            <v>0</v>
          </cell>
        </row>
        <row r="711">
          <cell r="CA711">
            <v>14748068</v>
          </cell>
          <cell r="CB711">
            <v>2711789</v>
          </cell>
        </row>
        <row r="712">
          <cell r="CA712">
            <v>5794615</v>
          </cell>
          <cell r="CB712">
            <v>999770</v>
          </cell>
        </row>
        <row r="713">
          <cell r="CA713">
            <v>3082089</v>
          </cell>
          <cell r="CB713">
            <v>2000000</v>
          </cell>
        </row>
        <row r="714">
          <cell r="CA714">
            <v>1529748</v>
          </cell>
          <cell r="CB714">
            <v>1026665</v>
          </cell>
        </row>
        <row r="715">
          <cell r="CA715">
            <v>35595</v>
          </cell>
          <cell r="CB715">
            <v>0</v>
          </cell>
        </row>
        <row r="716">
          <cell r="CA716">
            <v>107283123</v>
          </cell>
          <cell r="CB716">
            <v>25919838</v>
          </cell>
        </row>
        <row r="717">
          <cell r="CA717">
            <v>23557864</v>
          </cell>
          <cell r="CB717">
            <v>0</v>
          </cell>
        </row>
        <row r="718">
          <cell r="CA718">
            <v>95098062</v>
          </cell>
          <cell r="CB718">
            <v>15440000</v>
          </cell>
        </row>
        <row r="719">
          <cell r="CA719">
            <v>10695013</v>
          </cell>
          <cell r="CB719">
            <v>109000</v>
          </cell>
        </row>
        <row r="720">
          <cell r="CA720">
            <v>2600675</v>
          </cell>
          <cell r="CB720">
            <v>0</v>
          </cell>
        </row>
        <row r="721">
          <cell r="CA721">
            <v>71550333</v>
          </cell>
          <cell r="CB721">
            <v>1180000</v>
          </cell>
        </row>
        <row r="722">
          <cell r="CA722">
            <v>623405</v>
          </cell>
          <cell r="CB722">
            <v>194534</v>
          </cell>
        </row>
        <row r="723">
          <cell r="CA723">
            <v>57080000</v>
          </cell>
          <cell r="CB723">
            <v>12323411</v>
          </cell>
        </row>
        <row r="724">
          <cell r="CA724">
            <v>1992650</v>
          </cell>
          <cell r="CB724">
            <v>84580</v>
          </cell>
        </row>
        <row r="725">
          <cell r="CA725">
            <v>19360483</v>
          </cell>
          <cell r="CB725">
            <v>10000000</v>
          </cell>
        </row>
        <row r="726">
          <cell r="CA726">
            <v>1000</v>
          </cell>
          <cell r="CB726">
            <v>0</v>
          </cell>
        </row>
        <row r="727">
          <cell r="CA727">
            <v>53987498</v>
          </cell>
          <cell r="CB727">
            <v>4999208</v>
          </cell>
        </row>
        <row r="728">
          <cell r="CA728">
            <v>313200549</v>
          </cell>
          <cell r="CB728">
            <v>59996803</v>
          </cell>
        </row>
        <row r="729">
          <cell r="CA729">
            <v>86200116</v>
          </cell>
          <cell r="CB729">
            <v>24140398</v>
          </cell>
        </row>
        <row r="730">
          <cell r="CA730">
            <v>1746341</v>
          </cell>
          <cell r="CB730">
            <v>0</v>
          </cell>
        </row>
        <row r="731">
          <cell r="CA731">
            <v>898728</v>
          </cell>
          <cell r="CB731">
            <v>0</v>
          </cell>
        </row>
        <row r="732">
          <cell r="CA732">
            <v>549093</v>
          </cell>
          <cell r="CB732">
            <v>0</v>
          </cell>
        </row>
        <row r="733">
          <cell r="CA733">
            <v>1201689</v>
          </cell>
          <cell r="CB733">
            <v>339094</v>
          </cell>
        </row>
        <row r="734">
          <cell r="CA734">
            <v>102999467</v>
          </cell>
          <cell r="CB734">
            <v>700000</v>
          </cell>
        </row>
        <row r="735">
          <cell r="CA735">
            <v>710012</v>
          </cell>
          <cell r="CB735">
            <v>210000</v>
          </cell>
        </row>
        <row r="736">
          <cell r="CA736">
            <v>980048</v>
          </cell>
          <cell r="CB736">
            <v>271929</v>
          </cell>
        </row>
        <row r="737">
          <cell r="CA737">
            <v>83081135</v>
          </cell>
          <cell r="CB737">
            <v>574000</v>
          </cell>
        </row>
        <row r="738">
          <cell r="CA738">
            <v>23246330</v>
          </cell>
          <cell r="CB738">
            <v>11715420</v>
          </cell>
        </row>
        <row r="739">
          <cell r="CA739">
            <v>23246330</v>
          </cell>
          <cell r="CB739">
            <v>11715420</v>
          </cell>
        </row>
        <row r="740">
          <cell r="CA740">
            <v>197674</v>
          </cell>
          <cell r="CB740">
            <v>0</v>
          </cell>
        </row>
        <row r="741">
          <cell r="CA741">
            <v>12649001</v>
          </cell>
          <cell r="CB741">
            <v>1351977</v>
          </cell>
        </row>
        <row r="742">
          <cell r="CA742">
            <v>131650469</v>
          </cell>
          <cell r="CB742">
            <v>22802400</v>
          </cell>
        </row>
        <row r="743">
          <cell r="CA743">
            <v>204175</v>
          </cell>
          <cell r="CB743">
            <v>0</v>
          </cell>
        </row>
        <row r="744">
          <cell r="CA744">
            <v>4227394</v>
          </cell>
          <cell r="CB744">
            <v>0</v>
          </cell>
        </row>
        <row r="745">
          <cell r="CA745">
            <v>26535480</v>
          </cell>
          <cell r="CB745">
            <v>15090102</v>
          </cell>
        </row>
        <row r="746">
          <cell r="CA746">
            <v>2591843</v>
          </cell>
          <cell r="CB746">
            <v>0</v>
          </cell>
        </row>
        <row r="747">
          <cell r="CA747">
            <v>2956086</v>
          </cell>
          <cell r="CB747">
            <v>0</v>
          </cell>
        </row>
        <row r="748">
          <cell r="CA748">
            <v>2742914</v>
          </cell>
          <cell r="CB748">
            <v>0</v>
          </cell>
        </row>
        <row r="749">
          <cell r="CA749">
            <v>27176250</v>
          </cell>
          <cell r="CB749">
            <v>6469585</v>
          </cell>
        </row>
        <row r="750">
          <cell r="CA750">
            <v>5487083</v>
          </cell>
          <cell r="CB750">
            <v>0</v>
          </cell>
        </row>
        <row r="751">
          <cell r="CA751">
            <v>45095</v>
          </cell>
          <cell r="CB751">
            <v>0</v>
          </cell>
        </row>
        <row r="752">
          <cell r="CA752">
            <v>189402</v>
          </cell>
          <cell r="CB752">
            <v>0</v>
          </cell>
        </row>
        <row r="753">
          <cell r="CA753">
            <v>1865712</v>
          </cell>
          <cell r="CB753">
            <v>0</v>
          </cell>
        </row>
        <row r="754">
          <cell r="CA754">
            <v>7551761</v>
          </cell>
          <cell r="CB754">
            <v>1429834</v>
          </cell>
        </row>
        <row r="755">
          <cell r="CA755">
            <v>4202576</v>
          </cell>
          <cell r="CB755">
            <v>1740305</v>
          </cell>
        </row>
        <row r="756">
          <cell r="CA756">
            <v>3342857</v>
          </cell>
          <cell r="CB756">
            <v>372438</v>
          </cell>
        </row>
        <row r="757">
          <cell r="CA757">
            <v>4286172</v>
          </cell>
          <cell r="CB757">
            <v>900000</v>
          </cell>
        </row>
        <row r="758">
          <cell r="CA758">
            <v>195556456</v>
          </cell>
          <cell r="CB758">
            <v>54287151</v>
          </cell>
        </row>
        <row r="759">
          <cell r="CA759">
            <v>1726301</v>
          </cell>
          <cell r="CB759">
            <v>0</v>
          </cell>
        </row>
        <row r="760">
          <cell r="CA760">
            <v>3649207</v>
          </cell>
          <cell r="CB760">
            <v>0</v>
          </cell>
        </row>
        <row r="761">
          <cell r="CA761">
            <v>300190</v>
          </cell>
          <cell r="CB761">
            <v>0</v>
          </cell>
        </row>
        <row r="762">
          <cell r="CA762">
            <v>10022092</v>
          </cell>
          <cell r="CB762">
            <v>1929020</v>
          </cell>
        </row>
        <row r="763">
          <cell r="CA763">
            <v>70539442</v>
          </cell>
          <cell r="CB763">
            <v>11998210</v>
          </cell>
        </row>
        <row r="764">
          <cell r="CA764">
            <v>282439331</v>
          </cell>
          <cell r="CB764">
            <v>63241250</v>
          </cell>
        </row>
        <row r="765">
          <cell r="CA765">
            <v>29376627</v>
          </cell>
          <cell r="CB765">
            <v>1810085</v>
          </cell>
        </row>
        <row r="766">
          <cell r="CA766">
            <v>4624020</v>
          </cell>
          <cell r="CB766">
            <v>860000</v>
          </cell>
        </row>
        <row r="767">
          <cell r="CA767">
            <v>27202475</v>
          </cell>
          <cell r="CB767">
            <v>5200000</v>
          </cell>
        </row>
        <row r="768">
          <cell r="CA768">
            <v>13439541</v>
          </cell>
          <cell r="CB768">
            <v>2537500</v>
          </cell>
        </row>
        <row r="769">
          <cell r="CA769">
            <v>987830</v>
          </cell>
          <cell r="CB769">
            <v>534496</v>
          </cell>
        </row>
        <row r="770">
          <cell r="CA770">
            <v>28178641</v>
          </cell>
          <cell r="CB770">
            <v>501585</v>
          </cell>
        </row>
        <row r="771">
          <cell r="CA771">
            <v>278685</v>
          </cell>
          <cell r="CB771">
            <v>48125</v>
          </cell>
        </row>
        <row r="772">
          <cell r="CA772">
            <v>25884055</v>
          </cell>
          <cell r="CB772">
            <v>3000000</v>
          </cell>
        </row>
        <row r="773">
          <cell r="CA773">
            <v>66393685</v>
          </cell>
          <cell r="CB773">
            <v>7998200</v>
          </cell>
        </row>
        <row r="774">
          <cell r="CA774">
            <v>13434714</v>
          </cell>
          <cell r="CB774">
            <v>128156</v>
          </cell>
        </row>
        <row r="775">
          <cell r="CA775">
            <v>4715539</v>
          </cell>
          <cell r="CB775">
            <v>4283286</v>
          </cell>
        </row>
        <row r="776">
          <cell r="CA776">
            <v>8083341</v>
          </cell>
          <cell r="CB776">
            <v>89665</v>
          </cell>
        </row>
        <row r="777">
          <cell r="CA777">
            <v>18816881</v>
          </cell>
          <cell r="CB777">
            <v>3600000</v>
          </cell>
        </row>
        <row r="778">
          <cell r="CA778">
            <v>544774</v>
          </cell>
          <cell r="CB778">
            <v>0</v>
          </cell>
        </row>
        <row r="779">
          <cell r="CA779">
            <v>5615215</v>
          </cell>
          <cell r="CB779">
            <v>0</v>
          </cell>
        </row>
        <row r="780">
          <cell r="CA780">
            <v>8002547</v>
          </cell>
          <cell r="CB780">
            <v>2496027</v>
          </cell>
        </row>
        <row r="781">
          <cell r="CA781">
            <v>98293221</v>
          </cell>
          <cell r="CB781">
            <v>18918867</v>
          </cell>
        </row>
        <row r="782">
          <cell r="CA782">
            <v>215999286</v>
          </cell>
          <cell r="CB782">
            <v>121199000</v>
          </cell>
        </row>
        <row r="783">
          <cell r="CA783">
            <v>196682233</v>
          </cell>
          <cell r="CB783">
            <v>1999837</v>
          </cell>
        </row>
        <row r="784">
          <cell r="CA784">
            <v>180903205</v>
          </cell>
          <cell r="CB784">
            <v>66364940</v>
          </cell>
        </row>
        <row r="785">
          <cell r="CA785">
            <v>59654069</v>
          </cell>
          <cell r="CB785">
            <v>30654318</v>
          </cell>
        </row>
        <row r="786">
          <cell r="CA786">
            <v>6274886</v>
          </cell>
          <cell r="CB786">
            <v>200000000</v>
          </cell>
        </row>
        <row r="787">
          <cell r="CA787">
            <v>208538</v>
          </cell>
          <cell r="CB787">
            <v>0</v>
          </cell>
        </row>
        <row r="788">
          <cell r="CA788">
            <v>95009</v>
          </cell>
          <cell r="CB788">
            <v>3000000</v>
          </cell>
        </row>
        <row r="789">
          <cell r="CA789">
            <v>19210129</v>
          </cell>
          <cell r="CB789">
            <v>1015508</v>
          </cell>
        </row>
        <row r="790">
          <cell r="CA790">
            <v>70535135</v>
          </cell>
          <cell r="CB790">
            <v>20000000</v>
          </cell>
        </row>
        <row r="791">
          <cell r="CA791">
            <v>30257871</v>
          </cell>
          <cell r="CB791">
            <v>10416500</v>
          </cell>
        </row>
        <row r="792">
          <cell r="CA792">
            <v>740902</v>
          </cell>
          <cell r="CB792">
            <v>0</v>
          </cell>
        </row>
        <row r="793">
          <cell r="CA793">
            <v>4429566</v>
          </cell>
          <cell r="CB793">
            <v>0</v>
          </cell>
        </row>
        <row r="794">
          <cell r="CA794">
            <v>19455116</v>
          </cell>
          <cell r="CB794">
            <v>0</v>
          </cell>
        </row>
        <row r="795">
          <cell r="CA795">
            <v>65197158</v>
          </cell>
          <cell r="CB795">
            <v>24849792</v>
          </cell>
        </row>
        <row r="796">
          <cell r="CA796">
            <v>10279464</v>
          </cell>
          <cell r="CB796">
            <v>0</v>
          </cell>
        </row>
        <row r="797">
          <cell r="CA797">
            <v>13208137</v>
          </cell>
          <cell r="CB797">
            <v>0</v>
          </cell>
        </row>
        <row r="798">
          <cell r="CA798">
            <v>18931639</v>
          </cell>
          <cell r="CB798">
            <v>0</v>
          </cell>
        </row>
        <row r="799">
          <cell r="CA799">
            <v>20609937</v>
          </cell>
          <cell r="CB799">
            <v>199940</v>
          </cell>
        </row>
        <row r="800">
          <cell r="CA800">
            <v>90798421</v>
          </cell>
          <cell r="CB800">
            <v>900000</v>
          </cell>
        </row>
        <row r="801">
          <cell r="CA801">
            <v>52037707</v>
          </cell>
          <cell r="CB801">
            <v>9000000</v>
          </cell>
        </row>
        <row r="802">
          <cell r="CA802">
            <v>17930611</v>
          </cell>
          <cell r="CB802">
            <v>2296000</v>
          </cell>
        </row>
        <row r="803">
          <cell r="CA803">
            <v>40575964</v>
          </cell>
          <cell r="CB803">
            <v>0</v>
          </cell>
        </row>
        <row r="804">
          <cell r="CA804">
            <v>434832935</v>
          </cell>
          <cell r="CB804">
            <v>79344000</v>
          </cell>
        </row>
        <row r="805">
          <cell r="CA805">
            <v>860063021</v>
          </cell>
          <cell r="CB805">
            <v>150000000</v>
          </cell>
        </row>
        <row r="806">
          <cell r="CA806">
            <v>77028355</v>
          </cell>
          <cell r="CB806">
            <v>14000000</v>
          </cell>
        </row>
        <row r="807">
          <cell r="CA807">
            <v>32667980</v>
          </cell>
          <cell r="CB807">
            <v>5924019</v>
          </cell>
        </row>
        <row r="808">
          <cell r="CA808">
            <v>27619855</v>
          </cell>
          <cell r="CB808">
            <v>0</v>
          </cell>
        </row>
        <row r="809">
          <cell r="CA809">
            <v>494411</v>
          </cell>
          <cell r="CB809">
            <v>39600000</v>
          </cell>
        </row>
        <row r="810">
          <cell r="CA810">
            <v>1046063</v>
          </cell>
          <cell r="CB810">
            <v>19141</v>
          </cell>
        </row>
        <row r="811">
          <cell r="CA811">
            <v>174158463</v>
          </cell>
          <cell r="CB811">
            <v>31996127</v>
          </cell>
        </row>
        <row r="812">
          <cell r="CA812">
            <v>178448</v>
          </cell>
          <cell r="CB812">
            <v>0</v>
          </cell>
        </row>
        <row r="813">
          <cell r="CA813">
            <v>902190</v>
          </cell>
          <cell r="CB813">
            <v>0</v>
          </cell>
        </row>
        <row r="814">
          <cell r="CA814">
            <v>53417504</v>
          </cell>
          <cell r="CB814">
            <v>5518188</v>
          </cell>
        </row>
        <row r="815">
          <cell r="CA815">
            <v>5159162</v>
          </cell>
          <cell r="CB815">
            <v>4001667</v>
          </cell>
        </row>
        <row r="816">
          <cell r="CA816">
            <v>13958047</v>
          </cell>
          <cell r="CB816">
            <v>1398038</v>
          </cell>
        </row>
        <row r="817">
          <cell r="CA817">
            <v>519163</v>
          </cell>
          <cell r="CB817">
            <v>0</v>
          </cell>
        </row>
        <row r="818">
          <cell r="CA818">
            <v>19765120</v>
          </cell>
          <cell r="CB818">
            <v>4200000</v>
          </cell>
        </row>
        <row r="819">
          <cell r="CA819">
            <v>739956925</v>
          </cell>
          <cell r="CB819">
            <v>188001444</v>
          </cell>
        </row>
        <row r="820">
          <cell r="CA820">
            <v>3345129</v>
          </cell>
          <cell r="CB820">
            <v>0</v>
          </cell>
        </row>
        <row r="821">
          <cell r="CA821">
            <v>46239</v>
          </cell>
          <cell r="CB821">
            <v>0</v>
          </cell>
        </row>
        <row r="822">
          <cell r="CA822">
            <v>1663684</v>
          </cell>
          <cell r="CB822">
            <v>0</v>
          </cell>
        </row>
        <row r="823">
          <cell r="CA823">
            <v>7367857</v>
          </cell>
          <cell r="CB823">
            <v>1375681</v>
          </cell>
        </row>
        <row r="824">
          <cell r="CA824">
            <v>6414988</v>
          </cell>
          <cell r="CB824">
            <v>1198298</v>
          </cell>
        </row>
        <row r="825">
          <cell r="CA825">
            <v>6647352</v>
          </cell>
          <cell r="CB825">
            <v>5849415</v>
          </cell>
        </row>
        <row r="826">
          <cell r="CA826">
            <v>32873211</v>
          </cell>
          <cell r="CB826">
            <v>11835383</v>
          </cell>
        </row>
        <row r="827">
          <cell r="CA827">
            <v>1263911</v>
          </cell>
          <cell r="CB827">
            <v>0</v>
          </cell>
        </row>
        <row r="828">
          <cell r="CA828">
            <v>354450836</v>
          </cell>
          <cell r="CB828">
            <v>218082461</v>
          </cell>
        </row>
        <row r="829">
          <cell r="CA829">
            <v>9269841</v>
          </cell>
          <cell r="CB829">
            <v>0</v>
          </cell>
        </row>
        <row r="830">
          <cell r="CA830">
            <v>15882564</v>
          </cell>
          <cell r="CB830">
            <v>0</v>
          </cell>
        </row>
        <row r="831">
          <cell r="CA831">
            <v>20931504</v>
          </cell>
          <cell r="CB831">
            <v>200000</v>
          </cell>
        </row>
        <row r="832">
          <cell r="CA832">
            <v>14474653</v>
          </cell>
          <cell r="CB832">
            <v>140000</v>
          </cell>
        </row>
        <row r="833">
          <cell r="CA833">
            <v>37239304</v>
          </cell>
          <cell r="CB833">
            <v>449763</v>
          </cell>
        </row>
        <row r="834">
          <cell r="CA834">
            <v>2207356</v>
          </cell>
          <cell r="CB834">
            <v>630000</v>
          </cell>
        </row>
        <row r="835">
          <cell r="CA835">
            <v>2341807</v>
          </cell>
          <cell r="CB835">
            <v>1000000</v>
          </cell>
        </row>
        <row r="836">
          <cell r="CA836">
            <v>1803555</v>
          </cell>
          <cell r="CB836">
            <v>0</v>
          </cell>
        </row>
        <row r="837">
          <cell r="CA837">
            <v>41136168</v>
          </cell>
          <cell r="CB837">
            <v>3760000</v>
          </cell>
        </row>
        <row r="838">
          <cell r="CA838">
            <v>3302191</v>
          </cell>
          <cell r="CB838">
            <v>950000</v>
          </cell>
        </row>
        <row r="839">
          <cell r="CA839">
            <v>2919555</v>
          </cell>
          <cell r="CB839">
            <v>840000</v>
          </cell>
        </row>
        <row r="840">
          <cell r="CA840">
            <v>316504089</v>
          </cell>
          <cell r="CB840">
            <v>29999672</v>
          </cell>
        </row>
        <row r="841">
          <cell r="CA841">
            <v>1000</v>
          </cell>
          <cell r="CB841">
            <v>0</v>
          </cell>
        </row>
        <row r="842">
          <cell r="CA842">
            <v>7778313</v>
          </cell>
          <cell r="CB842">
            <v>0</v>
          </cell>
        </row>
        <row r="843">
          <cell r="CA843">
            <v>110440218</v>
          </cell>
          <cell r="CB843">
            <v>21977328</v>
          </cell>
        </row>
        <row r="844">
          <cell r="CA844">
            <v>3327869</v>
          </cell>
          <cell r="CB844">
            <v>0</v>
          </cell>
        </row>
        <row r="845">
          <cell r="CA845">
            <v>114000771</v>
          </cell>
          <cell r="CB845">
            <v>1140000</v>
          </cell>
        </row>
        <row r="846">
          <cell r="CA846">
            <v>21645830</v>
          </cell>
          <cell r="CB846">
            <v>200000</v>
          </cell>
        </row>
        <row r="847">
          <cell r="CA847">
            <v>5421941</v>
          </cell>
          <cell r="CB847">
            <v>199986</v>
          </cell>
        </row>
        <row r="848">
          <cell r="CA848">
            <v>218299326</v>
          </cell>
          <cell r="CB848">
            <v>51551902</v>
          </cell>
        </row>
        <row r="849">
          <cell r="CA849">
            <v>1000</v>
          </cell>
          <cell r="CB849">
            <v>0</v>
          </cell>
        </row>
        <row r="850">
          <cell r="CA850">
            <v>1000</v>
          </cell>
          <cell r="CB850">
            <v>0</v>
          </cell>
        </row>
        <row r="851">
          <cell r="CA851">
            <v>1217343</v>
          </cell>
          <cell r="CB851">
            <v>0</v>
          </cell>
        </row>
        <row r="852">
          <cell r="CA852">
            <v>21626</v>
          </cell>
          <cell r="CB852">
            <v>0</v>
          </cell>
        </row>
        <row r="853">
          <cell r="CA853">
            <v>166925603</v>
          </cell>
          <cell r="CB853">
            <v>55497600</v>
          </cell>
        </row>
        <row r="854">
          <cell r="CA854">
            <v>5032388</v>
          </cell>
          <cell r="CB854">
            <v>0</v>
          </cell>
        </row>
        <row r="855">
          <cell r="CA855">
            <v>2136863</v>
          </cell>
          <cell r="CB855">
            <v>0</v>
          </cell>
        </row>
        <row r="856">
          <cell r="CA856">
            <v>1885919</v>
          </cell>
          <cell r="CB856">
            <v>0</v>
          </cell>
        </row>
        <row r="857">
          <cell r="CA857">
            <v>5932256</v>
          </cell>
          <cell r="CB857">
            <v>0</v>
          </cell>
        </row>
        <row r="858">
          <cell r="CA858">
            <v>1353120</v>
          </cell>
          <cell r="CB858">
            <v>0</v>
          </cell>
        </row>
        <row r="859">
          <cell r="CA859">
            <v>146377083</v>
          </cell>
          <cell r="CB859">
            <v>12916643</v>
          </cell>
        </row>
        <row r="860">
          <cell r="CA860">
            <v>2930953</v>
          </cell>
          <cell r="CB860">
            <v>0</v>
          </cell>
        </row>
        <row r="861">
          <cell r="CA861">
            <v>6565989</v>
          </cell>
          <cell r="CB861">
            <v>0</v>
          </cell>
        </row>
        <row r="862">
          <cell r="CA862">
            <v>39142</v>
          </cell>
          <cell r="CB862">
            <v>0</v>
          </cell>
        </row>
        <row r="863">
          <cell r="CA863">
            <v>85757</v>
          </cell>
          <cell r="CB863">
            <v>0</v>
          </cell>
        </row>
        <row r="864">
          <cell r="CA864">
            <v>11120199</v>
          </cell>
          <cell r="CB864">
            <v>0</v>
          </cell>
        </row>
        <row r="865">
          <cell r="CA865">
            <v>47483314</v>
          </cell>
          <cell r="CB865">
            <v>21615368</v>
          </cell>
        </row>
        <row r="866">
          <cell r="CA866">
            <v>3302579</v>
          </cell>
          <cell r="CB866">
            <v>0</v>
          </cell>
        </row>
        <row r="867">
          <cell r="CA867">
            <v>6231406</v>
          </cell>
          <cell r="CB867">
            <v>0</v>
          </cell>
        </row>
        <row r="868">
          <cell r="CA868">
            <v>29623056</v>
          </cell>
          <cell r="CB868">
            <v>4399520</v>
          </cell>
        </row>
        <row r="869">
          <cell r="CA869">
            <v>1371844</v>
          </cell>
          <cell r="CB869">
            <v>0</v>
          </cell>
        </row>
        <row r="870">
          <cell r="CA870">
            <v>228231</v>
          </cell>
          <cell r="CB870">
            <v>0</v>
          </cell>
        </row>
        <row r="871">
          <cell r="CA871">
            <v>177751006</v>
          </cell>
          <cell r="CB871">
            <v>45995437</v>
          </cell>
        </row>
        <row r="872">
          <cell r="CA872">
            <v>473199</v>
          </cell>
          <cell r="CB872">
            <v>0</v>
          </cell>
        </row>
        <row r="873">
          <cell r="CA873">
            <v>251539</v>
          </cell>
          <cell r="CB873">
            <v>4407</v>
          </cell>
        </row>
        <row r="874">
          <cell r="CA874">
            <v>1220951</v>
          </cell>
          <cell r="CB874">
            <v>0</v>
          </cell>
        </row>
        <row r="875">
          <cell r="CA875">
            <v>216260</v>
          </cell>
          <cell r="CB875">
            <v>0</v>
          </cell>
        </row>
        <row r="876">
          <cell r="CA876">
            <v>555320</v>
          </cell>
          <cell r="CB876">
            <v>0</v>
          </cell>
        </row>
        <row r="877">
          <cell r="CA877">
            <v>143107463</v>
          </cell>
          <cell r="CB877">
            <v>41515806</v>
          </cell>
        </row>
        <row r="878">
          <cell r="CA878">
            <v>15015805</v>
          </cell>
          <cell r="CB878">
            <v>14850000</v>
          </cell>
        </row>
        <row r="879">
          <cell r="CA879">
            <v>1000</v>
          </cell>
          <cell r="CB879">
            <v>0</v>
          </cell>
        </row>
        <row r="880">
          <cell r="CA880">
            <v>52872232</v>
          </cell>
          <cell r="CB880">
            <v>4999163</v>
          </cell>
        </row>
        <row r="881">
          <cell r="CA881">
            <v>11146946</v>
          </cell>
          <cell r="CB881">
            <v>1168411</v>
          </cell>
        </row>
        <row r="882">
          <cell r="CA882">
            <v>274625825</v>
          </cell>
          <cell r="CB882">
            <v>59893913</v>
          </cell>
        </row>
        <row r="883">
          <cell r="CA883">
            <v>29560984</v>
          </cell>
          <cell r="CB883">
            <v>279770</v>
          </cell>
        </row>
        <row r="884">
          <cell r="CA884">
            <v>33768196</v>
          </cell>
          <cell r="CB884">
            <v>319781</v>
          </cell>
        </row>
        <row r="885">
          <cell r="CA885">
            <v>2576104</v>
          </cell>
          <cell r="CB885">
            <v>299997</v>
          </cell>
        </row>
        <row r="886">
          <cell r="CA886">
            <v>175399165</v>
          </cell>
          <cell r="CB886">
            <v>2999853</v>
          </cell>
        </row>
        <row r="887">
          <cell r="CA887">
            <v>60014281</v>
          </cell>
          <cell r="CB887">
            <v>12567715</v>
          </cell>
        </row>
        <row r="888">
          <cell r="CA888">
            <v>11834691</v>
          </cell>
          <cell r="CB888">
            <v>17325000</v>
          </cell>
        </row>
        <row r="889">
          <cell r="CA889">
            <v>14854292</v>
          </cell>
          <cell r="CB889">
            <v>297362</v>
          </cell>
        </row>
        <row r="890">
          <cell r="CA890">
            <v>23337893</v>
          </cell>
          <cell r="CB890">
            <v>439000</v>
          </cell>
        </row>
        <row r="891">
          <cell r="CA891">
            <v>23337893</v>
          </cell>
          <cell r="CB891">
            <v>439000</v>
          </cell>
        </row>
        <row r="892">
          <cell r="CA892">
            <v>149728</v>
          </cell>
          <cell r="CB892">
            <v>0</v>
          </cell>
        </row>
        <row r="893">
          <cell r="CA893">
            <v>467560</v>
          </cell>
          <cell r="CB893">
            <v>0</v>
          </cell>
        </row>
        <row r="894">
          <cell r="CA894">
            <v>265024</v>
          </cell>
          <cell r="CB894">
            <v>0</v>
          </cell>
        </row>
        <row r="895">
          <cell r="CA895">
            <v>169920108</v>
          </cell>
          <cell r="CB895">
            <v>131000000</v>
          </cell>
        </row>
        <row r="896">
          <cell r="CA896">
            <v>69705119</v>
          </cell>
          <cell r="CB896">
            <v>65584000</v>
          </cell>
        </row>
        <row r="897">
          <cell r="CA897">
            <v>175996</v>
          </cell>
          <cell r="CB897">
            <v>9518139</v>
          </cell>
        </row>
        <row r="898">
          <cell r="CA898">
            <v>106905254</v>
          </cell>
          <cell r="CB898">
            <v>20000000</v>
          </cell>
        </row>
        <row r="899">
          <cell r="CA899">
            <v>4040430</v>
          </cell>
          <cell r="CB899">
            <v>82195250</v>
          </cell>
        </row>
        <row r="900">
          <cell r="CA900">
            <v>40730250</v>
          </cell>
          <cell r="CB900">
            <v>37143516</v>
          </cell>
        </row>
        <row r="901">
          <cell r="CA901">
            <v>350884048</v>
          </cell>
          <cell r="CB901">
            <v>60493614</v>
          </cell>
        </row>
        <row r="902">
          <cell r="CA902">
            <v>43033159</v>
          </cell>
          <cell r="CB902">
            <v>0</v>
          </cell>
        </row>
        <row r="903">
          <cell r="CA903">
            <v>5516013</v>
          </cell>
          <cell r="CB903">
            <v>0</v>
          </cell>
        </row>
        <row r="904">
          <cell r="CA904">
            <v>49583383</v>
          </cell>
          <cell r="CB904">
            <v>0</v>
          </cell>
        </row>
        <row r="905">
          <cell r="CA905">
            <v>41857024</v>
          </cell>
          <cell r="CB905">
            <v>7998422</v>
          </cell>
        </row>
        <row r="906">
          <cell r="CA906">
            <v>8178154</v>
          </cell>
          <cell r="CB906">
            <v>0</v>
          </cell>
        </row>
        <row r="907">
          <cell r="CA907">
            <v>910917</v>
          </cell>
          <cell r="CB907">
            <v>8658299</v>
          </cell>
        </row>
        <row r="908">
          <cell r="CA908">
            <v>4667945</v>
          </cell>
          <cell r="CB908">
            <v>39584020</v>
          </cell>
        </row>
        <row r="909">
          <cell r="CA909">
            <v>343513</v>
          </cell>
          <cell r="CB909">
            <v>1641830</v>
          </cell>
        </row>
        <row r="910">
          <cell r="CA910">
            <v>129501939</v>
          </cell>
          <cell r="CB910">
            <v>12246000</v>
          </cell>
        </row>
        <row r="911">
          <cell r="CA911">
            <v>6925234</v>
          </cell>
          <cell r="CB911">
            <v>0</v>
          </cell>
        </row>
        <row r="912">
          <cell r="CA912">
            <v>5628112</v>
          </cell>
          <cell r="CB912">
            <v>0</v>
          </cell>
        </row>
        <row r="913">
          <cell r="CA913">
            <v>16195843</v>
          </cell>
          <cell r="CB913">
            <v>149859</v>
          </cell>
        </row>
        <row r="914">
          <cell r="CA914">
            <v>5310840</v>
          </cell>
          <cell r="CB914">
            <v>49837</v>
          </cell>
        </row>
        <row r="915">
          <cell r="CA915">
            <v>15959010</v>
          </cell>
          <cell r="CB915">
            <v>150000</v>
          </cell>
        </row>
        <row r="916">
          <cell r="CA916">
            <v>539213</v>
          </cell>
          <cell r="CB916">
            <v>0</v>
          </cell>
        </row>
        <row r="917">
          <cell r="CA917">
            <v>12540470</v>
          </cell>
          <cell r="CB917">
            <v>2194053</v>
          </cell>
        </row>
        <row r="918">
          <cell r="CA918">
            <v>332631672</v>
          </cell>
          <cell r="CB918">
            <v>138489620</v>
          </cell>
        </row>
        <row r="919">
          <cell r="CA919">
            <v>678981</v>
          </cell>
          <cell r="CB919">
            <v>21151168</v>
          </cell>
        </row>
        <row r="920">
          <cell r="CA920">
            <v>148978429</v>
          </cell>
          <cell r="CB920">
            <v>13499576</v>
          </cell>
        </row>
        <row r="921">
          <cell r="CA921">
            <v>3202325</v>
          </cell>
          <cell r="CB921">
            <v>0</v>
          </cell>
        </row>
        <row r="922">
          <cell r="CA922">
            <v>1423277</v>
          </cell>
          <cell r="CB922">
            <v>0</v>
          </cell>
        </row>
        <row r="923">
          <cell r="CA923">
            <v>92025975</v>
          </cell>
          <cell r="CB923">
            <v>8900000</v>
          </cell>
        </row>
        <row r="924">
          <cell r="CA924">
            <v>9174936</v>
          </cell>
          <cell r="CB924">
            <v>142633</v>
          </cell>
        </row>
        <row r="925">
          <cell r="CA925">
            <v>30888607</v>
          </cell>
          <cell r="CB925">
            <v>2100000</v>
          </cell>
        </row>
        <row r="926">
          <cell r="CA926">
            <v>857522584</v>
          </cell>
          <cell r="CB926">
            <v>291573837</v>
          </cell>
        </row>
        <row r="927">
          <cell r="CA927">
            <v>54523</v>
          </cell>
          <cell r="CB927">
            <v>1566866</v>
          </cell>
        </row>
        <row r="928">
          <cell r="CA928">
            <v>1663264</v>
          </cell>
          <cell r="CB928">
            <v>0</v>
          </cell>
        </row>
        <row r="929">
          <cell r="CA929">
            <v>299781</v>
          </cell>
          <cell r="CB929">
            <v>0</v>
          </cell>
        </row>
        <row r="930">
          <cell r="CA930">
            <v>214223</v>
          </cell>
          <cell r="CB930">
            <v>0</v>
          </cell>
        </row>
        <row r="931">
          <cell r="CA931">
            <v>46827701</v>
          </cell>
          <cell r="CB931">
            <v>494000</v>
          </cell>
        </row>
        <row r="932">
          <cell r="CA932">
            <v>140402250</v>
          </cell>
          <cell r="CB932">
            <v>25799325</v>
          </cell>
        </row>
        <row r="933">
          <cell r="CA933">
            <v>1456059</v>
          </cell>
          <cell r="CB933">
            <v>49902</v>
          </cell>
        </row>
        <row r="934">
          <cell r="CA934">
            <v>7609427</v>
          </cell>
          <cell r="CB934">
            <v>6930000</v>
          </cell>
        </row>
        <row r="935">
          <cell r="CA935">
            <v>49270981</v>
          </cell>
          <cell r="CB935">
            <v>6519320</v>
          </cell>
        </row>
        <row r="936">
          <cell r="CA936">
            <v>55301584</v>
          </cell>
          <cell r="CB936">
            <v>5000000</v>
          </cell>
        </row>
        <row r="937">
          <cell r="CA937">
            <v>7300203</v>
          </cell>
          <cell r="CB937">
            <v>0</v>
          </cell>
        </row>
        <row r="938">
          <cell r="CA938">
            <v>17891682</v>
          </cell>
          <cell r="CB938">
            <v>3766782</v>
          </cell>
        </row>
        <row r="939">
          <cell r="CA939">
            <v>57452</v>
          </cell>
          <cell r="CB939">
            <v>162569</v>
          </cell>
        </row>
        <row r="940">
          <cell r="CA940">
            <v>11698238</v>
          </cell>
          <cell r="CB940">
            <v>1529412</v>
          </cell>
        </row>
        <row r="941">
          <cell r="CA941">
            <v>791104</v>
          </cell>
          <cell r="CB941">
            <v>0</v>
          </cell>
        </row>
        <row r="942">
          <cell r="CA942">
            <v>82865375</v>
          </cell>
          <cell r="CB942">
            <v>14994820</v>
          </cell>
        </row>
        <row r="943">
          <cell r="CA943">
            <v>9787451</v>
          </cell>
          <cell r="CB943">
            <v>3735801</v>
          </cell>
        </row>
        <row r="944">
          <cell r="CA944">
            <v>8711540</v>
          </cell>
          <cell r="CB944">
            <v>100000</v>
          </cell>
        </row>
        <row r="945">
          <cell r="CA945">
            <v>3793272</v>
          </cell>
          <cell r="CB945">
            <v>612120</v>
          </cell>
        </row>
        <row r="946">
          <cell r="CA946">
            <v>33895385</v>
          </cell>
          <cell r="CB946">
            <v>7563315</v>
          </cell>
        </row>
        <row r="947">
          <cell r="CA947">
            <v>2631351</v>
          </cell>
          <cell r="CB947">
            <v>0</v>
          </cell>
        </row>
        <row r="948">
          <cell r="CA948">
            <v>21825</v>
          </cell>
          <cell r="CB948">
            <v>0</v>
          </cell>
        </row>
        <row r="949">
          <cell r="CA949">
            <v>159295</v>
          </cell>
          <cell r="CB949">
            <v>0</v>
          </cell>
        </row>
        <row r="950">
          <cell r="CA950">
            <v>467733</v>
          </cell>
          <cell r="CB950">
            <v>0</v>
          </cell>
        </row>
        <row r="951">
          <cell r="CA951">
            <v>150065011</v>
          </cell>
          <cell r="CB951">
            <v>41496350</v>
          </cell>
        </row>
        <row r="952">
          <cell r="CA952">
            <v>19745100</v>
          </cell>
          <cell r="CB952">
            <v>3400000</v>
          </cell>
        </row>
        <row r="953">
          <cell r="CA953">
            <v>607688</v>
          </cell>
          <cell r="CB953">
            <v>0</v>
          </cell>
        </row>
        <row r="954">
          <cell r="CA954">
            <v>1392882</v>
          </cell>
          <cell r="CB954">
            <v>0</v>
          </cell>
        </row>
        <row r="955">
          <cell r="CA955">
            <v>5497932</v>
          </cell>
          <cell r="CB955">
            <v>0</v>
          </cell>
        </row>
        <row r="956">
          <cell r="CA956">
            <v>31685004</v>
          </cell>
          <cell r="CB956">
            <v>7993800</v>
          </cell>
        </row>
        <row r="957">
          <cell r="CA957">
            <v>1229720</v>
          </cell>
          <cell r="CB957">
            <v>0</v>
          </cell>
        </row>
        <row r="958">
          <cell r="CA958">
            <v>149981</v>
          </cell>
          <cell r="CB958">
            <v>0</v>
          </cell>
        </row>
        <row r="959">
          <cell r="CA959">
            <v>2246523</v>
          </cell>
          <cell r="CB959">
            <v>0</v>
          </cell>
        </row>
        <row r="960">
          <cell r="CA960">
            <v>14948872</v>
          </cell>
          <cell r="CB960">
            <v>2216807</v>
          </cell>
        </row>
        <row r="961">
          <cell r="CA961">
            <v>9817574</v>
          </cell>
          <cell r="CB961">
            <v>0</v>
          </cell>
        </row>
        <row r="962">
          <cell r="CA962">
            <v>13360315</v>
          </cell>
          <cell r="CB962">
            <v>4171335</v>
          </cell>
        </row>
        <row r="963">
          <cell r="CA963">
            <v>7546752</v>
          </cell>
          <cell r="CB963">
            <v>0</v>
          </cell>
        </row>
        <row r="964">
          <cell r="CA964">
            <v>1164090</v>
          </cell>
          <cell r="CB964">
            <v>0</v>
          </cell>
        </row>
        <row r="965">
          <cell r="CA965">
            <v>49325952</v>
          </cell>
          <cell r="CB965">
            <v>12261438</v>
          </cell>
        </row>
        <row r="966">
          <cell r="CA966">
            <v>10863650</v>
          </cell>
          <cell r="CB966">
            <v>3799103</v>
          </cell>
        </row>
        <row r="967">
          <cell r="CA967">
            <v>45608729</v>
          </cell>
          <cell r="CB967">
            <v>9065405</v>
          </cell>
        </row>
        <row r="968">
          <cell r="CA968">
            <v>1919633</v>
          </cell>
          <cell r="CB968">
            <v>4937224</v>
          </cell>
        </row>
        <row r="969">
          <cell r="CA969">
            <v>33903563</v>
          </cell>
          <cell r="CB969">
            <v>1948916</v>
          </cell>
        </row>
        <row r="970">
          <cell r="CA970">
            <v>4656149</v>
          </cell>
          <cell r="CB970">
            <v>0</v>
          </cell>
        </row>
        <row r="971">
          <cell r="CA971">
            <v>13845841</v>
          </cell>
          <cell r="CB971">
            <v>2311154</v>
          </cell>
        </row>
        <row r="972">
          <cell r="CA972">
            <v>6199203</v>
          </cell>
          <cell r="CB972">
            <v>118965</v>
          </cell>
        </row>
        <row r="973">
          <cell r="CA973">
            <v>2002240</v>
          </cell>
          <cell r="CB973">
            <v>40986</v>
          </cell>
        </row>
        <row r="974">
          <cell r="CA974">
            <v>22471087</v>
          </cell>
          <cell r="CB974">
            <v>4000000</v>
          </cell>
        </row>
        <row r="975">
          <cell r="CA975">
            <v>1349946</v>
          </cell>
          <cell r="CB975">
            <v>166667</v>
          </cell>
        </row>
        <row r="976">
          <cell r="CA976">
            <v>1628117</v>
          </cell>
          <cell r="CB976">
            <v>0</v>
          </cell>
        </row>
        <row r="977">
          <cell r="CA977">
            <v>6220132</v>
          </cell>
          <cell r="CB977">
            <v>0</v>
          </cell>
        </row>
        <row r="978">
          <cell r="CA978">
            <v>3262938</v>
          </cell>
          <cell r="CB978">
            <v>0</v>
          </cell>
        </row>
        <row r="979">
          <cell r="CA979">
            <v>11253785</v>
          </cell>
          <cell r="CB979">
            <v>0</v>
          </cell>
        </row>
        <row r="980">
          <cell r="CA980">
            <v>2436051</v>
          </cell>
          <cell r="CB980">
            <v>0</v>
          </cell>
        </row>
        <row r="981">
          <cell r="CA981">
            <v>20384538</v>
          </cell>
          <cell r="CB981">
            <v>189952</v>
          </cell>
        </row>
        <row r="982">
          <cell r="CA982">
            <v>41282034</v>
          </cell>
          <cell r="CB982">
            <v>7400000</v>
          </cell>
        </row>
        <row r="983">
          <cell r="CA983">
            <v>278959669</v>
          </cell>
          <cell r="CB983">
            <v>50000000</v>
          </cell>
        </row>
        <row r="984">
          <cell r="CA984">
            <v>1566104</v>
          </cell>
          <cell r="CB984">
            <v>0</v>
          </cell>
        </row>
        <row r="985">
          <cell r="CA985">
            <v>731957</v>
          </cell>
          <cell r="CB985">
            <v>0</v>
          </cell>
        </row>
        <row r="986">
          <cell r="CA986">
            <v>1981891</v>
          </cell>
          <cell r="CB986">
            <v>0</v>
          </cell>
        </row>
        <row r="987">
          <cell r="CA987">
            <v>1000</v>
          </cell>
          <cell r="CB987">
            <v>161220</v>
          </cell>
        </row>
        <row r="988">
          <cell r="CA988">
            <v>100273415</v>
          </cell>
          <cell r="CB988">
            <v>9998489</v>
          </cell>
        </row>
        <row r="989">
          <cell r="CA989">
            <v>9570227</v>
          </cell>
          <cell r="CB989">
            <v>869016</v>
          </cell>
        </row>
        <row r="990">
          <cell r="CA990">
            <v>15106862</v>
          </cell>
          <cell r="CB990">
            <v>0</v>
          </cell>
        </row>
        <row r="991">
          <cell r="CA991">
            <v>26307587</v>
          </cell>
          <cell r="CB991">
            <v>2255528</v>
          </cell>
        </row>
        <row r="992">
          <cell r="CA992">
            <v>10968390</v>
          </cell>
          <cell r="CB992">
            <v>0</v>
          </cell>
        </row>
        <row r="993">
          <cell r="CA993">
            <v>1000</v>
          </cell>
          <cell r="CB993">
            <v>0</v>
          </cell>
        </row>
        <row r="994">
          <cell r="CA994">
            <v>6333847</v>
          </cell>
          <cell r="CB994">
            <v>0</v>
          </cell>
        </row>
        <row r="995">
          <cell r="CA995">
            <v>658547</v>
          </cell>
          <cell r="CB995">
            <v>199360</v>
          </cell>
        </row>
        <row r="996">
          <cell r="CA996">
            <v>38072871</v>
          </cell>
          <cell r="CB996">
            <v>570000</v>
          </cell>
        </row>
        <row r="997">
          <cell r="CA997">
            <v>1000</v>
          </cell>
          <cell r="CB997">
            <v>12350000</v>
          </cell>
        </row>
        <row r="998">
          <cell r="CA998">
            <v>327812394</v>
          </cell>
          <cell r="CB998">
            <v>78724347</v>
          </cell>
        </row>
        <row r="999">
          <cell r="CA999">
            <v>9965279</v>
          </cell>
          <cell r="CB999">
            <v>100000</v>
          </cell>
        </row>
        <row r="1000">
          <cell r="CA1000">
            <v>80014620</v>
          </cell>
          <cell r="CB1000">
            <v>17210776</v>
          </cell>
        </row>
        <row r="1001">
          <cell r="CA1001">
            <v>5337981</v>
          </cell>
          <cell r="CB1001">
            <v>0</v>
          </cell>
        </row>
        <row r="1002">
          <cell r="CA1002">
            <v>9373525</v>
          </cell>
          <cell r="CB1002">
            <v>0</v>
          </cell>
        </row>
        <row r="1003">
          <cell r="CA1003">
            <v>354061</v>
          </cell>
          <cell r="CB1003">
            <v>0</v>
          </cell>
        </row>
        <row r="1004">
          <cell r="CA1004">
            <v>2514593</v>
          </cell>
          <cell r="CB1004">
            <v>0</v>
          </cell>
        </row>
        <row r="1005">
          <cell r="CA1005">
            <v>86855375</v>
          </cell>
          <cell r="CB1005">
            <v>23313040</v>
          </cell>
        </row>
        <row r="1006">
          <cell r="CA1006">
            <v>11018037</v>
          </cell>
          <cell r="CB1006">
            <v>2562573</v>
          </cell>
        </row>
        <row r="1007">
          <cell r="CA1007">
            <v>3287149</v>
          </cell>
          <cell r="CB1007">
            <v>0</v>
          </cell>
        </row>
        <row r="1008">
          <cell r="CA1008">
            <v>378979</v>
          </cell>
          <cell r="CB1008">
            <v>0</v>
          </cell>
        </row>
        <row r="1009">
          <cell r="CA1009">
            <v>3303088</v>
          </cell>
          <cell r="CB1009">
            <v>0</v>
          </cell>
        </row>
        <row r="1010">
          <cell r="CA1010">
            <v>5283514</v>
          </cell>
          <cell r="CB1010">
            <v>738246</v>
          </cell>
        </row>
        <row r="1011">
          <cell r="CA1011">
            <v>20386677</v>
          </cell>
          <cell r="CB1011">
            <v>1872948</v>
          </cell>
        </row>
        <row r="1012">
          <cell r="CA1012">
            <v>428045271</v>
          </cell>
          <cell r="CB1012">
            <v>145918837</v>
          </cell>
        </row>
        <row r="1013">
          <cell r="CA1013">
            <v>27467381</v>
          </cell>
          <cell r="CB1013">
            <v>20826208</v>
          </cell>
        </row>
        <row r="1014">
          <cell r="CA1014">
            <v>12068844</v>
          </cell>
          <cell r="CB1014">
            <v>1362591</v>
          </cell>
        </row>
        <row r="1015">
          <cell r="CA1015">
            <v>42307318</v>
          </cell>
          <cell r="CB1015">
            <v>22606800</v>
          </cell>
        </row>
        <row r="1016">
          <cell r="CA1016">
            <v>1000</v>
          </cell>
          <cell r="CB1016">
            <v>0</v>
          </cell>
        </row>
        <row r="1017">
          <cell r="CA1017">
            <v>1000</v>
          </cell>
          <cell r="CB1017">
            <v>0</v>
          </cell>
        </row>
        <row r="1018">
          <cell r="CA1018">
            <v>36946385</v>
          </cell>
          <cell r="CB1018">
            <v>350000</v>
          </cell>
        </row>
        <row r="1019">
          <cell r="CA1019">
            <v>157344747</v>
          </cell>
          <cell r="CB1019">
            <v>92722800</v>
          </cell>
        </row>
        <row r="1020">
          <cell r="CA1020">
            <v>10891593</v>
          </cell>
          <cell r="CB1020">
            <v>1897024</v>
          </cell>
        </row>
        <row r="1021">
          <cell r="CA1021">
            <v>22806923</v>
          </cell>
          <cell r="CB1021">
            <v>3995969</v>
          </cell>
        </row>
        <row r="1022">
          <cell r="CA1022">
            <v>59054729</v>
          </cell>
          <cell r="CB1022">
            <v>14195768</v>
          </cell>
        </row>
        <row r="1023">
          <cell r="CA1023">
            <v>12761531</v>
          </cell>
          <cell r="CB1023">
            <v>0</v>
          </cell>
        </row>
        <row r="1024">
          <cell r="CA1024">
            <v>5545696</v>
          </cell>
          <cell r="CB1024">
            <v>0</v>
          </cell>
        </row>
        <row r="1025">
          <cell r="CA1025">
            <v>303212021</v>
          </cell>
          <cell r="CB1025">
            <v>3099985</v>
          </cell>
        </row>
        <row r="1026">
          <cell r="CA1026">
            <v>61104241</v>
          </cell>
          <cell r="CB1026">
            <v>587962</v>
          </cell>
        </row>
        <row r="1027">
          <cell r="CA1027">
            <v>9196739</v>
          </cell>
          <cell r="CB1027">
            <v>499955</v>
          </cell>
        </row>
        <row r="1028">
          <cell r="CA1028">
            <v>42165332</v>
          </cell>
          <cell r="CB1028">
            <v>390000</v>
          </cell>
        </row>
        <row r="1029">
          <cell r="CA1029">
            <v>15094633</v>
          </cell>
          <cell r="CB1029">
            <v>299791</v>
          </cell>
        </row>
        <row r="1030">
          <cell r="CA1030">
            <v>529401</v>
          </cell>
          <cell r="CB1030">
            <v>92447</v>
          </cell>
        </row>
        <row r="1031">
          <cell r="CA1031">
            <v>405506030</v>
          </cell>
          <cell r="CB1031">
            <v>3850000</v>
          </cell>
        </row>
        <row r="1032">
          <cell r="CA1032">
            <v>45239</v>
          </cell>
          <cell r="CB1032">
            <v>44914</v>
          </cell>
        </row>
        <row r="1033">
          <cell r="CA1033">
            <v>51866355</v>
          </cell>
          <cell r="CB1033">
            <v>15517971</v>
          </cell>
        </row>
        <row r="1034">
          <cell r="CA1034">
            <v>1000</v>
          </cell>
          <cell r="CB1034">
            <v>0</v>
          </cell>
        </row>
        <row r="1035">
          <cell r="CA1035">
            <v>1000</v>
          </cell>
          <cell r="CB1035">
            <v>0</v>
          </cell>
        </row>
        <row r="1036">
          <cell r="CA1036">
            <v>275149062</v>
          </cell>
          <cell r="CB1036">
            <v>25770000</v>
          </cell>
        </row>
        <row r="1037">
          <cell r="CA1037">
            <v>100984487</v>
          </cell>
          <cell r="CB1037">
            <v>17996604</v>
          </cell>
        </row>
        <row r="1038">
          <cell r="CA1038">
            <v>17367161</v>
          </cell>
          <cell r="CB1038">
            <v>5006989</v>
          </cell>
        </row>
        <row r="1039">
          <cell r="CA1039">
            <v>2313303</v>
          </cell>
          <cell r="CB1039">
            <v>0</v>
          </cell>
        </row>
        <row r="1040">
          <cell r="CA1040">
            <v>1147044391</v>
          </cell>
          <cell r="CB1040">
            <v>10498566</v>
          </cell>
        </row>
        <row r="1041">
          <cell r="CA1041">
            <v>9876</v>
          </cell>
          <cell r="CB1041">
            <v>26250</v>
          </cell>
        </row>
        <row r="1042">
          <cell r="CA1042">
            <v>266499638</v>
          </cell>
          <cell r="CB1042">
            <v>74734077</v>
          </cell>
        </row>
        <row r="1043">
          <cell r="CA1043">
            <v>2619515</v>
          </cell>
          <cell r="CB1043">
            <v>0</v>
          </cell>
        </row>
        <row r="1044">
          <cell r="CA1044">
            <v>1415542</v>
          </cell>
          <cell r="CB1044">
            <v>0</v>
          </cell>
        </row>
        <row r="1045">
          <cell r="CA1045">
            <v>20480254</v>
          </cell>
          <cell r="CB1045">
            <v>3000000</v>
          </cell>
        </row>
        <row r="1046">
          <cell r="CA1046">
            <v>13270386</v>
          </cell>
          <cell r="CB1046">
            <v>2052323</v>
          </cell>
        </row>
        <row r="1047">
          <cell r="CA1047">
            <v>106114120</v>
          </cell>
          <cell r="CB1047">
            <v>23468618</v>
          </cell>
        </row>
        <row r="1048">
          <cell r="CA1048">
            <v>1561452</v>
          </cell>
          <cell r="CB1048">
            <v>0</v>
          </cell>
        </row>
        <row r="1049">
          <cell r="CA1049">
            <v>2242372</v>
          </cell>
          <cell r="CB1049">
            <v>0</v>
          </cell>
        </row>
        <row r="1050">
          <cell r="CA1050">
            <v>3617531</v>
          </cell>
          <cell r="CB1050">
            <v>0</v>
          </cell>
        </row>
        <row r="1051">
          <cell r="CA1051">
            <v>1997643</v>
          </cell>
          <cell r="CB1051">
            <v>0</v>
          </cell>
        </row>
        <row r="1052">
          <cell r="CA1052">
            <v>31747844</v>
          </cell>
          <cell r="CB1052">
            <v>6721519</v>
          </cell>
        </row>
        <row r="1053">
          <cell r="CA1053">
            <v>173006</v>
          </cell>
          <cell r="CB1053">
            <v>0</v>
          </cell>
        </row>
        <row r="1054">
          <cell r="CA1054">
            <v>1069806</v>
          </cell>
          <cell r="CB1054">
            <v>0</v>
          </cell>
        </row>
        <row r="1055">
          <cell r="CA1055">
            <v>5761592</v>
          </cell>
          <cell r="CB1055">
            <v>196187</v>
          </cell>
        </row>
        <row r="1056">
          <cell r="CA1056">
            <v>108184700</v>
          </cell>
          <cell r="CB1056">
            <v>21000000</v>
          </cell>
        </row>
        <row r="1057">
          <cell r="CA1057">
            <v>5061958</v>
          </cell>
          <cell r="CB1057">
            <v>315149</v>
          </cell>
        </row>
        <row r="1058">
          <cell r="CA1058">
            <v>3474567</v>
          </cell>
          <cell r="CB1058">
            <v>137933</v>
          </cell>
        </row>
        <row r="1059">
          <cell r="CA1059">
            <v>13782511</v>
          </cell>
          <cell r="CB1059">
            <v>3374030</v>
          </cell>
        </row>
        <row r="1060">
          <cell r="CA1060">
            <v>426939</v>
          </cell>
          <cell r="CB1060">
            <v>0</v>
          </cell>
        </row>
        <row r="1061">
          <cell r="CA1061">
            <v>5559260</v>
          </cell>
          <cell r="CB1061">
            <v>3000000</v>
          </cell>
        </row>
        <row r="1062">
          <cell r="CA1062">
            <v>5299875</v>
          </cell>
          <cell r="CB1062">
            <v>3034800</v>
          </cell>
        </row>
        <row r="1063">
          <cell r="CA1063">
            <v>113304</v>
          </cell>
          <cell r="CB1063">
            <v>0</v>
          </cell>
        </row>
        <row r="1064">
          <cell r="CA1064">
            <v>146356</v>
          </cell>
          <cell r="CB1064">
            <v>0</v>
          </cell>
        </row>
        <row r="1065">
          <cell r="CA1065">
            <v>140510794</v>
          </cell>
          <cell r="CB1065">
            <v>48693693</v>
          </cell>
        </row>
        <row r="1066">
          <cell r="CA1066">
            <v>24700669</v>
          </cell>
          <cell r="CB1066">
            <v>0</v>
          </cell>
        </row>
        <row r="1067">
          <cell r="CA1067">
            <v>14281447</v>
          </cell>
          <cell r="CB1067">
            <v>0</v>
          </cell>
        </row>
        <row r="1068">
          <cell r="CA1068">
            <v>21071834</v>
          </cell>
          <cell r="CB1068">
            <v>0</v>
          </cell>
        </row>
        <row r="1069">
          <cell r="CA1069">
            <v>7297423</v>
          </cell>
          <cell r="CB1069">
            <v>0</v>
          </cell>
        </row>
        <row r="1070">
          <cell r="CA1070">
            <v>383895760</v>
          </cell>
          <cell r="CB1070">
            <v>2800000</v>
          </cell>
        </row>
        <row r="1071">
          <cell r="CA1071">
            <v>262889765</v>
          </cell>
          <cell r="CB1071">
            <v>2415000</v>
          </cell>
        </row>
        <row r="1072">
          <cell r="CA1072">
            <v>920293</v>
          </cell>
          <cell r="CB1072">
            <v>363895</v>
          </cell>
        </row>
        <row r="1073">
          <cell r="CA1073">
            <v>15640968</v>
          </cell>
          <cell r="CB1073">
            <v>3027816</v>
          </cell>
        </row>
        <row r="1074">
          <cell r="CA1074">
            <v>4993998</v>
          </cell>
          <cell r="CB1074">
            <v>0</v>
          </cell>
        </row>
        <row r="1075">
          <cell r="CA1075">
            <v>3541842</v>
          </cell>
          <cell r="CB1075">
            <v>0</v>
          </cell>
        </row>
        <row r="1076">
          <cell r="CA1076">
            <v>2259475</v>
          </cell>
          <cell r="CB1076">
            <v>0</v>
          </cell>
        </row>
        <row r="1077">
          <cell r="CA1077">
            <v>72317995</v>
          </cell>
          <cell r="CB1077">
            <v>688400</v>
          </cell>
        </row>
        <row r="1078">
          <cell r="CA1078">
            <v>1000</v>
          </cell>
          <cell r="CB1078">
            <v>0</v>
          </cell>
        </row>
        <row r="1079">
          <cell r="CA1079">
            <v>80100951</v>
          </cell>
          <cell r="CB1079">
            <v>14000000</v>
          </cell>
        </row>
        <row r="1080">
          <cell r="CA1080">
            <v>43934095</v>
          </cell>
          <cell r="CB1080">
            <v>10934245</v>
          </cell>
        </row>
        <row r="1081">
          <cell r="CA1081">
            <v>8139978</v>
          </cell>
          <cell r="CB1081">
            <v>4310833</v>
          </cell>
        </row>
        <row r="1082">
          <cell r="CA1082">
            <v>4750443</v>
          </cell>
          <cell r="CB1082">
            <v>0</v>
          </cell>
        </row>
        <row r="1083">
          <cell r="CA1083">
            <v>11963879</v>
          </cell>
          <cell r="CB1083">
            <v>0</v>
          </cell>
        </row>
        <row r="1084">
          <cell r="CA1084">
            <v>9298289</v>
          </cell>
          <cell r="CB1084">
            <v>1705191</v>
          </cell>
        </row>
        <row r="1085">
          <cell r="CA1085">
            <v>5635454</v>
          </cell>
          <cell r="CB1085">
            <v>1086613</v>
          </cell>
        </row>
        <row r="1086">
          <cell r="CA1086">
            <v>1200794</v>
          </cell>
          <cell r="CB1086">
            <v>0</v>
          </cell>
        </row>
        <row r="1087">
          <cell r="CA1087">
            <v>3454102</v>
          </cell>
          <cell r="CB1087">
            <v>0</v>
          </cell>
        </row>
        <row r="1088">
          <cell r="CA1088">
            <v>2927725</v>
          </cell>
          <cell r="CB1088">
            <v>0</v>
          </cell>
        </row>
        <row r="1089">
          <cell r="CA1089">
            <v>19472191</v>
          </cell>
          <cell r="CB1089">
            <v>1821563</v>
          </cell>
        </row>
        <row r="1090">
          <cell r="CA1090">
            <v>63195690</v>
          </cell>
          <cell r="CB1090">
            <v>37565000</v>
          </cell>
        </row>
        <row r="1091">
          <cell r="CA1091">
            <v>337599</v>
          </cell>
          <cell r="CB1091">
            <v>0</v>
          </cell>
        </row>
        <row r="1092">
          <cell r="CA1092">
            <v>69662</v>
          </cell>
          <cell r="CB1092">
            <v>0</v>
          </cell>
        </row>
        <row r="1093">
          <cell r="CA1093">
            <v>231434298</v>
          </cell>
          <cell r="CB1093">
            <v>1651300</v>
          </cell>
        </row>
        <row r="1094">
          <cell r="CA1094">
            <v>40457666</v>
          </cell>
          <cell r="CB1094">
            <v>403427</v>
          </cell>
        </row>
        <row r="1095">
          <cell r="CA1095">
            <v>75139627</v>
          </cell>
          <cell r="CB1095">
            <v>13997950</v>
          </cell>
        </row>
        <row r="1096">
          <cell r="CA1096">
            <v>64427421</v>
          </cell>
          <cell r="CB1096">
            <v>11998971</v>
          </cell>
        </row>
        <row r="1097">
          <cell r="CA1097">
            <v>293065</v>
          </cell>
          <cell r="CB1097">
            <v>0</v>
          </cell>
        </row>
        <row r="1098">
          <cell r="CA1098">
            <v>8429979</v>
          </cell>
          <cell r="CB1098">
            <v>0</v>
          </cell>
        </row>
        <row r="1099">
          <cell r="CA1099">
            <v>7607799</v>
          </cell>
          <cell r="CB1099">
            <v>0</v>
          </cell>
        </row>
        <row r="1100">
          <cell r="CA1100">
            <v>8503792</v>
          </cell>
          <cell r="CB1100">
            <v>0</v>
          </cell>
        </row>
        <row r="1101">
          <cell r="CA1101">
            <v>10337883</v>
          </cell>
          <cell r="CB1101">
            <v>0</v>
          </cell>
        </row>
        <row r="1102">
          <cell r="CA1102">
            <v>593604</v>
          </cell>
          <cell r="CB1102">
            <v>48547</v>
          </cell>
        </row>
        <row r="1103">
          <cell r="CA1103">
            <v>2386044</v>
          </cell>
          <cell r="CB1103">
            <v>200000</v>
          </cell>
        </row>
        <row r="1104">
          <cell r="CA1104">
            <v>19428202</v>
          </cell>
          <cell r="CB1104">
            <v>179959</v>
          </cell>
        </row>
        <row r="1105">
          <cell r="CA1105">
            <v>10785188</v>
          </cell>
          <cell r="CB1105">
            <v>100000</v>
          </cell>
        </row>
        <row r="1106">
          <cell r="CA1106">
            <v>221749</v>
          </cell>
          <cell r="CB1106">
            <v>27500</v>
          </cell>
        </row>
        <row r="1107">
          <cell r="CA1107">
            <v>5486859</v>
          </cell>
          <cell r="CB1107">
            <v>49344</v>
          </cell>
        </row>
        <row r="1108">
          <cell r="CA1108">
            <v>181181</v>
          </cell>
          <cell r="CB1108">
            <v>2750000</v>
          </cell>
        </row>
        <row r="1109">
          <cell r="CA1109">
            <v>18395782</v>
          </cell>
          <cell r="CB1109">
            <v>34146240</v>
          </cell>
        </row>
        <row r="1110">
          <cell r="CA1110">
            <v>46624</v>
          </cell>
          <cell r="CB1110">
            <v>0</v>
          </cell>
        </row>
        <row r="1111">
          <cell r="CA1111">
            <v>56285067</v>
          </cell>
          <cell r="CB1111">
            <v>9995605</v>
          </cell>
        </row>
        <row r="1112">
          <cell r="CA1112">
            <v>340888417</v>
          </cell>
          <cell r="CB1112">
            <v>115682071</v>
          </cell>
        </row>
        <row r="1113">
          <cell r="CA1113">
            <v>3394089</v>
          </cell>
          <cell r="CB1113">
            <v>111484</v>
          </cell>
        </row>
        <row r="1114">
          <cell r="CA1114">
            <v>10450174</v>
          </cell>
          <cell r="CB1114">
            <v>954119</v>
          </cell>
        </row>
        <row r="1115">
          <cell r="CA1115">
            <v>1018887</v>
          </cell>
          <cell r="CB1115">
            <v>0</v>
          </cell>
        </row>
        <row r="1116">
          <cell r="CA1116">
            <v>90027839</v>
          </cell>
          <cell r="CB1116">
            <v>43079104</v>
          </cell>
        </row>
        <row r="1117">
          <cell r="CA1117">
            <v>684997</v>
          </cell>
          <cell r="CB1117">
            <v>19800000</v>
          </cell>
        </row>
        <row r="1118">
          <cell r="CA1118">
            <v>577102</v>
          </cell>
          <cell r="CB1118">
            <v>0</v>
          </cell>
        </row>
        <row r="1119">
          <cell r="CA1119">
            <v>18643515</v>
          </cell>
          <cell r="CB1119">
            <v>1763491</v>
          </cell>
        </row>
        <row r="1120">
          <cell r="CA1120">
            <v>2721745</v>
          </cell>
          <cell r="CB1120">
            <v>0</v>
          </cell>
        </row>
        <row r="1121">
          <cell r="CA1121">
            <v>7764532</v>
          </cell>
          <cell r="CB1121">
            <v>0</v>
          </cell>
        </row>
        <row r="1122">
          <cell r="CA1122">
            <v>561675451</v>
          </cell>
          <cell r="CB1122">
            <v>101100600</v>
          </cell>
        </row>
        <row r="1123">
          <cell r="CA1123">
            <v>9680946</v>
          </cell>
          <cell r="CB1123">
            <v>0</v>
          </cell>
        </row>
        <row r="1124">
          <cell r="CA1124">
            <v>6525014</v>
          </cell>
          <cell r="CB1124">
            <v>0</v>
          </cell>
        </row>
        <row r="1125">
          <cell r="CA1125">
            <v>2253149</v>
          </cell>
          <cell r="CB1125">
            <v>0</v>
          </cell>
        </row>
        <row r="1126">
          <cell r="CA1126">
            <v>55542546</v>
          </cell>
          <cell r="CB1126">
            <v>8932000</v>
          </cell>
        </row>
        <row r="1127">
          <cell r="CA1127">
            <v>1691910</v>
          </cell>
          <cell r="CB1127">
            <v>0</v>
          </cell>
        </row>
        <row r="1128">
          <cell r="CA1128">
            <v>2077837</v>
          </cell>
          <cell r="CB1128">
            <v>0</v>
          </cell>
        </row>
        <row r="1129">
          <cell r="CA1129">
            <v>5402092</v>
          </cell>
          <cell r="CB1129">
            <v>0</v>
          </cell>
        </row>
        <row r="1130">
          <cell r="CA1130">
            <v>21682815</v>
          </cell>
          <cell r="CB1130">
            <v>3300383</v>
          </cell>
        </row>
        <row r="1131">
          <cell r="CA1131">
            <v>390262</v>
          </cell>
          <cell r="CB1131">
            <v>0</v>
          </cell>
        </row>
        <row r="1132">
          <cell r="CA1132">
            <v>32121</v>
          </cell>
          <cell r="CB1132">
            <v>0</v>
          </cell>
        </row>
        <row r="1133">
          <cell r="CA1133">
            <v>39173209</v>
          </cell>
          <cell r="CB1133">
            <v>9500000</v>
          </cell>
        </row>
        <row r="1134">
          <cell r="CA1134">
            <v>65936710</v>
          </cell>
          <cell r="CB1134">
            <v>899762</v>
          </cell>
        </row>
        <row r="1135">
          <cell r="CA1135">
            <v>1584264</v>
          </cell>
          <cell r="CB1135">
            <v>0</v>
          </cell>
        </row>
        <row r="1136">
          <cell r="CA1136">
            <v>21941385</v>
          </cell>
          <cell r="CB1136">
            <v>214705</v>
          </cell>
        </row>
        <row r="1137">
          <cell r="CA1137">
            <v>91872783</v>
          </cell>
          <cell r="CB1137">
            <v>15997026</v>
          </cell>
        </row>
        <row r="1138">
          <cell r="CA1138">
            <v>2380766</v>
          </cell>
          <cell r="CB1138">
            <v>0</v>
          </cell>
        </row>
        <row r="1139">
          <cell r="CA1139">
            <v>3921401</v>
          </cell>
          <cell r="CB1139">
            <v>0</v>
          </cell>
        </row>
        <row r="1140">
          <cell r="CA1140">
            <v>17464572</v>
          </cell>
          <cell r="CB1140">
            <v>3000000</v>
          </cell>
        </row>
        <row r="1141">
          <cell r="CA1141">
            <v>52830268</v>
          </cell>
          <cell r="CB1141">
            <v>9995982</v>
          </cell>
        </row>
        <row r="1142">
          <cell r="CA1142">
            <v>9623303</v>
          </cell>
          <cell r="CB1142">
            <v>0</v>
          </cell>
        </row>
        <row r="1143">
          <cell r="CA1143">
            <v>25624219</v>
          </cell>
          <cell r="CB1143">
            <v>14049276</v>
          </cell>
        </row>
        <row r="1144">
          <cell r="CA1144">
            <v>1184018</v>
          </cell>
          <cell r="CB1144">
            <v>0</v>
          </cell>
        </row>
        <row r="1145">
          <cell r="CA1145">
            <v>25132582</v>
          </cell>
          <cell r="CB1145">
            <v>249775</v>
          </cell>
        </row>
        <row r="1146">
          <cell r="CA1146">
            <v>25378577</v>
          </cell>
          <cell r="CB1146">
            <v>244160</v>
          </cell>
        </row>
        <row r="1147">
          <cell r="CA1147">
            <v>7759</v>
          </cell>
          <cell r="CB1147">
            <v>0</v>
          </cell>
        </row>
        <row r="1148">
          <cell r="CA1148">
            <v>2299178158</v>
          </cell>
          <cell r="CB1148">
            <v>19040000</v>
          </cell>
        </row>
        <row r="1149">
          <cell r="CA1149">
            <v>16782926</v>
          </cell>
          <cell r="CB1149">
            <v>199827</v>
          </cell>
        </row>
        <row r="1150">
          <cell r="CA1150">
            <v>24474897</v>
          </cell>
          <cell r="CB1150">
            <v>11318058</v>
          </cell>
        </row>
        <row r="1151">
          <cell r="CA1151">
            <v>484327917</v>
          </cell>
          <cell r="CB1151">
            <v>163950034</v>
          </cell>
        </row>
        <row r="1152">
          <cell r="CA1152">
            <v>1000</v>
          </cell>
          <cell r="CB1152">
            <v>0</v>
          </cell>
        </row>
        <row r="1153">
          <cell r="CA1153">
            <v>256733186</v>
          </cell>
          <cell r="CB1153">
            <v>1890000</v>
          </cell>
        </row>
        <row r="1154">
          <cell r="CA1154">
            <v>42394402</v>
          </cell>
          <cell r="CB1154">
            <v>457748</v>
          </cell>
        </row>
        <row r="1155">
          <cell r="CA1155">
            <v>43509544</v>
          </cell>
          <cell r="CB1155">
            <v>457748</v>
          </cell>
        </row>
        <row r="1156">
          <cell r="CA1156">
            <v>20547063</v>
          </cell>
          <cell r="CB1156">
            <v>2000000</v>
          </cell>
        </row>
        <row r="1157">
          <cell r="CA1157">
            <v>16948312</v>
          </cell>
          <cell r="CB1157">
            <v>1700000</v>
          </cell>
        </row>
        <row r="1158">
          <cell r="CA1158">
            <v>12527059</v>
          </cell>
          <cell r="CB1158">
            <v>11000000</v>
          </cell>
        </row>
        <row r="1159">
          <cell r="CA1159">
            <v>94446906</v>
          </cell>
          <cell r="CB1159">
            <v>18282600</v>
          </cell>
        </row>
        <row r="1160">
          <cell r="CA1160">
            <v>1900930</v>
          </cell>
          <cell r="CB1160">
            <v>0</v>
          </cell>
        </row>
        <row r="1161">
          <cell r="CA1161">
            <v>15417492</v>
          </cell>
          <cell r="CB1161">
            <v>3483096</v>
          </cell>
        </row>
        <row r="1162">
          <cell r="CA1162">
            <v>33939107</v>
          </cell>
          <cell r="CB1162">
            <v>5996986</v>
          </cell>
        </row>
        <row r="1163">
          <cell r="CA1163">
            <v>239670</v>
          </cell>
          <cell r="CB1163">
            <v>0</v>
          </cell>
        </row>
        <row r="1164">
          <cell r="CA1164">
            <v>967106</v>
          </cell>
          <cell r="CB1164">
            <v>0</v>
          </cell>
        </row>
        <row r="1165">
          <cell r="CA1165">
            <v>2521628</v>
          </cell>
          <cell r="CB1165">
            <v>0</v>
          </cell>
        </row>
        <row r="1166">
          <cell r="CA1166">
            <v>5970741</v>
          </cell>
          <cell r="CB1166">
            <v>0</v>
          </cell>
        </row>
        <row r="1167">
          <cell r="CA1167">
            <v>16757563</v>
          </cell>
          <cell r="CB1167">
            <v>3131287</v>
          </cell>
        </row>
        <row r="1168">
          <cell r="CA1168">
            <v>78652613</v>
          </cell>
          <cell r="CB1168">
            <v>13464000</v>
          </cell>
        </row>
        <row r="1169">
          <cell r="CA1169">
            <v>11376567</v>
          </cell>
          <cell r="CB1169">
            <v>0</v>
          </cell>
        </row>
        <row r="1170">
          <cell r="CA1170">
            <v>13176738</v>
          </cell>
          <cell r="CB1170">
            <v>0</v>
          </cell>
        </row>
        <row r="1171">
          <cell r="CA1171">
            <v>3836824</v>
          </cell>
          <cell r="CB1171">
            <v>0</v>
          </cell>
        </row>
        <row r="1172">
          <cell r="CA1172">
            <v>2074905</v>
          </cell>
          <cell r="CB1172">
            <v>0</v>
          </cell>
        </row>
        <row r="1173">
          <cell r="CA1173">
            <v>82465200</v>
          </cell>
          <cell r="CB1173">
            <v>770000</v>
          </cell>
        </row>
        <row r="1174">
          <cell r="CA1174">
            <v>7709792</v>
          </cell>
          <cell r="CB1174">
            <v>987732</v>
          </cell>
        </row>
        <row r="1175">
          <cell r="CA1175">
            <v>5501626</v>
          </cell>
          <cell r="CB1175">
            <v>0</v>
          </cell>
        </row>
        <row r="1176">
          <cell r="CA1176">
            <v>6789982</v>
          </cell>
          <cell r="CB1176">
            <v>0</v>
          </cell>
        </row>
        <row r="1177">
          <cell r="CA1177">
            <v>741396</v>
          </cell>
          <cell r="CB1177">
            <v>0</v>
          </cell>
        </row>
        <row r="1178">
          <cell r="CA1178">
            <v>127949950</v>
          </cell>
          <cell r="CB1178">
            <v>819000</v>
          </cell>
        </row>
        <row r="1179">
          <cell r="CA1179">
            <v>226734</v>
          </cell>
          <cell r="CB1179">
            <v>42120</v>
          </cell>
        </row>
        <row r="1180">
          <cell r="CA1180">
            <v>128744</v>
          </cell>
          <cell r="CB1180">
            <v>35000</v>
          </cell>
        </row>
        <row r="1181">
          <cell r="CA1181">
            <v>906974</v>
          </cell>
          <cell r="CB1181">
            <v>245000</v>
          </cell>
        </row>
        <row r="1182">
          <cell r="CA1182">
            <v>23749911</v>
          </cell>
          <cell r="CB1182">
            <v>3886805</v>
          </cell>
        </row>
        <row r="1183">
          <cell r="CA1183">
            <v>104581327</v>
          </cell>
          <cell r="CB1183">
            <v>37318856</v>
          </cell>
        </row>
        <row r="1184">
          <cell r="CA1184">
            <v>1652218157</v>
          </cell>
          <cell r="CB1184">
            <v>372000000</v>
          </cell>
        </row>
        <row r="1185">
          <cell r="CA1185">
            <v>15459499</v>
          </cell>
          <cell r="CB1185">
            <v>0</v>
          </cell>
        </row>
        <row r="1186">
          <cell r="CA1186">
            <v>110318007</v>
          </cell>
          <cell r="CB1186">
            <v>7000000</v>
          </cell>
        </row>
        <row r="1187">
          <cell r="CA1187">
            <v>69537753</v>
          </cell>
          <cell r="CB1187">
            <v>699000</v>
          </cell>
        </row>
        <row r="1188">
          <cell r="CA1188">
            <v>9754702</v>
          </cell>
          <cell r="CB1188">
            <v>92467</v>
          </cell>
        </row>
        <row r="1189">
          <cell r="CA1189">
            <v>26750401</v>
          </cell>
          <cell r="CB1189">
            <v>0</v>
          </cell>
        </row>
        <row r="1190">
          <cell r="CA1190">
            <v>18526398</v>
          </cell>
          <cell r="CB1190">
            <v>5381792</v>
          </cell>
        </row>
        <row r="1191">
          <cell r="CA1191">
            <v>100573070</v>
          </cell>
          <cell r="CB1191">
            <v>700000</v>
          </cell>
        </row>
        <row r="1192">
          <cell r="CA1192">
            <v>49315375</v>
          </cell>
          <cell r="CB1192">
            <v>8921955</v>
          </cell>
        </row>
        <row r="1193">
          <cell r="CA1193">
            <v>79634558</v>
          </cell>
          <cell r="CB1193">
            <v>830000</v>
          </cell>
        </row>
        <row r="1194">
          <cell r="CA1194">
            <v>77229668</v>
          </cell>
          <cell r="CB1194">
            <v>14896428</v>
          </cell>
        </row>
        <row r="1195">
          <cell r="CA1195">
            <v>2257996</v>
          </cell>
          <cell r="CB1195">
            <v>0</v>
          </cell>
        </row>
        <row r="1196">
          <cell r="CA1196">
            <v>5529069</v>
          </cell>
          <cell r="CB1196">
            <v>0</v>
          </cell>
        </row>
        <row r="1197">
          <cell r="CA1197">
            <v>4312291</v>
          </cell>
          <cell r="CB1197">
            <v>0</v>
          </cell>
        </row>
        <row r="1198">
          <cell r="CA1198">
            <v>297060783</v>
          </cell>
          <cell r="CB1198">
            <v>18900000</v>
          </cell>
        </row>
        <row r="1199">
          <cell r="CA1199">
            <v>1000</v>
          </cell>
          <cell r="CB1199">
            <v>0</v>
          </cell>
        </row>
        <row r="1200">
          <cell r="CA1200">
            <v>1000</v>
          </cell>
          <cell r="CB1200">
            <v>0</v>
          </cell>
        </row>
        <row r="1201">
          <cell r="CA1201">
            <v>21732410</v>
          </cell>
          <cell r="CB1201">
            <v>249768</v>
          </cell>
        </row>
        <row r="1202">
          <cell r="CA1202">
            <v>38809151</v>
          </cell>
          <cell r="CB1202">
            <v>9073187</v>
          </cell>
        </row>
        <row r="1203">
          <cell r="CA1203">
            <v>7024340</v>
          </cell>
          <cell r="CB1203">
            <v>0</v>
          </cell>
        </row>
        <row r="1204">
          <cell r="CA1204">
            <v>41286348</v>
          </cell>
          <cell r="CB1204">
            <v>1163028</v>
          </cell>
        </row>
        <row r="1205">
          <cell r="CA1205">
            <v>72176259</v>
          </cell>
          <cell r="CB1205">
            <v>4900000</v>
          </cell>
        </row>
        <row r="1206">
          <cell r="CA1206">
            <v>30996666</v>
          </cell>
          <cell r="CB1206">
            <v>2172594</v>
          </cell>
        </row>
        <row r="1207">
          <cell r="CA1207">
            <v>7153730</v>
          </cell>
          <cell r="CB1207">
            <v>651805</v>
          </cell>
        </row>
        <row r="1208">
          <cell r="CA1208">
            <v>3499077</v>
          </cell>
          <cell r="CB1208">
            <v>2460000</v>
          </cell>
        </row>
        <row r="1209">
          <cell r="CA1209">
            <v>4785737</v>
          </cell>
          <cell r="CB1209">
            <v>56715</v>
          </cell>
        </row>
        <row r="1210">
          <cell r="CA1210">
            <v>125001857</v>
          </cell>
          <cell r="CB1210">
            <v>811440</v>
          </cell>
        </row>
        <row r="1211">
          <cell r="CA1211">
            <v>19509596</v>
          </cell>
          <cell r="CB1211">
            <v>126000</v>
          </cell>
        </row>
        <row r="1212">
          <cell r="CA1212">
            <v>7964378</v>
          </cell>
          <cell r="CB1212">
            <v>94536</v>
          </cell>
        </row>
        <row r="1213">
          <cell r="CA1213">
            <v>2666146</v>
          </cell>
          <cell r="CB1213">
            <v>0</v>
          </cell>
        </row>
        <row r="1214">
          <cell r="CA1214">
            <v>907559</v>
          </cell>
          <cell r="CB1214">
            <v>0</v>
          </cell>
        </row>
        <row r="1215">
          <cell r="CA1215">
            <v>3033321</v>
          </cell>
          <cell r="CB1215">
            <v>0</v>
          </cell>
        </row>
        <row r="1216">
          <cell r="CA1216">
            <v>1825914</v>
          </cell>
          <cell r="CB1216">
            <v>0</v>
          </cell>
        </row>
        <row r="1217">
          <cell r="CA1217">
            <v>108818</v>
          </cell>
          <cell r="CB1217">
            <v>39757</v>
          </cell>
        </row>
        <row r="1218">
          <cell r="CA1218">
            <v>25724956</v>
          </cell>
          <cell r="CB1218">
            <v>279899</v>
          </cell>
        </row>
        <row r="1219">
          <cell r="CA1219">
            <v>28548797</v>
          </cell>
          <cell r="CB1219">
            <v>5011984</v>
          </cell>
        </row>
        <row r="1220">
          <cell r="CA1220">
            <v>10760563</v>
          </cell>
          <cell r="CB1220">
            <v>0</v>
          </cell>
        </row>
        <row r="1221">
          <cell r="CA1221">
            <v>9965790</v>
          </cell>
          <cell r="CB1221">
            <v>140000</v>
          </cell>
        </row>
        <row r="1222">
          <cell r="CA1222">
            <v>107946331</v>
          </cell>
          <cell r="CB1222">
            <v>1020000</v>
          </cell>
        </row>
        <row r="1223">
          <cell r="CA1223">
            <v>3844397</v>
          </cell>
          <cell r="CB1223">
            <v>47713</v>
          </cell>
        </row>
        <row r="1224">
          <cell r="CA1224">
            <v>1000</v>
          </cell>
          <cell r="CB1224">
            <v>0</v>
          </cell>
        </row>
        <row r="1225">
          <cell r="CA1225">
            <v>31746202</v>
          </cell>
          <cell r="CB1225">
            <v>330000</v>
          </cell>
        </row>
        <row r="1226">
          <cell r="CA1226">
            <v>62117149</v>
          </cell>
          <cell r="CB1226">
            <v>21110672</v>
          </cell>
        </row>
        <row r="1227">
          <cell r="CA1227">
            <v>1839163</v>
          </cell>
          <cell r="CB1227">
            <v>0</v>
          </cell>
        </row>
        <row r="1228">
          <cell r="CA1228">
            <v>3821808</v>
          </cell>
          <cell r="CB1228">
            <v>0</v>
          </cell>
        </row>
        <row r="1229">
          <cell r="CA1229">
            <v>8605094</v>
          </cell>
          <cell r="CB1229">
            <v>0</v>
          </cell>
        </row>
        <row r="1230">
          <cell r="CA1230">
            <v>5074523</v>
          </cell>
          <cell r="CB1230">
            <v>36005</v>
          </cell>
        </row>
        <row r="1231">
          <cell r="CA1231">
            <v>9222848</v>
          </cell>
          <cell r="CB1231">
            <v>78878</v>
          </cell>
        </row>
        <row r="1232">
          <cell r="CA1232">
            <v>34026212</v>
          </cell>
          <cell r="CB1232">
            <v>314840</v>
          </cell>
        </row>
        <row r="1233">
          <cell r="CA1233">
            <v>25663113</v>
          </cell>
          <cell r="CB1233">
            <v>175000</v>
          </cell>
        </row>
        <row r="1234">
          <cell r="CA1234">
            <v>220503809</v>
          </cell>
          <cell r="CB1234">
            <v>1505000</v>
          </cell>
        </row>
        <row r="1235">
          <cell r="CA1235">
            <v>1600424</v>
          </cell>
          <cell r="CB1235">
            <v>30000</v>
          </cell>
        </row>
        <row r="1236">
          <cell r="CA1236">
            <v>162569762</v>
          </cell>
          <cell r="CB1236">
            <v>30000000</v>
          </cell>
        </row>
        <row r="1237">
          <cell r="CA1237">
            <v>6088777</v>
          </cell>
          <cell r="CB1237">
            <v>1120000</v>
          </cell>
        </row>
        <row r="1238">
          <cell r="CA1238">
            <v>10328091</v>
          </cell>
          <cell r="CB1238">
            <v>2038690</v>
          </cell>
        </row>
        <row r="1239">
          <cell r="CA1239">
            <v>390916547</v>
          </cell>
          <cell r="CB1239">
            <v>113913200</v>
          </cell>
        </row>
        <row r="1240">
          <cell r="CA1240">
            <v>19360154</v>
          </cell>
          <cell r="CB1240">
            <v>4708760</v>
          </cell>
        </row>
        <row r="1241">
          <cell r="CA1241">
            <v>3332457</v>
          </cell>
          <cell r="CB1241">
            <v>2970000</v>
          </cell>
        </row>
        <row r="1242">
          <cell r="CA1242">
            <v>254399</v>
          </cell>
          <cell r="CB1242">
            <v>0</v>
          </cell>
        </row>
        <row r="1243">
          <cell r="CA1243">
            <v>1667555</v>
          </cell>
          <cell r="CB1243">
            <v>0</v>
          </cell>
        </row>
        <row r="1244">
          <cell r="CA1244">
            <v>2014758</v>
          </cell>
          <cell r="CB1244">
            <v>15543000</v>
          </cell>
        </row>
        <row r="1245">
          <cell r="CA1245">
            <v>171846290</v>
          </cell>
          <cell r="CB1245">
            <v>30000000</v>
          </cell>
        </row>
        <row r="1246">
          <cell r="CA1246">
            <v>2343654</v>
          </cell>
          <cell r="CB1246">
            <v>0</v>
          </cell>
        </row>
        <row r="1247">
          <cell r="CA1247">
            <v>76074335</v>
          </cell>
          <cell r="CB1247">
            <v>14994727</v>
          </cell>
        </row>
        <row r="1248">
          <cell r="CA1248">
            <v>3560724</v>
          </cell>
          <cell r="CB1248">
            <v>0</v>
          </cell>
        </row>
        <row r="1249">
          <cell r="CA1249">
            <v>226816</v>
          </cell>
          <cell r="CB1249">
            <v>0</v>
          </cell>
        </row>
        <row r="1250">
          <cell r="CA1250">
            <v>3533164</v>
          </cell>
          <cell r="CB1250">
            <v>0</v>
          </cell>
        </row>
        <row r="1251">
          <cell r="CA1251">
            <v>2383431</v>
          </cell>
          <cell r="CB1251">
            <v>0</v>
          </cell>
        </row>
        <row r="1252">
          <cell r="CA1252">
            <v>34310205</v>
          </cell>
          <cell r="CB1252">
            <v>5998399</v>
          </cell>
        </row>
        <row r="1253">
          <cell r="CA1253">
            <v>3850844</v>
          </cell>
          <cell r="CB1253">
            <v>0</v>
          </cell>
        </row>
        <row r="1254">
          <cell r="CA1254">
            <v>5819457</v>
          </cell>
          <cell r="CB1254">
            <v>1000000</v>
          </cell>
        </row>
        <row r="1255">
          <cell r="CA1255">
            <v>22153636</v>
          </cell>
          <cell r="CB1255">
            <v>3542600</v>
          </cell>
        </row>
        <row r="1256">
          <cell r="CA1256">
            <v>19712321</v>
          </cell>
          <cell r="CB1256">
            <v>0</v>
          </cell>
        </row>
        <row r="1257">
          <cell r="CA1257">
            <v>62811</v>
          </cell>
          <cell r="CB1257">
            <v>100000</v>
          </cell>
        </row>
        <row r="1258">
          <cell r="CA1258">
            <v>60151</v>
          </cell>
          <cell r="CB1258">
            <v>95149</v>
          </cell>
        </row>
        <row r="1259">
          <cell r="CA1259">
            <v>13249487</v>
          </cell>
          <cell r="CB1259">
            <v>112000</v>
          </cell>
        </row>
        <row r="1260">
          <cell r="CA1260">
            <v>188512538</v>
          </cell>
          <cell r="CB1260">
            <v>1376400</v>
          </cell>
        </row>
        <row r="1261">
          <cell r="CA1261">
            <v>53820438</v>
          </cell>
          <cell r="CB1261">
            <v>392000</v>
          </cell>
        </row>
        <row r="1262">
          <cell r="CA1262">
            <v>89985496</v>
          </cell>
          <cell r="CB1262">
            <v>665000</v>
          </cell>
        </row>
        <row r="1263">
          <cell r="CA1263">
            <v>191090579</v>
          </cell>
          <cell r="CB1263">
            <v>1850000</v>
          </cell>
        </row>
        <row r="1264">
          <cell r="CA1264">
            <v>7897642</v>
          </cell>
          <cell r="CB1264">
            <v>1330000</v>
          </cell>
        </row>
        <row r="1265">
          <cell r="CA1265">
            <v>44748111</v>
          </cell>
          <cell r="CB1265">
            <v>3997887</v>
          </cell>
        </row>
        <row r="1266">
          <cell r="CA1266">
            <v>1845352</v>
          </cell>
          <cell r="CB1266">
            <v>0</v>
          </cell>
        </row>
        <row r="1267">
          <cell r="CA1267">
            <v>182549160</v>
          </cell>
          <cell r="CB1267">
            <v>1470000</v>
          </cell>
        </row>
        <row r="1268">
          <cell r="CA1268">
            <v>275779097</v>
          </cell>
          <cell r="CB1268">
            <v>8999779</v>
          </cell>
        </row>
        <row r="1269">
          <cell r="CA1269">
            <v>301969005</v>
          </cell>
          <cell r="CB1269">
            <v>58000000</v>
          </cell>
        </row>
        <row r="1270">
          <cell r="CA1270">
            <v>87851</v>
          </cell>
          <cell r="CB1270">
            <v>99982</v>
          </cell>
        </row>
        <row r="1271">
          <cell r="CA1271">
            <v>215728590</v>
          </cell>
          <cell r="CB1271">
            <v>2499798</v>
          </cell>
        </row>
        <row r="1272">
          <cell r="CA1272">
            <v>25851745</v>
          </cell>
          <cell r="CB1272">
            <v>299800</v>
          </cell>
        </row>
        <row r="1273">
          <cell r="CA1273">
            <v>5816</v>
          </cell>
          <cell r="CB1273">
            <v>10000</v>
          </cell>
        </row>
        <row r="1274">
          <cell r="CA1274">
            <v>17428</v>
          </cell>
          <cell r="CB1274">
            <v>30000</v>
          </cell>
        </row>
        <row r="1275">
          <cell r="CA1275">
            <v>3202</v>
          </cell>
          <cell r="CB1275">
            <v>5500</v>
          </cell>
        </row>
        <row r="1276">
          <cell r="CA1276">
            <v>13823626</v>
          </cell>
          <cell r="CB1276">
            <v>2347397</v>
          </cell>
        </row>
        <row r="1277">
          <cell r="CA1277">
            <v>199931405</v>
          </cell>
          <cell r="CB1277">
            <v>2000000</v>
          </cell>
        </row>
        <row r="1278">
          <cell r="CA1278">
            <v>85168016</v>
          </cell>
          <cell r="CB1278">
            <v>595000</v>
          </cell>
        </row>
        <row r="1279">
          <cell r="CA1279">
            <v>22435132</v>
          </cell>
          <cell r="CB1279">
            <v>6985100</v>
          </cell>
        </row>
        <row r="1280">
          <cell r="CA1280">
            <v>24973432</v>
          </cell>
          <cell r="CB1280">
            <v>499775</v>
          </cell>
        </row>
        <row r="1281">
          <cell r="CA1281">
            <v>13648692</v>
          </cell>
          <cell r="CB1281">
            <v>1203638</v>
          </cell>
        </row>
        <row r="1282">
          <cell r="CA1282">
            <v>12334602</v>
          </cell>
          <cell r="CB1282">
            <v>2000000</v>
          </cell>
        </row>
        <row r="1283">
          <cell r="CA1283">
            <v>11532350</v>
          </cell>
          <cell r="CB1283">
            <v>111891</v>
          </cell>
        </row>
        <row r="1284">
          <cell r="CA1284">
            <v>304579</v>
          </cell>
          <cell r="CB1284">
            <v>0</v>
          </cell>
        </row>
        <row r="1285">
          <cell r="CA1285">
            <v>1251927</v>
          </cell>
          <cell r="CB1285">
            <v>0</v>
          </cell>
        </row>
        <row r="1286">
          <cell r="CA1286">
            <v>185347327</v>
          </cell>
          <cell r="CB1286">
            <v>34798762</v>
          </cell>
        </row>
        <row r="1287">
          <cell r="CA1287">
            <v>1000</v>
          </cell>
          <cell r="CB1287">
            <v>0</v>
          </cell>
        </row>
        <row r="1288">
          <cell r="CA1288">
            <v>4236337</v>
          </cell>
          <cell r="CB1288">
            <v>3637128</v>
          </cell>
        </row>
        <row r="1289">
          <cell r="CA1289">
            <v>24496346</v>
          </cell>
          <cell r="CB1289">
            <v>4400000</v>
          </cell>
        </row>
        <row r="1290">
          <cell r="CA1290">
            <v>6700892</v>
          </cell>
          <cell r="CB1290">
            <v>1193450</v>
          </cell>
        </row>
        <row r="1291">
          <cell r="CA1291">
            <v>202897608</v>
          </cell>
          <cell r="CB1291">
            <v>70542518</v>
          </cell>
        </row>
        <row r="1292">
          <cell r="CA1292">
            <v>2402828</v>
          </cell>
          <cell r="CB1292">
            <v>1803908</v>
          </cell>
        </row>
        <row r="1293">
          <cell r="CA1293">
            <v>12641359</v>
          </cell>
          <cell r="CB1293">
            <v>20174597</v>
          </cell>
        </row>
        <row r="1294">
          <cell r="CA1294">
            <v>1000</v>
          </cell>
          <cell r="CB1294">
            <v>0</v>
          </cell>
        </row>
        <row r="1295">
          <cell r="CA1295">
            <v>1000</v>
          </cell>
          <cell r="CB1295">
            <v>0</v>
          </cell>
        </row>
        <row r="1296">
          <cell r="CA1296">
            <v>5450137</v>
          </cell>
          <cell r="CB1296">
            <v>850000</v>
          </cell>
        </row>
        <row r="1297">
          <cell r="CA1297">
            <v>21748253</v>
          </cell>
          <cell r="CB1297">
            <v>3395996</v>
          </cell>
        </row>
        <row r="1298">
          <cell r="CA1298">
            <v>7942987</v>
          </cell>
          <cell r="CB1298">
            <v>9900000</v>
          </cell>
        </row>
        <row r="1299">
          <cell r="CA1299">
            <v>33998691</v>
          </cell>
          <cell r="CB1299">
            <v>3000000</v>
          </cell>
        </row>
        <row r="1300">
          <cell r="CA1300">
            <v>39697848</v>
          </cell>
          <cell r="CB1300">
            <v>13864259</v>
          </cell>
        </row>
        <row r="1301">
          <cell r="CA1301">
            <v>1000</v>
          </cell>
          <cell r="CB1301">
            <v>0</v>
          </cell>
        </row>
        <row r="1302">
          <cell r="CA1302">
            <v>1000</v>
          </cell>
          <cell r="CB1302">
            <v>0</v>
          </cell>
        </row>
        <row r="1303">
          <cell r="CA1303">
            <v>1000</v>
          </cell>
          <cell r="CB1303">
            <v>0</v>
          </cell>
        </row>
        <row r="1304">
          <cell r="CA1304">
            <v>602621</v>
          </cell>
          <cell r="CB1304">
            <v>26830</v>
          </cell>
        </row>
        <row r="1305">
          <cell r="CA1305">
            <v>48055532</v>
          </cell>
          <cell r="CB1305">
            <v>315000</v>
          </cell>
        </row>
        <row r="1306">
          <cell r="CA1306">
            <v>4592754</v>
          </cell>
          <cell r="CB1306">
            <v>0</v>
          </cell>
        </row>
        <row r="1307">
          <cell r="CA1307">
            <v>12393640</v>
          </cell>
          <cell r="CB1307">
            <v>1055423</v>
          </cell>
        </row>
        <row r="1308">
          <cell r="CA1308">
            <v>29496769</v>
          </cell>
          <cell r="CB1308">
            <v>2799315</v>
          </cell>
        </row>
        <row r="1309">
          <cell r="CA1309">
            <v>7417933</v>
          </cell>
          <cell r="CB1309">
            <v>5601879</v>
          </cell>
        </row>
        <row r="1310">
          <cell r="CA1310">
            <v>1000</v>
          </cell>
          <cell r="CB1310">
            <v>0</v>
          </cell>
        </row>
        <row r="1311">
          <cell r="CA1311">
            <v>1000</v>
          </cell>
          <cell r="CB1311">
            <v>0</v>
          </cell>
        </row>
        <row r="1312">
          <cell r="CA1312">
            <v>16809551</v>
          </cell>
          <cell r="CB1312">
            <v>167818</v>
          </cell>
        </row>
        <row r="1313">
          <cell r="CA1313">
            <v>453868</v>
          </cell>
          <cell r="CB1313">
            <v>285000</v>
          </cell>
        </row>
        <row r="1314">
          <cell r="CA1314">
            <v>97815594</v>
          </cell>
          <cell r="CB1314">
            <v>999764</v>
          </cell>
        </row>
        <row r="1315">
          <cell r="CA1315">
            <v>22627894</v>
          </cell>
          <cell r="CB1315">
            <v>8141607</v>
          </cell>
        </row>
        <row r="1316">
          <cell r="CA1316">
            <v>48738001</v>
          </cell>
          <cell r="CB1316">
            <v>10566752</v>
          </cell>
        </row>
        <row r="1317">
          <cell r="CA1317">
            <v>34402869</v>
          </cell>
          <cell r="CB1317">
            <v>0</v>
          </cell>
        </row>
        <row r="1318">
          <cell r="CA1318">
            <v>4072500</v>
          </cell>
          <cell r="CB1318">
            <v>0</v>
          </cell>
        </row>
        <row r="1319">
          <cell r="CA1319">
            <v>71695357</v>
          </cell>
          <cell r="CB1319">
            <v>11375275</v>
          </cell>
        </row>
        <row r="1320">
          <cell r="CA1320">
            <v>16109567</v>
          </cell>
          <cell r="CB1320">
            <v>2580000</v>
          </cell>
        </row>
        <row r="1321">
          <cell r="CA1321">
            <v>3082488</v>
          </cell>
          <cell r="CB1321">
            <v>0</v>
          </cell>
        </row>
        <row r="1322">
          <cell r="CA1322">
            <v>463560</v>
          </cell>
          <cell r="CB1322">
            <v>0</v>
          </cell>
        </row>
        <row r="1323">
          <cell r="CA1323">
            <v>1962975</v>
          </cell>
          <cell r="CB1323">
            <v>0</v>
          </cell>
        </row>
        <row r="1324">
          <cell r="CA1324">
            <v>76599776</v>
          </cell>
          <cell r="CB1324">
            <v>997500</v>
          </cell>
        </row>
        <row r="1325">
          <cell r="CA1325">
            <v>192510461</v>
          </cell>
          <cell r="CB1325">
            <v>120179500</v>
          </cell>
        </row>
        <row r="1326">
          <cell r="CA1326">
            <v>8395022</v>
          </cell>
          <cell r="CB1326">
            <v>149133</v>
          </cell>
        </row>
        <row r="1327">
          <cell r="CA1327">
            <v>5924967</v>
          </cell>
          <cell r="CB1327">
            <v>103984</v>
          </cell>
        </row>
        <row r="1328">
          <cell r="CA1328">
            <v>9494560</v>
          </cell>
          <cell r="CB1328">
            <v>1652066</v>
          </cell>
        </row>
        <row r="1329">
          <cell r="CA1329">
            <v>22332043</v>
          </cell>
          <cell r="CB1329">
            <v>3946874</v>
          </cell>
        </row>
        <row r="1330">
          <cell r="CA1330">
            <v>1276123</v>
          </cell>
          <cell r="CB1330">
            <v>0</v>
          </cell>
        </row>
        <row r="1331">
          <cell r="CA1331">
            <v>25895315</v>
          </cell>
          <cell r="CB1331">
            <v>299183</v>
          </cell>
        </row>
        <row r="1332">
          <cell r="CA1332">
            <v>17662462</v>
          </cell>
          <cell r="CB1332">
            <v>120411</v>
          </cell>
        </row>
        <row r="1333">
          <cell r="CA1333">
            <v>34452420</v>
          </cell>
          <cell r="CB1333">
            <v>399788</v>
          </cell>
        </row>
        <row r="1334">
          <cell r="CA1334">
            <v>10095593</v>
          </cell>
          <cell r="CB1334">
            <v>421137</v>
          </cell>
        </row>
        <row r="1335">
          <cell r="CA1335">
            <v>155784865</v>
          </cell>
          <cell r="CB1335">
            <v>27000000</v>
          </cell>
        </row>
        <row r="1336">
          <cell r="CA1336">
            <v>52101176</v>
          </cell>
          <cell r="CB1336">
            <v>0</v>
          </cell>
        </row>
        <row r="1337">
          <cell r="CA1337">
            <v>38458221</v>
          </cell>
          <cell r="CB1337">
            <v>7000000</v>
          </cell>
        </row>
        <row r="1338">
          <cell r="CA1338">
            <v>8641792</v>
          </cell>
          <cell r="CB1338">
            <v>0</v>
          </cell>
        </row>
        <row r="1339">
          <cell r="CA1339">
            <v>741447</v>
          </cell>
          <cell r="CB1339">
            <v>0</v>
          </cell>
        </row>
        <row r="1340">
          <cell r="CA1340">
            <v>64256570</v>
          </cell>
          <cell r="CB1340">
            <v>5999990</v>
          </cell>
        </row>
        <row r="1341">
          <cell r="CA1341">
            <v>1000</v>
          </cell>
          <cell r="CB1341">
            <v>0</v>
          </cell>
        </row>
        <row r="1342">
          <cell r="CA1342">
            <v>229063807</v>
          </cell>
          <cell r="CB1342">
            <v>116695600</v>
          </cell>
        </row>
        <row r="1343">
          <cell r="CA1343">
            <v>33976512</v>
          </cell>
          <cell r="CB1343">
            <v>9374728</v>
          </cell>
        </row>
        <row r="1344">
          <cell r="CA1344">
            <v>10945981</v>
          </cell>
          <cell r="CB1344">
            <v>1996558</v>
          </cell>
        </row>
        <row r="1345">
          <cell r="CA1345">
            <v>21719455</v>
          </cell>
          <cell r="CB1345">
            <v>4000000</v>
          </cell>
        </row>
        <row r="1346">
          <cell r="CA1346">
            <v>27161956</v>
          </cell>
          <cell r="CB1346">
            <v>5309894</v>
          </cell>
        </row>
        <row r="1347">
          <cell r="CA1347">
            <v>4390778</v>
          </cell>
          <cell r="CB1347">
            <v>2750000</v>
          </cell>
        </row>
        <row r="1348">
          <cell r="CA1348">
            <v>17145779</v>
          </cell>
          <cell r="CB1348">
            <v>2000000</v>
          </cell>
        </row>
        <row r="1349">
          <cell r="CA1349">
            <v>10507980</v>
          </cell>
          <cell r="CB1349">
            <v>1313447</v>
          </cell>
        </row>
        <row r="1350">
          <cell r="CA1350">
            <v>1601347</v>
          </cell>
          <cell r="CB1350">
            <v>0</v>
          </cell>
        </row>
        <row r="1351">
          <cell r="CA1351">
            <v>35450164</v>
          </cell>
          <cell r="CB1351">
            <v>349617</v>
          </cell>
        </row>
        <row r="1352">
          <cell r="CA1352">
            <v>147136442</v>
          </cell>
          <cell r="CB1352">
            <v>32324104</v>
          </cell>
        </row>
        <row r="1353">
          <cell r="CA1353">
            <v>20712096</v>
          </cell>
          <cell r="CB1353">
            <v>3849008</v>
          </cell>
        </row>
        <row r="1354">
          <cell r="CA1354">
            <v>1000</v>
          </cell>
          <cell r="CB1354">
            <v>0</v>
          </cell>
        </row>
        <row r="1355">
          <cell r="CA1355">
            <v>58300915</v>
          </cell>
          <cell r="CB1355">
            <v>22832550</v>
          </cell>
        </row>
        <row r="1356">
          <cell r="CA1356">
            <v>6883060</v>
          </cell>
          <cell r="CB1356">
            <v>0</v>
          </cell>
        </row>
        <row r="1357">
          <cell r="CA1357">
            <v>57505918</v>
          </cell>
          <cell r="CB1357">
            <v>10000000</v>
          </cell>
        </row>
        <row r="1358">
          <cell r="CA1358">
            <v>54677444</v>
          </cell>
          <cell r="CB1358">
            <v>10209210</v>
          </cell>
        </row>
        <row r="1359">
          <cell r="CA1359">
            <v>846318</v>
          </cell>
          <cell r="CB1359">
            <v>0</v>
          </cell>
        </row>
        <row r="1360">
          <cell r="CA1360">
            <v>13976667</v>
          </cell>
          <cell r="CB1360">
            <v>0</v>
          </cell>
        </row>
        <row r="1361">
          <cell r="CA1361">
            <v>178113</v>
          </cell>
          <cell r="CB1361">
            <v>0</v>
          </cell>
        </row>
        <row r="1362">
          <cell r="CA1362">
            <v>34843496</v>
          </cell>
          <cell r="CB1362">
            <v>6236605</v>
          </cell>
        </row>
        <row r="1363">
          <cell r="CA1363">
            <v>6140632</v>
          </cell>
          <cell r="CB1363">
            <v>0</v>
          </cell>
        </row>
        <row r="1364">
          <cell r="CA1364">
            <v>1337804</v>
          </cell>
          <cell r="CB1364">
            <v>0</v>
          </cell>
        </row>
        <row r="1365">
          <cell r="CA1365">
            <v>134076</v>
          </cell>
          <cell r="CB1365">
            <v>0</v>
          </cell>
        </row>
        <row r="1366">
          <cell r="CA1366">
            <v>15506365</v>
          </cell>
          <cell r="CB1366">
            <v>149743</v>
          </cell>
        </row>
        <row r="1367">
          <cell r="CA1367">
            <v>914299</v>
          </cell>
          <cell r="CB1367">
            <v>0</v>
          </cell>
        </row>
        <row r="1368">
          <cell r="CA1368">
            <v>73020444</v>
          </cell>
          <cell r="CB1368">
            <v>700000</v>
          </cell>
        </row>
        <row r="1369">
          <cell r="CA1369">
            <v>55316504</v>
          </cell>
          <cell r="CB1369">
            <v>530000</v>
          </cell>
        </row>
        <row r="1370">
          <cell r="CA1370">
            <v>88332898</v>
          </cell>
          <cell r="CB1370">
            <v>26912000</v>
          </cell>
        </row>
        <row r="1371">
          <cell r="CA1371">
            <v>9718144</v>
          </cell>
          <cell r="CB1371">
            <v>100000</v>
          </cell>
        </row>
        <row r="1372">
          <cell r="CA1372">
            <v>9766894</v>
          </cell>
          <cell r="CB1372">
            <v>100000</v>
          </cell>
        </row>
        <row r="1373">
          <cell r="CA1373">
            <v>2207582</v>
          </cell>
          <cell r="CB1373">
            <v>1419751</v>
          </cell>
        </row>
        <row r="1374">
          <cell r="CA1374">
            <v>109980030</v>
          </cell>
          <cell r="CB1374">
            <v>20000000</v>
          </cell>
        </row>
        <row r="1375">
          <cell r="CA1375">
            <v>12529754</v>
          </cell>
          <cell r="CB1375">
            <v>7333000</v>
          </cell>
        </row>
        <row r="1376">
          <cell r="CA1376">
            <v>54600684</v>
          </cell>
          <cell r="CB1376">
            <v>10000000</v>
          </cell>
        </row>
        <row r="1377">
          <cell r="CA1377">
            <v>22440021</v>
          </cell>
          <cell r="CB1377">
            <v>9326000</v>
          </cell>
        </row>
        <row r="1378">
          <cell r="CA1378">
            <v>4599661</v>
          </cell>
          <cell r="CB1378">
            <v>0</v>
          </cell>
        </row>
        <row r="1379">
          <cell r="CA1379">
            <v>2159017</v>
          </cell>
          <cell r="CB1379">
            <v>0</v>
          </cell>
        </row>
        <row r="1380">
          <cell r="CA1380">
            <v>5676649</v>
          </cell>
          <cell r="CB1380">
            <v>0</v>
          </cell>
        </row>
        <row r="1381">
          <cell r="CA1381">
            <v>2824169</v>
          </cell>
          <cell r="CB1381">
            <v>0</v>
          </cell>
        </row>
        <row r="1382">
          <cell r="CA1382">
            <v>1057242</v>
          </cell>
          <cell r="CB1382">
            <v>0</v>
          </cell>
        </row>
        <row r="1383">
          <cell r="CA1383">
            <v>8518957</v>
          </cell>
          <cell r="CB1383">
            <v>1518689</v>
          </cell>
        </row>
        <row r="1384">
          <cell r="CA1384">
            <v>7425267</v>
          </cell>
          <cell r="CB1384">
            <v>1330000</v>
          </cell>
        </row>
        <row r="1385">
          <cell r="CA1385">
            <v>15149533</v>
          </cell>
          <cell r="CB1385">
            <v>147993</v>
          </cell>
        </row>
        <row r="1386">
          <cell r="CA1386">
            <v>15739177</v>
          </cell>
          <cell r="CB1386">
            <v>150000</v>
          </cell>
        </row>
        <row r="1387">
          <cell r="CA1387">
            <v>2373952</v>
          </cell>
          <cell r="CB1387">
            <v>84212</v>
          </cell>
        </row>
        <row r="1388">
          <cell r="CA1388">
            <v>71985965</v>
          </cell>
          <cell r="CB1388">
            <v>4760000</v>
          </cell>
        </row>
        <row r="1389">
          <cell r="CA1389">
            <v>567820833</v>
          </cell>
          <cell r="CB1389">
            <v>416828018</v>
          </cell>
        </row>
        <row r="1390">
          <cell r="CA1390">
            <v>545522504</v>
          </cell>
          <cell r="CB1390">
            <v>99999156</v>
          </cell>
        </row>
        <row r="1391">
          <cell r="CA1391">
            <v>10340174</v>
          </cell>
          <cell r="CB1391">
            <v>2565000</v>
          </cell>
        </row>
        <row r="1392">
          <cell r="CA1392">
            <v>10401793</v>
          </cell>
          <cell r="CB1392">
            <v>1400000</v>
          </cell>
        </row>
        <row r="1393">
          <cell r="CA1393">
            <v>1000</v>
          </cell>
          <cell r="CB1393">
            <v>0</v>
          </cell>
        </row>
        <row r="1394">
          <cell r="CA1394">
            <v>332958</v>
          </cell>
          <cell r="CB1394">
            <v>0</v>
          </cell>
        </row>
        <row r="1395">
          <cell r="CA1395">
            <v>22705815</v>
          </cell>
          <cell r="CB1395">
            <v>3893276</v>
          </cell>
        </row>
        <row r="1396">
          <cell r="CA1396">
            <v>8774207</v>
          </cell>
          <cell r="CB1396">
            <v>480328</v>
          </cell>
        </row>
        <row r="1397">
          <cell r="CA1397">
            <v>87247758</v>
          </cell>
          <cell r="CB1397">
            <v>27875510</v>
          </cell>
        </row>
        <row r="1398">
          <cell r="CA1398">
            <v>77019446</v>
          </cell>
          <cell r="CB1398">
            <v>0</v>
          </cell>
        </row>
        <row r="1399">
          <cell r="CA1399">
            <v>11696159</v>
          </cell>
          <cell r="CB1399">
            <v>0</v>
          </cell>
        </row>
        <row r="1400">
          <cell r="CA1400">
            <v>80295</v>
          </cell>
          <cell r="CB1400">
            <v>85349</v>
          </cell>
        </row>
        <row r="1401">
          <cell r="CA1401">
            <v>144830081</v>
          </cell>
          <cell r="CB1401">
            <v>1120000</v>
          </cell>
        </row>
        <row r="1402">
          <cell r="CA1402">
            <v>157501</v>
          </cell>
          <cell r="CB1402">
            <v>0</v>
          </cell>
        </row>
        <row r="1403">
          <cell r="CA1403">
            <v>104755091</v>
          </cell>
          <cell r="CB1403">
            <v>19000000</v>
          </cell>
        </row>
        <row r="1404">
          <cell r="CA1404">
            <v>16363187</v>
          </cell>
          <cell r="CB1404">
            <v>3000000</v>
          </cell>
        </row>
        <row r="1405">
          <cell r="CA1405">
            <v>1369066</v>
          </cell>
          <cell r="CB1405">
            <v>245000</v>
          </cell>
        </row>
        <row r="1406">
          <cell r="CA1406">
            <v>265644</v>
          </cell>
          <cell r="CB1406">
            <v>90000</v>
          </cell>
        </row>
        <row r="1407">
          <cell r="CA1407">
            <v>66682564</v>
          </cell>
          <cell r="CB1407">
            <v>999765</v>
          </cell>
        </row>
        <row r="1408">
          <cell r="CA1408">
            <v>1000</v>
          </cell>
          <cell r="CB1408">
            <v>349904</v>
          </cell>
        </row>
        <row r="1409">
          <cell r="CA1409">
            <v>151906500</v>
          </cell>
          <cell r="CB1409">
            <v>14800000</v>
          </cell>
        </row>
        <row r="1410">
          <cell r="CA1410">
            <v>32110138</v>
          </cell>
          <cell r="CB1410">
            <v>3803857</v>
          </cell>
        </row>
        <row r="1411">
          <cell r="CA1411">
            <v>20571866</v>
          </cell>
          <cell r="CB1411">
            <v>6658896</v>
          </cell>
        </row>
        <row r="1412">
          <cell r="CA1412">
            <v>15358285</v>
          </cell>
          <cell r="CB1412">
            <v>3456770</v>
          </cell>
        </row>
        <row r="1413">
          <cell r="CA1413">
            <v>1492179</v>
          </cell>
          <cell r="CB1413">
            <v>0</v>
          </cell>
        </row>
        <row r="1414">
          <cell r="CA1414">
            <v>1946371</v>
          </cell>
          <cell r="CB1414">
            <v>0</v>
          </cell>
        </row>
        <row r="1415">
          <cell r="CA1415">
            <v>4016809</v>
          </cell>
          <cell r="CB1415">
            <v>0</v>
          </cell>
        </row>
        <row r="1416">
          <cell r="CA1416">
            <v>408676</v>
          </cell>
          <cell r="CB1416">
            <v>0</v>
          </cell>
        </row>
        <row r="1417">
          <cell r="CA1417">
            <v>23711882</v>
          </cell>
          <cell r="CB1417">
            <v>5763174</v>
          </cell>
        </row>
        <row r="1418">
          <cell r="CA1418">
            <v>675340</v>
          </cell>
          <cell r="CB1418">
            <v>0</v>
          </cell>
        </row>
        <row r="1419">
          <cell r="CA1419">
            <v>11802274</v>
          </cell>
          <cell r="CB1419">
            <v>142000</v>
          </cell>
        </row>
        <row r="1420">
          <cell r="CA1420">
            <v>12270088</v>
          </cell>
          <cell r="CB1420">
            <v>148223</v>
          </cell>
        </row>
        <row r="1421">
          <cell r="CA1421">
            <v>3473448</v>
          </cell>
          <cell r="CB1421">
            <v>40000</v>
          </cell>
        </row>
        <row r="1422">
          <cell r="CA1422">
            <v>5139423</v>
          </cell>
          <cell r="CB1422">
            <v>62810</v>
          </cell>
        </row>
        <row r="1423">
          <cell r="CA1423">
            <v>113945365</v>
          </cell>
          <cell r="CB1423">
            <v>27971778</v>
          </cell>
        </row>
        <row r="1424">
          <cell r="CA1424">
            <v>9795412</v>
          </cell>
          <cell r="CB1424">
            <v>0</v>
          </cell>
        </row>
        <row r="1425">
          <cell r="CA1425">
            <v>25545621</v>
          </cell>
          <cell r="CB1425">
            <v>0</v>
          </cell>
        </row>
        <row r="1426">
          <cell r="CA1426">
            <v>1540203</v>
          </cell>
          <cell r="CB1426">
            <v>0</v>
          </cell>
        </row>
        <row r="1427">
          <cell r="CA1427">
            <v>82331892</v>
          </cell>
          <cell r="CB1427">
            <v>840000</v>
          </cell>
        </row>
        <row r="1428">
          <cell r="CA1428">
            <v>941517</v>
          </cell>
          <cell r="CB1428">
            <v>300000</v>
          </cell>
        </row>
        <row r="1429">
          <cell r="CA1429">
            <v>11943362</v>
          </cell>
          <cell r="CB1429">
            <v>1088824</v>
          </cell>
        </row>
        <row r="1430">
          <cell r="CA1430">
            <v>22294956</v>
          </cell>
          <cell r="CB1430">
            <v>3996555</v>
          </cell>
        </row>
        <row r="1431">
          <cell r="CA1431">
            <v>152594</v>
          </cell>
          <cell r="CB1431">
            <v>16873</v>
          </cell>
        </row>
        <row r="1432">
          <cell r="CA1432">
            <v>662342</v>
          </cell>
          <cell r="CB1432">
            <v>0</v>
          </cell>
        </row>
        <row r="1433">
          <cell r="CA1433">
            <v>1204912</v>
          </cell>
          <cell r="CB1433">
            <v>0</v>
          </cell>
        </row>
        <row r="1434">
          <cell r="CA1434">
            <v>1052658</v>
          </cell>
          <cell r="CB1434">
            <v>0</v>
          </cell>
        </row>
        <row r="1435">
          <cell r="CA1435">
            <v>16233011</v>
          </cell>
          <cell r="CB1435">
            <v>3000000</v>
          </cell>
        </row>
        <row r="1436">
          <cell r="CA1436">
            <v>2883384</v>
          </cell>
          <cell r="CB1436">
            <v>281127</v>
          </cell>
        </row>
        <row r="1437">
          <cell r="CA1437">
            <v>32710512</v>
          </cell>
          <cell r="CB1437">
            <v>3000000</v>
          </cell>
        </row>
        <row r="1438">
          <cell r="CA1438">
            <v>11694449</v>
          </cell>
          <cell r="CB1438">
            <v>0</v>
          </cell>
        </row>
        <row r="1439">
          <cell r="CA1439">
            <v>32624347</v>
          </cell>
          <cell r="CB1439">
            <v>10020000</v>
          </cell>
        </row>
        <row r="1440">
          <cell r="CA1440">
            <v>93940</v>
          </cell>
          <cell r="CB1440">
            <v>0</v>
          </cell>
        </row>
        <row r="1441">
          <cell r="CA1441">
            <v>5451591</v>
          </cell>
          <cell r="CB1441">
            <v>950000</v>
          </cell>
        </row>
        <row r="1442">
          <cell r="CA1442">
            <v>106791712</v>
          </cell>
          <cell r="CB1442">
            <v>7000000</v>
          </cell>
        </row>
        <row r="1443">
          <cell r="CA1443">
            <v>21418076</v>
          </cell>
          <cell r="CB1443">
            <v>1400000</v>
          </cell>
        </row>
        <row r="1444">
          <cell r="CA1444">
            <v>7599418</v>
          </cell>
          <cell r="CB1444">
            <v>0</v>
          </cell>
        </row>
        <row r="1445">
          <cell r="CA1445">
            <v>2368006</v>
          </cell>
          <cell r="CB1445">
            <v>0</v>
          </cell>
        </row>
        <row r="1446">
          <cell r="CA1446">
            <v>175172161</v>
          </cell>
          <cell r="CB1446">
            <v>61768996</v>
          </cell>
        </row>
        <row r="1447">
          <cell r="CA1447">
            <v>41514556</v>
          </cell>
          <cell r="CB1447">
            <v>0</v>
          </cell>
        </row>
        <row r="1448">
          <cell r="CA1448">
            <v>13097772</v>
          </cell>
          <cell r="CB1448">
            <v>0</v>
          </cell>
        </row>
        <row r="1449">
          <cell r="CA1449">
            <v>22845959</v>
          </cell>
          <cell r="CB1449">
            <v>0</v>
          </cell>
        </row>
        <row r="1450">
          <cell r="CA1450">
            <v>56230591</v>
          </cell>
          <cell r="CB1450">
            <v>10000000</v>
          </cell>
        </row>
        <row r="1451">
          <cell r="CA1451">
            <v>58668562</v>
          </cell>
          <cell r="CB1451">
            <v>11562548</v>
          </cell>
        </row>
        <row r="1452">
          <cell r="CA1452">
            <v>11113927</v>
          </cell>
          <cell r="CB1452">
            <v>2078825</v>
          </cell>
        </row>
        <row r="1453">
          <cell r="CA1453">
            <v>6357833</v>
          </cell>
          <cell r="CB1453">
            <v>0</v>
          </cell>
        </row>
        <row r="1454">
          <cell r="CA1454">
            <v>3306353</v>
          </cell>
          <cell r="CB1454">
            <v>0</v>
          </cell>
        </row>
        <row r="1455">
          <cell r="CA1455">
            <v>6883016</v>
          </cell>
          <cell r="CB1455">
            <v>0</v>
          </cell>
        </row>
        <row r="1456">
          <cell r="CA1456">
            <v>66239557</v>
          </cell>
          <cell r="CB1456">
            <v>17621763</v>
          </cell>
        </row>
        <row r="1457">
          <cell r="CA1457">
            <v>1159636</v>
          </cell>
          <cell r="CB1457">
            <v>0</v>
          </cell>
        </row>
        <row r="1458">
          <cell r="CA1458">
            <v>5937706</v>
          </cell>
          <cell r="CB1458">
            <v>2682500</v>
          </cell>
        </row>
        <row r="1459">
          <cell r="CA1459">
            <v>14931428</v>
          </cell>
          <cell r="CB1459">
            <v>2480155</v>
          </cell>
        </row>
        <row r="1460">
          <cell r="CA1460">
            <v>6077872</v>
          </cell>
          <cell r="CB1460">
            <v>1000000</v>
          </cell>
        </row>
        <row r="1461">
          <cell r="CA1461">
            <v>586079</v>
          </cell>
          <cell r="CB1461">
            <v>0</v>
          </cell>
        </row>
        <row r="1462">
          <cell r="CA1462">
            <v>705678</v>
          </cell>
          <cell r="CB1462">
            <v>0</v>
          </cell>
        </row>
        <row r="1463">
          <cell r="CA1463">
            <v>18268316</v>
          </cell>
          <cell r="CB1463">
            <v>3085461</v>
          </cell>
        </row>
        <row r="1464">
          <cell r="CA1464">
            <v>25953872</v>
          </cell>
          <cell r="CB1464">
            <v>2488046</v>
          </cell>
        </row>
        <row r="1465">
          <cell r="CA1465">
            <v>2689006</v>
          </cell>
          <cell r="CB1465">
            <v>49808</v>
          </cell>
        </row>
        <row r="1466">
          <cell r="CA1466">
            <v>3852124</v>
          </cell>
          <cell r="CB1466">
            <v>1328636</v>
          </cell>
        </row>
        <row r="1467">
          <cell r="CA1467">
            <v>687434</v>
          </cell>
          <cell r="CB1467">
            <v>1614610</v>
          </cell>
        </row>
        <row r="1468">
          <cell r="CA1468">
            <v>214082493</v>
          </cell>
          <cell r="CB1468">
            <v>20500000</v>
          </cell>
        </row>
        <row r="1469">
          <cell r="CA1469">
            <v>64920941</v>
          </cell>
          <cell r="CB1469">
            <v>12000000</v>
          </cell>
        </row>
        <row r="1470">
          <cell r="CA1470">
            <v>58200963</v>
          </cell>
          <cell r="CB1470">
            <v>12199737</v>
          </cell>
        </row>
        <row r="1471">
          <cell r="CA1471">
            <v>21381250</v>
          </cell>
          <cell r="CB1471">
            <v>3718296</v>
          </cell>
        </row>
        <row r="1472">
          <cell r="CA1472">
            <v>2043691</v>
          </cell>
          <cell r="CB1472">
            <v>0</v>
          </cell>
        </row>
        <row r="1473">
          <cell r="CA1473">
            <v>223265</v>
          </cell>
          <cell r="CB1473">
            <v>0</v>
          </cell>
        </row>
        <row r="1474">
          <cell r="CA1474">
            <v>51723401</v>
          </cell>
          <cell r="CB1474">
            <v>4678200</v>
          </cell>
        </row>
        <row r="1475">
          <cell r="CA1475">
            <v>1533200</v>
          </cell>
          <cell r="CB1475">
            <v>0</v>
          </cell>
        </row>
        <row r="1476">
          <cell r="CA1476">
            <v>269610</v>
          </cell>
          <cell r="CB1476">
            <v>0</v>
          </cell>
        </row>
        <row r="1477">
          <cell r="CA1477">
            <v>4628303</v>
          </cell>
          <cell r="CB1477">
            <v>8272436</v>
          </cell>
        </row>
        <row r="1478">
          <cell r="CA1478">
            <v>10788384</v>
          </cell>
          <cell r="CB1478">
            <v>2073800</v>
          </cell>
        </row>
        <row r="1479">
          <cell r="CA1479">
            <v>56119923</v>
          </cell>
          <cell r="CB1479">
            <v>10000000</v>
          </cell>
        </row>
        <row r="1480">
          <cell r="CA1480">
            <v>277657222</v>
          </cell>
          <cell r="CB1480">
            <v>24341240</v>
          </cell>
        </row>
        <row r="1481">
          <cell r="CA1481">
            <v>71363381</v>
          </cell>
          <cell r="CB1481">
            <v>17154156</v>
          </cell>
        </row>
        <row r="1482">
          <cell r="CA1482">
            <v>9756831</v>
          </cell>
          <cell r="CB1482">
            <v>0</v>
          </cell>
        </row>
        <row r="1483">
          <cell r="CA1483">
            <v>2466290</v>
          </cell>
          <cell r="CB1483">
            <v>0</v>
          </cell>
        </row>
        <row r="1484">
          <cell r="CA1484">
            <v>2024247</v>
          </cell>
          <cell r="CB1484">
            <v>0</v>
          </cell>
        </row>
        <row r="1485">
          <cell r="CA1485">
            <v>19190620</v>
          </cell>
          <cell r="CB1485">
            <v>1825274</v>
          </cell>
        </row>
        <row r="1486">
          <cell r="CA1486">
            <v>776527</v>
          </cell>
          <cell r="CB1486">
            <v>3800000</v>
          </cell>
        </row>
        <row r="1487">
          <cell r="CA1487">
            <v>312045</v>
          </cell>
          <cell r="CB1487">
            <v>1520000</v>
          </cell>
        </row>
        <row r="1488">
          <cell r="CA1488">
            <v>53976651</v>
          </cell>
          <cell r="CB1488">
            <v>1840630</v>
          </cell>
        </row>
        <row r="1489">
          <cell r="CA1489">
            <v>28382741</v>
          </cell>
          <cell r="CB1489">
            <v>270000</v>
          </cell>
        </row>
        <row r="1490">
          <cell r="CA1490">
            <v>59289853</v>
          </cell>
          <cell r="CB1490">
            <v>18067400</v>
          </cell>
        </row>
        <row r="1491">
          <cell r="CA1491">
            <v>66571</v>
          </cell>
          <cell r="CB1491">
            <v>2509675</v>
          </cell>
        </row>
        <row r="1492">
          <cell r="CA1492">
            <v>75541430</v>
          </cell>
          <cell r="CB1492">
            <v>41564960</v>
          </cell>
        </row>
        <row r="1493">
          <cell r="CA1493">
            <v>91315218</v>
          </cell>
          <cell r="CB1493">
            <v>28836066</v>
          </cell>
        </row>
        <row r="1494">
          <cell r="CA1494">
            <v>92399897</v>
          </cell>
          <cell r="CB1494">
            <v>44732760</v>
          </cell>
        </row>
        <row r="1495">
          <cell r="CA1495">
            <v>2533081</v>
          </cell>
          <cell r="CB1495">
            <v>0</v>
          </cell>
        </row>
        <row r="1496">
          <cell r="CA1496">
            <v>73453</v>
          </cell>
          <cell r="CB1496">
            <v>6300000</v>
          </cell>
        </row>
        <row r="1497">
          <cell r="CA1497">
            <v>572469</v>
          </cell>
          <cell r="CB1497">
            <v>0</v>
          </cell>
        </row>
        <row r="1498">
          <cell r="CA1498">
            <v>57132792</v>
          </cell>
          <cell r="CB1498">
            <v>12579862</v>
          </cell>
        </row>
        <row r="1499">
          <cell r="CA1499">
            <v>58189623</v>
          </cell>
          <cell r="CB1499">
            <v>9995924</v>
          </cell>
        </row>
        <row r="1500">
          <cell r="CA1500">
            <v>243891812</v>
          </cell>
          <cell r="CB1500">
            <v>45080000</v>
          </cell>
        </row>
        <row r="1501">
          <cell r="CA1501">
            <v>40536179</v>
          </cell>
          <cell r="CB1501">
            <v>64000000</v>
          </cell>
        </row>
        <row r="1502">
          <cell r="CA1502">
            <v>500970</v>
          </cell>
          <cell r="CB1502">
            <v>0</v>
          </cell>
        </row>
        <row r="1503">
          <cell r="CA1503">
            <v>930252</v>
          </cell>
          <cell r="CB1503">
            <v>70000</v>
          </cell>
        </row>
        <row r="1504">
          <cell r="CA1504">
            <v>267257</v>
          </cell>
          <cell r="CB1504">
            <v>15881</v>
          </cell>
        </row>
        <row r="1505">
          <cell r="CA1505">
            <v>52608216</v>
          </cell>
          <cell r="CB1505">
            <v>350000</v>
          </cell>
        </row>
        <row r="1506">
          <cell r="CA1506">
            <v>299399</v>
          </cell>
          <cell r="CB1506">
            <v>19758</v>
          </cell>
        </row>
        <row r="1507">
          <cell r="CA1507">
            <v>24267439</v>
          </cell>
          <cell r="CB1507">
            <v>4559297</v>
          </cell>
        </row>
        <row r="1508">
          <cell r="CA1508">
            <v>121311395</v>
          </cell>
          <cell r="CB1508">
            <v>1198962</v>
          </cell>
        </row>
        <row r="1509">
          <cell r="CA1509">
            <v>2122086</v>
          </cell>
          <cell r="CB1509">
            <v>300000</v>
          </cell>
        </row>
        <row r="1510">
          <cell r="CA1510">
            <v>1178123</v>
          </cell>
          <cell r="CB1510">
            <v>0</v>
          </cell>
        </row>
        <row r="1511">
          <cell r="CA1511">
            <v>92479793</v>
          </cell>
          <cell r="CB1511">
            <v>18996935</v>
          </cell>
        </row>
        <row r="1512">
          <cell r="CA1512">
            <v>285284963</v>
          </cell>
          <cell r="CB1512">
            <v>59996875</v>
          </cell>
        </row>
        <row r="1513">
          <cell r="CA1513">
            <v>51147473</v>
          </cell>
          <cell r="CB1513">
            <v>33700000</v>
          </cell>
        </row>
        <row r="1514">
          <cell r="CA1514">
            <v>48129289</v>
          </cell>
          <cell r="CB1514">
            <v>10831520</v>
          </cell>
        </row>
        <row r="1515">
          <cell r="CA1515">
            <v>96588003</v>
          </cell>
          <cell r="CB1515">
            <v>20000000</v>
          </cell>
        </row>
        <row r="1516">
          <cell r="CA1516">
            <v>778411</v>
          </cell>
          <cell r="CB1516">
            <v>0</v>
          </cell>
        </row>
        <row r="1517">
          <cell r="CA1517">
            <v>97027225</v>
          </cell>
          <cell r="CB1517">
            <v>22942575</v>
          </cell>
        </row>
        <row r="1518">
          <cell r="CA1518">
            <v>6662189</v>
          </cell>
          <cell r="CB1518">
            <v>0</v>
          </cell>
        </row>
        <row r="1519">
          <cell r="CA1519">
            <v>23300995</v>
          </cell>
          <cell r="CB1519">
            <v>0</v>
          </cell>
        </row>
        <row r="1520">
          <cell r="CA1520">
            <v>7570133</v>
          </cell>
          <cell r="CB1520">
            <v>0</v>
          </cell>
        </row>
        <row r="1521">
          <cell r="CA1521">
            <v>15969731</v>
          </cell>
          <cell r="CB1521">
            <v>2391246</v>
          </cell>
        </row>
        <row r="1522">
          <cell r="CA1522">
            <v>4552703</v>
          </cell>
          <cell r="CB1522">
            <v>0</v>
          </cell>
        </row>
        <row r="1523">
          <cell r="CA1523">
            <v>18934273</v>
          </cell>
          <cell r="CB1523">
            <v>3996544</v>
          </cell>
        </row>
        <row r="1524">
          <cell r="CA1524">
            <v>6352486</v>
          </cell>
          <cell r="CB1524">
            <v>3456</v>
          </cell>
        </row>
        <row r="1525">
          <cell r="CA1525">
            <v>3046111</v>
          </cell>
          <cell r="CB1525">
            <v>0</v>
          </cell>
        </row>
        <row r="1526">
          <cell r="CA1526">
            <v>897311</v>
          </cell>
          <cell r="CB1526">
            <v>0</v>
          </cell>
        </row>
        <row r="1527">
          <cell r="CA1527">
            <v>215866242</v>
          </cell>
          <cell r="CB1527">
            <v>42201984</v>
          </cell>
        </row>
        <row r="1528">
          <cell r="CA1528">
            <v>13651228</v>
          </cell>
          <cell r="CB1528">
            <v>0</v>
          </cell>
        </row>
        <row r="1529">
          <cell r="CA1529">
            <v>21787775</v>
          </cell>
          <cell r="CB1529">
            <v>0</v>
          </cell>
        </row>
        <row r="1530">
          <cell r="CA1530">
            <v>22020905</v>
          </cell>
          <cell r="CB1530">
            <v>4946000</v>
          </cell>
        </row>
        <row r="1531">
          <cell r="CA1531">
            <v>2981757</v>
          </cell>
          <cell r="CB1531">
            <v>0</v>
          </cell>
        </row>
        <row r="1532">
          <cell r="CA1532">
            <v>745618</v>
          </cell>
          <cell r="CB1532">
            <v>0</v>
          </cell>
        </row>
        <row r="1533">
          <cell r="CA1533">
            <v>16398772</v>
          </cell>
          <cell r="CB1533">
            <v>8797205</v>
          </cell>
        </row>
        <row r="1534">
          <cell r="CA1534">
            <v>75404936</v>
          </cell>
          <cell r="CB1534">
            <v>7298205</v>
          </cell>
        </row>
        <row r="1535">
          <cell r="CA1535">
            <v>12487104</v>
          </cell>
          <cell r="CB1535">
            <v>409816</v>
          </cell>
        </row>
        <row r="1536">
          <cell r="CA1536">
            <v>43208257</v>
          </cell>
          <cell r="CB1536">
            <v>400000</v>
          </cell>
        </row>
        <row r="1537">
          <cell r="CA1537">
            <v>572835769</v>
          </cell>
          <cell r="CB1537">
            <v>371340000</v>
          </cell>
        </row>
        <row r="1538">
          <cell r="CA1538">
            <v>23426</v>
          </cell>
          <cell r="CB1538">
            <v>0</v>
          </cell>
        </row>
        <row r="1539">
          <cell r="CA1539">
            <v>19627023</v>
          </cell>
          <cell r="CB1539">
            <v>3797506</v>
          </cell>
        </row>
        <row r="1540">
          <cell r="CA1540">
            <v>17145756</v>
          </cell>
          <cell r="CB1540">
            <v>3317422</v>
          </cell>
        </row>
        <row r="1541">
          <cell r="CA1541">
            <v>8676567</v>
          </cell>
          <cell r="CB1541">
            <v>0</v>
          </cell>
        </row>
        <row r="1542">
          <cell r="CA1542">
            <v>2694910</v>
          </cell>
          <cell r="CB1542">
            <v>0</v>
          </cell>
        </row>
        <row r="1543">
          <cell r="CA1543">
            <v>40010379</v>
          </cell>
          <cell r="CB1543">
            <v>7000000</v>
          </cell>
        </row>
        <row r="1544">
          <cell r="CA1544">
            <v>144376</v>
          </cell>
          <cell r="CB1544">
            <v>25650</v>
          </cell>
        </row>
        <row r="1545">
          <cell r="CA1545">
            <v>1118900</v>
          </cell>
          <cell r="CB1545">
            <v>0</v>
          </cell>
        </row>
        <row r="1546">
          <cell r="CA1546">
            <v>2009082</v>
          </cell>
          <cell r="CB1546">
            <v>0</v>
          </cell>
        </row>
        <row r="1547">
          <cell r="CA1547">
            <v>2494860</v>
          </cell>
          <cell r="CB1547">
            <v>0</v>
          </cell>
        </row>
        <row r="1548">
          <cell r="CA1548">
            <v>32559275</v>
          </cell>
          <cell r="CB1548">
            <v>22537878</v>
          </cell>
        </row>
        <row r="1549">
          <cell r="CA1549">
            <v>138384318</v>
          </cell>
          <cell r="CB1549">
            <v>1890000</v>
          </cell>
        </row>
        <row r="1550">
          <cell r="CA1550">
            <v>188573406</v>
          </cell>
          <cell r="CB1550">
            <v>2590000</v>
          </cell>
        </row>
        <row r="1551">
          <cell r="CA1551">
            <v>16836512</v>
          </cell>
          <cell r="CB1551">
            <v>1500000</v>
          </cell>
        </row>
        <row r="1552">
          <cell r="CA1552">
            <v>4453336</v>
          </cell>
          <cell r="CB1552">
            <v>2059686</v>
          </cell>
        </row>
        <row r="1553">
          <cell r="CA1553">
            <v>17458317</v>
          </cell>
          <cell r="CB1553">
            <v>3404521</v>
          </cell>
        </row>
        <row r="1554">
          <cell r="CA1554">
            <v>236999</v>
          </cell>
          <cell r="CB1554">
            <v>969916</v>
          </cell>
        </row>
        <row r="1555">
          <cell r="CA1555">
            <v>185681</v>
          </cell>
          <cell r="CB1555">
            <v>759901</v>
          </cell>
        </row>
        <row r="1556">
          <cell r="CA1556">
            <v>1221086</v>
          </cell>
          <cell r="CB1556">
            <v>5000000</v>
          </cell>
        </row>
        <row r="1557">
          <cell r="CA1557">
            <v>76979171</v>
          </cell>
          <cell r="CB1557">
            <v>8600000</v>
          </cell>
        </row>
        <row r="1558">
          <cell r="CA1558">
            <v>58530642</v>
          </cell>
          <cell r="CB1558">
            <v>6499755</v>
          </cell>
        </row>
        <row r="1559">
          <cell r="CA1559">
            <v>29103811</v>
          </cell>
          <cell r="CB1559">
            <v>13747281</v>
          </cell>
        </row>
        <row r="1560">
          <cell r="CA1560">
            <v>1000</v>
          </cell>
          <cell r="CB1560">
            <v>0</v>
          </cell>
        </row>
        <row r="1561">
          <cell r="CA1561">
            <v>11457322</v>
          </cell>
          <cell r="CB1561">
            <v>168000</v>
          </cell>
        </row>
        <row r="1562">
          <cell r="CA1562">
            <v>2418254</v>
          </cell>
          <cell r="CB1562">
            <v>47456</v>
          </cell>
        </row>
        <row r="1563">
          <cell r="CA1563">
            <v>34589397</v>
          </cell>
          <cell r="CB1563">
            <v>349803</v>
          </cell>
        </row>
        <row r="1564">
          <cell r="CA1564">
            <v>53358845</v>
          </cell>
          <cell r="CB1564">
            <v>5998037</v>
          </cell>
        </row>
        <row r="1565">
          <cell r="CA1565">
            <v>221730</v>
          </cell>
          <cell r="CB1565">
            <v>0</v>
          </cell>
        </row>
        <row r="1566">
          <cell r="CA1566">
            <v>269961</v>
          </cell>
          <cell r="CB1566">
            <v>0</v>
          </cell>
        </row>
        <row r="1567">
          <cell r="CA1567">
            <v>596896855</v>
          </cell>
          <cell r="CB1567">
            <v>162889454</v>
          </cell>
        </row>
        <row r="1568">
          <cell r="CA1568">
            <v>16619993</v>
          </cell>
          <cell r="CB1568">
            <v>1597480</v>
          </cell>
        </row>
        <row r="1569">
          <cell r="CA1569">
            <v>88453621</v>
          </cell>
          <cell r="CB1569">
            <v>55000000</v>
          </cell>
        </row>
        <row r="1570">
          <cell r="CA1570">
            <v>6094894</v>
          </cell>
          <cell r="CB1570">
            <v>548837</v>
          </cell>
        </row>
        <row r="1571">
          <cell r="CA1571">
            <v>5776639</v>
          </cell>
          <cell r="CB1571">
            <v>500000</v>
          </cell>
        </row>
        <row r="1572">
          <cell r="CA1572">
            <v>22070776</v>
          </cell>
          <cell r="CB1572">
            <v>199780</v>
          </cell>
        </row>
        <row r="1573">
          <cell r="CA1573">
            <v>41513896</v>
          </cell>
          <cell r="CB1573">
            <v>3798359</v>
          </cell>
        </row>
        <row r="1574">
          <cell r="CA1574">
            <v>7074268</v>
          </cell>
          <cell r="CB1574">
            <v>0</v>
          </cell>
        </row>
        <row r="1575">
          <cell r="CA1575">
            <v>6545297</v>
          </cell>
          <cell r="CB1575">
            <v>385551</v>
          </cell>
        </row>
        <row r="1576">
          <cell r="CA1576">
            <v>679296196</v>
          </cell>
          <cell r="CB1576">
            <v>4549826</v>
          </cell>
        </row>
        <row r="1577">
          <cell r="CA1577">
            <v>24072132</v>
          </cell>
          <cell r="CB1577">
            <v>5210306</v>
          </cell>
        </row>
        <row r="1578">
          <cell r="CA1578">
            <v>67868414</v>
          </cell>
          <cell r="CB1578">
            <v>789879</v>
          </cell>
        </row>
        <row r="1579">
          <cell r="CA1579">
            <v>33843189</v>
          </cell>
          <cell r="CB1579">
            <v>399949</v>
          </cell>
        </row>
        <row r="1580">
          <cell r="CA1580">
            <v>1000</v>
          </cell>
          <cell r="CB1580">
            <v>204251</v>
          </cell>
        </row>
        <row r="1581">
          <cell r="CA1581">
            <v>125578912</v>
          </cell>
          <cell r="CB1581">
            <v>12998171</v>
          </cell>
        </row>
        <row r="1582">
          <cell r="CA1582">
            <v>493777790</v>
          </cell>
          <cell r="CB1582">
            <v>34930000</v>
          </cell>
        </row>
        <row r="1583">
          <cell r="CA1583">
            <v>20814202</v>
          </cell>
          <cell r="CB1583">
            <v>188861</v>
          </cell>
        </row>
        <row r="1584">
          <cell r="CA1584">
            <v>1754446</v>
          </cell>
          <cell r="CB1584">
            <v>0</v>
          </cell>
        </row>
        <row r="1585">
          <cell r="CA1585">
            <v>117087731</v>
          </cell>
          <cell r="CB1585">
            <v>31727895</v>
          </cell>
        </row>
        <row r="1586">
          <cell r="CA1586">
            <v>33103839</v>
          </cell>
          <cell r="CB1586">
            <v>0</v>
          </cell>
        </row>
        <row r="1587">
          <cell r="CA1587">
            <v>3842810</v>
          </cell>
          <cell r="CB1587">
            <v>0</v>
          </cell>
        </row>
        <row r="1588">
          <cell r="CA1588">
            <v>10861128</v>
          </cell>
          <cell r="CB1588">
            <v>2139696</v>
          </cell>
        </row>
        <row r="1589">
          <cell r="CA1589">
            <v>33996751</v>
          </cell>
          <cell r="CB1589">
            <v>3000000</v>
          </cell>
        </row>
        <row r="1590">
          <cell r="CA1590">
            <v>5760154</v>
          </cell>
          <cell r="CB1590">
            <v>1000000</v>
          </cell>
        </row>
        <row r="1591">
          <cell r="CA1591">
            <v>18894275</v>
          </cell>
          <cell r="CB1591">
            <v>3333197</v>
          </cell>
        </row>
        <row r="1592">
          <cell r="CA1592">
            <v>2753964</v>
          </cell>
          <cell r="CB1592">
            <v>0</v>
          </cell>
        </row>
        <row r="1593">
          <cell r="CA1593">
            <v>1253390</v>
          </cell>
          <cell r="CB1593">
            <v>0</v>
          </cell>
        </row>
        <row r="1594">
          <cell r="CA1594">
            <v>99854178</v>
          </cell>
          <cell r="CB1594">
            <v>999764</v>
          </cell>
        </row>
        <row r="1595">
          <cell r="CA1595">
            <v>5506624</v>
          </cell>
          <cell r="CB1595">
            <v>5393653</v>
          </cell>
        </row>
        <row r="1596">
          <cell r="CA1596">
            <v>9637430</v>
          </cell>
          <cell r="CB1596">
            <v>99821</v>
          </cell>
        </row>
        <row r="1597">
          <cell r="CA1597">
            <v>26397186</v>
          </cell>
          <cell r="CB1597">
            <v>6179493</v>
          </cell>
        </row>
        <row r="1598">
          <cell r="CA1598">
            <v>650034</v>
          </cell>
          <cell r="CB1598">
            <v>0</v>
          </cell>
        </row>
        <row r="1599">
          <cell r="CA1599">
            <v>66063210</v>
          </cell>
          <cell r="CB1599">
            <v>0</v>
          </cell>
        </row>
        <row r="1600">
          <cell r="CA1600">
            <v>31668412</v>
          </cell>
          <cell r="CB1600">
            <v>6000000</v>
          </cell>
        </row>
        <row r="1601">
          <cell r="CA1601">
            <v>67883755</v>
          </cell>
          <cell r="CB1601">
            <v>14685600</v>
          </cell>
        </row>
        <row r="1602">
          <cell r="CA1602">
            <v>28442824</v>
          </cell>
          <cell r="CB1602">
            <v>269829</v>
          </cell>
        </row>
        <row r="1603">
          <cell r="CA1603">
            <v>1583660</v>
          </cell>
          <cell r="CB1603">
            <v>30000</v>
          </cell>
        </row>
        <row r="1604">
          <cell r="CA1604">
            <v>3674887</v>
          </cell>
          <cell r="CB1604">
            <v>69552</v>
          </cell>
        </row>
        <row r="1605">
          <cell r="CA1605">
            <v>10571660</v>
          </cell>
          <cell r="CB1605">
            <v>6000000</v>
          </cell>
        </row>
        <row r="1606">
          <cell r="CA1606">
            <v>5893392</v>
          </cell>
          <cell r="CB1606">
            <v>1000000</v>
          </cell>
        </row>
        <row r="1607">
          <cell r="CA1607">
            <v>17664872</v>
          </cell>
          <cell r="CB1607">
            <v>3000000</v>
          </cell>
        </row>
        <row r="1608">
          <cell r="CA1608">
            <v>2533555</v>
          </cell>
          <cell r="CB1608">
            <v>0</v>
          </cell>
        </row>
        <row r="1609">
          <cell r="CA1609">
            <v>24216105</v>
          </cell>
          <cell r="CB1609">
            <v>4000000</v>
          </cell>
        </row>
        <row r="1610">
          <cell r="CA1610">
            <v>22029719</v>
          </cell>
          <cell r="CB1610">
            <v>0</v>
          </cell>
        </row>
        <row r="1611">
          <cell r="CA1611">
            <v>7749548</v>
          </cell>
          <cell r="CB1611">
            <v>0</v>
          </cell>
        </row>
        <row r="1612">
          <cell r="CA1612">
            <v>474339</v>
          </cell>
          <cell r="CB1612">
            <v>0</v>
          </cell>
        </row>
        <row r="1613">
          <cell r="CA1613">
            <v>687578</v>
          </cell>
          <cell r="CB1613">
            <v>0</v>
          </cell>
        </row>
        <row r="1614">
          <cell r="CA1614">
            <v>21595200</v>
          </cell>
          <cell r="CB1614">
            <v>227580</v>
          </cell>
        </row>
        <row r="1615">
          <cell r="CA1615">
            <v>12221496</v>
          </cell>
          <cell r="CB1615">
            <v>1000000</v>
          </cell>
        </row>
        <row r="1616">
          <cell r="CA1616">
            <v>4884935</v>
          </cell>
          <cell r="CB1616">
            <v>46650</v>
          </cell>
        </row>
        <row r="1617">
          <cell r="CA1617">
            <v>10941473</v>
          </cell>
          <cell r="CB1617">
            <v>114796</v>
          </cell>
        </row>
        <row r="1618">
          <cell r="CA1618">
            <v>14774</v>
          </cell>
          <cell r="CB1618">
            <v>7500</v>
          </cell>
        </row>
        <row r="1619">
          <cell r="CA1619">
            <v>58529</v>
          </cell>
          <cell r="CB1619">
            <v>30000</v>
          </cell>
        </row>
        <row r="1620">
          <cell r="CA1620">
            <v>27164120</v>
          </cell>
          <cell r="CB1620">
            <v>250000</v>
          </cell>
        </row>
        <row r="1621">
          <cell r="CA1621">
            <v>3274739</v>
          </cell>
          <cell r="CB1621">
            <v>450000</v>
          </cell>
        </row>
        <row r="1622">
          <cell r="CA1622">
            <v>367714</v>
          </cell>
          <cell r="CB1622">
            <v>0</v>
          </cell>
        </row>
        <row r="1623">
          <cell r="CA1623">
            <v>125778</v>
          </cell>
          <cell r="CB1623">
            <v>0</v>
          </cell>
        </row>
        <row r="1624">
          <cell r="CA1624">
            <v>2106895</v>
          </cell>
          <cell r="CB1624">
            <v>34126</v>
          </cell>
        </row>
        <row r="1625">
          <cell r="CA1625">
            <v>21448462</v>
          </cell>
          <cell r="CB1625">
            <v>202151</v>
          </cell>
        </row>
        <row r="1626">
          <cell r="CA1626">
            <v>135553097</v>
          </cell>
          <cell r="CB1626">
            <v>12700000</v>
          </cell>
        </row>
        <row r="1627">
          <cell r="CA1627">
            <v>2944061</v>
          </cell>
          <cell r="CB1627">
            <v>11385000</v>
          </cell>
        </row>
        <row r="1628">
          <cell r="CA1628">
            <v>77917280</v>
          </cell>
          <cell r="CB1628">
            <v>8942938</v>
          </cell>
        </row>
        <row r="1629">
          <cell r="CA1629">
            <v>36188357</v>
          </cell>
          <cell r="CB1629">
            <v>339681</v>
          </cell>
        </row>
        <row r="1630">
          <cell r="CA1630">
            <v>6520850</v>
          </cell>
          <cell r="CB1630">
            <v>0</v>
          </cell>
        </row>
        <row r="1631">
          <cell r="CA1631">
            <v>583568</v>
          </cell>
          <cell r="CB1631">
            <v>0</v>
          </cell>
        </row>
        <row r="1632">
          <cell r="CA1632">
            <v>3435300</v>
          </cell>
          <cell r="CB1632">
            <v>0</v>
          </cell>
        </row>
        <row r="1633">
          <cell r="CA1633">
            <v>55428548</v>
          </cell>
          <cell r="CB1633">
            <v>500000</v>
          </cell>
        </row>
        <row r="1634">
          <cell r="CA1634">
            <v>10745264</v>
          </cell>
          <cell r="CB1634">
            <v>500000</v>
          </cell>
        </row>
        <row r="1635">
          <cell r="CA1635">
            <v>63564605</v>
          </cell>
          <cell r="CB1635">
            <v>15012960</v>
          </cell>
        </row>
        <row r="1636">
          <cell r="CA1636">
            <v>29953260</v>
          </cell>
          <cell r="CB1636">
            <v>17702303</v>
          </cell>
        </row>
        <row r="1637">
          <cell r="CA1637">
            <v>1386605</v>
          </cell>
          <cell r="CB1637">
            <v>0</v>
          </cell>
        </row>
        <row r="1638">
          <cell r="CA1638">
            <v>29252433</v>
          </cell>
          <cell r="CB1638">
            <v>302000</v>
          </cell>
        </row>
        <row r="1639">
          <cell r="CA1639">
            <v>118863206</v>
          </cell>
          <cell r="CB1639">
            <v>840000</v>
          </cell>
        </row>
        <row r="1640">
          <cell r="CA1640">
            <v>118917109</v>
          </cell>
          <cell r="CB1640">
            <v>840000</v>
          </cell>
        </row>
        <row r="1641">
          <cell r="CA1641">
            <v>36443064</v>
          </cell>
          <cell r="CB1641">
            <v>6016817</v>
          </cell>
        </row>
        <row r="1642">
          <cell r="CA1642">
            <v>7038569</v>
          </cell>
          <cell r="CB1642">
            <v>0</v>
          </cell>
        </row>
        <row r="1643">
          <cell r="CA1643">
            <v>8492967</v>
          </cell>
          <cell r="CB1643">
            <v>0</v>
          </cell>
        </row>
        <row r="1644">
          <cell r="CA1644">
            <v>12729659</v>
          </cell>
          <cell r="CB1644">
            <v>3330271</v>
          </cell>
        </row>
        <row r="1645">
          <cell r="CA1645">
            <v>136655539</v>
          </cell>
          <cell r="CB1645">
            <v>35406189</v>
          </cell>
        </row>
        <row r="1646">
          <cell r="CA1646">
            <v>2798939</v>
          </cell>
          <cell r="CB1646">
            <v>0</v>
          </cell>
        </row>
        <row r="1647">
          <cell r="CA1647">
            <v>177360</v>
          </cell>
          <cell r="CB1647">
            <v>0</v>
          </cell>
        </row>
        <row r="1648">
          <cell r="CA1648">
            <v>73137689</v>
          </cell>
          <cell r="CB1648">
            <v>720000</v>
          </cell>
        </row>
        <row r="1649">
          <cell r="CA1649">
            <v>353681</v>
          </cell>
          <cell r="CB1649">
            <v>190000</v>
          </cell>
        </row>
        <row r="1650">
          <cell r="CA1650">
            <v>24747</v>
          </cell>
          <cell r="CB1650">
            <v>20000</v>
          </cell>
        </row>
        <row r="1651">
          <cell r="CA1651">
            <v>96380414</v>
          </cell>
          <cell r="CB1651">
            <v>612500</v>
          </cell>
        </row>
        <row r="1652">
          <cell r="CA1652">
            <v>4874464</v>
          </cell>
          <cell r="CB1652">
            <v>83030</v>
          </cell>
        </row>
        <row r="1653">
          <cell r="CA1653">
            <v>2768135</v>
          </cell>
          <cell r="CB1653">
            <v>40765</v>
          </cell>
        </row>
        <row r="1654">
          <cell r="CA1654">
            <v>3555192</v>
          </cell>
          <cell r="CB1654">
            <v>69971</v>
          </cell>
        </row>
        <row r="1655">
          <cell r="CA1655">
            <v>9074175</v>
          </cell>
          <cell r="CB1655">
            <v>178483</v>
          </cell>
        </row>
        <row r="1656">
          <cell r="CA1656">
            <v>1679145</v>
          </cell>
          <cell r="CB1656">
            <v>31631</v>
          </cell>
        </row>
        <row r="1657">
          <cell r="CA1657">
            <v>9677838</v>
          </cell>
          <cell r="CB1657">
            <v>90000</v>
          </cell>
        </row>
        <row r="1658">
          <cell r="CA1658">
            <v>24051794</v>
          </cell>
          <cell r="CB1658">
            <v>224870</v>
          </cell>
        </row>
        <row r="1659">
          <cell r="CA1659">
            <v>7317670</v>
          </cell>
          <cell r="CB1659">
            <v>0</v>
          </cell>
        </row>
        <row r="1660">
          <cell r="CA1660">
            <v>37676890</v>
          </cell>
          <cell r="CB1660">
            <v>5498064</v>
          </cell>
        </row>
        <row r="1661">
          <cell r="CA1661">
            <v>47233442</v>
          </cell>
          <cell r="CB1661">
            <v>8399812</v>
          </cell>
        </row>
        <row r="1662">
          <cell r="CA1662">
            <v>3399235</v>
          </cell>
          <cell r="CB1662">
            <v>0</v>
          </cell>
        </row>
        <row r="1663">
          <cell r="CA1663">
            <v>71769050</v>
          </cell>
          <cell r="CB1663">
            <v>679948</v>
          </cell>
        </row>
        <row r="1664">
          <cell r="CA1664">
            <v>39714526</v>
          </cell>
          <cell r="CB1664">
            <v>6053154</v>
          </cell>
        </row>
        <row r="1665">
          <cell r="CA1665">
            <v>58452</v>
          </cell>
          <cell r="CB1665">
            <v>0</v>
          </cell>
        </row>
        <row r="1666">
          <cell r="CA1666">
            <v>11318513</v>
          </cell>
          <cell r="CB1666">
            <v>0</v>
          </cell>
        </row>
        <row r="1667">
          <cell r="CA1667">
            <v>14644139</v>
          </cell>
          <cell r="CB1667">
            <v>4475124</v>
          </cell>
        </row>
        <row r="1668">
          <cell r="CA1668">
            <v>3849889</v>
          </cell>
          <cell r="CB1668">
            <v>0</v>
          </cell>
        </row>
        <row r="1669">
          <cell r="CA1669">
            <v>259196</v>
          </cell>
          <cell r="CB1669">
            <v>0</v>
          </cell>
        </row>
        <row r="1670">
          <cell r="CA1670">
            <v>30125962</v>
          </cell>
          <cell r="CB1670">
            <v>10964573</v>
          </cell>
        </row>
        <row r="1671">
          <cell r="CA1671">
            <v>112795</v>
          </cell>
          <cell r="CB1671">
            <v>0</v>
          </cell>
        </row>
        <row r="1672">
          <cell r="CA1672">
            <v>207932</v>
          </cell>
          <cell r="CB1672">
            <v>0</v>
          </cell>
        </row>
        <row r="1673">
          <cell r="CA1673">
            <v>2653422</v>
          </cell>
          <cell r="CB1673">
            <v>185014</v>
          </cell>
        </row>
        <row r="1674">
          <cell r="CA1674">
            <v>32951995</v>
          </cell>
          <cell r="CB1674">
            <v>3000000</v>
          </cell>
        </row>
        <row r="1675">
          <cell r="CA1675">
            <v>350649</v>
          </cell>
          <cell r="CB1675">
            <v>0</v>
          </cell>
        </row>
        <row r="1676">
          <cell r="CA1676">
            <v>1546030</v>
          </cell>
          <cell r="CB1676">
            <v>0</v>
          </cell>
        </row>
        <row r="1677">
          <cell r="CA1677">
            <v>1696677</v>
          </cell>
          <cell r="CB1677">
            <v>0</v>
          </cell>
        </row>
        <row r="1678">
          <cell r="CA1678">
            <v>620223</v>
          </cell>
          <cell r="CB1678">
            <v>0</v>
          </cell>
        </row>
        <row r="1679">
          <cell r="CA1679">
            <v>54587559</v>
          </cell>
          <cell r="CB1679">
            <v>529834</v>
          </cell>
        </row>
        <row r="1680">
          <cell r="CA1680">
            <v>70886674</v>
          </cell>
          <cell r="CB1680">
            <v>800000</v>
          </cell>
        </row>
        <row r="1681">
          <cell r="CA1681">
            <v>28565360</v>
          </cell>
          <cell r="CB1681">
            <v>12051000</v>
          </cell>
        </row>
        <row r="1682">
          <cell r="CA1682">
            <v>170513794</v>
          </cell>
          <cell r="CB1682">
            <v>71788400</v>
          </cell>
        </row>
        <row r="1683">
          <cell r="CA1683">
            <v>14896732</v>
          </cell>
          <cell r="CB1683">
            <v>1399924</v>
          </cell>
        </row>
        <row r="1684">
          <cell r="CA1684">
            <v>71230718</v>
          </cell>
          <cell r="CB1684">
            <v>4314395</v>
          </cell>
        </row>
        <row r="1685">
          <cell r="CA1685">
            <v>53954001</v>
          </cell>
          <cell r="CB1685">
            <v>3172505</v>
          </cell>
        </row>
        <row r="1686">
          <cell r="CA1686">
            <v>2821460</v>
          </cell>
          <cell r="CB1686">
            <v>107564</v>
          </cell>
        </row>
        <row r="1687">
          <cell r="CA1687">
            <v>3817988</v>
          </cell>
          <cell r="CB1687">
            <v>246098</v>
          </cell>
        </row>
        <row r="1688">
          <cell r="CA1688">
            <v>1572945</v>
          </cell>
          <cell r="CB1688">
            <v>52917</v>
          </cell>
        </row>
        <row r="1689">
          <cell r="CA1689">
            <v>2008763</v>
          </cell>
          <cell r="CB1689">
            <v>0</v>
          </cell>
        </row>
        <row r="1690">
          <cell r="CA1690">
            <v>1473714</v>
          </cell>
          <cell r="CB1690">
            <v>0</v>
          </cell>
        </row>
        <row r="1691">
          <cell r="CA1691">
            <v>770995</v>
          </cell>
          <cell r="CB1691">
            <v>0</v>
          </cell>
        </row>
        <row r="1692">
          <cell r="CA1692">
            <v>90648388</v>
          </cell>
          <cell r="CB1692">
            <v>16596939</v>
          </cell>
        </row>
        <row r="1693">
          <cell r="CA1693">
            <v>87879537</v>
          </cell>
          <cell r="CB1693">
            <v>910000</v>
          </cell>
        </row>
        <row r="1694">
          <cell r="CA1694">
            <v>7380283</v>
          </cell>
          <cell r="CB1694">
            <v>111071</v>
          </cell>
        </row>
        <row r="1695">
          <cell r="CA1695">
            <v>58304383</v>
          </cell>
          <cell r="CB1695">
            <v>569826</v>
          </cell>
        </row>
        <row r="1696">
          <cell r="CA1696">
            <v>35242231</v>
          </cell>
          <cell r="CB1696">
            <v>6000000</v>
          </cell>
        </row>
        <row r="1697">
          <cell r="CA1697">
            <v>2395826822</v>
          </cell>
          <cell r="CB1697">
            <v>335721397</v>
          </cell>
        </row>
        <row r="1698">
          <cell r="CA1698">
            <v>204537441</v>
          </cell>
          <cell r="CB1698">
            <v>31997363</v>
          </cell>
        </row>
        <row r="1699">
          <cell r="CA1699">
            <v>316525597</v>
          </cell>
          <cell r="CB1699">
            <v>0</v>
          </cell>
        </row>
        <row r="1700">
          <cell r="CA1700">
            <v>363491654</v>
          </cell>
          <cell r="CB1700">
            <v>0</v>
          </cell>
        </row>
        <row r="1701">
          <cell r="CA1701">
            <v>1199928</v>
          </cell>
          <cell r="CB1701">
            <v>0</v>
          </cell>
        </row>
        <row r="1702">
          <cell r="CA1702">
            <v>28750026</v>
          </cell>
          <cell r="CB1702">
            <v>8103845</v>
          </cell>
        </row>
        <row r="1703">
          <cell r="CA1703">
            <v>30463546</v>
          </cell>
          <cell r="CB1703">
            <v>15925968</v>
          </cell>
        </row>
        <row r="1704">
          <cell r="CA1704">
            <v>41487669</v>
          </cell>
          <cell r="CB1704">
            <v>384949</v>
          </cell>
        </row>
        <row r="1705">
          <cell r="CA1705">
            <v>1426567</v>
          </cell>
          <cell r="CB1705">
            <v>0</v>
          </cell>
        </row>
        <row r="1706">
          <cell r="CA1706">
            <v>1391549</v>
          </cell>
          <cell r="CB1706">
            <v>0</v>
          </cell>
        </row>
        <row r="1707">
          <cell r="CA1707">
            <v>6318707</v>
          </cell>
          <cell r="CB1707">
            <v>0</v>
          </cell>
        </row>
        <row r="1708">
          <cell r="CA1708">
            <v>117864430</v>
          </cell>
          <cell r="CB1708">
            <v>167040000</v>
          </cell>
        </row>
        <row r="1709">
          <cell r="CA1709">
            <v>5114765</v>
          </cell>
          <cell r="CB1709">
            <v>49000</v>
          </cell>
        </row>
        <row r="1710">
          <cell r="CA1710">
            <v>39818217</v>
          </cell>
          <cell r="CB1710">
            <v>390000</v>
          </cell>
        </row>
        <row r="1711">
          <cell r="CA1711">
            <v>2752398</v>
          </cell>
          <cell r="CB1711">
            <v>26940</v>
          </cell>
        </row>
        <row r="1712">
          <cell r="CA1712">
            <v>9448068</v>
          </cell>
          <cell r="CB1712">
            <v>7566689</v>
          </cell>
        </row>
        <row r="1713">
          <cell r="CA1713">
            <v>1283108</v>
          </cell>
          <cell r="CB1713">
            <v>0</v>
          </cell>
        </row>
        <row r="1714">
          <cell r="CA1714">
            <v>16848566</v>
          </cell>
          <cell r="CB1714">
            <v>1498758</v>
          </cell>
        </row>
        <row r="1715">
          <cell r="CA1715">
            <v>4788393</v>
          </cell>
          <cell r="CB1715">
            <v>1141934</v>
          </cell>
        </row>
        <row r="1716">
          <cell r="CA1716">
            <v>2817103</v>
          </cell>
          <cell r="CB1716">
            <v>0</v>
          </cell>
        </row>
        <row r="1717">
          <cell r="CA1717">
            <v>101006957</v>
          </cell>
          <cell r="CB1717">
            <v>700000</v>
          </cell>
        </row>
        <row r="1718">
          <cell r="CA1718">
            <v>212375</v>
          </cell>
          <cell r="CB1718">
            <v>119000</v>
          </cell>
        </row>
        <row r="1719">
          <cell r="CA1719">
            <v>8678</v>
          </cell>
          <cell r="CB1719">
            <v>10000</v>
          </cell>
        </row>
        <row r="1720">
          <cell r="CA1720">
            <v>356267544</v>
          </cell>
          <cell r="CB1720">
            <v>120000000</v>
          </cell>
        </row>
        <row r="1721">
          <cell r="CA1721">
            <v>81458685</v>
          </cell>
          <cell r="CB1721">
            <v>24586464</v>
          </cell>
        </row>
        <row r="1722">
          <cell r="CA1722">
            <v>6923684</v>
          </cell>
          <cell r="CB1722">
            <v>0</v>
          </cell>
        </row>
        <row r="1723">
          <cell r="CA1723">
            <v>3560034</v>
          </cell>
          <cell r="CB1723">
            <v>0</v>
          </cell>
        </row>
        <row r="1724">
          <cell r="CA1724">
            <v>2564825</v>
          </cell>
          <cell r="CB1724">
            <v>0</v>
          </cell>
        </row>
        <row r="1725">
          <cell r="CA1725">
            <v>1019536</v>
          </cell>
          <cell r="CB1725">
            <v>0</v>
          </cell>
        </row>
        <row r="1726">
          <cell r="CA1726">
            <v>3805926</v>
          </cell>
          <cell r="CB1726">
            <v>46762</v>
          </cell>
        </row>
        <row r="1727">
          <cell r="CA1727">
            <v>38924819</v>
          </cell>
          <cell r="CB1727">
            <v>477960</v>
          </cell>
        </row>
        <row r="1728">
          <cell r="CA1728">
            <v>26675629</v>
          </cell>
          <cell r="CB1728">
            <v>300000</v>
          </cell>
        </row>
        <row r="1729">
          <cell r="CA1729">
            <v>10575146</v>
          </cell>
          <cell r="CB1729">
            <v>1042589</v>
          </cell>
        </row>
        <row r="1730">
          <cell r="CA1730">
            <v>4808999</v>
          </cell>
          <cell r="CB1730">
            <v>431427</v>
          </cell>
        </row>
        <row r="1731">
          <cell r="CA1731">
            <v>3484773</v>
          </cell>
          <cell r="CB1731">
            <v>0</v>
          </cell>
        </row>
        <row r="1732">
          <cell r="CA1732">
            <v>767843</v>
          </cell>
          <cell r="CB1732">
            <v>0</v>
          </cell>
        </row>
        <row r="1733">
          <cell r="CA1733">
            <v>21449806</v>
          </cell>
          <cell r="CB1733">
            <v>3169139</v>
          </cell>
        </row>
        <row r="1734">
          <cell r="CA1734">
            <v>22459427</v>
          </cell>
          <cell r="CB1734">
            <v>4000000</v>
          </cell>
        </row>
        <row r="1735">
          <cell r="CA1735">
            <v>54954230</v>
          </cell>
          <cell r="CB1735">
            <v>869846</v>
          </cell>
        </row>
        <row r="1736">
          <cell r="CA1736">
            <v>10199946</v>
          </cell>
          <cell r="CB1736">
            <v>0</v>
          </cell>
        </row>
        <row r="1737">
          <cell r="CA1737">
            <v>59390141</v>
          </cell>
          <cell r="CB1737">
            <v>14615718</v>
          </cell>
        </row>
        <row r="1738">
          <cell r="CA1738">
            <v>20694440</v>
          </cell>
          <cell r="CB1738">
            <v>1789880</v>
          </cell>
        </row>
        <row r="1739">
          <cell r="CA1739">
            <v>18016544</v>
          </cell>
          <cell r="CB1739">
            <v>1730429</v>
          </cell>
        </row>
        <row r="1740">
          <cell r="CA1740">
            <v>2103951</v>
          </cell>
          <cell r="CB1740">
            <v>2970000</v>
          </cell>
        </row>
        <row r="1741">
          <cell r="CA1741">
            <v>39263887</v>
          </cell>
          <cell r="CB1741">
            <v>5271818</v>
          </cell>
        </row>
        <row r="1742">
          <cell r="CA1742">
            <v>28134679</v>
          </cell>
          <cell r="CB1742">
            <v>5000000</v>
          </cell>
        </row>
        <row r="1743">
          <cell r="CA1743">
            <v>4690382</v>
          </cell>
          <cell r="CB1743">
            <v>0</v>
          </cell>
        </row>
        <row r="1744">
          <cell r="CA1744">
            <v>64827003</v>
          </cell>
          <cell r="CB1744">
            <v>18602913</v>
          </cell>
        </row>
        <row r="1745">
          <cell r="CA1745">
            <v>2347247</v>
          </cell>
          <cell r="CB1745">
            <v>0</v>
          </cell>
        </row>
        <row r="1746">
          <cell r="CA1746">
            <v>5908071</v>
          </cell>
          <cell r="CB1746">
            <v>9900000</v>
          </cell>
        </row>
        <row r="1747">
          <cell r="CA1747">
            <v>39683852</v>
          </cell>
          <cell r="CB1747">
            <v>17455389</v>
          </cell>
        </row>
        <row r="1748">
          <cell r="CA1748">
            <v>1000</v>
          </cell>
          <cell r="CB1748">
            <v>0</v>
          </cell>
        </row>
        <row r="1749">
          <cell r="CA1749">
            <v>14941841</v>
          </cell>
          <cell r="CB1749">
            <v>6500000</v>
          </cell>
        </row>
        <row r="1750">
          <cell r="CA1750">
            <v>22408226</v>
          </cell>
          <cell r="CB1750">
            <v>5518649</v>
          </cell>
        </row>
        <row r="1751">
          <cell r="CA1751">
            <v>25165931</v>
          </cell>
          <cell r="CB1751">
            <v>4742939</v>
          </cell>
        </row>
        <row r="1752">
          <cell r="CA1752">
            <v>10767554</v>
          </cell>
          <cell r="CB1752">
            <v>0</v>
          </cell>
        </row>
        <row r="1753">
          <cell r="CA1753">
            <v>1545707</v>
          </cell>
          <cell r="CB1753">
            <v>0</v>
          </cell>
        </row>
        <row r="1754">
          <cell r="CA1754">
            <v>16701581</v>
          </cell>
          <cell r="CB1754">
            <v>2796233</v>
          </cell>
        </row>
        <row r="1755">
          <cell r="CA1755">
            <v>11999370</v>
          </cell>
          <cell r="CB1755">
            <v>300000</v>
          </cell>
        </row>
        <row r="1756">
          <cell r="CA1756">
            <v>148459181</v>
          </cell>
          <cell r="CB1756">
            <v>1385000</v>
          </cell>
        </row>
        <row r="1757">
          <cell r="CA1757">
            <v>21343312</v>
          </cell>
          <cell r="CB1757">
            <v>200000</v>
          </cell>
        </row>
        <row r="1758">
          <cell r="CA1758">
            <v>8153751</v>
          </cell>
          <cell r="CB1758">
            <v>200000</v>
          </cell>
        </row>
        <row r="1759">
          <cell r="CA1759">
            <v>5364119</v>
          </cell>
          <cell r="CB1759">
            <v>2765000</v>
          </cell>
        </row>
        <row r="1760">
          <cell r="CA1760">
            <v>2006299476</v>
          </cell>
          <cell r="CB1760">
            <v>17500000</v>
          </cell>
        </row>
        <row r="1761">
          <cell r="CA1761">
            <v>10295189</v>
          </cell>
          <cell r="CB1761">
            <v>2293588</v>
          </cell>
        </row>
        <row r="1762">
          <cell r="CA1762">
            <v>6930621</v>
          </cell>
          <cell r="CB1762">
            <v>65925</v>
          </cell>
        </row>
        <row r="1763">
          <cell r="CA1763">
            <v>777834</v>
          </cell>
          <cell r="CB1763">
            <v>0</v>
          </cell>
        </row>
        <row r="1764">
          <cell r="CA1764">
            <v>1272627</v>
          </cell>
          <cell r="CB1764">
            <v>0</v>
          </cell>
        </row>
        <row r="1765">
          <cell r="CA1765">
            <v>90980285</v>
          </cell>
          <cell r="CB1765">
            <v>1190000</v>
          </cell>
        </row>
        <row r="1766">
          <cell r="CA1766">
            <v>59546244</v>
          </cell>
          <cell r="CB1766">
            <v>10376780</v>
          </cell>
        </row>
        <row r="1767">
          <cell r="CA1767">
            <v>6140040</v>
          </cell>
          <cell r="CB1767">
            <v>0</v>
          </cell>
        </row>
        <row r="1768">
          <cell r="CA1768">
            <v>1065043</v>
          </cell>
          <cell r="CB1768">
            <v>0</v>
          </cell>
        </row>
        <row r="1769">
          <cell r="CA1769">
            <v>89180193</v>
          </cell>
          <cell r="CB1769">
            <v>19999542</v>
          </cell>
        </row>
        <row r="1770">
          <cell r="CA1770">
            <v>11154541</v>
          </cell>
          <cell r="CB1770">
            <v>386581</v>
          </cell>
        </row>
        <row r="1771">
          <cell r="CA1771">
            <v>9611106</v>
          </cell>
          <cell r="CB1771">
            <v>438890</v>
          </cell>
        </row>
        <row r="1772">
          <cell r="CA1772">
            <v>57191846</v>
          </cell>
          <cell r="CB1772">
            <v>10000000</v>
          </cell>
        </row>
        <row r="1773">
          <cell r="CA1773">
            <v>5258261</v>
          </cell>
          <cell r="CB1773">
            <v>8599779</v>
          </cell>
        </row>
        <row r="1774">
          <cell r="CA1774">
            <v>5568531</v>
          </cell>
          <cell r="CB1774">
            <v>9111814</v>
          </cell>
        </row>
        <row r="1775">
          <cell r="CA1775">
            <v>13540184</v>
          </cell>
          <cell r="CB1775">
            <v>22165002</v>
          </cell>
        </row>
        <row r="1776">
          <cell r="CA1776">
            <v>16421339</v>
          </cell>
          <cell r="CB1776">
            <v>7150481</v>
          </cell>
        </row>
        <row r="1777">
          <cell r="CA1777">
            <v>31613</v>
          </cell>
          <cell r="CB1777">
            <v>0</v>
          </cell>
        </row>
        <row r="1778">
          <cell r="CA1778">
            <v>13863330</v>
          </cell>
          <cell r="CB1778">
            <v>7193050</v>
          </cell>
        </row>
        <row r="1779">
          <cell r="CA1779">
            <v>714562295</v>
          </cell>
          <cell r="CB1779">
            <v>139996943</v>
          </cell>
        </row>
        <row r="1780">
          <cell r="CA1780">
            <v>4161939</v>
          </cell>
          <cell r="CB1780">
            <v>1955138</v>
          </cell>
        </row>
        <row r="1781">
          <cell r="CA1781">
            <v>3400682</v>
          </cell>
          <cell r="CB1781">
            <v>703111</v>
          </cell>
        </row>
        <row r="1782">
          <cell r="CA1782">
            <v>1893971</v>
          </cell>
          <cell r="CB1782">
            <v>460946</v>
          </cell>
        </row>
        <row r="1783">
          <cell r="CA1783">
            <v>5792530</v>
          </cell>
          <cell r="CB1783">
            <v>497664</v>
          </cell>
        </row>
        <row r="1784">
          <cell r="CA1784">
            <v>326895</v>
          </cell>
          <cell r="CB1784">
            <v>0</v>
          </cell>
        </row>
        <row r="1785">
          <cell r="CA1785">
            <v>27071502</v>
          </cell>
          <cell r="CB1785">
            <v>250000</v>
          </cell>
        </row>
        <row r="1786">
          <cell r="CA1786">
            <v>22665648</v>
          </cell>
          <cell r="CB1786">
            <v>210000</v>
          </cell>
        </row>
        <row r="1787">
          <cell r="CA1787">
            <v>16084573</v>
          </cell>
          <cell r="CB1787">
            <v>147963</v>
          </cell>
        </row>
        <row r="1788">
          <cell r="CA1788">
            <v>7690171</v>
          </cell>
          <cell r="CB1788">
            <v>218000</v>
          </cell>
        </row>
        <row r="1789">
          <cell r="CA1789">
            <v>2447890</v>
          </cell>
          <cell r="CB1789">
            <v>70000</v>
          </cell>
        </row>
        <row r="1790">
          <cell r="CA1790">
            <v>348697</v>
          </cell>
          <cell r="CB1790">
            <v>0</v>
          </cell>
        </row>
        <row r="1791">
          <cell r="CA1791">
            <v>1274334</v>
          </cell>
          <cell r="CB1791">
            <v>0</v>
          </cell>
        </row>
        <row r="1792">
          <cell r="CA1792">
            <v>34947845</v>
          </cell>
          <cell r="CB1792">
            <v>944109</v>
          </cell>
        </row>
        <row r="1793">
          <cell r="CA1793">
            <v>5354854</v>
          </cell>
          <cell r="CB1793">
            <v>750000</v>
          </cell>
        </row>
        <row r="1794">
          <cell r="CA1794">
            <v>95541690</v>
          </cell>
          <cell r="CB1794">
            <v>17100000</v>
          </cell>
        </row>
        <row r="1795">
          <cell r="CA1795">
            <v>92648937</v>
          </cell>
          <cell r="CB1795">
            <v>15124449</v>
          </cell>
        </row>
        <row r="1796">
          <cell r="CA1796">
            <v>61189842</v>
          </cell>
          <cell r="CB1796">
            <v>9415492</v>
          </cell>
        </row>
        <row r="1797">
          <cell r="CA1797">
            <v>210885188</v>
          </cell>
          <cell r="CB1797">
            <v>19997879</v>
          </cell>
        </row>
        <row r="1798">
          <cell r="CA1798">
            <v>35878965</v>
          </cell>
          <cell r="CB1798">
            <v>0</v>
          </cell>
        </row>
        <row r="1799">
          <cell r="CA1799">
            <v>8754634</v>
          </cell>
          <cell r="CB1799">
            <v>0</v>
          </cell>
        </row>
        <row r="1800">
          <cell r="CA1800">
            <v>109973063</v>
          </cell>
          <cell r="CB1800">
            <v>0</v>
          </cell>
        </row>
        <row r="1801">
          <cell r="CA1801">
            <v>55545825</v>
          </cell>
          <cell r="CB1801">
            <v>0</v>
          </cell>
        </row>
        <row r="1802">
          <cell r="CA1802">
            <v>14367358</v>
          </cell>
          <cell r="CB1802">
            <v>2346865</v>
          </cell>
        </row>
        <row r="1803">
          <cell r="CA1803">
            <v>90671399</v>
          </cell>
          <cell r="CB1803">
            <v>36975000</v>
          </cell>
        </row>
        <row r="1804">
          <cell r="CA1804">
            <v>17763363</v>
          </cell>
          <cell r="CB1804">
            <v>3172958</v>
          </cell>
        </row>
        <row r="1805">
          <cell r="CA1805">
            <v>3843573</v>
          </cell>
          <cell r="CB1805">
            <v>0</v>
          </cell>
        </row>
        <row r="1806">
          <cell r="CA1806">
            <v>15229988</v>
          </cell>
          <cell r="CB1806">
            <v>2400000</v>
          </cell>
        </row>
        <row r="1807">
          <cell r="CA1807">
            <v>544609</v>
          </cell>
          <cell r="CB1807">
            <v>0</v>
          </cell>
        </row>
        <row r="1808">
          <cell r="CA1808">
            <v>85581</v>
          </cell>
          <cell r="CB1808">
            <v>0</v>
          </cell>
        </row>
        <row r="1809">
          <cell r="CA1809">
            <v>77243906</v>
          </cell>
          <cell r="CB1809">
            <v>6854047</v>
          </cell>
        </row>
        <row r="1810">
          <cell r="CA1810">
            <v>7600527</v>
          </cell>
          <cell r="CB1810">
            <v>0</v>
          </cell>
        </row>
        <row r="1811">
          <cell r="CA1811">
            <v>7935014</v>
          </cell>
          <cell r="CB1811">
            <v>0</v>
          </cell>
        </row>
        <row r="1812">
          <cell r="CA1812">
            <v>60361045</v>
          </cell>
          <cell r="CB1812">
            <v>12118800</v>
          </cell>
        </row>
        <row r="1813">
          <cell r="CA1813">
            <v>15649676</v>
          </cell>
          <cell r="CB1813">
            <v>1472018</v>
          </cell>
        </row>
        <row r="1814">
          <cell r="CA1814">
            <v>28873027</v>
          </cell>
          <cell r="CB1814">
            <v>23753316</v>
          </cell>
        </row>
        <row r="1815">
          <cell r="CA1815">
            <v>2833469</v>
          </cell>
          <cell r="CB1815">
            <v>0</v>
          </cell>
        </row>
        <row r="1816">
          <cell r="CA1816">
            <v>1000</v>
          </cell>
          <cell r="CB1816">
            <v>435515</v>
          </cell>
        </row>
        <row r="1817">
          <cell r="CA1817">
            <v>479084623</v>
          </cell>
          <cell r="CB1817">
            <v>97000000</v>
          </cell>
        </row>
        <row r="1818">
          <cell r="CA1818">
            <v>144588896</v>
          </cell>
          <cell r="CB1818">
            <v>29000000</v>
          </cell>
        </row>
        <row r="1819">
          <cell r="CA1819">
            <v>1000</v>
          </cell>
          <cell r="CB1819">
            <v>5800000</v>
          </cell>
        </row>
        <row r="1820">
          <cell r="CA1820">
            <v>70959463</v>
          </cell>
          <cell r="CB1820">
            <v>12411468</v>
          </cell>
        </row>
        <row r="1821">
          <cell r="CA1821">
            <v>27972612</v>
          </cell>
          <cell r="CB1821">
            <v>6000000</v>
          </cell>
        </row>
        <row r="1822">
          <cell r="CA1822">
            <v>662718</v>
          </cell>
          <cell r="CB1822">
            <v>0</v>
          </cell>
        </row>
        <row r="1823">
          <cell r="CA1823">
            <v>368722</v>
          </cell>
          <cell r="CB1823">
            <v>0</v>
          </cell>
        </row>
        <row r="1824">
          <cell r="CA1824">
            <v>11928338</v>
          </cell>
          <cell r="CB1824">
            <v>8324784</v>
          </cell>
        </row>
        <row r="1825">
          <cell r="CA1825">
            <v>15643435</v>
          </cell>
          <cell r="CB1825">
            <v>3000000</v>
          </cell>
        </row>
        <row r="1826">
          <cell r="CA1826">
            <v>44659975</v>
          </cell>
          <cell r="CB1826">
            <v>8890000</v>
          </cell>
        </row>
        <row r="1827">
          <cell r="CA1827">
            <v>19274043</v>
          </cell>
          <cell r="CB1827">
            <v>13500000</v>
          </cell>
        </row>
        <row r="1828">
          <cell r="CA1828">
            <v>378558145</v>
          </cell>
          <cell r="CB1828">
            <v>119616550</v>
          </cell>
        </row>
        <row r="1829">
          <cell r="CA1829">
            <v>32235770</v>
          </cell>
          <cell r="CB1829">
            <v>6000000</v>
          </cell>
        </row>
        <row r="1830">
          <cell r="CA1830">
            <v>12701131</v>
          </cell>
          <cell r="CB1830">
            <v>1549787</v>
          </cell>
        </row>
        <row r="1831">
          <cell r="CA1831">
            <v>86966175</v>
          </cell>
          <cell r="CB1831">
            <v>7997716</v>
          </cell>
        </row>
        <row r="1832">
          <cell r="CA1832">
            <v>1000</v>
          </cell>
          <cell r="CB1832">
            <v>0</v>
          </cell>
        </row>
        <row r="1833">
          <cell r="CA1833">
            <v>21074088</v>
          </cell>
          <cell r="CB1833">
            <v>3914952</v>
          </cell>
        </row>
        <row r="1834">
          <cell r="CA1834">
            <v>38230336</v>
          </cell>
          <cell r="CB1834">
            <v>7086009</v>
          </cell>
        </row>
        <row r="1835">
          <cell r="CA1835">
            <v>3374286</v>
          </cell>
          <cell r="CB1835">
            <v>600000</v>
          </cell>
        </row>
        <row r="1836">
          <cell r="CA1836">
            <v>885675</v>
          </cell>
          <cell r="CB1836">
            <v>0</v>
          </cell>
        </row>
        <row r="1837">
          <cell r="CA1837">
            <v>24459179</v>
          </cell>
          <cell r="CB1837">
            <v>249843</v>
          </cell>
        </row>
        <row r="1838">
          <cell r="CA1838">
            <v>13194528</v>
          </cell>
          <cell r="CB1838">
            <v>1294409</v>
          </cell>
        </row>
        <row r="1839">
          <cell r="CA1839">
            <v>23248463</v>
          </cell>
          <cell r="CB1839">
            <v>4906243</v>
          </cell>
        </row>
        <row r="1840">
          <cell r="CA1840">
            <v>2976051</v>
          </cell>
          <cell r="CB1840">
            <v>0</v>
          </cell>
        </row>
        <row r="1841">
          <cell r="CA1841">
            <v>143393333</v>
          </cell>
          <cell r="CB1841">
            <v>1395000</v>
          </cell>
        </row>
        <row r="1842">
          <cell r="CA1842">
            <v>34299516</v>
          </cell>
          <cell r="CB1842">
            <v>14080683</v>
          </cell>
        </row>
        <row r="1843">
          <cell r="CA1843">
            <v>278771</v>
          </cell>
          <cell r="CB1843">
            <v>0</v>
          </cell>
        </row>
        <row r="1844">
          <cell r="CA1844">
            <v>288062</v>
          </cell>
          <cell r="CB1844">
            <v>0</v>
          </cell>
        </row>
        <row r="1845">
          <cell r="CA1845">
            <v>315381</v>
          </cell>
          <cell r="CB1845">
            <v>0</v>
          </cell>
        </row>
        <row r="1846">
          <cell r="CA1846">
            <v>15044266</v>
          </cell>
          <cell r="CB1846">
            <v>2537400</v>
          </cell>
        </row>
        <row r="1847">
          <cell r="CA1847">
            <v>4305193</v>
          </cell>
          <cell r="CB1847">
            <v>0</v>
          </cell>
        </row>
        <row r="1848">
          <cell r="CA1848">
            <v>47732755</v>
          </cell>
          <cell r="CB1848">
            <v>21686272</v>
          </cell>
        </row>
        <row r="1849">
          <cell r="CA1849">
            <v>1155336</v>
          </cell>
          <cell r="CB1849">
            <v>0</v>
          </cell>
        </row>
        <row r="1850">
          <cell r="CA1850">
            <v>918168</v>
          </cell>
          <cell r="CB1850">
            <v>0</v>
          </cell>
        </row>
        <row r="1851">
          <cell r="CA1851">
            <v>491725</v>
          </cell>
          <cell r="CB1851">
            <v>0</v>
          </cell>
        </row>
        <row r="1852">
          <cell r="CA1852">
            <v>84816820</v>
          </cell>
          <cell r="CB1852">
            <v>32409757</v>
          </cell>
        </row>
        <row r="1853">
          <cell r="CA1853">
            <v>90466569</v>
          </cell>
          <cell r="CB1853">
            <v>33630432</v>
          </cell>
        </row>
        <row r="1854">
          <cell r="CA1854">
            <v>1000</v>
          </cell>
          <cell r="CB1854">
            <v>0</v>
          </cell>
        </row>
        <row r="1855">
          <cell r="CA1855">
            <v>1000</v>
          </cell>
          <cell r="CB1855">
            <v>0</v>
          </cell>
        </row>
        <row r="1856">
          <cell r="CA1856">
            <v>1000</v>
          </cell>
          <cell r="CB1856">
            <v>0</v>
          </cell>
        </row>
        <row r="1857">
          <cell r="CA1857">
            <v>1000</v>
          </cell>
          <cell r="CB1857">
            <v>0</v>
          </cell>
        </row>
        <row r="1858">
          <cell r="CA1858">
            <v>1000</v>
          </cell>
          <cell r="CB1858">
            <v>0</v>
          </cell>
        </row>
        <row r="1859">
          <cell r="CA1859">
            <v>29186969</v>
          </cell>
          <cell r="CB1859">
            <v>5000000</v>
          </cell>
        </row>
        <row r="1860">
          <cell r="CA1860">
            <v>6031492</v>
          </cell>
          <cell r="CB1860">
            <v>60000</v>
          </cell>
        </row>
        <row r="1861">
          <cell r="CA1861">
            <v>9044722</v>
          </cell>
          <cell r="CB1861">
            <v>89972</v>
          </cell>
        </row>
        <row r="1862">
          <cell r="CA1862">
            <v>1000</v>
          </cell>
          <cell r="CB1862">
            <v>0</v>
          </cell>
        </row>
        <row r="1863">
          <cell r="CA1863">
            <v>27797794</v>
          </cell>
          <cell r="CB1863">
            <v>10691772</v>
          </cell>
        </row>
        <row r="1864">
          <cell r="CA1864">
            <v>2458014</v>
          </cell>
          <cell r="CB1864">
            <v>0</v>
          </cell>
        </row>
        <row r="1865">
          <cell r="CA1865">
            <v>23832949</v>
          </cell>
          <cell r="CB1865">
            <v>23760000</v>
          </cell>
        </row>
        <row r="1866">
          <cell r="CA1866">
            <v>38582572</v>
          </cell>
          <cell r="CB1866">
            <v>8098529</v>
          </cell>
        </row>
        <row r="1867">
          <cell r="CA1867">
            <v>45485594</v>
          </cell>
          <cell r="CB1867">
            <v>8000000</v>
          </cell>
        </row>
        <row r="1868">
          <cell r="CA1868">
            <v>6628301</v>
          </cell>
          <cell r="CB1868">
            <v>0</v>
          </cell>
        </row>
        <row r="1869">
          <cell r="CA1869">
            <v>35987828</v>
          </cell>
          <cell r="CB1869">
            <v>14078623</v>
          </cell>
        </row>
        <row r="1870">
          <cell r="CA1870">
            <v>2964620</v>
          </cell>
          <cell r="CB1870">
            <v>0</v>
          </cell>
        </row>
        <row r="1871">
          <cell r="CA1871">
            <v>5433473</v>
          </cell>
          <cell r="CB1871">
            <v>0</v>
          </cell>
        </row>
        <row r="1872">
          <cell r="CA1872">
            <v>40202414</v>
          </cell>
          <cell r="CB1872">
            <v>0</v>
          </cell>
        </row>
        <row r="1873">
          <cell r="CA1873">
            <v>100827139</v>
          </cell>
          <cell r="CB1873">
            <v>1199992</v>
          </cell>
        </row>
        <row r="1874">
          <cell r="CA1874">
            <v>20435956</v>
          </cell>
          <cell r="CB1874">
            <v>4233451</v>
          </cell>
        </row>
        <row r="1875">
          <cell r="CA1875">
            <v>2094505</v>
          </cell>
          <cell r="CB1875">
            <v>0</v>
          </cell>
        </row>
        <row r="1876">
          <cell r="CA1876">
            <v>12902278</v>
          </cell>
          <cell r="CB1876">
            <v>1176439</v>
          </cell>
        </row>
        <row r="1877">
          <cell r="CA1877">
            <v>24881926</v>
          </cell>
          <cell r="CB1877">
            <v>6321876</v>
          </cell>
        </row>
        <row r="1878">
          <cell r="CA1878">
            <v>6161566</v>
          </cell>
          <cell r="CB1878">
            <v>6000000</v>
          </cell>
        </row>
        <row r="1879">
          <cell r="CA1879">
            <v>8025518</v>
          </cell>
          <cell r="CB1879">
            <v>0</v>
          </cell>
        </row>
        <row r="1880">
          <cell r="CA1880">
            <v>186682</v>
          </cell>
          <cell r="CB1880">
            <v>0</v>
          </cell>
        </row>
        <row r="1881">
          <cell r="CA1881">
            <v>17933846</v>
          </cell>
          <cell r="CB1881">
            <v>3200000</v>
          </cell>
        </row>
        <row r="1882">
          <cell r="CA1882">
            <v>43962509</v>
          </cell>
          <cell r="CB1882">
            <v>8179847</v>
          </cell>
        </row>
        <row r="1883">
          <cell r="CA1883">
            <v>8909743</v>
          </cell>
          <cell r="CB1883">
            <v>0</v>
          </cell>
        </row>
        <row r="1884">
          <cell r="CA1884">
            <v>24801229</v>
          </cell>
          <cell r="CB1884">
            <v>2998196</v>
          </cell>
        </row>
        <row r="1885">
          <cell r="CA1885">
            <v>22839851</v>
          </cell>
          <cell r="CB1885">
            <v>22330141</v>
          </cell>
        </row>
        <row r="1886">
          <cell r="CA1886">
            <v>94679810</v>
          </cell>
          <cell r="CB1886">
            <v>14707616</v>
          </cell>
        </row>
        <row r="1887">
          <cell r="CA1887">
            <v>15881268</v>
          </cell>
          <cell r="CB1887">
            <v>0</v>
          </cell>
        </row>
        <row r="1888">
          <cell r="CA1888">
            <v>9170040</v>
          </cell>
          <cell r="CB1888">
            <v>0</v>
          </cell>
        </row>
        <row r="1889">
          <cell r="CA1889">
            <v>44085073</v>
          </cell>
          <cell r="CB1889">
            <v>7628037</v>
          </cell>
        </row>
        <row r="1890">
          <cell r="CA1890">
            <v>4480663</v>
          </cell>
          <cell r="CB1890">
            <v>0</v>
          </cell>
        </row>
        <row r="1891">
          <cell r="CA1891">
            <v>3655403</v>
          </cell>
          <cell r="CB1891">
            <v>0</v>
          </cell>
        </row>
        <row r="1892">
          <cell r="CA1892">
            <v>2460746836</v>
          </cell>
          <cell r="CB1892">
            <v>1062138210</v>
          </cell>
        </row>
        <row r="1893">
          <cell r="CA1893">
            <v>7319889</v>
          </cell>
          <cell r="CB1893">
            <v>0</v>
          </cell>
        </row>
        <row r="1894">
          <cell r="CA1894">
            <v>2174021</v>
          </cell>
          <cell r="CB1894">
            <v>0</v>
          </cell>
        </row>
        <row r="1895">
          <cell r="CA1895">
            <v>15225449</v>
          </cell>
          <cell r="CB1895">
            <v>1006901</v>
          </cell>
        </row>
        <row r="1896">
          <cell r="CA1896">
            <v>1262865</v>
          </cell>
          <cell r="CB1896">
            <v>0</v>
          </cell>
        </row>
        <row r="1897">
          <cell r="CA1897">
            <v>280549</v>
          </cell>
          <cell r="CB1897">
            <v>0</v>
          </cell>
        </row>
        <row r="1898">
          <cell r="CA1898">
            <v>2474417</v>
          </cell>
          <cell r="CB1898">
            <v>0</v>
          </cell>
        </row>
        <row r="1899">
          <cell r="CA1899">
            <v>10053521</v>
          </cell>
          <cell r="CB1899">
            <v>0</v>
          </cell>
        </row>
        <row r="1900">
          <cell r="CA1900">
            <v>3002928</v>
          </cell>
          <cell r="CB1900">
            <v>0</v>
          </cell>
        </row>
        <row r="1901">
          <cell r="CA1901">
            <v>369211719</v>
          </cell>
          <cell r="CB1901">
            <v>3679928</v>
          </cell>
        </row>
        <row r="1902">
          <cell r="CA1902">
            <v>24687037</v>
          </cell>
          <cell r="CB1902">
            <v>168000</v>
          </cell>
        </row>
        <row r="1903">
          <cell r="CA1903">
            <v>163855358</v>
          </cell>
          <cell r="CB1903">
            <v>37633000</v>
          </cell>
        </row>
        <row r="1904">
          <cell r="CA1904">
            <v>1000</v>
          </cell>
          <cell r="CB1904">
            <v>0</v>
          </cell>
        </row>
        <row r="1905">
          <cell r="CA1905">
            <v>15811008</v>
          </cell>
          <cell r="CB1905">
            <v>4435860</v>
          </cell>
        </row>
        <row r="1906">
          <cell r="CA1906">
            <v>7895764</v>
          </cell>
          <cell r="CB1906">
            <v>0</v>
          </cell>
        </row>
        <row r="1907">
          <cell r="CA1907">
            <v>3733638</v>
          </cell>
          <cell r="CB1907">
            <v>0</v>
          </cell>
        </row>
        <row r="1908">
          <cell r="CA1908">
            <v>7130740</v>
          </cell>
          <cell r="CB1908">
            <v>0</v>
          </cell>
        </row>
        <row r="1909">
          <cell r="CA1909">
            <v>37275231</v>
          </cell>
          <cell r="CB1909">
            <v>20000000</v>
          </cell>
        </row>
        <row r="1910">
          <cell r="CA1910">
            <v>162651907</v>
          </cell>
          <cell r="CB1910">
            <v>50643175</v>
          </cell>
        </row>
        <row r="1911">
          <cell r="CA1911">
            <v>2882659</v>
          </cell>
          <cell r="CB1911">
            <v>0</v>
          </cell>
        </row>
        <row r="1912">
          <cell r="CA1912">
            <v>409516</v>
          </cell>
          <cell r="CB1912">
            <v>0</v>
          </cell>
        </row>
        <row r="1913">
          <cell r="CA1913">
            <v>9773584</v>
          </cell>
          <cell r="CB1913">
            <v>1000000</v>
          </cell>
        </row>
        <row r="1914">
          <cell r="CA1914">
            <v>1669361</v>
          </cell>
          <cell r="CB1914">
            <v>0</v>
          </cell>
        </row>
        <row r="1915">
          <cell r="CA1915">
            <v>9910952</v>
          </cell>
          <cell r="CB1915">
            <v>1870851</v>
          </cell>
        </row>
        <row r="1916">
          <cell r="CA1916">
            <v>2511906</v>
          </cell>
          <cell r="CB1916">
            <v>2299563</v>
          </cell>
        </row>
        <row r="1917">
          <cell r="CA1917">
            <v>3573681</v>
          </cell>
          <cell r="CB1917">
            <v>0</v>
          </cell>
        </row>
        <row r="1918">
          <cell r="CA1918">
            <v>355451</v>
          </cell>
          <cell r="CB1918">
            <v>270000</v>
          </cell>
        </row>
        <row r="1919">
          <cell r="CA1919">
            <v>124497793</v>
          </cell>
          <cell r="CB1919">
            <v>2500000</v>
          </cell>
        </row>
        <row r="1920">
          <cell r="CA1920">
            <v>159312</v>
          </cell>
          <cell r="CB1920">
            <v>0</v>
          </cell>
        </row>
        <row r="1921">
          <cell r="CA1921">
            <v>276005</v>
          </cell>
          <cell r="CB1921">
            <v>23003</v>
          </cell>
        </row>
        <row r="1922">
          <cell r="CA1922">
            <v>20720525</v>
          </cell>
          <cell r="CB1922">
            <v>1756141</v>
          </cell>
        </row>
        <row r="1923">
          <cell r="CA1923">
            <v>8124079</v>
          </cell>
          <cell r="CB1923">
            <v>0</v>
          </cell>
        </row>
        <row r="1924">
          <cell r="CA1924">
            <v>36245365</v>
          </cell>
          <cell r="CB1924">
            <v>9297673</v>
          </cell>
        </row>
        <row r="1925">
          <cell r="CA1925">
            <v>10690171</v>
          </cell>
          <cell r="CB1925">
            <v>1995937</v>
          </cell>
        </row>
        <row r="1926">
          <cell r="CA1926">
            <v>60678767</v>
          </cell>
          <cell r="CB1926">
            <v>20421500</v>
          </cell>
        </row>
        <row r="1927">
          <cell r="CA1927">
            <v>6190135</v>
          </cell>
          <cell r="CB1927">
            <v>0</v>
          </cell>
        </row>
        <row r="1928">
          <cell r="CA1928">
            <v>13239722</v>
          </cell>
          <cell r="CB1928">
            <v>0</v>
          </cell>
        </row>
        <row r="1929">
          <cell r="CA1929">
            <v>1571074</v>
          </cell>
          <cell r="CB1929">
            <v>0</v>
          </cell>
        </row>
        <row r="1930">
          <cell r="CA1930">
            <v>6054537</v>
          </cell>
          <cell r="CB1930">
            <v>0</v>
          </cell>
        </row>
        <row r="1931">
          <cell r="CA1931">
            <v>34199200</v>
          </cell>
          <cell r="CB1931">
            <v>5999743</v>
          </cell>
        </row>
        <row r="1932">
          <cell r="CA1932">
            <v>4128475</v>
          </cell>
          <cell r="CB1932">
            <v>0</v>
          </cell>
        </row>
        <row r="1933">
          <cell r="CA1933">
            <v>19633937</v>
          </cell>
          <cell r="CB1933">
            <v>199293</v>
          </cell>
        </row>
        <row r="1934">
          <cell r="CA1934">
            <v>25791283</v>
          </cell>
          <cell r="CB1934">
            <v>4796599</v>
          </cell>
        </row>
        <row r="1935">
          <cell r="CA1935">
            <v>2224783</v>
          </cell>
          <cell r="CB1935">
            <v>3401</v>
          </cell>
        </row>
        <row r="1936">
          <cell r="CA1936">
            <v>509798</v>
          </cell>
          <cell r="CB1936">
            <v>0</v>
          </cell>
        </row>
        <row r="1937">
          <cell r="CA1937">
            <v>795529</v>
          </cell>
          <cell r="CB1937">
            <v>0</v>
          </cell>
        </row>
        <row r="1938">
          <cell r="CA1938">
            <v>137851</v>
          </cell>
          <cell r="CB1938">
            <v>0</v>
          </cell>
        </row>
        <row r="1939">
          <cell r="CA1939">
            <v>1235321</v>
          </cell>
          <cell r="CB1939">
            <v>0</v>
          </cell>
        </row>
        <row r="1940">
          <cell r="CA1940">
            <v>41195233</v>
          </cell>
          <cell r="CB1940">
            <v>6399079</v>
          </cell>
        </row>
        <row r="1941">
          <cell r="CA1941">
            <v>954629</v>
          </cell>
          <cell r="CB1941">
            <v>0</v>
          </cell>
        </row>
        <row r="1942">
          <cell r="CA1942">
            <v>35332</v>
          </cell>
          <cell r="CB1942">
            <v>0</v>
          </cell>
        </row>
        <row r="1943">
          <cell r="CA1943">
            <v>1118100</v>
          </cell>
          <cell r="CB1943">
            <v>0</v>
          </cell>
        </row>
        <row r="1944">
          <cell r="CA1944">
            <v>128834057</v>
          </cell>
          <cell r="CB1944">
            <v>1290000</v>
          </cell>
        </row>
        <row r="1945">
          <cell r="CA1945">
            <v>21126533</v>
          </cell>
          <cell r="CB1945">
            <v>6461195</v>
          </cell>
        </row>
        <row r="1946">
          <cell r="CA1946">
            <v>98710151</v>
          </cell>
          <cell r="CB1946">
            <v>9998387</v>
          </cell>
        </row>
        <row r="1947">
          <cell r="CA1947">
            <v>2131947</v>
          </cell>
          <cell r="CB1947">
            <v>0</v>
          </cell>
        </row>
        <row r="1948">
          <cell r="CA1948">
            <v>1937853</v>
          </cell>
          <cell r="CB1948">
            <v>0</v>
          </cell>
        </row>
        <row r="1949">
          <cell r="CA1949">
            <v>2021847</v>
          </cell>
          <cell r="CB1949">
            <v>0</v>
          </cell>
        </row>
        <row r="1950">
          <cell r="CA1950">
            <v>73143848</v>
          </cell>
          <cell r="CB1950">
            <v>12832781</v>
          </cell>
        </row>
        <row r="1951">
          <cell r="CA1951">
            <v>200964913</v>
          </cell>
          <cell r="CB1951">
            <v>35997443</v>
          </cell>
        </row>
        <row r="1952">
          <cell r="CA1952">
            <v>237985936</v>
          </cell>
          <cell r="CB1952">
            <v>41400000</v>
          </cell>
        </row>
        <row r="1953">
          <cell r="CA1953">
            <v>13963116</v>
          </cell>
          <cell r="CB1953">
            <v>0</v>
          </cell>
        </row>
        <row r="1954">
          <cell r="CA1954">
            <v>86466774</v>
          </cell>
          <cell r="CB1954">
            <v>0</v>
          </cell>
        </row>
        <row r="1955">
          <cell r="CA1955">
            <v>426189816</v>
          </cell>
          <cell r="CB1955">
            <v>254196462</v>
          </cell>
        </row>
        <row r="1956">
          <cell r="CA1956">
            <v>18411769</v>
          </cell>
          <cell r="CB1956">
            <v>3250726</v>
          </cell>
        </row>
        <row r="1957">
          <cell r="CA1957">
            <v>720041974</v>
          </cell>
          <cell r="CB1957">
            <v>7999851</v>
          </cell>
        </row>
        <row r="1958">
          <cell r="CA1958">
            <v>13054185</v>
          </cell>
          <cell r="CB1958">
            <v>118676</v>
          </cell>
        </row>
        <row r="1959">
          <cell r="CA1959">
            <v>16614235</v>
          </cell>
          <cell r="CB1959">
            <v>4142919</v>
          </cell>
        </row>
        <row r="1960">
          <cell r="CA1960">
            <v>789774</v>
          </cell>
          <cell r="CB1960">
            <v>2975000</v>
          </cell>
        </row>
        <row r="1961">
          <cell r="CA1961">
            <v>167844532</v>
          </cell>
          <cell r="CB1961">
            <v>20998092</v>
          </cell>
        </row>
        <row r="1962">
          <cell r="CA1962">
            <v>77300313</v>
          </cell>
          <cell r="CB1962">
            <v>9800000</v>
          </cell>
        </row>
        <row r="1963">
          <cell r="CA1963">
            <v>11138834</v>
          </cell>
          <cell r="CB1963">
            <v>1000000</v>
          </cell>
        </row>
        <row r="1964">
          <cell r="CA1964">
            <v>2689266</v>
          </cell>
          <cell r="CB1964">
            <v>0</v>
          </cell>
        </row>
        <row r="1965">
          <cell r="CA1965">
            <v>57339240</v>
          </cell>
          <cell r="CB1965">
            <v>11860668</v>
          </cell>
        </row>
        <row r="1966">
          <cell r="CA1966">
            <v>255002</v>
          </cell>
          <cell r="CB1966">
            <v>0</v>
          </cell>
        </row>
        <row r="1967">
          <cell r="CA1967">
            <v>137897</v>
          </cell>
          <cell r="CB1967">
            <v>0</v>
          </cell>
        </row>
        <row r="1968">
          <cell r="CA1968">
            <v>17293924</v>
          </cell>
          <cell r="CB1968">
            <v>3000000</v>
          </cell>
        </row>
        <row r="1969">
          <cell r="CA1969">
            <v>15965148</v>
          </cell>
          <cell r="CB1969">
            <v>5114749</v>
          </cell>
        </row>
        <row r="1970">
          <cell r="CA1970">
            <v>64256007</v>
          </cell>
          <cell r="CB1970">
            <v>11400000</v>
          </cell>
        </row>
        <row r="1971">
          <cell r="CA1971">
            <v>19897718</v>
          </cell>
          <cell r="CB1971">
            <v>0</v>
          </cell>
        </row>
        <row r="1972">
          <cell r="CA1972">
            <v>5280977</v>
          </cell>
          <cell r="CB1972">
            <v>0</v>
          </cell>
        </row>
        <row r="1973">
          <cell r="CA1973">
            <v>4118308</v>
          </cell>
          <cell r="CB1973">
            <v>0</v>
          </cell>
        </row>
        <row r="1974">
          <cell r="CA1974">
            <v>368427692</v>
          </cell>
          <cell r="CB1974">
            <v>71241472</v>
          </cell>
        </row>
        <row r="1975">
          <cell r="CA1975">
            <v>12524860</v>
          </cell>
          <cell r="CB1975">
            <v>0</v>
          </cell>
        </row>
        <row r="1976">
          <cell r="CA1976">
            <v>11287</v>
          </cell>
          <cell r="CB1976">
            <v>0</v>
          </cell>
        </row>
        <row r="1977">
          <cell r="CA1977">
            <v>379143</v>
          </cell>
          <cell r="CB1977">
            <v>0</v>
          </cell>
        </row>
        <row r="1978">
          <cell r="CA1978">
            <v>25751115</v>
          </cell>
          <cell r="CB1978">
            <v>0</v>
          </cell>
        </row>
        <row r="1979">
          <cell r="CA1979">
            <v>67027790</v>
          </cell>
          <cell r="CB1979">
            <v>12000000</v>
          </cell>
        </row>
        <row r="1980">
          <cell r="CA1980">
            <v>8351794</v>
          </cell>
          <cell r="CB1980">
            <v>0</v>
          </cell>
        </row>
        <row r="1981">
          <cell r="CA1981">
            <v>53775269</v>
          </cell>
          <cell r="CB1981">
            <v>6000000</v>
          </cell>
        </row>
        <row r="1982">
          <cell r="CA1982">
            <v>27427073</v>
          </cell>
          <cell r="CB1982">
            <v>3000000</v>
          </cell>
        </row>
        <row r="1983">
          <cell r="CA1983">
            <v>16652248</v>
          </cell>
          <cell r="CB1983">
            <v>1869705</v>
          </cell>
        </row>
        <row r="1984">
          <cell r="CA1984">
            <v>787708</v>
          </cell>
          <cell r="CB1984">
            <v>0</v>
          </cell>
        </row>
        <row r="1985">
          <cell r="CA1985">
            <v>23481651</v>
          </cell>
          <cell r="CB1985">
            <v>4000000</v>
          </cell>
        </row>
        <row r="1986">
          <cell r="CA1986">
            <v>1940524</v>
          </cell>
          <cell r="CB1986">
            <v>0</v>
          </cell>
        </row>
        <row r="1987">
          <cell r="CA1987">
            <v>18727466</v>
          </cell>
          <cell r="CB1987">
            <v>3200000</v>
          </cell>
        </row>
        <row r="1988">
          <cell r="CA1988">
            <v>2778535</v>
          </cell>
          <cell r="CB1988">
            <v>0</v>
          </cell>
        </row>
        <row r="1989">
          <cell r="CA1989">
            <v>23977275</v>
          </cell>
          <cell r="CB1989">
            <v>2999071</v>
          </cell>
        </row>
        <row r="1990">
          <cell r="CA1990">
            <v>7917169</v>
          </cell>
          <cell r="CB1990">
            <v>998084</v>
          </cell>
        </row>
        <row r="1991">
          <cell r="CA1991">
            <v>180868</v>
          </cell>
          <cell r="CB1991">
            <v>500000</v>
          </cell>
        </row>
        <row r="1992">
          <cell r="CA1992">
            <v>1229315</v>
          </cell>
          <cell r="CB1992">
            <v>0</v>
          </cell>
        </row>
        <row r="1993">
          <cell r="CA1993">
            <v>17923127</v>
          </cell>
          <cell r="CB1993">
            <v>297150</v>
          </cell>
        </row>
        <row r="1994">
          <cell r="CA1994">
            <v>73148343</v>
          </cell>
          <cell r="CB1994">
            <v>750000</v>
          </cell>
        </row>
        <row r="1995">
          <cell r="CA1995">
            <v>34293231</v>
          </cell>
          <cell r="CB1995">
            <v>6000000</v>
          </cell>
        </row>
        <row r="1996">
          <cell r="CA1996">
            <v>24171160</v>
          </cell>
          <cell r="CB1996">
            <v>7750350</v>
          </cell>
        </row>
        <row r="1997">
          <cell r="CA1997">
            <v>69915</v>
          </cell>
          <cell r="CB1997">
            <v>0</v>
          </cell>
        </row>
        <row r="1998">
          <cell r="CA1998">
            <v>1303160</v>
          </cell>
          <cell r="CB1998">
            <v>9900000</v>
          </cell>
        </row>
        <row r="1999">
          <cell r="CA1999">
            <v>43207980</v>
          </cell>
          <cell r="CB1999">
            <v>12022739</v>
          </cell>
        </row>
        <row r="2000">
          <cell r="CA2000">
            <v>13419805</v>
          </cell>
          <cell r="CB2000">
            <v>2999110</v>
          </cell>
        </row>
        <row r="2001">
          <cell r="CA2001">
            <v>1158641</v>
          </cell>
          <cell r="CB2001">
            <v>0</v>
          </cell>
        </row>
        <row r="2002">
          <cell r="CA2002">
            <v>3397752</v>
          </cell>
          <cell r="CB2002">
            <v>0</v>
          </cell>
        </row>
        <row r="2003">
          <cell r="CA2003">
            <v>15202842</v>
          </cell>
          <cell r="CB2003">
            <v>2014987</v>
          </cell>
        </row>
        <row r="2004">
          <cell r="CA2004">
            <v>77647021</v>
          </cell>
          <cell r="CB2004">
            <v>23805661</v>
          </cell>
        </row>
        <row r="2005">
          <cell r="CA2005">
            <v>10688583</v>
          </cell>
          <cell r="CB2005">
            <v>6188827</v>
          </cell>
        </row>
        <row r="2006">
          <cell r="CA2006">
            <v>4021953</v>
          </cell>
          <cell r="CB2006">
            <v>575881</v>
          </cell>
        </row>
        <row r="2007">
          <cell r="CA2007">
            <v>3451778</v>
          </cell>
          <cell r="CB2007">
            <v>489472</v>
          </cell>
        </row>
        <row r="2008">
          <cell r="CA2008">
            <v>613771</v>
          </cell>
          <cell r="CB2008">
            <v>0</v>
          </cell>
        </row>
        <row r="2009">
          <cell r="CA2009">
            <v>8184607</v>
          </cell>
          <cell r="CB2009">
            <v>9690944</v>
          </cell>
        </row>
        <row r="2010">
          <cell r="CA2010">
            <v>34941602</v>
          </cell>
          <cell r="CB2010">
            <v>8996551</v>
          </cell>
        </row>
        <row r="2011">
          <cell r="CA2011">
            <v>2589313</v>
          </cell>
          <cell r="CB2011">
            <v>697784</v>
          </cell>
        </row>
        <row r="2012">
          <cell r="CA2012">
            <v>112943696</v>
          </cell>
          <cell r="CB2012">
            <v>25051833</v>
          </cell>
        </row>
        <row r="2013">
          <cell r="CA2013">
            <v>2214397</v>
          </cell>
          <cell r="CB2013">
            <v>14850000</v>
          </cell>
        </row>
        <row r="2014">
          <cell r="CA2014">
            <v>1861590</v>
          </cell>
          <cell r="CB2014">
            <v>12573000</v>
          </cell>
        </row>
        <row r="2015">
          <cell r="CA2015">
            <v>714310</v>
          </cell>
          <cell r="CB2015">
            <v>685872</v>
          </cell>
        </row>
        <row r="2016">
          <cell r="CA2016">
            <v>127804766</v>
          </cell>
          <cell r="CB2016">
            <v>26928840</v>
          </cell>
        </row>
        <row r="2017">
          <cell r="CA2017">
            <v>3282372</v>
          </cell>
          <cell r="CB2017">
            <v>269912</v>
          </cell>
        </row>
        <row r="2018">
          <cell r="CA2018">
            <v>64223587</v>
          </cell>
          <cell r="CB2018">
            <v>599796</v>
          </cell>
        </row>
        <row r="2019">
          <cell r="CA2019">
            <v>2213497</v>
          </cell>
          <cell r="CB2019">
            <v>182110</v>
          </cell>
        </row>
        <row r="2020">
          <cell r="CA2020">
            <v>7140002</v>
          </cell>
          <cell r="CB2020">
            <v>35960</v>
          </cell>
        </row>
        <row r="2021">
          <cell r="CA2021">
            <v>13677040</v>
          </cell>
          <cell r="CB2021">
            <v>88900</v>
          </cell>
        </row>
        <row r="2022">
          <cell r="CA2022">
            <v>2218104</v>
          </cell>
          <cell r="CB2022">
            <v>193246</v>
          </cell>
        </row>
        <row r="2023">
          <cell r="CA2023">
            <v>144346</v>
          </cell>
          <cell r="CB2023">
            <v>28750</v>
          </cell>
        </row>
        <row r="2024">
          <cell r="CA2024">
            <v>48098059</v>
          </cell>
          <cell r="CB2024">
            <v>450000</v>
          </cell>
        </row>
        <row r="2025">
          <cell r="CA2025">
            <v>1000</v>
          </cell>
          <cell r="CB2025">
            <v>220676</v>
          </cell>
        </row>
        <row r="2026">
          <cell r="CA2026">
            <v>175479519</v>
          </cell>
          <cell r="CB2026">
            <v>33400000</v>
          </cell>
        </row>
        <row r="2027">
          <cell r="CA2027">
            <v>309721650</v>
          </cell>
          <cell r="CB2027">
            <v>60000000</v>
          </cell>
        </row>
        <row r="2028">
          <cell r="CA2028">
            <v>1000</v>
          </cell>
          <cell r="CB2028">
            <v>223941</v>
          </cell>
        </row>
        <row r="2029">
          <cell r="CA2029">
            <v>452108203</v>
          </cell>
          <cell r="CB2029">
            <v>178040800</v>
          </cell>
        </row>
        <row r="2030">
          <cell r="CA2030">
            <v>70079646</v>
          </cell>
          <cell r="CB2030">
            <v>33000000</v>
          </cell>
        </row>
        <row r="2031">
          <cell r="CA2031">
            <v>102138401</v>
          </cell>
          <cell r="CB2031">
            <v>34361975</v>
          </cell>
        </row>
        <row r="2032">
          <cell r="CA2032">
            <v>11284144</v>
          </cell>
          <cell r="CB2032">
            <v>0</v>
          </cell>
        </row>
        <row r="2033">
          <cell r="CA2033">
            <v>60685039</v>
          </cell>
          <cell r="CB2033">
            <v>1979402</v>
          </cell>
        </row>
        <row r="2034">
          <cell r="CA2034">
            <v>7277673</v>
          </cell>
          <cell r="CB2034">
            <v>1900000</v>
          </cell>
        </row>
        <row r="2035">
          <cell r="CA2035">
            <v>9869444</v>
          </cell>
          <cell r="CB2035">
            <v>929170</v>
          </cell>
        </row>
        <row r="2036">
          <cell r="CA2036">
            <v>1354593</v>
          </cell>
          <cell r="CB2036">
            <v>0</v>
          </cell>
        </row>
        <row r="2037">
          <cell r="CA2037">
            <v>21334183</v>
          </cell>
          <cell r="CB2037">
            <v>3567684</v>
          </cell>
        </row>
        <row r="2038">
          <cell r="CA2038">
            <v>4688348</v>
          </cell>
          <cell r="CB2038">
            <v>433146</v>
          </cell>
        </row>
        <row r="2039">
          <cell r="CA2039">
            <v>13096265</v>
          </cell>
          <cell r="CB2039">
            <v>6478266</v>
          </cell>
        </row>
        <row r="2040">
          <cell r="CA2040">
            <v>4151128</v>
          </cell>
          <cell r="CB2040">
            <v>379009</v>
          </cell>
        </row>
        <row r="2041">
          <cell r="CA2041">
            <v>205456</v>
          </cell>
          <cell r="CB2041">
            <v>0</v>
          </cell>
        </row>
        <row r="2042">
          <cell r="CA2042">
            <v>24776207</v>
          </cell>
          <cell r="CB2042">
            <v>2900000</v>
          </cell>
        </row>
        <row r="2043">
          <cell r="CA2043">
            <v>97447343</v>
          </cell>
          <cell r="CB2043">
            <v>9300000</v>
          </cell>
        </row>
        <row r="2044">
          <cell r="CA2044">
            <v>5435167</v>
          </cell>
          <cell r="CB2044">
            <v>0</v>
          </cell>
        </row>
        <row r="2045">
          <cell r="CA2045">
            <v>121141948</v>
          </cell>
          <cell r="CB2045">
            <v>56048073</v>
          </cell>
        </row>
        <row r="2046">
          <cell r="CA2046">
            <v>13009179</v>
          </cell>
          <cell r="CB2046">
            <v>0</v>
          </cell>
        </row>
        <row r="2047">
          <cell r="CA2047">
            <v>956277</v>
          </cell>
          <cell r="CB2047">
            <v>494905</v>
          </cell>
        </row>
        <row r="2048">
          <cell r="CA2048">
            <v>3335868</v>
          </cell>
          <cell r="CB2048">
            <v>8604505</v>
          </cell>
        </row>
        <row r="2049">
          <cell r="CA2049">
            <v>13822708</v>
          </cell>
          <cell r="CB2049">
            <v>2340000</v>
          </cell>
        </row>
        <row r="2050">
          <cell r="CA2050">
            <v>1000</v>
          </cell>
          <cell r="CB2050">
            <v>0</v>
          </cell>
        </row>
        <row r="2051">
          <cell r="CA2051">
            <v>17339404</v>
          </cell>
          <cell r="CB2051">
            <v>2686728</v>
          </cell>
        </row>
        <row r="2052">
          <cell r="CA2052">
            <v>9728200</v>
          </cell>
          <cell r="CB2052">
            <v>0</v>
          </cell>
        </row>
        <row r="2053">
          <cell r="CA2053">
            <v>7444080</v>
          </cell>
          <cell r="CB2053">
            <v>0</v>
          </cell>
        </row>
        <row r="2054">
          <cell r="CA2054">
            <v>4631470</v>
          </cell>
          <cell r="CB2054">
            <v>0</v>
          </cell>
        </row>
        <row r="2055">
          <cell r="CA2055">
            <v>274467303</v>
          </cell>
          <cell r="CB2055">
            <v>1890000</v>
          </cell>
        </row>
        <row r="2056">
          <cell r="CA2056">
            <v>65815730</v>
          </cell>
          <cell r="CB2056">
            <v>448000</v>
          </cell>
        </row>
        <row r="2057">
          <cell r="CA2057">
            <v>30442484</v>
          </cell>
          <cell r="CB2057">
            <v>299798</v>
          </cell>
        </row>
        <row r="2058">
          <cell r="CA2058">
            <v>133358703</v>
          </cell>
          <cell r="CB2058">
            <v>832444</v>
          </cell>
        </row>
        <row r="2059">
          <cell r="CA2059">
            <v>43989741</v>
          </cell>
          <cell r="CB2059">
            <v>0</v>
          </cell>
        </row>
        <row r="2060">
          <cell r="CA2060">
            <v>82703656</v>
          </cell>
          <cell r="CB2060">
            <v>14500000</v>
          </cell>
        </row>
        <row r="2061">
          <cell r="CA2061">
            <v>142816396</v>
          </cell>
          <cell r="CB2061">
            <v>28212800</v>
          </cell>
        </row>
        <row r="2062">
          <cell r="CA2062">
            <v>3982350</v>
          </cell>
          <cell r="CB2062">
            <v>0</v>
          </cell>
        </row>
        <row r="2063">
          <cell r="CA2063">
            <v>6426453</v>
          </cell>
          <cell r="CB2063">
            <v>0</v>
          </cell>
        </row>
        <row r="2064">
          <cell r="CA2064">
            <v>9057254</v>
          </cell>
          <cell r="CB2064">
            <v>8835717</v>
          </cell>
        </row>
        <row r="2065">
          <cell r="CA2065">
            <v>17350567</v>
          </cell>
          <cell r="CB2065">
            <v>1865359</v>
          </cell>
        </row>
        <row r="2066">
          <cell r="CA2066">
            <v>29405729</v>
          </cell>
          <cell r="CB2066">
            <v>5200000</v>
          </cell>
        </row>
        <row r="2067">
          <cell r="CA2067">
            <v>10207022</v>
          </cell>
          <cell r="CB2067">
            <v>8910000</v>
          </cell>
        </row>
        <row r="2068">
          <cell r="CA2068">
            <v>4244130</v>
          </cell>
          <cell r="CB2068">
            <v>0</v>
          </cell>
        </row>
        <row r="2069">
          <cell r="CA2069">
            <v>51052451</v>
          </cell>
          <cell r="CB2069">
            <v>497130</v>
          </cell>
        </row>
        <row r="2070">
          <cell r="CA2070">
            <v>50428138</v>
          </cell>
          <cell r="CB2070">
            <v>499825</v>
          </cell>
        </row>
        <row r="2071">
          <cell r="CA2071">
            <v>4459019</v>
          </cell>
          <cell r="CB2071">
            <v>0</v>
          </cell>
        </row>
        <row r="2072">
          <cell r="CA2072">
            <v>52920382</v>
          </cell>
          <cell r="CB2072">
            <v>13400000</v>
          </cell>
        </row>
        <row r="2073">
          <cell r="CA2073">
            <v>321891119</v>
          </cell>
          <cell r="CB2073">
            <v>72681837</v>
          </cell>
        </row>
        <row r="2074">
          <cell r="CA2074">
            <v>49230498</v>
          </cell>
          <cell r="CB2074">
            <v>0</v>
          </cell>
        </row>
        <row r="2075">
          <cell r="CA2075">
            <v>27849396</v>
          </cell>
          <cell r="CB2075">
            <v>2498672</v>
          </cell>
        </row>
        <row r="2076">
          <cell r="CA2076">
            <v>467842126</v>
          </cell>
          <cell r="CB2076">
            <v>392664000</v>
          </cell>
        </row>
        <row r="2077">
          <cell r="CA2077">
            <v>22107497</v>
          </cell>
          <cell r="CB2077">
            <v>8900000</v>
          </cell>
        </row>
        <row r="2078">
          <cell r="CA2078">
            <v>12629102</v>
          </cell>
          <cell r="CB2078">
            <v>4219041</v>
          </cell>
        </row>
        <row r="2079">
          <cell r="CA2079">
            <v>15283381</v>
          </cell>
          <cell r="CB2079">
            <v>2800000</v>
          </cell>
        </row>
        <row r="2080">
          <cell r="CA2080">
            <v>67243284</v>
          </cell>
          <cell r="CB2080">
            <v>12600000</v>
          </cell>
        </row>
        <row r="2081">
          <cell r="CA2081">
            <v>30073745</v>
          </cell>
          <cell r="CB2081">
            <v>0</v>
          </cell>
        </row>
        <row r="2082">
          <cell r="CA2082">
            <v>12484495</v>
          </cell>
          <cell r="CB2082">
            <v>0</v>
          </cell>
        </row>
        <row r="2083">
          <cell r="CA2083">
            <v>13238241</v>
          </cell>
          <cell r="CB2083">
            <v>0</v>
          </cell>
        </row>
        <row r="2084">
          <cell r="CA2084">
            <v>177177</v>
          </cell>
          <cell r="CB2084">
            <v>0</v>
          </cell>
        </row>
        <row r="2085">
          <cell r="CA2085">
            <v>742702</v>
          </cell>
          <cell r="CB2085">
            <v>0</v>
          </cell>
        </row>
        <row r="2086">
          <cell r="CA2086">
            <v>31029447</v>
          </cell>
          <cell r="CB2086">
            <v>8378696</v>
          </cell>
        </row>
        <row r="2087">
          <cell r="CA2087">
            <v>187911</v>
          </cell>
          <cell r="CB2087">
            <v>0</v>
          </cell>
        </row>
        <row r="2088">
          <cell r="CA2088">
            <v>1031972</v>
          </cell>
          <cell r="CB2088">
            <v>0</v>
          </cell>
        </row>
        <row r="2089">
          <cell r="CA2089">
            <v>7821816</v>
          </cell>
          <cell r="CB2089">
            <v>90999</v>
          </cell>
        </row>
        <row r="2090">
          <cell r="CA2090">
            <v>39139618</v>
          </cell>
          <cell r="CB2090">
            <v>367923</v>
          </cell>
        </row>
        <row r="2091">
          <cell r="CA2091">
            <v>1000</v>
          </cell>
          <cell r="CB2091">
            <v>0</v>
          </cell>
        </row>
        <row r="2092">
          <cell r="CA2092">
            <v>32259579</v>
          </cell>
          <cell r="CB2092">
            <v>3000000</v>
          </cell>
        </row>
        <row r="2093">
          <cell r="CA2093">
            <v>6393471</v>
          </cell>
          <cell r="CB2093">
            <v>0</v>
          </cell>
        </row>
        <row r="2094">
          <cell r="CA2094">
            <v>731067</v>
          </cell>
          <cell r="CB2094">
            <v>0</v>
          </cell>
        </row>
        <row r="2095">
          <cell r="CA2095">
            <v>86115420</v>
          </cell>
          <cell r="CB2095">
            <v>856800</v>
          </cell>
        </row>
        <row r="2096">
          <cell r="CA2096">
            <v>96748649</v>
          </cell>
          <cell r="CB2096">
            <v>963000</v>
          </cell>
        </row>
        <row r="2097">
          <cell r="CA2097">
            <v>65713496</v>
          </cell>
          <cell r="CB2097">
            <v>6100000</v>
          </cell>
        </row>
        <row r="2098">
          <cell r="CA2098">
            <v>44479805</v>
          </cell>
          <cell r="CB2098">
            <v>5600000</v>
          </cell>
        </row>
        <row r="2099">
          <cell r="CA2099">
            <v>27610402</v>
          </cell>
          <cell r="CB2099">
            <v>3500000</v>
          </cell>
        </row>
        <row r="2100">
          <cell r="CA2100">
            <v>327708</v>
          </cell>
          <cell r="CB2100">
            <v>0</v>
          </cell>
        </row>
        <row r="2101">
          <cell r="CA2101">
            <v>20293282</v>
          </cell>
          <cell r="CB2101">
            <v>188789</v>
          </cell>
        </row>
        <row r="2102">
          <cell r="CA2102">
            <v>10913294</v>
          </cell>
          <cell r="CB2102">
            <v>1900000</v>
          </cell>
        </row>
        <row r="2103">
          <cell r="CA2103">
            <v>14515154</v>
          </cell>
          <cell r="CB2103">
            <v>1309258</v>
          </cell>
        </row>
        <row r="2104">
          <cell r="CA2104">
            <v>3875568</v>
          </cell>
          <cell r="CB2104">
            <v>0</v>
          </cell>
        </row>
        <row r="2105">
          <cell r="CA2105">
            <v>672516196</v>
          </cell>
          <cell r="CB2105">
            <v>4900000</v>
          </cell>
        </row>
        <row r="2106">
          <cell r="CA2106">
            <v>151064521</v>
          </cell>
          <cell r="CB2106">
            <v>143737704</v>
          </cell>
        </row>
        <row r="2107">
          <cell r="CA2107">
            <v>1985272</v>
          </cell>
          <cell r="CB2107">
            <v>0</v>
          </cell>
        </row>
        <row r="2108">
          <cell r="CA2108">
            <v>200408</v>
          </cell>
          <cell r="CB2108">
            <v>0</v>
          </cell>
        </row>
        <row r="2109">
          <cell r="CA2109">
            <v>717485</v>
          </cell>
          <cell r="CB2109">
            <v>0</v>
          </cell>
        </row>
        <row r="2110">
          <cell r="CA2110">
            <v>98727</v>
          </cell>
          <cell r="CB2110">
            <v>0</v>
          </cell>
        </row>
        <row r="2111">
          <cell r="CA2111">
            <v>24606</v>
          </cell>
          <cell r="CB2111">
            <v>0</v>
          </cell>
        </row>
        <row r="2112">
          <cell r="CA2112">
            <v>24528817</v>
          </cell>
          <cell r="CB2112">
            <v>5812176</v>
          </cell>
        </row>
        <row r="2113">
          <cell r="CA2113">
            <v>2520744</v>
          </cell>
          <cell r="CB2113">
            <v>0</v>
          </cell>
        </row>
        <row r="2114">
          <cell r="CA2114">
            <v>337332</v>
          </cell>
          <cell r="CB2114">
            <v>0</v>
          </cell>
        </row>
        <row r="2115">
          <cell r="CA2115">
            <v>44557422</v>
          </cell>
          <cell r="CB2115">
            <v>444000</v>
          </cell>
        </row>
        <row r="2116">
          <cell r="CA2116">
            <v>26712045</v>
          </cell>
          <cell r="CB2116">
            <v>6857717</v>
          </cell>
        </row>
        <row r="2117">
          <cell r="CA2117">
            <v>520013</v>
          </cell>
          <cell r="CB2117">
            <v>0</v>
          </cell>
        </row>
        <row r="2118">
          <cell r="CA2118">
            <v>32780613</v>
          </cell>
          <cell r="CB2118">
            <v>299774</v>
          </cell>
        </row>
        <row r="2119">
          <cell r="CA2119">
            <v>2755381</v>
          </cell>
          <cell r="CB2119">
            <v>50000</v>
          </cell>
        </row>
        <row r="2120">
          <cell r="CA2120">
            <v>6232699</v>
          </cell>
          <cell r="CB2120">
            <v>1140000</v>
          </cell>
        </row>
        <row r="2121">
          <cell r="CA2121">
            <v>23461304</v>
          </cell>
          <cell r="CB2121">
            <v>2299840</v>
          </cell>
        </row>
        <row r="2122">
          <cell r="CA2122">
            <v>1000</v>
          </cell>
          <cell r="CB2122">
            <v>0</v>
          </cell>
        </row>
        <row r="2123">
          <cell r="CA2123">
            <v>103358576</v>
          </cell>
          <cell r="CB2123">
            <v>31274505</v>
          </cell>
        </row>
        <row r="2124">
          <cell r="CA2124">
            <v>5064789</v>
          </cell>
          <cell r="CB2124">
            <v>0</v>
          </cell>
        </row>
        <row r="2125">
          <cell r="CA2125">
            <v>22735469</v>
          </cell>
          <cell r="CB2125">
            <v>4463777</v>
          </cell>
        </row>
        <row r="2126">
          <cell r="CA2126">
            <v>28538429</v>
          </cell>
          <cell r="CB2126">
            <v>6050836</v>
          </cell>
        </row>
        <row r="2127">
          <cell r="CA2127">
            <v>253798</v>
          </cell>
          <cell r="CB2127">
            <v>0</v>
          </cell>
        </row>
        <row r="2128">
          <cell r="CA2128">
            <v>11213613</v>
          </cell>
          <cell r="CB2128">
            <v>0</v>
          </cell>
        </row>
        <row r="2129">
          <cell r="CA2129">
            <v>67167445</v>
          </cell>
          <cell r="CB2129">
            <v>630000</v>
          </cell>
        </row>
        <row r="2130">
          <cell r="CA2130">
            <v>17858117</v>
          </cell>
          <cell r="CB2130">
            <v>2916499</v>
          </cell>
        </row>
        <row r="2131">
          <cell r="CA2131">
            <v>4201215</v>
          </cell>
          <cell r="CB2131">
            <v>406956</v>
          </cell>
        </row>
        <row r="2132">
          <cell r="CA2132">
            <v>10803933</v>
          </cell>
          <cell r="CB2132">
            <v>1000000</v>
          </cell>
        </row>
        <row r="2133">
          <cell r="CA2133">
            <v>4524868</v>
          </cell>
          <cell r="CB2133">
            <v>2000000</v>
          </cell>
        </row>
        <row r="2134">
          <cell r="CA2134">
            <v>9388615</v>
          </cell>
          <cell r="CB2134">
            <v>106922</v>
          </cell>
        </row>
        <row r="2135">
          <cell r="CA2135">
            <v>143581173</v>
          </cell>
          <cell r="CB2135">
            <v>25493924</v>
          </cell>
        </row>
        <row r="2136">
          <cell r="CA2136">
            <v>47642088</v>
          </cell>
          <cell r="CB2136">
            <v>0</v>
          </cell>
        </row>
        <row r="2137">
          <cell r="CA2137">
            <v>5004810</v>
          </cell>
          <cell r="CB2137">
            <v>0</v>
          </cell>
        </row>
        <row r="2138">
          <cell r="CA2138">
            <v>40042913</v>
          </cell>
          <cell r="CB2138">
            <v>3499938</v>
          </cell>
        </row>
        <row r="2139">
          <cell r="CA2139">
            <v>1000</v>
          </cell>
          <cell r="CB2139">
            <v>0</v>
          </cell>
        </row>
        <row r="2140">
          <cell r="CA2140">
            <v>4878422</v>
          </cell>
          <cell r="CB2140">
            <v>2628000</v>
          </cell>
        </row>
        <row r="2141">
          <cell r="CA2141">
            <v>177117924</v>
          </cell>
          <cell r="CB2141">
            <v>35068115</v>
          </cell>
        </row>
        <row r="2142">
          <cell r="CA2142">
            <v>4228771</v>
          </cell>
          <cell r="CB2142">
            <v>0</v>
          </cell>
        </row>
        <row r="2143">
          <cell r="CA2143">
            <v>1288120</v>
          </cell>
          <cell r="CB2143">
            <v>0</v>
          </cell>
        </row>
        <row r="2144">
          <cell r="CA2144">
            <v>7315081</v>
          </cell>
          <cell r="CB2144">
            <v>0</v>
          </cell>
        </row>
        <row r="2145">
          <cell r="CA2145">
            <v>34475202</v>
          </cell>
          <cell r="CB2145">
            <v>330000</v>
          </cell>
        </row>
        <row r="2146">
          <cell r="CA2146">
            <v>108792933</v>
          </cell>
          <cell r="CB2146">
            <v>1000000</v>
          </cell>
        </row>
        <row r="2147">
          <cell r="CA2147">
            <v>11907087</v>
          </cell>
          <cell r="CB2147">
            <v>180000</v>
          </cell>
        </row>
        <row r="2148">
          <cell r="CA2148">
            <v>43310467</v>
          </cell>
          <cell r="CB2148">
            <v>400000</v>
          </cell>
        </row>
        <row r="2149">
          <cell r="CA2149">
            <v>32614781</v>
          </cell>
          <cell r="CB2149">
            <v>300000</v>
          </cell>
        </row>
        <row r="2150">
          <cell r="CA2150">
            <v>5748291</v>
          </cell>
          <cell r="CB2150">
            <v>52000</v>
          </cell>
        </row>
        <row r="2151">
          <cell r="CA2151">
            <v>4123264</v>
          </cell>
          <cell r="CB2151">
            <v>0</v>
          </cell>
        </row>
        <row r="2152">
          <cell r="CA2152">
            <v>6877949</v>
          </cell>
          <cell r="CB2152">
            <v>60087</v>
          </cell>
        </row>
        <row r="2153">
          <cell r="CA2153">
            <v>25728585</v>
          </cell>
          <cell r="CB2153">
            <v>1730392</v>
          </cell>
        </row>
        <row r="2154">
          <cell r="CA2154">
            <v>4230828</v>
          </cell>
          <cell r="CB2154">
            <v>3682468</v>
          </cell>
        </row>
        <row r="2155">
          <cell r="CA2155">
            <v>2612331</v>
          </cell>
          <cell r="CB2155">
            <v>799655</v>
          </cell>
        </row>
        <row r="2156">
          <cell r="CA2156">
            <v>13092155</v>
          </cell>
          <cell r="CB2156">
            <v>208912</v>
          </cell>
        </row>
        <row r="2157">
          <cell r="CA2157">
            <v>2627746</v>
          </cell>
          <cell r="CB2157">
            <v>800000</v>
          </cell>
        </row>
        <row r="2158">
          <cell r="CA2158">
            <v>13558440</v>
          </cell>
          <cell r="CB2158">
            <v>3727079</v>
          </cell>
        </row>
        <row r="2159">
          <cell r="CA2159">
            <v>2841758</v>
          </cell>
          <cell r="CB2159">
            <v>0</v>
          </cell>
        </row>
        <row r="2160">
          <cell r="CA2160">
            <v>18367171</v>
          </cell>
          <cell r="CB2160">
            <v>11827200</v>
          </cell>
        </row>
        <row r="2161">
          <cell r="CA2161">
            <v>457344</v>
          </cell>
          <cell r="CB2161">
            <v>0</v>
          </cell>
        </row>
        <row r="2162">
          <cell r="CA2162">
            <v>2589537</v>
          </cell>
          <cell r="CB2162">
            <v>0</v>
          </cell>
        </row>
        <row r="2163">
          <cell r="CA2163">
            <v>774251</v>
          </cell>
          <cell r="CB2163">
            <v>0</v>
          </cell>
        </row>
        <row r="2164">
          <cell r="CA2164">
            <v>36005136</v>
          </cell>
          <cell r="CB2164">
            <v>350000</v>
          </cell>
        </row>
        <row r="2165">
          <cell r="CA2165">
            <v>168446697</v>
          </cell>
          <cell r="CB2165">
            <v>86350000</v>
          </cell>
        </row>
        <row r="2166">
          <cell r="CA2166">
            <v>1000</v>
          </cell>
          <cell r="CB2166">
            <v>0</v>
          </cell>
        </row>
        <row r="2167">
          <cell r="CA2167">
            <v>1000</v>
          </cell>
          <cell r="CB2167">
            <v>0</v>
          </cell>
        </row>
        <row r="2168">
          <cell r="CA2168">
            <v>54896430</v>
          </cell>
          <cell r="CB2168">
            <v>9998396</v>
          </cell>
        </row>
        <row r="2169">
          <cell r="CA2169">
            <v>96418339</v>
          </cell>
          <cell r="CB2169">
            <v>9000000</v>
          </cell>
        </row>
        <row r="2170">
          <cell r="CA2170">
            <v>905780</v>
          </cell>
          <cell r="CB2170">
            <v>0</v>
          </cell>
        </row>
        <row r="2171">
          <cell r="CA2171">
            <v>9594140</v>
          </cell>
          <cell r="CB2171">
            <v>9888146</v>
          </cell>
        </row>
        <row r="2172">
          <cell r="CA2172">
            <v>28079941</v>
          </cell>
          <cell r="CB2172">
            <v>299843</v>
          </cell>
        </row>
        <row r="2173">
          <cell r="CA2173">
            <v>27545639</v>
          </cell>
          <cell r="CB2173">
            <v>3643742</v>
          </cell>
        </row>
        <row r="2174">
          <cell r="CA2174">
            <v>396902</v>
          </cell>
          <cell r="CB2174">
            <v>0</v>
          </cell>
        </row>
        <row r="2175">
          <cell r="CA2175">
            <v>1216559</v>
          </cell>
          <cell r="CB2175">
            <v>8281</v>
          </cell>
        </row>
        <row r="2176">
          <cell r="CA2176">
            <v>16660140</v>
          </cell>
          <cell r="CB2176">
            <v>2996678</v>
          </cell>
        </row>
        <row r="2177">
          <cell r="CA2177">
            <v>307533</v>
          </cell>
          <cell r="CB2177">
            <v>0</v>
          </cell>
        </row>
        <row r="2178">
          <cell r="CA2178">
            <v>7979108</v>
          </cell>
          <cell r="CB2178">
            <v>11516099</v>
          </cell>
        </row>
        <row r="2179">
          <cell r="CA2179">
            <v>48864221</v>
          </cell>
          <cell r="CB2179">
            <v>31086018</v>
          </cell>
        </row>
        <row r="2180">
          <cell r="CA2180">
            <v>2262107</v>
          </cell>
          <cell r="CB2180">
            <v>0</v>
          </cell>
        </row>
        <row r="2181">
          <cell r="CA2181">
            <v>1882988</v>
          </cell>
          <cell r="CB2181">
            <v>0</v>
          </cell>
        </row>
        <row r="2182">
          <cell r="CA2182">
            <v>495020</v>
          </cell>
          <cell r="CB2182">
            <v>0</v>
          </cell>
        </row>
        <row r="2183">
          <cell r="CA2183">
            <v>213088</v>
          </cell>
          <cell r="CB2183">
            <v>0</v>
          </cell>
        </row>
        <row r="2184">
          <cell r="CA2184">
            <v>1746645</v>
          </cell>
          <cell r="CB2184">
            <v>180000</v>
          </cell>
        </row>
        <row r="2185">
          <cell r="CA2185">
            <v>23387398</v>
          </cell>
          <cell r="CB2185">
            <v>2200000</v>
          </cell>
        </row>
        <row r="2186">
          <cell r="CA2186">
            <v>2981826</v>
          </cell>
          <cell r="CB2186">
            <v>300000</v>
          </cell>
        </row>
        <row r="2187">
          <cell r="CA2187">
            <v>1000</v>
          </cell>
          <cell r="CB2187">
            <v>0</v>
          </cell>
        </row>
        <row r="2188">
          <cell r="CA2188">
            <v>19368319</v>
          </cell>
          <cell r="CB2188">
            <v>2953321</v>
          </cell>
        </row>
        <row r="2189">
          <cell r="CA2189">
            <v>974397</v>
          </cell>
          <cell r="CB2189">
            <v>0</v>
          </cell>
        </row>
        <row r="2190">
          <cell r="CA2190">
            <v>603360</v>
          </cell>
          <cell r="CB2190">
            <v>0</v>
          </cell>
        </row>
        <row r="2191">
          <cell r="CA2191">
            <v>120075090</v>
          </cell>
          <cell r="CB2191">
            <v>1178000</v>
          </cell>
        </row>
        <row r="2192">
          <cell r="CA2192">
            <v>367304073</v>
          </cell>
          <cell r="CB2192">
            <v>22411620</v>
          </cell>
        </row>
        <row r="2193">
          <cell r="CA2193">
            <v>67367706</v>
          </cell>
          <cell r="CB2193">
            <v>0</v>
          </cell>
        </row>
        <row r="2194">
          <cell r="CA2194">
            <v>23174754</v>
          </cell>
          <cell r="CB2194">
            <v>2200000</v>
          </cell>
        </row>
        <row r="2195">
          <cell r="CA2195">
            <v>21036603</v>
          </cell>
          <cell r="CB2195">
            <v>2000000</v>
          </cell>
        </row>
        <row r="2196">
          <cell r="CA2196">
            <v>13751742</v>
          </cell>
          <cell r="CB2196">
            <v>2200000</v>
          </cell>
        </row>
        <row r="2197">
          <cell r="CA2197">
            <v>635606</v>
          </cell>
          <cell r="CB2197">
            <v>0</v>
          </cell>
        </row>
        <row r="2198">
          <cell r="CA2198">
            <v>76516548</v>
          </cell>
          <cell r="CB2198">
            <v>17278747</v>
          </cell>
        </row>
        <row r="2199">
          <cell r="CA2199">
            <v>16393838</v>
          </cell>
          <cell r="CB2199">
            <v>0</v>
          </cell>
        </row>
        <row r="2200">
          <cell r="CA2200">
            <v>33284394</v>
          </cell>
          <cell r="CB2200">
            <v>6657724</v>
          </cell>
        </row>
        <row r="2201">
          <cell r="CA2201">
            <v>1551796</v>
          </cell>
          <cell r="CB2201">
            <v>0</v>
          </cell>
        </row>
        <row r="2202">
          <cell r="CA2202">
            <v>1168543</v>
          </cell>
          <cell r="CB2202">
            <v>0</v>
          </cell>
        </row>
        <row r="2203">
          <cell r="CA2203">
            <v>2349873</v>
          </cell>
          <cell r="CB2203">
            <v>0</v>
          </cell>
        </row>
        <row r="2204">
          <cell r="CA2204">
            <v>1143833</v>
          </cell>
          <cell r="CB2204">
            <v>0</v>
          </cell>
        </row>
        <row r="2205">
          <cell r="CA2205">
            <v>2565698</v>
          </cell>
          <cell r="CB2205">
            <v>0</v>
          </cell>
        </row>
        <row r="2206">
          <cell r="CA2206">
            <v>43837572</v>
          </cell>
          <cell r="CB2206">
            <v>429030</v>
          </cell>
        </row>
        <row r="2207">
          <cell r="CA2207">
            <v>15733688</v>
          </cell>
          <cell r="CB2207">
            <v>868584</v>
          </cell>
        </row>
        <row r="2208">
          <cell r="CA2208">
            <v>145730316</v>
          </cell>
          <cell r="CB2208">
            <v>28000000</v>
          </cell>
        </row>
        <row r="2209">
          <cell r="CA2209">
            <v>16199421</v>
          </cell>
          <cell r="CB2209">
            <v>5104011</v>
          </cell>
        </row>
        <row r="2210">
          <cell r="CA2210">
            <v>25264305</v>
          </cell>
          <cell r="CB2210">
            <v>2243700</v>
          </cell>
        </row>
        <row r="2211">
          <cell r="CA2211">
            <v>23783390</v>
          </cell>
          <cell r="CB2211">
            <v>10371135</v>
          </cell>
        </row>
        <row r="2212">
          <cell r="CA2212">
            <v>30732944</v>
          </cell>
          <cell r="CB2212">
            <v>2485062</v>
          </cell>
        </row>
        <row r="2213">
          <cell r="CA2213">
            <v>15145179</v>
          </cell>
          <cell r="CB2213">
            <v>2600000</v>
          </cell>
        </row>
        <row r="2214">
          <cell r="CA2214">
            <v>10963466</v>
          </cell>
          <cell r="CB2214">
            <v>0</v>
          </cell>
        </row>
        <row r="2215">
          <cell r="CA2215">
            <v>52833359</v>
          </cell>
          <cell r="CB2215">
            <v>12705189</v>
          </cell>
        </row>
        <row r="2216">
          <cell r="CA2216">
            <v>1890638</v>
          </cell>
          <cell r="CB2216">
            <v>0</v>
          </cell>
        </row>
        <row r="2217">
          <cell r="CA2217">
            <v>1126925</v>
          </cell>
          <cell r="CB2217">
            <v>0</v>
          </cell>
        </row>
        <row r="2218">
          <cell r="CA2218">
            <v>16325150</v>
          </cell>
          <cell r="CB2218">
            <v>3064962</v>
          </cell>
        </row>
        <row r="2219">
          <cell r="CA2219">
            <v>33509939</v>
          </cell>
          <cell r="CB2219">
            <v>2993089</v>
          </cell>
        </row>
        <row r="2220">
          <cell r="CA2220">
            <v>4508051</v>
          </cell>
          <cell r="CB2220">
            <v>399229</v>
          </cell>
        </row>
        <row r="2221">
          <cell r="CA2221">
            <v>9932524</v>
          </cell>
          <cell r="CB2221">
            <v>99971</v>
          </cell>
        </row>
        <row r="2222">
          <cell r="CA2222">
            <v>995523</v>
          </cell>
          <cell r="CB2222">
            <v>975889</v>
          </cell>
        </row>
        <row r="2223">
          <cell r="CA2223">
            <v>3911201</v>
          </cell>
          <cell r="CB2223">
            <v>7002</v>
          </cell>
        </row>
        <row r="2224">
          <cell r="CA2224">
            <v>117055315</v>
          </cell>
          <cell r="CB2224">
            <v>21997198</v>
          </cell>
        </row>
        <row r="2225">
          <cell r="CA2225">
            <v>11991537</v>
          </cell>
          <cell r="CB2225">
            <v>0</v>
          </cell>
        </row>
        <row r="2226">
          <cell r="CA2226">
            <v>3815173</v>
          </cell>
          <cell r="CB2226">
            <v>0</v>
          </cell>
        </row>
        <row r="2227">
          <cell r="CA2227">
            <v>17190641</v>
          </cell>
          <cell r="CB2227">
            <v>3031268</v>
          </cell>
        </row>
        <row r="2228">
          <cell r="CA2228">
            <v>119666947</v>
          </cell>
          <cell r="CB2228">
            <v>22463754</v>
          </cell>
        </row>
        <row r="2229">
          <cell r="CA2229">
            <v>33262798</v>
          </cell>
          <cell r="CB2229">
            <v>0</v>
          </cell>
        </row>
        <row r="2230">
          <cell r="CA2230">
            <v>693146</v>
          </cell>
          <cell r="CB2230">
            <v>0</v>
          </cell>
        </row>
        <row r="2231">
          <cell r="CA2231">
            <v>92914</v>
          </cell>
          <cell r="CB2231">
            <v>0</v>
          </cell>
        </row>
        <row r="2232">
          <cell r="CA2232">
            <v>6249252</v>
          </cell>
          <cell r="CB2232">
            <v>1140000</v>
          </cell>
        </row>
        <row r="2233">
          <cell r="CA2233">
            <v>34481073</v>
          </cell>
          <cell r="CB2233">
            <v>3400000</v>
          </cell>
        </row>
        <row r="2234">
          <cell r="CA2234">
            <v>24406160</v>
          </cell>
          <cell r="CB2234">
            <v>2299687</v>
          </cell>
        </row>
        <row r="2235">
          <cell r="CA2235">
            <v>13389955</v>
          </cell>
          <cell r="CB2235">
            <v>1499033</v>
          </cell>
        </row>
        <row r="2236">
          <cell r="CA2236">
            <v>25752157</v>
          </cell>
          <cell r="CB2236">
            <v>2300000</v>
          </cell>
        </row>
        <row r="2237">
          <cell r="CA2237">
            <v>779167</v>
          </cell>
          <cell r="CB2237">
            <v>0</v>
          </cell>
        </row>
        <row r="2238">
          <cell r="CA2238">
            <v>205232</v>
          </cell>
          <cell r="CB2238">
            <v>0</v>
          </cell>
        </row>
        <row r="2239">
          <cell r="CA2239">
            <v>2354182</v>
          </cell>
          <cell r="CB2239">
            <v>0</v>
          </cell>
        </row>
        <row r="2240">
          <cell r="CA2240">
            <v>16458522</v>
          </cell>
          <cell r="CB2240">
            <v>1474783</v>
          </cell>
        </row>
        <row r="2241">
          <cell r="CA2241">
            <v>43808411</v>
          </cell>
          <cell r="CB2241">
            <v>7997911</v>
          </cell>
        </row>
        <row r="2242">
          <cell r="CA2242">
            <v>40023174</v>
          </cell>
          <cell r="CB2242">
            <v>849887</v>
          </cell>
        </row>
        <row r="2243">
          <cell r="CA2243">
            <v>35882912</v>
          </cell>
          <cell r="CB2243">
            <v>13930642</v>
          </cell>
        </row>
        <row r="2244">
          <cell r="CA2244">
            <v>8293405</v>
          </cell>
          <cell r="CB2244">
            <v>0</v>
          </cell>
        </row>
        <row r="2245">
          <cell r="CA2245">
            <v>3013596</v>
          </cell>
          <cell r="CB2245">
            <v>0</v>
          </cell>
        </row>
        <row r="2246">
          <cell r="CA2246">
            <v>2626158</v>
          </cell>
          <cell r="CB2246">
            <v>0</v>
          </cell>
        </row>
        <row r="2247">
          <cell r="CA2247">
            <v>1897082</v>
          </cell>
          <cell r="CB2247">
            <v>0</v>
          </cell>
        </row>
        <row r="2248">
          <cell r="CA2248">
            <v>1419953</v>
          </cell>
          <cell r="CB2248">
            <v>0</v>
          </cell>
        </row>
        <row r="2249">
          <cell r="CA2249">
            <v>53408928</v>
          </cell>
          <cell r="CB2249">
            <v>499768</v>
          </cell>
        </row>
        <row r="2250">
          <cell r="CA2250">
            <v>9654669</v>
          </cell>
          <cell r="CB2250">
            <v>100000</v>
          </cell>
        </row>
        <row r="2251">
          <cell r="CA2251">
            <v>19139141</v>
          </cell>
          <cell r="CB2251">
            <v>199832</v>
          </cell>
        </row>
        <row r="2252">
          <cell r="CA2252">
            <v>148441708</v>
          </cell>
          <cell r="CB2252">
            <v>44207790</v>
          </cell>
        </row>
        <row r="2253">
          <cell r="CA2253">
            <v>9332919</v>
          </cell>
          <cell r="CB2253">
            <v>4652367</v>
          </cell>
        </row>
        <row r="2254">
          <cell r="CA2254">
            <v>9128878</v>
          </cell>
          <cell r="CB2254">
            <v>1996372</v>
          </cell>
        </row>
        <row r="2255">
          <cell r="CA2255">
            <v>16984450</v>
          </cell>
          <cell r="CB2255">
            <v>5400000</v>
          </cell>
        </row>
        <row r="2256">
          <cell r="CA2256">
            <v>24846737</v>
          </cell>
          <cell r="CB2256">
            <v>24938353</v>
          </cell>
        </row>
        <row r="2257">
          <cell r="CA2257">
            <v>2238827</v>
          </cell>
          <cell r="CB2257">
            <v>27982932</v>
          </cell>
        </row>
        <row r="2258">
          <cell r="CA2258">
            <v>2242703</v>
          </cell>
          <cell r="CB2258">
            <v>28054887</v>
          </cell>
        </row>
        <row r="2259">
          <cell r="CA2259">
            <v>2236726</v>
          </cell>
          <cell r="CB2259">
            <v>27980054</v>
          </cell>
        </row>
        <row r="2260">
          <cell r="CA2260">
            <v>2241715</v>
          </cell>
          <cell r="CB2260">
            <v>27691513</v>
          </cell>
        </row>
        <row r="2261">
          <cell r="CA2261">
            <v>2229704</v>
          </cell>
          <cell r="CB2261">
            <v>28048411</v>
          </cell>
        </row>
        <row r="2262">
          <cell r="CA2262">
            <v>396508913</v>
          </cell>
          <cell r="CB2262">
            <v>111830114</v>
          </cell>
        </row>
        <row r="2263">
          <cell r="CA2263">
            <v>1677848</v>
          </cell>
          <cell r="CB2263">
            <v>0</v>
          </cell>
        </row>
        <row r="2264">
          <cell r="CA2264">
            <v>2468566</v>
          </cell>
          <cell r="CB2264">
            <v>0</v>
          </cell>
        </row>
        <row r="2265">
          <cell r="CA2265">
            <v>14120949</v>
          </cell>
          <cell r="CB2265">
            <v>1300000</v>
          </cell>
        </row>
        <row r="2266">
          <cell r="CA2266">
            <v>2217394</v>
          </cell>
          <cell r="CB2266">
            <v>450000</v>
          </cell>
        </row>
        <row r="2267">
          <cell r="CA2267">
            <v>47583818</v>
          </cell>
          <cell r="CB2267">
            <v>540000</v>
          </cell>
        </row>
        <row r="2268">
          <cell r="CA2268">
            <v>9032760</v>
          </cell>
          <cell r="CB2268">
            <v>88706</v>
          </cell>
        </row>
        <row r="2269">
          <cell r="CA2269">
            <v>70458387</v>
          </cell>
          <cell r="CB2269">
            <v>18231762</v>
          </cell>
        </row>
        <row r="2270">
          <cell r="CA2270">
            <v>24691861</v>
          </cell>
          <cell r="CB2270">
            <v>0</v>
          </cell>
        </row>
        <row r="2271">
          <cell r="CA2271">
            <v>14894385</v>
          </cell>
          <cell r="CB2271">
            <v>6589752</v>
          </cell>
        </row>
        <row r="2272">
          <cell r="CA2272">
            <v>56419996</v>
          </cell>
          <cell r="CB2272">
            <v>550000</v>
          </cell>
        </row>
        <row r="2273">
          <cell r="CA2273">
            <v>1000</v>
          </cell>
          <cell r="CB2273">
            <v>0</v>
          </cell>
        </row>
        <row r="2274">
          <cell r="CA2274">
            <v>30150067</v>
          </cell>
          <cell r="CB2274">
            <v>4356185</v>
          </cell>
        </row>
        <row r="2275">
          <cell r="CA2275">
            <v>4445735</v>
          </cell>
          <cell r="CB2275">
            <v>0</v>
          </cell>
        </row>
        <row r="2276">
          <cell r="CA2276">
            <v>1714815</v>
          </cell>
          <cell r="CB2276">
            <v>0</v>
          </cell>
        </row>
        <row r="2277">
          <cell r="CA2277">
            <v>2707584</v>
          </cell>
          <cell r="CB2277">
            <v>0</v>
          </cell>
        </row>
        <row r="2278">
          <cell r="CA2278">
            <v>1030242</v>
          </cell>
          <cell r="CB2278">
            <v>0</v>
          </cell>
        </row>
        <row r="2279">
          <cell r="CA2279">
            <v>8569965</v>
          </cell>
          <cell r="CB2279">
            <v>6069115</v>
          </cell>
        </row>
        <row r="2280">
          <cell r="CA2280">
            <v>173723</v>
          </cell>
          <cell r="CB2280">
            <v>0</v>
          </cell>
        </row>
        <row r="2281">
          <cell r="CA2281">
            <v>30562511</v>
          </cell>
          <cell r="CB2281">
            <v>7019550</v>
          </cell>
        </row>
        <row r="2282">
          <cell r="CA2282">
            <v>352221</v>
          </cell>
          <cell r="CB2282">
            <v>0</v>
          </cell>
        </row>
        <row r="2283">
          <cell r="CA2283">
            <v>100832</v>
          </cell>
          <cell r="CB2283">
            <v>0</v>
          </cell>
        </row>
        <row r="2284">
          <cell r="CA2284">
            <v>41597981</v>
          </cell>
          <cell r="CB2284">
            <v>7225457</v>
          </cell>
        </row>
        <row r="2285">
          <cell r="CA2285">
            <v>11647373</v>
          </cell>
          <cell r="CB2285">
            <v>0</v>
          </cell>
        </row>
        <row r="2286">
          <cell r="CA2286">
            <v>5691048</v>
          </cell>
          <cell r="CB2286">
            <v>0</v>
          </cell>
        </row>
        <row r="2287">
          <cell r="CA2287">
            <v>1960978</v>
          </cell>
          <cell r="CB2287">
            <v>355604</v>
          </cell>
        </row>
        <row r="2288">
          <cell r="CA2288">
            <v>11740919</v>
          </cell>
          <cell r="CB2288">
            <v>1999774</v>
          </cell>
        </row>
        <row r="2289">
          <cell r="CA2289">
            <v>3742462</v>
          </cell>
          <cell r="CB2289">
            <v>0</v>
          </cell>
        </row>
        <row r="2290">
          <cell r="CA2290">
            <v>2010823</v>
          </cell>
          <cell r="CB2290">
            <v>0</v>
          </cell>
        </row>
        <row r="2291">
          <cell r="CA2291">
            <v>842078628</v>
          </cell>
          <cell r="CB2291">
            <v>138749121</v>
          </cell>
        </row>
        <row r="2292">
          <cell r="CA2292">
            <v>16557055</v>
          </cell>
          <cell r="CB2292">
            <v>0</v>
          </cell>
        </row>
        <row r="2293">
          <cell r="CA2293">
            <v>12138678</v>
          </cell>
          <cell r="CB2293">
            <v>110099</v>
          </cell>
        </row>
        <row r="2294">
          <cell r="CA2294">
            <v>1000</v>
          </cell>
          <cell r="CB2294">
            <v>26250</v>
          </cell>
        </row>
        <row r="2295">
          <cell r="CA2295">
            <v>1000</v>
          </cell>
          <cell r="CB2295">
            <v>46667</v>
          </cell>
        </row>
        <row r="2296">
          <cell r="CA2296">
            <v>1000</v>
          </cell>
          <cell r="CB2296">
            <v>6811</v>
          </cell>
        </row>
        <row r="2297">
          <cell r="CA2297">
            <v>119078608</v>
          </cell>
          <cell r="CB2297">
            <v>1147000</v>
          </cell>
        </row>
        <row r="2298">
          <cell r="CA2298">
            <v>57491651</v>
          </cell>
          <cell r="CB2298">
            <v>14035929</v>
          </cell>
        </row>
        <row r="2299">
          <cell r="CA2299">
            <v>14857704</v>
          </cell>
          <cell r="CB2299">
            <v>0</v>
          </cell>
        </row>
        <row r="2300">
          <cell r="CA2300">
            <v>22974982</v>
          </cell>
          <cell r="CB2300">
            <v>3285040</v>
          </cell>
        </row>
        <row r="2301">
          <cell r="CA2301">
            <v>4840913</v>
          </cell>
          <cell r="CB2301">
            <v>0</v>
          </cell>
        </row>
        <row r="2302">
          <cell r="CA2302">
            <v>4609422</v>
          </cell>
          <cell r="CB2302">
            <v>0</v>
          </cell>
        </row>
        <row r="2303">
          <cell r="CA2303">
            <v>1371194</v>
          </cell>
          <cell r="CB2303">
            <v>0</v>
          </cell>
        </row>
        <row r="2304">
          <cell r="CA2304">
            <v>12985423</v>
          </cell>
          <cell r="CB2304">
            <v>3022930</v>
          </cell>
        </row>
        <row r="2305">
          <cell r="CA2305">
            <v>71888124</v>
          </cell>
          <cell r="CB2305">
            <v>40599200</v>
          </cell>
        </row>
        <row r="2306">
          <cell r="CA2306">
            <v>242306657</v>
          </cell>
          <cell r="CB2306">
            <v>346505254</v>
          </cell>
        </row>
        <row r="2307">
          <cell r="CA2307">
            <v>20954514</v>
          </cell>
          <cell r="CB2307">
            <v>199957</v>
          </cell>
        </row>
        <row r="2308">
          <cell r="CA2308">
            <v>41411798</v>
          </cell>
          <cell r="CB2308">
            <v>10484320</v>
          </cell>
        </row>
        <row r="2309">
          <cell r="CA2309">
            <v>5397604</v>
          </cell>
          <cell r="CB2309">
            <v>4929684</v>
          </cell>
        </row>
        <row r="2310">
          <cell r="CA2310">
            <v>2721121</v>
          </cell>
          <cell r="CB2310">
            <v>0</v>
          </cell>
        </row>
        <row r="2311">
          <cell r="CA2311">
            <v>14554228</v>
          </cell>
          <cell r="CB2311">
            <v>0</v>
          </cell>
        </row>
        <row r="2312">
          <cell r="CA2312">
            <v>44473345</v>
          </cell>
          <cell r="CB2312">
            <v>3998284</v>
          </cell>
        </row>
        <row r="2313">
          <cell r="CA2313">
            <v>4434904</v>
          </cell>
          <cell r="CB2313">
            <v>0</v>
          </cell>
        </row>
        <row r="2314">
          <cell r="CA2314">
            <v>380607</v>
          </cell>
          <cell r="CB2314">
            <v>0</v>
          </cell>
        </row>
        <row r="2315">
          <cell r="CA2315">
            <v>587713</v>
          </cell>
          <cell r="CB2315">
            <v>0</v>
          </cell>
        </row>
        <row r="2316">
          <cell r="CA2316">
            <v>51977350</v>
          </cell>
          <cell r="CB2316">
            <v>6000000</v>
          </cell>
        </row>
        <row r="2317">
          <cell r="CA2317">
            <v>46001821</v>
          </cell>
          <cell r="CB2317">
            <v>10938298</v>
          </cell>
        </row>
        <row r="2318">
          <cell r="CA2318">
            <v>31457904</v>
          </cell>
          <cell r="CB2318">
            <v>299969</v>
          </cell>
        </row>
        <row r="2319">
          <cell r="CA2319">
            <v>59197017</v>
          </cell>
          <cell r="CB2319">
            <v>10000000</v>
          </cell>
        </row>
        <row r="2320">
          <cell r="CA2320">
            <v>12441236</v>
          </cell>
          <cell r="CB2320">
            <v>3152341</v>
          </cell>
        </row>
        <row r="2321">
          <cell r="CA2321">
            <v>18058996</v>
          </cell>
          <cell r="CB2321">
            <v>3000000</v>
          </cell>
        </row>
        <row r="2322">
          <cell r="CA2322">
            <v>4696362</v>
          </cell>
          <cell r="CB2322">
            <v>500000</v>
          </cell>
        </row>
        <row r="2323">
          <cell r="CA2323">
            <v>9013774</v>
          </cell>
          <cell r="CB2323">
            <v>108960</v>
          </cell>
        </row>
        <row r="2324">
          <cell r="CA2324">
            <v>118612519</v>
          </cell>
          <cell r="CB2324">
            <v>1199965</v>
          </cell>
        </row>
        <row r="2325">
          <cell r="CA2325">
            <v>1693868</v>
          </cell>
          <cell r="CB2325">
            <v>49977</v>
          </cell>
        </row>
        <row r="2326">
          <cell r="CA2326">
            <v>105861140</v>
          </cell>
          <cell r="CB2326">
            <v>1014000</v>
          </cell>
        </row>
        <row r="2327">
          <cell r="CA2327">
            <v>74560063</v>
          </cell>
          <cell r="CB2327">
            <v>16628105</v>
          </cell>
        </row>
        <row r="2328">
          <cell r="CA2328">
            <v>1000</v>
          </cell>
          <cell r="CB2328">
            <v>0</v>
          </cell>
        </row>
        <row r="2329">
          <cell r="CA2329">
            <v>61904675</v>
          </cell>
          <cell r="CB2329">
            <v>1089328</v>
          </cell>
        </row>
        <row r="2330">
          <cell r="CA2330">
            <v>31175675</v>
          </cell>
          <cell r="CB2330">
            <v>7587405</v>
          </cell>
        </row>
        <row r="2331">
          <cell r="CA2331">
            <v>53032399</v>
          </cell>
          <cell r="CB2331">
            <v>11825643</v>
          </cell>
        </row>
        <row r="2332">
          <cell r="CA2332">
            <v>9356591</v>
          </cell>
          <cell r="CB2332">
            <v>0</v>
          </cell>
        </row>
        <row r="2333">
          <cell r="CA2333">
            <v>9191175</v>
          </cell>
          <cell r="CB2333">
            <v>0</v>
          </cell>
        </row>
        <row r="2334">
          <cell r="CA2334">
            <v>6359013</v>
          </cell>
          <cell r="CB2334">
            <v>98721</v>
          </cell>
        </row>
        <row r="2335">
          <cell r="CA2335">
            <v>31802834</v>
          </cell>
          <cell r="CB2335">
            <v>2998517</v>
          </cell>
        </row>
        <row r="2336">
          <cell r="CA2336">
            <v>21208085</v>
          </cell>
          <cell r="CB2336">
            <v>2000000</v>
          </cell>
        </row>
        <row r="2337">
          <cell r="CA2337">
            <v>3588590</v>
          </cell>
          <cell r="CB2337">
            <v>1000000</v>
          </cell>
        </row>
        <row r="2338">
          <cell r="CA2338">
            <v>6905940</v>
          </cell>
          <cell r="CB2338">
            <v>1996443</v>
          </cell>
        </row>
        <row r="2339">
          <cell r="CA2339">
            <v>4135484</v>
          </cell>
          <cell r="CB2339">
            <v>556230</v>
          </cell>
        </row>
        <row r="2340">
          <cell r="CA2340">
            <v>47326</v>
          </cell>
          <cell r="CB2340">
            <v>0</v>
          </cell>
        </row>
        <row r="2341">
          <cell r="CA2341">
            <v>4623233</v>
          </cell>
          <cell r="CB2341">
            <v>3960000</v>
          </cell>
        </row>
        <row r="2342">
          <cell r="CA2342">
            <v>142708024</v>
          </cell>
          <cell r="CB2342">
            <v>30552964</v>
          </cell>
        </row>
        <row r="2343">
          <cell r="CA2343">
            <v>15551666</v>
          </cell>
          <cell r="CB2343">
            <v>0</v>
          </cell>
        </row>
        <row r="2344">
          <cell r="CA2344">
            <v>23688654</v>
          </cell>
          <cell r="CB2344">
            <v>6451195</v>
          </cell>
        </row>
        <row r="2345">
          <cell r="CA2345">
            <v>81198316</v>
          </cell>
          <cell r="CB2345">
            <v>14200000</v>
          </cell>
        </row>
        <row r="2346">
          <cell r="CA2346">
            <v>279456</v>
          </cell>
          <cell r="CB2346">
            <v>48970</v>
          </cell>
        </row>
        <row r="2347">
          <cell r="CA2347">
            <v>3979772</v>
          </cell>
          <cell r="CB2347">
            <v>758882</v>
          </cell>
        </row>
        <row r="2348">
          <cell r="CA2348">
            <v>1696602</v>
          </cell>
          <cell r="CB2348">
            <v>324692</v>
          </cell>
        </row>
        <row r="2349">
          <cell r="CA2349">
            <v>63691892</v>
          </cell>
          <cell r="CB2349">
            <v>12000000</v>
          </cell>
        </row>
        <row r="2350">
          <cell r="CA2350">
            <v>7240263</v>
          </cell>
          <cell r="CB2350">
            <v>0</v>
          </cell>
        </row>
        <row r="2351">
          <cell r="CA2351">
            <v>285162</v>
          </cell>
          <cell r="CB2351">
            <v>0</v>
          </cell>
        </row>
        <row r="2352">
          <cell r="CA2352">
            <v>10807979</v>
          </cell>
          <cell r="CB2352">
            <v>0</v>
          </cell>
        </row>
        <row r="2353">
          <cell r="CA2353">
            <v>12990637</v>
          </cell>
          <cell r="CB2353">
            <v>943179</v>
          </cell>
        </row>
        <row r="2354">
          <cell r="CA2354">
            <v>3912866</v>
          </cell>
          <cell r="CB2354">
            <v>0</v>
          </cell>
        </row>
        <row r="2355">
          <cell r="CA2355">
            <v>158957222</v>
          </cell>
          <cell r="CB2355">
            <v>18000000</v>
          </cell>
        </row>
        <row r="2356">
          <cell r="CA2356">
            <v>22865511</v>
          </cell>
          <cell r="CB2356">
            <v>4582006</v>
          </cell>
        </row>
        <row r="2357">
          <cell r="CA2357">
            <v>1734307</v>
          </cell>
          <cell r="CB2357">
            <v>0</v>
          </cell>
        </row>
        <row r="2358">
          <cell r="CA2358">
            <v>30113230</v>
          </cell>
          <cell r="CB2358">
            <v>8983061</v>
          </cell>
        </row>
        <row r="2359">
          <cell r="CA2359">
            <v>25958817</v>
          </cell>
          <cell r="CB2359">
            <v>7741999</v>
          </cell>
        </row>
        <row r="2360">
          <cell r="CA2360">
            <v>44669</v>
          </cell>
          <cell r="CB2360">
            <v>0</v>
          </cell>
        </row>
        <row r="2361">
          <cell r="CA2361">
            <v>33678051</v>
          </cell>
          <cell r="CB2361">
            <v>4072831</v>
          </cell>
        </row>
        <row r="2362">
          <cell r="CA2362">
            <v>43457368</v>
          </cell>
          <cell r="CB2362">
            <v>10866850</v>
          </cell>
        </row>
        <row r="2363">
          <cell r="CA2363">
            <v>7017558</v>
          </cell>
          <cell r="CB2363">
            <v>0</v>
          </cell>
        </row>
        <row r="2364">
          <cell r="CA2364">
            <v>2779437</v>
          </cell>
          <cell r="CB2364">
            <v>0</v>
          </cell>
        </row>
        <row r="2365">
          <cell r="CA2365">
            <v>11180521</v>
          </cell>
          <cell r="CB2365">
            <v>1000000</v>
          </cell>
        </row>
        <row r="2366">
          <cell r="CA2366">
            <v>16436764</v>
          </cell>
          <cell r="CB2366">
            <v>3000000</v>
          </cell>
        </row>
        <row r="2367">
          <cell r="CA2367">
            <v>26230153</v>
          </cell>
          <cell r="CB2367">
            <v>5000000</v>
          </cell>
        </row>
        <row r="2368">
          <cell r="CA2368">
            <v>106988123</v>
          </cell>
          <cell r="CB2368">
            <v>21295216</v>
          </cell>
        </row>
        <row r="2369">
          <cell r="CA2369">
            <v>16558370</v>
          </cell>
          <cell r="CB2369">
            <v>0</v>
          </cell>
        </row>
        <row r="2370">
          <cell r="CA2370">
            <v>369003786</v>
          </cell>
          <cell r="CB2370">
            <v>265988800</v>
          </cell>
        </row>
        <row r="2371">
          <cell r="CA2371">
            <v>6720566</v>
          </cell>
          <cell r="CB2371">
            <v>6232931</v>
          </cell>
        </row>
        <row r="2372">
          <cell r="CA2372">
            <v>10608629</v>
          </cell>
          <cell r="CB2372">
            <v>1000000</v>
          </cell>
        </row>
        <row r="2373">
          <cell r="CA2373">
            <v>31588865</v>
          </cell>
          <cell r="CB2373">
            <v>5998970</v>
          </cell>
        </row>
        <row r="2374">
          <cell r="CA2374">
            <v>717156</v>
          </cell>
          <cell r="CB2374">
            <v>0</v>
          </cell>
        </row>
        <row r="2375">
          <cell r="CA2375">
            <v>66953827</v>
          </cell>
          <cell r="CB2375">
            <v>660000</v>
          </cell>
        </row>
        <row r="2376">
          <cell r="CA2376">
            <v>54780404</v>
          </cell>
          <cell r="CB2376">
            <v>540000</v>
          </cell>
        </row>
        <row r="2377">
          <cell r="CA2377">
            <v>34731140</v>
          </cell>
          <cell r="CB2377">
            <v>441065</v>
          </cell>
        </row>
        <row r="2378">
          <cell r="CA2378">
            <v>15938071</v>
          </cell>
          <cell r="CB2378">
            <v>200000</v>
          </cell>
        </row>
        <row r="2379">
          <cell r="CA2379">
            <v>423178</v>
          </cell>
          <cell r="CB2379">
            <v>0</v>
          </cell>
        </row>
        <row r="2380">
          <cell r="CA2380">
            <v>963573</v>
          </cell>
          <cell r="CB2380">
            <v>0</v>
          </cell>
        </row>
        <row r="2381">
          <cell r="CA2381">
            <v>119526002</v>
          </cell>
          <cell r="CB2381">
            <v>13721771</v>
          </cell>
        </row>
        <row r="2382">
          <cell r="CA2382">
            <v>21584367</v>
          </cell>
          <cell r="CB2382">
            <v>4158214</v>
          </cell>
        </row>
        <row r="2383">
          <cell r="CA2383">
            <v>1831116</v>
          </cell>
          <cell r="CB2383">
            <v>0</v>
          </cell>
        </row>
        <row r="2384">
          <cell r="CA2384">
            <v>44424746</v>
          </cell>
          <cell r="CB2384">
            <v>5412485</v>
          </cell>
        </row>
        <row r="2385">
          <cell r="CA2385">
            <v>5761520</v>
          </cell>
          <cell r="CB2385">
            <v>0</v>
          </cell>
        </row>
        <row r="2386">
          <cell r="CA2386">
            <v>46811525</v>
          </cell>
          <cell r="CB2386">
            <v>430000</v>
          </cell>
        </row>
        <row r="2387">
          <cell r="CA2387">
            <v>7845570</v>
          </cell>
          <cell r="CB2387">
            <v>0</v>
          </cell>
        </row>
        <row r="2388">
          <cell r="CA2388">
            <v>24269990</v>
          </cell>
          <cell r="CB2388">
            <v>3997172</v>
          </cell>
        </row>
        <row r="2389">
          <cell r="CA2389">
            <v>604646</v>
          </cell>
          <cell r="CB2389">
            <v>0</v>
          </cell>
        </row>
        <row r="2390">
          <cell r="CA2390">
            <v>1183824</v>
          </cell>
          <cell r="CB2390">
            <v>0</v>
          </cell>
        </row>
        <row r="2391">
          <cell r="CA2391">
            <v>17554763</v>
          </cell>
          <cell r="CB2391">
            <v>2855001</v>
          </cell>
        </row>
        <row r="2392">
          <cell r="CA2392">
            <v>54657766</v>
          </cell>
          <cell r="CB2392">
            <v>21470736</v>
          </cell>
        </row>
        <row r="2393">
          <cell r="CA2393">
            <v>4410231</v>
          </cell>
          <cell r="CB2393">
            <v>2940000</v>
          </cell>
        </row>
        <row r="2394">
          <cell r="CA2394">
            <v>47208968</v>
          </cell>
          <cell r="CB2394">
            <v>9159237</v>
          </cell>
        </row>
        <row r="2395">
          <cell r="CA2395">
            <v>977907</v>
          </cell>
          <cell r="CB2395">
            <v>0</v>
          </cell>
        </row>
        <row r="2396">
          <cell r="CA2396">
            <v>69446054</v>
          </cell>
          <cell r="CB2396">
            <v>16548159</v>
          </cell>
        </row>
        <row r="2397">
          <cell r="CA2397">
            <v>15648931</v>
          </cell>
          <cell r="CB2397">
            <v>0</v>
          </cell>
        </row>
        <row r="2398">
          <cell r="CA2398">
            <v>2177802</v>
          </cell>
          <cell r="CB2398">
            <v>0</v>
          </cell>
        </row>
        <row r="2399">
          <cell r="CA2399">
            <v>13251073</v>
          </cell>
          <cell r="CB2399">
            <v>1200000</v>
          </cell>
        </row>
        <row r="2400">
          <cell r="CA2400">
            <v>4456686</v>
          </cell>
          <cell r="CB2400">
            <v>0</v>
          </cell>
        </row>
        <row r="2401">
          <cell r="CA2401">
            <v>756938262</v>
          </cell>
          <cell r="CB2401">
            <v>381776591</v>
          </cell>
        </row>
        <row r="2402">
          <cell r="CA2402">
            <v>478551</v>
          </cell>
          <cell r="CB2402">
            <v>0</v>
          </cell>
        </row>
        <row r="2403">
          <cell r="CA2403">
            <v>1975414</v>
          </cell>
          <cell r="CB2403">
            <v>0</v>
          </cell>
        </row>
        <row r="2404">
          <cell r="CA2404">
            <v>2974738</v>
          </cell>
          <cell r="CB2404">
            <v>1800000</v>
          </cell>
        </row>
        <row r="2405">
          <cell r="CA2405">
            <v>20754625</v>
          </cell>
          <cell r="CB2405">
            <v>7048451</v>
          </cell>
        </row>
        <row r="2406">
          <cell r="CA2406">
            <v>1634443</v>
          </cell>
          <cell r="CB2406">
            <v>0</v>
          </cell>
        </row>
        <row r="2407">
          <cell r="CA2407">
            <v>3258089</v>
          </cell>
          <cell r="CB2407">
            <v>900000</v>
          </cell>
        </row>
        <row r="2408">
          <cell r="CA2408">
            <v>7094473</v>
          </cell>
          <cell r="CB2408">
            <v>160280</v>
          </cell>
        </row>
        <row r="2409">
          <cell r="CA2409">
            <v>830668</v>
          </cell>
          <cell r="CB2409">
            <v>0</v>
          </cell>
        </row>
        <row r="2410">
          <cell r="CA2410">
            <v>174509</v>
          </cell>
          <cell r="CB2410">
            <v>0</v>
          </cell>
        </row>
        <row r="2411">
          <cell r="CA2411">
            <v>853964</v>
          </cell>
          <cell r="CB2411">
            <v>0</v>
          </cell>
        </row>
        <row r="2412">
          <cell r="CA2412">
            <v>21388742</v>
          </cell>
          <cell r="CB2412">
            <v>4540693</v>
          </cell>
        </row>
        <row r="2413">
          <cell r="CA2413">
            <v>24705684</v>
          </cell>
          <cell r="CB2413">
            <v>4481248</v>
          </cell>
        </row>
        <row r="2414">
          <cell r="CA2414">
            <v>531343</v>
          </cell>
          <cell r="CB2414">
            <v>0</v>
          </cell>
        </row>
        <row r="2415">
          <cell r="CA2415">
            <v>89017185</v>
          </cell>
          <cell r="CB2415">
            <v>16000000</v>
          </cell>
        </row>
        <row r="2416">
          <cell r="CA2416">
            <v>29171816</v>
          </cell>
          <cell r="CB2416">
            <v>6379414</v>
          </cell>
        </row>
        <row r="2417">
          <cell r="CA2417">
            <v>4566022</v>
          </cell>
          <cell r="CB2417">
            <v>0</v>
          </cell>
        </row>
        <row r="2418">
          <cell r="CA2418">
            <v>104305303</v>
          </cell>
          <cell r="CB2418">
            <v>48475916</v>
          </cell>
        </row>
        <row r="2419">
          <cell r="CA2419">
            <v>1951088</v>
          </cell>
          <cell r="CB2419">
            <v>0</v>
          </cell>
        </row>
        <row r="2420">
          <cell r="CA2420">
            <v>164933929</v>
          </cell>
          <cell r="CB2420">
            <v>100784000</v>
          </cell>
        </row>
        <row r="2421">
          <cell r="CA2421">
            <v>69987</v>
          </cell>
          <cell r="CB2421">
            <v>3576723</v>
          </cell>
        </row>
        <row r="2422">
          <cell r="CA2422">
            <v>36872978</v>
          </cell>
          <cell r="CB2422">
            <v>6303880</v>
          </cell>
        </row>
        <row r="2423">
          <cell r="CA2423">
            <v>11712762</v>
          </cell>
          <cell r="CB2423">
            <v>0</v>
          </cell>
        </row>
        <row r="2424">
          <cell r="CA2424">
            <v>81828554</v>
          </cell>
          <cell r="CB2424">
            <v>5598940</v>
          </cell>
        </row>
        <row r="2425">
          <cell r="CA2425">
            <v>1000</v>
          </cell>
          <cell r="CB2425">
            <v>0</v>
          </cell>
        </row>
        <row r="2426">
          <cell r="CA2426">
            <v>32016895</v>
          </cell>
          <cell r="CB2426">
            <v>327000</v>
          </cell>
        </row>
        <row r="2427">
          <cell r="CA2427">
            <v>4360906</v>
          </cell>
          <cell r="CB2427">
            <v>0</v>
          </cell>
        </row>
        <row r="2428">
          <cell r="CA2428">
            <v>1444785</v>
          </cell>
          <cell r="CB2428">
            <v>0</v>
          </cell>
        </row>
        <row r="2429">
          <cell r="CA2429">
            <v>2921739</v>
          </cell>
          <cell r="CB2429">
            <v>0</v>
          </cell>
        </row>
        <row r="2430">
          <cell r="CA2430">
            <v>224285048</v>
          </cell>
          <cell r="CB2430">
            <v>2730000</v>
          </cell>
        </row>
        <row r="2431">
          <cell r="CA2431">
            <v>739364383</v>
          </cell>
          <cell r="CB2431">
            <v>5250000</v>
          </cell>
        </row>
        <row r="2432">
          <cell r="CA2432">
            <v>31017651</v>
          </cell>
          <cell r="CB2432">
            <v>5397205</v>
          </cell>
        </row>
        <row r="2433">
          <cell r="CA2433">
            <v>12229074</v>
          </cell>
          <cell r="CB2433">
            <v>5998193</v>
          </cell>
        </row>
        <row r="2434">
          <cell r="CA2434">
            <v>836226</v>
          </cell>
          <cell r="CB2434">
            <v>0</v>
          </cell>
        </row>
        <row r="2435">
          <cell r="CA2435">
            <v>680603</v>
          </cell>
          <cell r="CB2435">
            <v>0</v>
          </cell>
        </row>
        <row r="2436">
          <cell r="CA2436">
            <v>173038</v>
          </cell>
          <cell r="CB2436">
            <v>0</v>
          </cell>
        </row>
        <row r="2437">
          <cell r="CA2437">
            <v>1439376</v>
          </cell>
          <cell r="CB2437">
            <v>0</v>
          </cell>
        </row>
        <row r="2438">
          <cell r="CA2438">
            <v>31171578</v>
          </cell>
          <cell r="CB2438">
            <v>6031669</v>
          </cell>
        </row>
        <row r="2439">
          <cell r="CA2439">
            <v>33545244</v>
          </cell>
          <cell r="CB2439">
            <v>6000000</v>
          </cell>
        </row>
        <row r="2440">
          <cell r="CA2440">
            <v>3180503</v>
          </cell>
          <cell r="CB2440">
            <v>0</v>
          </cell>
        </row>
        <row r="2441">
          <cell r="CA2441">
            <v>7460595</v>
          </cell>
          <cell r="CB2441">
            <v>0</v>
          </cell>
        </row>
        <row r="2442">
          <cell r="CA2442">
            <v>1787714</v>
          </cell>
          <cell r="CB2442">
            <v>0</v>
          </cell>
        </row>
        <row r="2443">
          <cell r="CA2443">
            <v>123228424</v>
          </cell>
          <cell r="CB2443">
            <v>22600000</v>
          </cell>
        </row>
        <row r="2444">
          <cell r="CA2444">
            <v>14117805</v>
          </cell>
          <cell r="CB2444">
            <v>1795515</v>
          </cell>
        </row>
        <row r="2445">
          <cell r="CA2445">
            <v>98235222</v>
          </cell>
          <cell r="CB2445">
            <v>18000000</v>
          </cell>
        </row>
        <row r="2446">
          <cell r="CA2446">
            <v>1668835</v>
          </cell>
          <cell r="CB2446">
            <v>0</v>
          </cell>
        </row>
        <row r="2447">
          <cell r="CA2447">
            <v>3423918</v>
          </cell>
          <cell r="CB2447">
            <v>120000</v>
          </cell>
        </row>
        <row r="2448">
          <cell r="CA2448">
            <v>10420150</v>
          </cell>
          <cell r="CB2448">
            <v>0</v>
          </cell>
        </row>
        <row r="2449">
          <cell r="CA2449">
            <v>133839453</v>
          </cell>
          <cell r="CB2449">
            <v>23880000</v>
          </cell>
        </row>
        <row r="2450">
          <cell r="CA2450">
            <v>4154255</v>
          </cell>
          <cell r="CB2450">
            <v>0</v>
          </cell>
        </row>
        <row r="2451">
          <cell r="CA2451">
            <v>68768037</v>
          </cell>
          <cell r="CB2451">
            <v>24179747</v>
          </cell>
        </row>
        <row r="2452">
          <cell r="CA2452">
            <v>2158413</v>
          </cell>
          <cell r="CB2452">
            <v>0</v>
          </cell>
        </row>
        <row r="2453">
          <cell r="CA2453">
            <v>93975</v>
          </cell>
          <cell r="CB2453">
            <v>0</v>
          </cell>
        </row>
        <row r="2454">
          <cell r="CA2454">
            <v>298595</v>
          </cell>
          <cell r="CB2454">
            <v>0</v>
          </cell>
        </row>
        <row r="2455">
          <cell r="CA2455">
            <v>37480757</v>
          </cell>
          <cell r="CB2455">
            <v>15181166</v>
          </cell>
        </row>
        <row r="2456">
          <cell r="CA2456">
            <v>427389</v>
          </cell>
          <cell r="CB2456">
            <v>0</v>
          </cell>
        </row>
        <row r="2457">
          <cell r="CA2457">
            <v>9799965</v>
          </cell>
          <cell r="CB2457">
            <v>100000</v>
          </cell>
        </row>
        <row r="2458">
          <cell r="CA2458">
            <v>12607464</v>
          </cell>
          <cell r="CB2458">
            <v>2200000</v>
          </cell>
        </row>
        <row r="2459">
          <cell r="CA2459">
            <v>183718421</v>
          </cell>
          <cell r="CB2459">
            <v>18000000</v>
          </cell>
        </row>
        <row r="2460">
          <cell r="CA2460">
            <v>4160944</v>
          </cell>
          <cell r="CB2460">
            <v>8674000</v>
          </cell>
        </row>
        <row r="2461">
          <cell r="CA2461">
            <v>59670564</v>
          </cell>
          <cell r="CB2461">
            <v>570000</v>
          </cell>
        </row>
        <row r="2462">
          <cell r="CA2462">
            <v>13473206</v>
          </cell>
          <cell r="CB2462">
            <v>2602213</v>
          </cell>
        </row>
        <row r="2463">
          <cell r="CA2463">
            <v>164187299</v>
          </cell>
          <cell r="CB2463">
            <v>30000000</v>
          </cell>
        </row>
        <row r="2464">
          <cell r="CA2464">
            <v>22999886</v>
          </cell>
          <cell r="CB2464">
            <v>3900000</v>
          </cell>
        </row>
        <row r="2465">
          <cell r="CA2465">
            <v>34763958</v>
          </cell>
          <cell r="CB2465">
            <v>2974400</v>
          </cell>
        </row>
        <row r="2466">
          <cell r="CA2466">
            <v>11320659</v>
          </cell>
          <cell r="CB2466">
            <v>0</v>
          </cell>
        </row>
        <row r="2467">
          <cell r="CA2467">
            <v>12902835</v>
          </cell>
          <cell r="CB2467">
            <v>2400000</v>
          </cell>
        </row>
        <row r="2468">
          <cell r="CA2468">
            <v>2306476</v>
          </cell>
          <cell r="CB2468">
            <v>0</v>
          </cell>
        </row>
        <row r="2469">
          <cell r="CA2469">
            <v>1267678</v>
          </cell>
          <cell r="CB2469">
            <v>0</v>
          </cell>
        </row>
        <row r="2470">
          <cell r="CA2470">
            <v>4006494</v>
          </cell>
          <cell r="CB2470">
            <v>0</v>
          </cell>
        </row>
        <row r="2471">
          <cell r="CA2471">
            <v>46759206</v>
          </cell>
          <cell r="CB2471">
            <v>8996662</v>
          </cell>
        </row>
        <row r="2472">
          <cell r="CA2472">
            <v>5224706</v>
          </cell>
          <cell r="CB2472">
            <v>997186</v>
          </cell>
        </row>
        <row r="2473">
          <cell r="CA2473">
            <v>2846986</v>
          </cell>
          <cell r="CB2473">
            <v>0</v>
          </cell>
        </row>
        <row r="2474">
          <cell r="CA2474">
            <v>3613852</v>
          </cell>
          <cell r="CB2474">
            <v>0</v>
          </cell>
        </row>
        <row r="2475">
          <cell r="CA2475">
            <v>13886715</v>
          </cell>
          <cell r="CB2475">
            <v>3712006</v>
          </cell>
        </row>
        <row r="2476">
          <cell r="CA2476">
            <v>3552750</v>
          </cell>
          <cell r="CB2476">
            <v>0</v>
          </cell>
        </row>
        <row r="2477">
          <cell r="CA2477">
            <v>20657645</v>
          </cell>
          <cell r="CB2477">
            <v>200000</v>
          </cell>
        </row>
        <row r="2478">
          <cell r="CA2478">
            <v>22201321</v>
          </cell>
          <cell r="CB2478">
            <v>1999464</v>
          </cell>
        </row>
        <row r="2479">
          <cell r="CA2479">
            <v>30315395</v>
          </cell>
          <cell r="CB2479">
            <v>14288842</v>
          </cell>
        </row>
        <row r="2480">
          <cell r="CA2480">
            <v>765976</v>
          </cell>
          <cell r="CB2480">
            <v>0</v>
          </cell>
        </row>
        <row r="2481">
          <cell r="CA2481">
            <v>34386294</v>
          </cell>
          <cell r="CB2481">
            <v>8580000</v>
          </cell>
        </row>
        <row r="2482">
          <cell r="CA2482">
            <v>168590886</v>
          </cell>
          <cell r="CB2482">
            <v>1740000</v>
          </cell>
        </row>
        <row r="2483">
          <cell r="CA2483">
            <v>65522206</v>
          </cell>
          <cell r="CB2483">
            <v>11995738</v>
          </cell>
        </row>
        <row r="2484">
          <cell r="CA2484">
            <v>895321305</v>
          </cell>
          <cell r="CB2484">
            <v>339916233</v>
          </cell>
        </row>
        <row r="2485">
          <cell r="CA2485">
            <v>1183550</v>
          </cell>
          <cell r="CB2485">
            <v>0</v>
          </cell>
        </row>
        <row r="2486">
          <cell r="CA2486">
            <v>11366751</v>
          </cell>
          <cell r="CB2486">
            <v>2000000</v>
          </cell>
        </row>
        <row r="2487">
          <cell r="CA2487">
            <v>131496770</v>
          </cell>
          <cell r="CB2487">
            <v>1379998</v>
          </cell>
        </row>
        <row r="2488">
          <cell r="CA2488">
            <v>182850</v>
          </cell>
          <cell r="CB2488">
            <v>119991</v>
          </cell>
        </row>
        <row r="2489">
          <cell r="CA2489">
            <v>138508960</v>
          </cell>
          <cell r="CB2489">
            <v>1380000</v>
          </cell>
        </row>
        <row r="2490">
          <cell r="CA2490">
            <v>1000</v>
          </cell>
          <cell r="CB2490">
            <v>0</v>
          </cell>
        </row>
        <row r="2491">
          <cell r="CA2491">
            <v>928291</v>
          </cell>
          <cell r="CB2491">
            <v>0</v>
          </cell>
        </row>
        <row r="2492">
          <cell r="CA2492">
            <v>70321491</v>
          </cell>
          <cell r="CB2492">
            <v>6620000</v>
          </cell>
        </row>
        <row r="2493">
          <cell r="CA2493">
            <v>12233318</v>
          </cell>
          <cell r="CB2493">
            <v>1230000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현황요약"/>
      <sheetName val="Sheet1"/>
      <sheetName val="연습"/>
      <sheetName val="동아"/>
      <sheetName val="세풍"/>
      <sheetName val="강원산업"/>
      <sheetName val="갑을"/>
      <sheetName val="신호"/>
      <sheetName val="고합"/>
      <sheetName val="진도"/>
      <sheetName val="우방"/>
      <sheetName val="신원"/>
      <sheetName val="벽산"/>
      <sheetName val="맥슨전자"/>
      <sheetName val="동화면세점"/>
      <sheetName val="한창"/>
      <sheetName val="한국컴퓨터"/>
      <sheetName val="대구백화점"/>
      <sheetName val="삼일공사"/>
      <sheetName val="남선알미늄"/>
      <sheetName val="세신"/>
      <sheetName val="경기화학"/>
      <sheetName val="동방"/>
      <sheetName val="영창악기"/>
      <sheetName val="동보건설"/>
      <sheetName val="무학"/>
      <sheetName val="동국무역"/>
      <sheetName val="아남"/>
      <sheetName val="쌍용"/>
      <sheetName val="충남방적"/>
      <sheetName val="서한"/>
      <sheetName val="신우"/>
      <sheetName val="화성산업"/>
      <sheetName val="대열기계공업"/>
      <sheetName val="한독분말야금"/>
      <sheetName val="진일특수"/>
      <sheetName val="가나상사"/>
      <sheetName val="미주"/>
      <sheetName val="Original (2)"/>
      <sheetName val="ERM팀별"/>
      <sheetName val="Sheet1 (2)"/>
      <sheetName val="10월 급여"/>
      <sheetName val="Assumption"/>
      <sheetName val="대우중공업"/>
      <sheetName val="f_BS"/>
      <sheetName val="f_IS"/>
      <sheetName val="매각대상(전체)"/>
    </sheetNames>
    <sheetDataSet>
      <sheetData sheetId="0"/>
      <sheetData sheetId="1" refreshError="1">
        <row r="2">
          <cell r="B2">
            <v>36251</v>
          </cell>
        </row>
        <row r="8">
          <cell r="B8" t="str">
            <v>㈜연습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D9">
            <v>1572.19</v>
          </cell>
          <cell r="E9">
            <v>1230.51</v>
          </cell>
          <cell r="F9">
            <v>1215.3105429814079</v>
          </cell>
          <cell r="G9">
            <v>60.55</v>
          </cell>
          <cell r="H9">
            <v>0</v>
          </cell>
          <cell r="I9">
            <v>0</v>
          </cell>
          <cell r="J9">
            <v>281.13</v>
          </cell>
          <cell r="K9">
            <v>15.98</v>
          </cell>
          <cell r="L9">
            <v>63.11</v>
          </cell>
          <cell r="M9">
            <v>157219</v>
          </cell>
          <cell r="N9">
            <v>90051</v>
          </cell>
          <cell r="O9">
            <v>33000</v>
          </cell>
          <cell r="P9">
            <v>0</v>
          </cell>
          <cell r="Q9">
            <v>0</v>
          </cell>
          <cell r="R9">
            <v>6</v>
          </cell>
          <cell r="S9">
            <v>3</v>
          </cell>
          <cell r="T9">
            <v>0</v>
          </cell>
          <cell r="U9">
            <v>37377</v>
          </cell>
          <cell r="V9">
            <v>6055</v>
          </cell>
          <cell r="AC9">
            <v>28113</v>
          </cell>
          <cell r="AD9">
            <v>1598</v>
          </cell>
          <cell r="AE9">
            <v>6311</v>
          </cell>
        </row>
        <row r="10">
          <cell r="B10" t="str">
            <v>동아건설산업</v>
          </cell>
          <cell r="C10">
            <v>5056762</v>
          </cell>
          <cell r="D10">
            <v>1572.19</v>
          </cell>
          <cell r="E10">
            <v>1230.51</v>
          </cell>
          <cell r="F10">
            <v>1215.3105429814079</v>
          </cell>
          <cell r="G10">
            <v>60.55</v>
          </cell>
          <cell r="H10">
            <v>0</v>
          </cell>
          <cell r="I10">
            <v>0</v>
          </cell>
          <cell r="J10">
            <v>281.13</v>
          </cell>
          <cell r="K10">
            <v>15.98</v>
          </cell>
          <cell r="L10">
            <v>63.11</v>
          </cell>
          <cell r="M10">
            <v>157219</v>
          </cell>
          <cell r="N10">
            <v>90051</v>
          </cell>
          <cell r="O10">
            <v>33000</v>
          </cell>
          <cell r="R10">
            <v>6</v>
          </cell>
          <cell r="S10">
            <v>3</v>
          </cell>
          <cell r="T10">
            <v>0</v>
          </cell>
          <cell r="U10">
            <v>37377</v>
          </cell>
          <cell r="V10">
            <v>6055</v>
          </cell>
          <cell r="AC10">
            <v>28113</v>
          </cell>
          <cell r="AD10">
            <v>1598</v>
          </cell>
          <cell r="AE10">
            <v>6311</v>
          </cell>
        </row>
        <row r="11">
          <cell r="D11">
            <v>8.57</v>
          </cell>
          <cell r="E11">
            <v>8.57</v>
          </cell>
          <cell r="F11">
            <v>8.5292927982355806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0.41</v>
          </cell>
          <cell r="M11">
            <v>857</v>
          </cell>
          <cell r="N11">
            <v>857</v>
          </cell>
          <cell r="O11">
            <v>0</v>
          </cell>
          <cell r="P11">
            <v>0</v>
          </cell>
          <cell r="Q11">
            <v>0</v>
          </cell>
          <cell r="R11">
            <v>4</v>
          </cell>
          <cell r="S11">
            <v>3</v>
          </cell>
          <cell r="T11">
            <v>0</v>
          </cell>
          <cell r="U11">
            <v>36312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41</v>
          </cell>
        </row>
        <row r="12">
          <cell r="B12" t="str">
            <v>세풍</v>
          </cell>
          <cell r="C12">
            <v>11712584</v>
          </cell>
          <cell r="D12">
            <v>8.57</v>
          </cell>
          <cell r="E12">
            <v>8.57</v>
          </cell>
          <cell r="F12">
            <v>8.5292927982355806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0.41</v>
          </cell>
          <cell r="M12">
            <v>857</v>
          </cell>
          <cell r="N12">
            <v>857</v>
          </cell>
          <cell r="R12">
            <v>4</v>
          </cell>
          <cell r="S12">
            <v>3</v>
          </cell>
          <cell r="T12">
            <v>0</v>
          </cell>
          <cell r="U12">
            <v>36312</v>
          </cell>
          <cell r="AE12">
            <v>41</v>
          </cell>
        </row>
        <row r="13">
          <cell r="D13">
            <v>4.8899999999999997</v>
          </cell>
          <cell r="E13">
            <v>4.8899999999999997</v>
          </cell>
          <cell r="F13">
            <v>4.6954559874409227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7.33</v>
          </cell>
          <cell r="L13">
            <v>6</v>
          </cell>
          <cell r="M13">
            <v>489</v>
          </cell>
          <cell r="N13">
            <v>489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3.0000000000000001E-3</v>
          </cell>
          <cell r="U13">
            <v>37226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733</v>
          </cell>
          <cell r="AE13">
            <v>800</v>
          </cell>
        </row>
        <row r="14">
          <cell r="B14" t="str">
            <v>강원산업</v>
          </cell>
          <cell r="C14">
            <v>1051916</v>
          </cell>
          <cell r="D14">
            <v>4.8899999999999997</v>
          </cell>
          <cell r="E14">
            <v>4.8899999999999997</v>
          </cell>
          <cell r="F14">
            <v>4.6954559874409227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7.33</v>
          </cell>
          <cell r="L14">
            <v>6</v>
          </cell>
          <cell r="M14">
            <v>489</v>
          </cell>
          <cell r="N14">
            <v>489</v>
          </cell>
          <cell r="T14">
            <v>3.0000000000000001E-3</v>
          </cell>
          <cell r="U14">
            <v>37226</v>
          </cell>
          <cell r="AD14">
            <v>733</v>
          </cell>
          <cell r="AE14">
            <v>600</v>
          </cell>
        </row>
        <row r="15">
          <cell r="B15" t="str">
            <v>삼표산업</v>
          </cell>
          <cell r="D15">
            <v>0</v>
          </cell>
          <cell r="AE15">
            <v>200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 t="str">
            <v>갑을</v>
          </cell>
          <cell r="C17">
            <v>16099734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갑을방적</v>
          </cell>
          <cell r="C18">
            <v>51462749</v>
          </cell>
          <cell r="D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D19">
            <v>3.86</v>
          </cell>
          <cell r="E19">
            <v>0</v>
          </cell>
          <cell r="F19">
            <v>0</v>
          </cell>
          <cell r="G19">
            <v>3.86</v>
          </cell>
          <cell r="H19">
            <v>0</v>
          </cell>
          <cell r="I19">
            <v>0</v>
          </cell>
          <cell r="J19">
            <v>0</v>
          </cell>
          <cell r="K19">
            <v>37.979999999999997</v>
          </cell>
          <cell r="L19">
            <v>10.71</v>
          </cell>
          <cell r="M19">
            <v>386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386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3798</v>
          </cell>
          <cell r="AE19">
            <v>1071</v>
          </cell>
        </row>
        <row r="20">
          <cell r="B20" t="str">
            <v>신호제지</v>
          </cell>
          <cell r="C20">
            <v>1011971</v>
          </cell>
          <cell r="D20">
            <v>3.86</v>
          </cell>
          <cell r="E20">
            <v>0</v>
          </cell>
          <cell r="F20">
            <v>0</v>
          </cell>
          <cell r="G20">
            <v>3.86</v>
          </cell>
          <cell r="H20">
            <v>0</v>
          </cell>
          <cell r="I20">
            <v>0</v>
          </cell>
          <cell r="J20">
            <v>0</v>
          </cell>
          <cell r="K20">
            <v>37.979999999999997</v>
          </cell>
          <cell r="L20">
            <v>10.71</v>
          </cell>
          <cell r="M20">
            <v>386</v>
          </cell>
          <cell r="V20">
            <v>386</v>
          </cell>
          <cell r="AD20">
            <v>3798</v>
          </cell>
          <cell r="AE20">
            <v>1071</v>
          </cell>
        </row>
        <row r="21">
          <cell r="D21">
            <v>129.99</v>
          </cell>
          <cell r="E21">
            <v>109.99</v>
          </cell>
          <cell r="F21">
            <v>109.82448292034897</v>
          </cell>
          <cell r="G21">
            <v>20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12.7</v>
          </cell>
          <cell r="M21">
            <v>12165</v>
          </cell>
          <cell r="N21">
            <v>795</v>
          </cell>
          <cell r="O21">
            <v>9370</v>
          </cell>
          <cell r="P21">
            <v>0</v>
          </cell>
          <cell r="Q21">
            <v>0</v>
          </cell>
          <cell r="R21">
            <v>36</v>
          </cell>
          <cell r="S21">
            <v>9</v>
          </cell>
          <cell r="T21">
            <v>2.2499999999999999E-2</v>
          </cell>
          <cell r="U21">
            <v>111313</v>
          </cell>
          <cell r="V21">
            <v>2000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1270</v>
          </cell>
        </row>
        <row r="22">
          <cell r="B22" t="str">
            <v>고합</v>
          </cell>
          <cell r="C22">
            <v>200332520</v>
          </cell>
          <cell r="D22">
            <v>55.5</v>
          </cell>
          <cell r="E22">
            <v>46.5</v>
          </cell>
          <cell r="F22">
            <v>46.447902310750209</v>
          </cell>
          <cell r="G22">
            <v>9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2.74</v>
          </cell>
          <cell r="M22">
            <v>5550</v>
          </cell>
          <cell r="N22">
            <v>382</v>
          </cell>
          <cell r="O22">
            <v>4268</v>
          </cell>
          <cell r="R22">
            <v>12</v>
          </cell>
          <cell r="S22">
            <v>3</v>
          </cell>
          <cell r="T22">
            <v>7.4999999999999997E-3</v>
          </cell>
          <cell r="U22">
            <v>37591</v>
          </cell>
          <cell r="V22">
            <v>900</v>
          </cell>
          <cell r="AE22">
            <v>274</v>
          </cell>
        </row>
        <row r="23">
          <cell r="B23" t="str">
            <v>고려종합화학</v>
          </cell>
          <cell r="C23">
            <v>149416517</v>
          </cell>
          <cell r="D23">
            <v>55.07</v>
          </cell>
          <cell r="E23">
            <v>46.07</v>
          </cell>
          <cell r="F23">
            <v>46.039166661310325</v>
          </cell>
          <cell r="G23">
            <v>9</v>
          </cell>
          <cell r="H23">
            <v>0</v>
          </cell>
          <cell r="J23">
            <v>0</v>
          </cell>
          <cell r="K23">
            <v>0</v>
          </cell>
          <cell r="L23">
            <v>9.4499999999999993</v>
          </cell>
          <cell r="M23">
            <v>5507</v>
          </cell>
          <cell r="N23">
            <v>339</v>
          </cell>
          <cell r="O23">
            <v>4268</v>
          </cell>
          <cell r="R23">
            <v>12</v>
          </cell>
          <cell r="S23">
            <v>3</v>
          </cell>
          <cell r="T23">
            <v>7.4999999999999997E-3</v>
          </cell>
          <cell r="U23">
            <v>36861</v>
          </cell>
          <cell r="V23">
            <v>900</v>
          </cell>
          <cell r="AE23">
            <v>945</v>
          </cell>
        </row>
        <row r="24">
          <cell r="B24" t="str">
            <v>고려석유화학</v>
          </cell>
          <cell r="C24">
            <v>142008200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고합물산</v>
          </cell>
          <cell r="C25">
            <v>225068533</v>
          </cell>
          <cell r="D25">
            <v>19.420000000000002</v>
          </cell>
          <cell r="E25">
            <v>17.420000000000002</v>
          </cell>
          <cell r="F25">
            <v>17.337413948288432</v>
          </cell>
          <cell r="G25">
            <v>2</v>
          </cell>
          <cell r="H25">
            <v>0</v>
          </cell>
          <cell r="J25">
            <v>0</v>
          </cell>
          <cell r="K25">
            <v>0</v>
          </cell>
          <cell r="L25">
            <v>0.51</v>
          </cell>
          <cell r="M25">
            <v>1108</v>
          </cell>
          <cell r="N25">
            <v>74</v>
          </cell>
          <cell r="O25">
            <v>834</v>
          </cell>
          <cell r="R25">
            <v>12</v>
          </cell>
          <cell r="S25">
            <v>3</v>
          </cell>
          <cell r="T25">
            <v>7.4999999999999997E-3</v>
          </cell>
          <cell r="U25">
            <v>36861</v>
          </cell>
          <cell r="V25">
            <v>200</v>
          </cell>
          <cell r="AE25">
            <v>51</v>
          </cell>
        </row>
        <row r="26">
          <cell r="D26">
            <v>9.26</v>
          </cell>
          <cell r="E26">
            <v>5.7</v>
          </cell>
          <cell r="F26">
            <v>5.7</v>
          </cell>
          <cell r="G26">
            <v>2.0099999999999998</v>
          </cell>
          <cell r="H26">
            <v>1.55</v>
          </cell>
          <cell r="I26">
            <v>0.91081977283157234</v>
          </cell>
          <cell r="J26">
            <v>0</v>
          </cell>
          <cell r="K26">
            <v>0</v>
          </cell>
          <cell r="L26">
            <v>1.21</v>
          </cell>
          <cell r="M26">
            <v>926</v>
          </cell>
          <cell r="N26">
            <v>570</v>
          </cell>
          <cell r="O26">
            <v>0</v>
          </cell>
          <cell r="P26">
            <v>0</v>
          </cell>
          <cell r="Q26">
            <v>0</v>
          </cell>
          <cell r="R26">
            <v>10</v>
          </cell>
          <cell r="S26">
            <v>3</v>
          </cell>
          <cell r="T26">
            <v>2.5000000000000001E-2</v>
          </cell>
          <cell r="U26">
            <v>37591</v>
          </cell>
          <cell r="V26">
            <v>201</v>
          </cell>
          <cell r="W26">
            <v>155</v>
          </cell>
          <cell r="X26">
            <v>0</v>
          </cell>
          <cell r="Y26">
            <v>36220</v>
          </cell>
          <cell r="Z26">
            <v>0</v>
          </cell>
          <cell r="AA26">
            <v>5.0000000000000001E-3</v>
          </cell>
          <cell r="AB26">
            <v>37956</v>
          </cell>
          <cell r="AC26">
            <v>0</v>
          </cell>
          <cell r="AD26">
            <v>0</v>
          </cell>
          <cell r="AE26">
            <v>121</v>
          </cell>
        </row>
        <row r="27">
          <cell r="B27" t="str">
            <v>진도</v>
          </cell>
          <cell r="C27">
            <v>16131366</v>
          </cell>
          <cell r="D27">
            <v>9.26</v>
          </cell>
          <cell r="E27">
            <v>5.7</v>
          </cell>
          <cell r="F27">
            <v>5.7</v>
          </cell>
          <cell r="G27">
            <v>2.0099999999999998</v>
          </cell>
          <cell r="H27">
            <v>1.55</v>
          </cell>
          <cell r="I27">
            <v>0.91081977283157234</v>
          </cell>
          <cell r="J27">
            <v>0</v>
          </cell>
          <cell r="K27">
            <v>0</v>
          </cell>
          <cell r="L27">
            <v>1.21</v>
          </cell>
          <cell r="M27">
            <v>926</v>
          </cell>
          <cell r="N27">
            <v>570</v>
          </cell>
          <cell r="R27">
            <v>10</v>
          </cell>
          <cell r="S27">
            <v>3</v>
          </cell>
          <cell r="T27">
            <v>2.5000000000000001E-2</v>
          </cell>
          <cell r="U27">
            <v>37591</v>
          </cell>
          <cell r="V27">
            <v>201</v>
          </cell>
          <cell r="W27">
            <v>155</v>
          </cell>
          <cell r="Y27">
            <v>36220</v>
          </cell>
          <cell r="Z27">
            <v>0</v>
          </cell>
          <cell r="AA27">
            <v>5.0000000000000001E-3</v>
          </cell>
          <cell r="AB27">
            <v>37956</v>
          </cell>
          <cell r="AE27">
            <v>121</v>
          </cell>
        </row>
        <row r="28">
          <cell r="D28">
            <v>48.24</v>
          </cell>
          <cell r="E28">
            <v>48.24</v>
          </cell>
          <cell r="F28">
            <v>46.667677416169496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1.1100000000000001</v>
          </cell>
          <cell r="M28">
            <v>4824</v>
          </cell>
          <cell r="N28">
            <v>4824</v>
          </cell>
          <cell r="O28">
            <v>0</v>
          </cell>
          <cell r="P28">
            <v>0</v>
          </cell>
          <cell r="Q28">
            <v>0</v>
          </cell>
          <cell r="R28">
            <v>10</v>
          </cell>
          <cell r="S28">
            <v>1</v>
          </cell>
          <cell r="T28">
            <v>2.5000000000000001E-3</v>
          </cell>
          <cell r="U28">
            <v>37591</v>
          </cell>
          <cell r="V28">
            <v>0</v>
          </cell>
          <cell r="W28">
            <v>0</v>
          </cell>
          <cell r="X28">
            <v>3</v>
          </cell>
          <cell r="Y28">
            <v>36312</v>
          </cell>
          <cell r="Z28">
            <v>0</v>
          </cell>
          <cell r="AA28">
            <v>5.0000000000000001E-3</v>
          </cell>
          <cell r="AB28">
            <v>37621</v>
          </cell>
          <cell r="AC28">
            <v>0</v>
          </cell>
          <cell r="AD28">
            <v>0</v>
          </cell>
          <cell r="AE28">
            <v>111</v>
          </cell>
        </row>
        <row r="29">
          <cell r="B29" t="str">
            <v>우방</v>
          </cell>
          <cell r="C29">
            <v>4012709</v>
          </cell>
          <cell r="D29">
            <v>48.24</v>
          </cell>
          <cell r="E29">
            <v>48.24</v>
          </cell>
          <cell r="F29">
            <v>46.667677416169496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1.1100000000000001</v>
          </cell>
          <cell r="M29">
            <v>4824</v>
          </cell>
          <cell r="N29">
            <v>4824</v>
          </cell>
          <cell r="R29">
            <v>10</v>
          </cell>
          <cell r="S29">
            <v>1</v>
          </cell>
          <cell r="T29">
            <v>2.5000000000000001E-3</v>
          </cell>
          <cell r="U29">
            <v>37591</v>
          </cell>
          <cell r="X29">
            <v>3</v>
          </cell>
          <cell r="Y29">
            <v>36312</v>
          </cell>
          <cell r="Z29">
            <v>0</v>
          </cell>
          <cell r="AA29">
            <v>5.0000000000000001E-3</v>
          </cell>
          <cell r="AB29">
            <v>37621</v>
          </cell>
          <cell r="AE29">
            <v>111</v>
          </cell>
        </row>
        <row r="30">
          <cell r="D30">
            <v>139.93</v>
          </cell>
          <cell r="E30">
            <v>105.84</v>
          </cell>
          <cell r="F30">
            <v>105.84</v>
          </cell>
          <cell r="G30">
            <v>15.35</v>
          </cell>
          <cell r="H30">
            <v>18.739999999999998</v>
          </cell>
          <cell r="I30">
            <v>8.8033831160686287</v>
          </cell>
          <cell r="J30">
            <v>0</v>
          </cell>
          <cell r="K30">
            <v>0</v>
          </cell>
          <cell r="L30">
            <v>3.4</v>
          </cell>
          <cell r="M30">
            <v>13993</v>
          </cell>
          <cell r="N30">
            <v>10584</v>
          </cell>
          <cell r="O30">
            <v>0</v>
          </cell>
          <cell r="P30">
            <v>0</v>
          </cell>
          <cell r="Q30">
            <v>0</v>
          </cell>
          <cell r="R30">
            <v>20</v>
          </cell>
          <cell r="S30">
            <v>6</v>
          </cell>
          <cell r="T30">
            <v>0.05</v>
          </cell>
          <cell r="U30">
            <v>75182</v>
          </cell>
          <cell r="V30">
            <v>1535</v>
          </cell>
          <cell r="W30">
            <v>1874</v>
          </cell>
          <cell r="X30">
            <v>12</v>
          </cell>
          <cell r="Y30">
            <v>36220</v>
          </cell>
          <cell r="Z30">
            <v>0</v>
          </cell>
          <cell r="AA30">
            <v>5.0000000000000001E-3</v>
          </cell>
          <cell r="AB30">
            <v>38687</v>
          </cell>
          <cell r="AC30">
            <v>0</v>
          </cell>
          <cell r="AD30">
            <v>0</v>
          </cell>
          <cell r="AE30">
            <v>340</v>
          </cell>
        </row>
        <row r="31">
          <cell r="B31" t="str">
            <v>신원</v>
          </cell>
          <cell r="C31">
            <v>1077240</v>
          </cell>
          <cell r="D31">
            <v>48.76</v>
          </cell>
          <cell r="E31">
            <v>14.67</v>
          </cell>
          <cell r="F31">
            <v>14.67</v>
          </cell>
          <cell r="G31">
            <v>15.35</v>
          </cell>
          <cell r="H31">
            <v>18.739999999999998</v>
          </cell>
          <cell r="I31">
            <v>8.8033831160686287</v>
          </cell>
          <cell r="J31">
            <v>0</v>
          </cell>
          <cell r="K31">
            <v>0</v>
          </cell>
          <cell r="L31">
            <v>3.4</v>
          </cell>
          <cell r="M31">
            <v>4876</v>
          </cell>
          <cell r="N31">
            <v>1467</v>
          </cell>
          <cell r="R31">
            <v>10</v>
          </cell>
          <cell r="S31">
            <v>3</v>
          </cell>
          <cell r="T31">
            <v>2.5000000000000001E-2</v>
          </cell>
          <cell r="U31">
            <v>37591</v>
          </cell>
          <cell r="V31">
            <v>1535</v>
          </cell>
          <cell r="W31">
            <v>1874</v>
          </cell>
          <cell r="X31">
            <v>12</v>
          </cell>
          <cell r="Y31">
            <v>36220</v>
          </cell>
          <cell r="Z31">
            <v>0</v>
          </cell>
          <cell r="AA31">
            <v>5.0000000000000001E-3</v>
          </cell>
          <cell r="AB31">
            <v>38687</v>
          </cell>
          <cell r="AE31">
            <v>340</v>
          </cell>
        </row>
        <row r="32">
          <cell r="B32" t="str">
            <v>신원JMC</v>
          </cell>
          <cell r="C32">
            <v>6318444</v>
          </cell>
          <cell r="D32">
            <v>91.17</v>
          </cell>
          <cell r="E32">
            <v>91.17</v>
          </cell>
          <cell r="F32">
            <v>91.17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9117</v>
          </cell>
          <cell r="N32">
            <v>9117</v>
          </cell>
          <cell r="R32">
            <v>10</v>
          </cell>
          <cell r="S32">
            <v>3</v>
          </cell>
          <cell r="T32">
            <v>2.5000000000000001E-2</v>
          </cell>
          <cell r="U32">
            <v>37591</v>
          </cell>
        </row>
        <row r="33">
          <cell r="D33">
            <v>133.68</v>
          </cell>
          <cell r="E33">
            <v>7.84</v>
          </cell>
          <cell r="F33">
            <v>7.5000144773520434</v>
          </cell>
          <cell r="G33">
            <v>1.5</v>
          </cell>
          <cell r="H33">
            <v>27.61</v>
          </cell>
          <cell r="I33">
            <v>24.404751884141696</v>
          </cell>
          <cell r="J33">
            <v>96.73</v>
          </cell>
          <cell r="K33">
            <v>0</v>
          </cell>
          <cell r="L33">
            <v>3.89</v>
          </cell>
          <cell r="M33">
            <v>13368</v>
          </cell>
          <cell r="N33">
            <v>784</v>
          </cell>
          <cell r="O33">
            <v>0</v>
          </cell>
          <cell r="P33">
            <v>0</v>
          </cell>
          <cell r="Q33">
            <v>0</v>
          </cell>
          <cell r="R33">
            <v>5</v>
          </cell>
          <cell r="S33">
            <v>1</v>
          </cell>
          <cell r="T33">
            <v>2.5000000000000001E-3</v>
          </cell>
          <cell r="U33">
            <v>37591</v>
          </cell>
          <cell r="V33">
            <v>150</v>
          </cell>
          <cell r="W33">
            <v>2761</v>
          </cell>
          <cell r="X33">
            <v>12</v>
          </cell>
          <cell r="Y33">
            <v>36220</v>
          </cell>
          <cell r="Z33">
            <v>0.01</v>
          </cell>
          <cell r="AA33">
            <v>0</v>
          </cell>
          <cell r="AB33">
            <v>37591</v>
          </cell>
          <cell r="AC33">
            <v>9673</v>
          </cell>
          <cell r="AD33">
            <v>0</v>
          </cell>
          <cell r="AE33">
            <v>389</v>
          </cell>
        </row>
        <row r="34">
          <cell r="B34" t="str">
            <v>벽산건설</v>
          </cell>
          <cell r="C34">
            <v>1108080</v>
          </cell>
          <cell r="D34">
            <v>36.950000000000003</v>
          </cell>
          <cell r="E34">
            <v>7.84</v>
          </cell>
          <cell r="F34">
            <v>7.5000144773520434</v>
          </cell>
          <cell r="G34">
            <v>1.5</v>
          </cell>
          <cell r="H34">
            <v>27.61</v>
          </cell>
          <cell r="I34">
            <v>24.404751884141696</v>
          </cell>
          <cell r="J34">
            <v>0</v>
          </cell>
          <cell r="K34">
            <v>0</v>
          </cell>
          <cell r="L34">
            <v>3.89</v>
          </cell>
          <cell r="M34">
            <v>3695</v>
          </cell>
          <cell r="N34">
            <v>784</v>
          </cell>
          <cell r="R34">
            <v>5</v>
          </cell>
          <cell r="S34">
            <v>1</v>
          </cell>
          <cell r="T34">
            <v>2.5000000000000001E-3</v>
          </cell>
          <cell r="U34">
            <v>37591</v>
          </cell>
          <cell r="V34">
            <v>150</v>
          </cell>
          <cell r="W34">
            <v>2761</v>
          </cell>
          <cell r="X34">
            <v>12</v>
          </cell>
          <cell r="Y34">
            <v>36220</v>
          </cell>
          <cell r="Z34">
            <v>0.01</v>
          </cell>
          <cell r="AB34">
            <v>37591</v>
          </cell>
          <cell r="AE34">
            <v>389</v>
          </cell>
        </row>
        <row r="35">
          <cell r="B35" t="str">
            <v>벽산</v>
          </cell>
          <cell r="C35">
            <v>1108080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동양물산</v>
          </cell>
          <cell r="C36">
            <v>1012038</v>
          </cell>
          <cell r="D36">
            <v>96.73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96.73</v>
          </cell>
          <cell r="K36">
            <v>0</v>
          </cell>
          <cell r="L36">
            <v>0</v>
          </cell>
          <cell r="M36">
            <v>9673</v>
          </cell>
          <cell r="AC36">
            <v>9673</v>
          </cell>
        </row>
        <row r="37">
          <cell r="D37">
            <v>200.00000000000003</v>
          </cell>
          <cell r="E37">
            <v>159.21</v>
          </cell>
          <cell r="F37">
            <v>152.35304243001113</v>
          </cell>
          <cell r="G37">
            <v>11.97</v>
          </cell>
          <cell r="H37">
            <v>22.52</v>
          </cell>
          <cell r="I37">
            <v>15.080559050755378</v>
          </cell>
          <cell r="J37">
            <v>6.3</v>
          </cell>
          <cell r="K37">
            <v>112.28</v>
          </cell>
          <cell r="L37">
            <v>26.61</v>
          </cell>
          <cell r="M37">
            <v>20000</v>
          </cell>
          <cell r="N37">
            <v>15921</v>
          </cell>
          <cell r="O37">
            <v>0</v>
          </cell>
          <cell r="P37">
            <v>0</v>
          </cell>
          <cell r="Q37">
            <v>0</v>
          </cell>
          <cell r="R37">
            <v>4</v>
          </cell>
          <cell r="S37">
            <v>3</v>
          </cell>
          <cell r="T37">
            <v>5.0000000000000001E-3</v>
          </cell>
          <cell r="U37">
            <v>74542</v>
          </cell>
          <cell r="V37">
            <v>1197</v>
          </cell>
          <cell r="W37">
            <v>2252</v>
          </cell>
          <cell r="X37">
            <v>0</v>
          </cell>
          <cell r="Y37">
            <v>36312</v>
          </cell>
          <cell r="Z37">
            <v>0</v>
          </cell>
          <cell r="AA37">
            <v>0.01</v>
          </cell>
          <cell r="AB37">
            <v>37591</v>
          </cell>
          <cell r="AC37">
            <v>630</v>
          </cell>
          <cell r="AD37">
            <v>11228</v>
          </cell>
          <cell r="AE37">
            <v>2661</v>
          </cell>
        </row>
        <row r="38">
          <cell r="B38" t="str">
            <v>맥슨전자</v>
          </cell>
          <cell r="C38">
            <v>181017675</v>
          </cell>
          <cell r="D38">
            <v>193.70000000000002</v>
          </cell>
          <cell r="E38">
            <v>159.21</v>
          </cell>
          <cell r="F38">
            <v>152.35304243001113</v>
          </cell>
          <cell r="G38">
            <v>11.97</v>
          </cell>
          <cell r="H38">
            <v>22.52</v>
          </cell>
          <cell r="I38">
            <v>15.080559050755378</v>
          </cell>
          <cell r="J38">
            <v>0</v>
          </cell>
          <cell r="K38">
            <v>112.28</v>
          </cell>
          <cell r="L38">
            <v>26.61</v>
          </cell>
          <cell r="M38">
            <v>19370</v>
          </cell>
          <cell r="N38">
            <v>15921</v>
          </cell>
          <cell r="R38">
            <v>4</v>
          </cell>
          <cell r="S38">
            <v>3</v>
          </cell>
          <cell r="T38">
            <v>5.0000000000000001E-3</v>
          </cell>
          <cell r="U38">
            <v>37591</v>
          </cell>
          <cell r="V38">
            <v>1197</v>
          </cell>
          <cell r="W38">
            <v>2252</v>
          </cell>
          <cell r="Y38">
            <v>36312</v>
          </cell>
          <cell r="Z38">
            <v>0</v>
          </cell>
          <cell r="AA38">
            <v>0.01</v>
          </cell>
          <cell r="AB38">
            <v>37591</v>
          </cell>
          <cell r="AD38">
            <v>11228</v>
          </cell>
          <cell r="AE38">
            <v>2661</v>
          </cell>
        </row>
        <row r="39">
          <cell r="B39" t="str">
            <v>일동제약</v>
          </cell>
          <cell r="C39">
            <v>181013452</v>
          </cell>
          <cell r="D39">
            <v>6.3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6.3</v>
          </cell>
          <cell r="K39">
            <v>0</v>
          </cell>
          <cell r="L39">
            <v>0</v>
          </cell>
          <cell r="M39">
            <v>630</v>
          </cell>
          <cell r="U39">
            <v>36951</v>
          </cell>
          <cell r="AC39">
            <v>630</v>
          </cell>
        </row>
        <row r="40">
          <cell r="D40">
            <v>4.3499999999999996</v>
          </cell>
          <cell r="E40">
            <v>4.3499999999999996</v>
          </cell>
          <cell r="F40">
            <v>4.3339553343159176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435</v>
          </cell>
          <cell r="N40">
            <v>435</v>
          </cell>
          <cell r="O40">
            <v>0</v>
          </cell>
          <cell r="P40">
            <v>0</v>
          </cell>
          <cell r="Q40">
            <v>0</v>
          </cell>
          <cell r="R40">
            <v>12</v>
          </cell>
          <cell r="S40">
            <v>6</v>
          </cell>
          <cell r="T40">
            <v>0.01</v>
          </cell>
          <cell r="U40">
            <v>36861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B41" t="str">
            <v>동화면세점</v>
          </cell>
          <cell r="C41">
            <v>58068910</v>
          </cell>
          <cell r="D41">
            <v>4.3499999999999996</v>
          </cell>
          <cell r="E41">
            <v>4.3499999999999996</v>
          </cell>
          <cell r="F41">
            <v>4.3339553343159176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435</v>
          </cell>
          <cell r="N41">
            <v>435</v>
          </cell>
          <cell r="R41">
            <v>12</v>
          </cell>
          <cell r="S41">
            <v>6</v>
          </cell>
          <cell r="T41">
            <v>0.01</v>
          </cell>
          <cell r="U41">
            <v>36861</v>
          </cell>
        </row>
        <row r="42">
          <cell r="D42">
            <v>47.930000000000007</v>
          </cell>
          <cell r="E42">
            <v>47.650000000000006</v>
          </cell>
          <cell r="F42">
            <v>47.650000000000006</v>
          </cell>
          <cell r="G42">
            <v>0</v>
          </cell>
          <cell r="H42">
            <v>0</v>
          </cell>
          <cell r="I42">
            <v>0</v>
          </cell>
          <cell r="J42">
            <v>0.28000000000000003</v>
          </cell>
          <cell r="K42">
            <v>0</v>
          </cell>
          <cell r="L42">
            <v>0</v>
          </cell>
          <cell r="M42">
            <v>4793</v>
          </cell>
          <cell r="N42">
            <v>4765</v>
          </cell>
          <cell r="O42">
            <v>0</v>
          </cell>
          <cell r="P42">
            <v>0</v>
          </cell>
          <cell r="Q42">
            <v>0</v>
          </cell>
          <cell r="R42">
            <v>10</v>
          </cell>
          <cell r="S42">
            <v>4</v>
          </cell>
          <cell r="T42">
            <v>0.05</v>
          </cell>
          <cell r="U42">
            <v>75182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28</v>
          </cell>
          <cell r="AD42">
            <v>0</v>
          </cell>
          <cell r="AE42">
            <v>0</v>
          </cell>
        </row>
        <row r="43">
          <cell r="B43" t="str">
            <v>부일이동통신</v>
          </cell>
          <cell r="C43">
            <v>157414576</v>
          </cell>
          <cell r="D43">
            <v>29.35</v>
          </cell>
          <cell r="E43">
            <v>29.35</v>
          </cell>
          <cell r="F43">
            <v>29.35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2935</v>
          </cell>
          <cell r="N43">
            <v>2935</v>
          </cell>
          <cell r="R43">
            <v>0</v>
          </cell>
          <cell r="S43">
            <v>1</v>
          </cell>
          <cell r="T43">
            <v>2.5000000000000001E-2</v>
          </cell>
          <cell r="U43">
            <v>37591</v>
          </cell>
          <cell r="V43">
            <v>0</v>
          </cell>
          <cell r="W43">
            <v>0</v>
          </cell>
          <cell r="AE43">
            <v>0</v>
          </cell>
        </row>
        <row r="44">
          <cell r="B44" t="str">
            <v>서울트래드클럽</v>
          </cell>
          <cell r="C44">
            <v>13092502</v>
          </cell>
          <cell r="D44">
            <v>18.3</v>
          </cell>
          <cell r="E44">
            <v>18.3</v>
          </cell>
          <cell r="F44">
            <v>18.3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L44">
            <v>0</v>
          </cell>
          <cell r="M44">
            <v>1830</v>
          </cell>
          <cell r="N44">
            <v>1830</v>
          </cell>
          <cell r="R44">
            <v>10</v>
          </cell>
          <cell r="S44">
            <v>3</v>
          </cell>
          <cell r="T44">
            <v>2.5000000000000001E-2</v>
          </cell>
          <cell r="U44">
            <v>37591</v>
          </cell>
          <cell r="V44">
            <v>0</v>
          </cell>
          <cell r="W44">
            <v>0</v>
          </cell>
          <cell r="AE44">
            <v>0</v>
          </cell>
        </row>
        <row r="45">
          <cell r="B45" t="str">
            <v>한창화학(주)</v>
          </cell>
          <cell r="C45">
            <v>132008857</v>
          </cell>
          <cell r="D45">
            <v>0.28000000000000003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J45">
            <v>0.28000000000000003</v>
          </cell>
          <cell r="K45">
            <v>0</v>
          </cell>
          <cell r="L45">
            <v>0</v>
          </cell>
          <cell r="M45">
            <v>28</v>
          </cell>
          <cell r="V45">
            <v>0</v>
          </cell>
          <cell r="W45">
            <v>0</v>
          </cell>
          <cell r="AC45">
            <v>28</v>
          </cell>
        </row>
        <row r="46">
          <cell r="D46">
            <v>79.02</v>
          </cell>
          <cell r="E46">
            <v>79.02</v>
          </cell>
          <cell r="F46">
            <v>79.02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43.99</v>
          </cell>
          <cell r="L46">
            <v>0</v>
          </cell>
          <cell r="M46">
            <v>7902</v>
          </cell>
          <cell r="N46">
            <v>0</v>
          </cell>
          <cell r="O46">
            <v>7902</v>
          </cell>
          <cell r="P46">
            <v>0</v>
          </cell>
          <cell r="Q46">
            <v>0</v>
          </cell>
          <cell r="R46">
            <v>7</v>
          </cell>
          <cell r="S46">
            <v>3</v>
          </cell>
          <cell r="T46">
            <v>4.0699999999999998E-3</v>
          </cell>
          <cell r="U46">
            <v>37226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4399</v>
          </cell>
          <cell r="AE46">
            <v>0</v>
          </cell>
        </row>
        <row r="47">
          <cell r="B47" t="str">
            <v>한국컴퓨터</v>
          </cell>
          <cell r="C47">
            <v>13021277</v>
          </cell>
          <cell r="D47">
            <v>79.02</v>
          </cell>
          <cell r="E47">
            <v>79.02</v>
          </cell>
          <cell r="F47">
            <v>79.02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43.99</v>
          </cell>
          <cell r="L47">
            <v>0</v>
          </cell>
          <cell r="M47">
            <v>7902</v>
          </cell>
          <cell r="O47">
            <v>7902</v>
          </cell>
          <cell r="R47">
            <v>7</v>
          </cell>
          <cell r="S47">
            <v>3</v>
          </cell>
          <cell r="T47">
            <v>4.0699999999999998E-3</v>
          </cell>
          <cell r="U47">
            <v>37226</v>
          </cell>
          <cell r="AD47">
            <v>4399</v>
          </cell>
        </row>
        <row r="48">
          <cell r="D48">
            <v>23.2</v>
          </cell>
          <cell r="E48">
            <v>23.2</v>
          </cell>
          <cell r="F48">
            <v>21.724806732946426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2320</v>
          </cell>
          <cell r="N48">
            <v>2320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0.01</v>
          </cell>
          <cell r="U48">
            <v>75362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 t="str">
            <v>대구백화점</v>
          </cell>
          <cell r="C49">
            <v>60073080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U49">
            <v>37681</v>
          </cell>
        </row>
        <row r="50">
          <cell r="B50" t="str">
            <v>대백쇼핑</v>
          </cell>
          <cell r="C50">
            <v>165011743</v>
          </cell>
          <cell r="D50">
            <v>23.2</v>
          </cell>
          <cell r="E50">
            <v>23.2</v>
          </cell>
          <cell r="F50">
            <v>21.724806732946426</v>
          </cell>
          <cell r="G50">
            <v>0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2320</v>
          </cell>
          <cell r="N50">
            <v>2320</v>
          </cell>
          <cell r="T50">
            <v>0.01</v>
          </cell>
          <cell r="U50">
            <v>37681</v>
          </cell>
        </row>
        <row r="51">
          <cell r="D51">
            <v>12.12</v>
          </cell>
          <cell r="E51">
            <v>12.12</v>
          </cell>
          <cell r="F51">
            <v>11.65492502989564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0.05</v>
          </cell>
          <cell r="M51">
            <v>1212</v>
          </cell>
          <cell r="N51">
            <v>1212</v>
          </cell>
          <cell r="O51">
            <v>0</v>
          </cell>
          <cell r="P51">
            <v>0</v>
          </cell>
          <cell r="Q51">
            <v>0</v>
          </cell>
          <cell r="R51">
            <v>6</v>
          </cell>
          <cell r="S51">
            <v>0</v>
          </cell>
          <cell r="T51">
            <v>0</v>
          </cell>
          <cell r="U51">
            <v>37226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5</v>
          </cell>
        </row>
        <row r="52">
          <cell r="B52" t="str">
            <v>삼일공사</v>
          </cell>
          <cell r="C52">
            <v>15179897</v>
          </cell>
          <cell r="D52">
            <v>12.12</v>
          </cell>
          <cell r="E52">
            <v>12.12</v>
          </cell>
          <cell r="F52">
            <v>11.65492502989564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0.05</v>
          </cell>
          <cell r="M52">
            <v>1212</v>
          </cell>
          <cell r="N52">
            <v>1212</v>
          </cell>
          <cell r="R52">
            <v>6</v>
          </cell>
          <cell r="T52">
            <v>0</v>
          </cell>
          <cell r="U52">
            <v>37226</v>
          </cell>
          <cell r="AE52">
            <v>5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B54" t="str">
            <v>남선알미늄</v>
          </cell>
          <cell r="C54">
            <v>60015242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D55">
            <v>7.97</v>
          </cell>
          <cell r="E55">
            <v>7.97</v>
          </cell>
          <cell r="F55">
            <v>7.5322455805984045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797</v>
          </cell>
          <cell r="N55">
            <v>797</v>
          </cell>
          <cell r="O55">
            <v>0</v>
          </cell>
          <cell r="P55">
            <v>0</v>
          </cell>
          <cell r="Q55">
            <v>0</v>
          </cell>
          <cell r="R55">
            <v>12</v>
          </cell>
          <cell r="S55">
            <v>3</v>
          </cell>
          <cell r="T55">
            <v>0</v>
          </cell>
          <cell r="U55">
            <v>37591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B56" t="str">
            <v>세신</v>
          </cell>
          <cell r="C56">
            <v>70038839</v>
          </cell>
          <cell r="D56">
            <v>7.97</v>
          </cell>
          <cell r="E56">
            <v>7.97</v>
          </cell>
          <cell r="F56">
            <v>7.5322455805984045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797</v>
          </cell>
          <cell r="N56">
            <v>797</v>
          </cell>
          <cell r="R56">
            <v>12</v>
          </cell>
          <cell r="S56">
            <v>3</v>
          </cell>
          <cell r="T56">
            <v>0</v>
          </cell>
          <cell r="U56">
            <v>37591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6</v>
          </cell>
          <cell r="T57">
            <v>0</v>
          </cell>
          <cell r="U57">
            <v>73721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B58" t="str">
            <v>경기화학공업</v>
          </cell>
          <cell r="C58">
            <v>58020890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R58">
            <v>0</v>
          </cell>
          <cell r="S58">
            <v>3</v>
          </cell>
          <cell r="T58">
            <v>0</v>
          </cell>
          <cell r="U58">
            <v>37226</v>
          </cell>
        </row>
        <row r="59">
          <cell r="B59" t="str">
            <v>달재화학</v>
          </cell>
          <cell r="C59">
            <v>58043551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R59">
            <v>0</v>
          </cell>
          <cell r="S59">
            <v>3</v>
          </cell>
          <cell r="T59">
            <v>0</v>
          </cell>
          <cell r="U59">
            <v>36495</v>
          </cell>
        </row>
        <row r="60">
          <cell r="D60">
            <v>36.729999999999997</v>
          </cell>
          <cell r="E60">
            <v>18.509999999999998</v>
          </cell>
          <cell r="F60">
            <v>17.39157057018588</v>
          </cell>
          <cell r="G60">
            <v>18.22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3673</v>
          </cell>
          <cell r="N60">
            <v>1851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1</v>
          </cell>
          <cell r="T60">
            <v>0</v>
          </cell>
          <cell r="U60">
            <v>75182</v>
          </cell>
          <cell r="V60">
            <v>1822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B61" t="str">
            <v>동방</v>
          </cell>
          <cell r="C61">
            <v>58062862</v>
          </cell>
          <cell r="D61">
            <v>5</v>
          </cell>
          <cell r="E61">
            <v>5</v>
          </cell>
          <cell r="F61">
            <v>4.6978850810874881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500</v>
          </cell>
          <cell r="N61">
            <v>500</v>
          </cell>
          <cell r="T61">
            <v>0</v>
          </cell>
          <cell r="U61">
            <v>37591</v>
          </cell>
        </row>
        <row r="62">
          <cell r="B62" t="str">
            <v>동방티엔씨</v>
          </cell>
          <cell r="C62">
            <v>1820027</v>
          </cell>
          <cell r="D62">
            <v>31.729999999999997</v>
          </cell>
          <cell r="E62">
            <v>13.51</v>
          </cell>
          <cell r="F62">
            <v>12.693685489098392</v>
          </cell>
          <cell r="G62">
            <v>18.22</v>
          </cell>
          <cell r="H62">
            <v>0</v>
          </cell>
          <cell r="J62">
            <v>0</v>
          </cell>
          <cell r="K62">
            <v>0</v>
          </cell>
          <cell r="L62">
            <v>0</v>
          </cell>
          <cell r="M62">
            <v>3173</v>
          </cell>
          <cell r="N62">
            <v>1351</v>
          </cell>
          <cell r="R62">
            <v>0</v>
          </cell>
          <cell r="S62">
            <v>1</v>
          </cell>
          <cell r="T62">
            <v>0</v>
          </cell>
          <cell r="U62">
            <v>37591</v>
          </cell>
          <cell r="V62">
            <v>1822</v>
          </cell>
        </row>
        <row r="63">
          <cell r="D63">
            <v>167.2672</v>
          </cell>
          <cell r="E63">
            <v>167.2672</v>
          </cell>
          <cell r="F63">
            <v>56.805778644889578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0.48</v>
          </cell>
          <cell r="L63">
            <v>50.67</v>
          </cell>
          <cell r="M63">
            <v>16726.72</v>
          </cell>
          <cell r="N63">
            <v>3838</v>
          </cell>
          <cell r="O63">
            <v>0</v>
          </cell>
          <cell r="P63">
            <v>10530</v>
          </cell>
          <cell r="Q63">
            <v>0</v>
          </cell>
          <cell r="R63">
            <v>10</v>
          </cell>
          <cell r="S63">
            <v>1</v>
          </cell>
          <cell r="T63">
            <v>7.4999999999999997E-3</v>
          </cell>
          <cell r="U63">
            <v>37621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48</v>
          </cell>
          <cell r="AE63">
            <v>5067</v>
          </cell>
        </row>
        <row r="64">
          <cell r="B64" t="str">
            <v>영창악기</v>
          </cell>
          <cell r="C64">
            <v>149050406</v>
          </cell>
          <cell r="D64">
            <v>167.2672</v>
          </cell>
          <cell r="E64">
            <v>167.2672</v>
          </cell>
          <cell r="F64">
            <v>56.805778644889578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0.48</v>
          </cell>
          <cell r="L64">
            <v>50.67</v>
          </cell>
          <cell r="M64">
            <v>16726.72</v>
          </cell>
          <cell r="N64">
            <v>3838</v>
          </cell>
          <cell r="P64">
            <v>10530</v>
          </cell>
          <cell r="R64">
            <v>10</v>
          </cell>
          <cell r="S64">
            <v>1</v>
          </cell>
          <cell r="T64">
            <v>7.4999999999999997E-3</v>
          </cell>
          <cell r="U64">
            <v>37621</v>
          </cell>
          <cell r="AD64">
            <v>48</v>
          </cell>
          <cell r="AE64">
            <v>5067</v>
          </cell>
        </row>
        <row r="65">
          <cell r="D65">
            <v>23.98</v>
          </cell>
          <cell r="E65">
            <v>23.98</v>
          </cell>
          <cell r="F65">
            <v>6.6095630709915527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2398</v>
          </cell>
          <cell r="N65">
            <v>2398</v>
          </cell>
          <cell r="O65">
            <v>0</v>
          </cell>
          <cell r="P65">
            <v>0</v>
          </cell>
          <cell r="Q65">
            <v>0</v>
          </cell>
          <cell r="R65">
            <v>10</v>
          </cell>
          <cell r="S65">
            <v>1</v>
          </cell>
          <cell r="T65">
            <v>1.2500000000000001E-2</v>
          </cell>
          <cell r="U65">
            <v>37256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B66" t="str">
            <v>동보건설</v>
          </cell>
          <cell r="C66">
            <v>113160168</v>
          </cell>
          <cell r="D66">
            <v>23.98</v>
          </cell>
          <cell r="E66">
            <v>23.98</v>
          </cell>
          <cell r="F66">
            <v>6.6095630709915527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2398</v>
          </cell>
          <cell r="N66">
            <v>2398</v>
          </cell>
          <cell r="R66">
            <v>10</v>
          </cell>
          <cell r="S66">
            <v>1</v>
          </cell>
          <cell r="T66">
            <v>1.2500000000000001E-2</v>
          </cell>
          <cell r="U66">
            <v>37256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36495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B68" t="str">
            <v>무학</v>
          </cell>
          <cell r="C68">
            <v>173006489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U68">
            <v>36495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 t="str">
            <v>동국무역</v>
          </cell>
          <cell r="C70">
            <v>119028849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동국방직</v>
          </cell>
          <cell r="C71">
            <v>6244395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D72">
            <v>1582.09256</v>
          </cell>
          <cell r="E72">
            <v>1522.4625599999999</v>
          </cell>
          <cell r="F72">
            <v>1477.9403144576995</v>
          </cell>
          <cell r="G72">
            <v>59.63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47.54</v>
          </cell>
          <cell r="M72">
            <v>172688.6</v>
          </cell>
          <cell r="N72">
            <v>121288</v>
          </cell>
          <cell r="O72">
            <v>30812</v>
          </cell>
          <cell r="P72">
            <v>0</v>
          </cell>
          <cell r="Q72">
            <v>12188</v>
          </cell>
          <cell r="R72">
            <v>12</v>
          </cell>
          <cell r="S72">
            <v>3</v>
          </cell>
          <cell r="T72">
            <v>2.5000000000000001E-3</v>
          </cell>
          <cell r="U72">
            <v>37956</v>
          </cell>
          <cell r="V72">
            <v>5963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4754</v>
          </cell>
        </row>
        <row r="73">
          <cell r="B73" t="str">
            <v>아남반도체</v>
          </cell>
          <cell r="C73">
            <v>15051827</v>
          </cell>
          <cell r="D73">
            <v>1582.09256</v>
          </cell>
          <cell r="E73">
            <v>1522.4625599999999</v>
          </cell>
          <cell r="F73">
            <v>1477.9403144576995</v>
          </cell>
          <cell r="G73">
            <v>59.63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47.54</v>
          </cell>
          <cell r="M73">
            <v>172688.6</v>
          </cell>
          <cell r="N73">
            <v>121288</v>
          </cell>
          <cell r="O73">
            <v>30812</v>
          </cell>
          <cell r="Q73">
            <v>12188</v>
          </cell>
          <cell r="R73">
            <v>12</v>
          </cell>
          <cell r="S73">
            <v>3</v>
          </cell>
          <cell r="T73">
            <v>2.5000000000000001E-3</v>
          </cell>
          <cell r="U73">
            <v>37956</v>
          </cell>
          <cell r="V73">
            <v>5963</v>
          </cell>
          <cell r="AE73">
            <v>4754</v>
          </cell>
        </row>
        <row r="74">
          <cell r="D74">
            <v>1114.8599999999999</v>
          </cell>
          <cell r="E74">
            <v>625.07999999999993</v>
          </cell>
          <cell r="F74">
            <v>625.07999999999993</v>
          </cell>
          <cell r="G74">
            <v>489.78000000000003</v>
          </cell>
          <cell r="H74">
            <v>0</v>
          </cell>
          <cell r="I74">
            <v>0</v>
          </cell>
          <cell r="J74">
            <v>0</v>
          </cell>
          <cell r="K74">
            <v>304.7</v>
          </cell>
          <cell r="L74">
            <v>63.01</v>
          </cell>
          <cell r="M74">
            <v>111486</v>
          </cell>
          <cell r="N74">
            <v>43794</v>
          </cell>
          <cell r="O74">
            <v>18714</v>
          </cell>
          <cell r="P74">
            <v>0</v>
          </cell>
          <cell r="Q74">
            <v>0</v>
          </cell>
          <cell r="R74">
            <v>20</v>
          </cell>
          <cell r="S74">
            <v>6</v>
          </cell>
          <cell r="T74">
            <v>0.05</v>
          </cell>
          <cell r="U74">
            <v>75182</v>
          </cell>
          <cell r="V74">
            <v>48978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30470</v>
          </cell>
          <cell r="AE74">
            <v>6301</v>
          </cell>
        </row>
        <row r="75">
          <cell r="B75" t="str">
            <v>쌍용건설</v>
          </cell>
          <cell r="C75">
            <v>186282473</v>
          </cell>
          <cell r="D75">
            <v>897.52</v>
          </cell>
          <cell r="E75">
            <v>479.22999999999996</v>
          </cell>
          <cell r="F75">
            <v>479.22999999999996</v>
          </cell>
          <cell r="G75">
            <v>418.29</v>
          </cell>
          <cell r="H75">
            <v>0</v>
          </cell>
          <cell r="I75">
            <v>0</v>
          </cell>
          <cell r="J75">
            <v>0</v>
          </cell>
          <cell r="K75">
            <v>304.7</v>
          </cell>
          <cell r="L75">
            <v>63.01</v>
          </cell>
          <cell r="M75">
            <v>89752</v>
          </cell>
          <cell r="N75">
            <v>29209</v>
          </cell>
          <cell r="O75">
            <v>18714</v>
          </cell>
          <cell r="R75">
            <v>10</v>
          </cell>
          <cell r="S75">
            <v>3</v>
          </cell>
          <cell r="T75">
            <v>2.5000000000000001E-2</v>
          </cell>
          <cell r="U75">
            <v>37591</v>
          </cell>
          <cell r="V75">
            <v>41829</v>
          </cell>
          <cell r="W75">
            <v>0</v>
          </cell>
          <cell r="AD75">
            <v>30470</v>
          </cell>
          <cell r="AE75">
            <v>6301</v>
          </cell>
        </row>
        <row r="76">
          <cell r="B76" t="str">
            <v>남광토건</v>
          </cell>
          <cell r="C76">
            <v>13417443</v>
          </cell>
          <cell r="D76">
            <v>217.33999999999997</v>
          </cell>
          <cell r="E76">
            <v>145.85</v>
          </cell>
          <cell r="F76">
            <v>145.85</v>
          </cell>
          <cell r="G76">
            <v>71.489999999999995</v>
          </cell>
          <cell r="H76">
            <v>0</v>
          </cell>
          <cell r="J76">
            <v>0</v>
          </cell>
          <cell r="K76">
            <v>0</v>
          </cell>
          <cell r="L76">
            <v>0</v>
          </cell>
          <cell r="M76">
            <v>21734</v>
          </cell>
          <cell r="N76">
            <v>14585</v>
          </cell>
          <cell r="R76">
            <v>10</v>
          </cell>
          <cell r="S76">
            <v>3</v>
          </cell>
          <cell r="T76">
            <v>2.5000000000000001E-2</v>
          </cell>
          <cell r="U76">
            <v>37591</v>
          </cell>
          <cell r="V76">
            <v>7149</v>
          </cell>
          <cell r="W76">
            <v>0</v>
          </cell>
        </row>
        <row r="77">
          <cell r="D77">
            <v>4.92</v>
          </cell>
          <cell r="E77">
            <v>4.92</v>
          </cell>
          <cell r="F77">
            <v>4.92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492</v>
          </cell>
          <cell r="N77">
            <v>492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</v>
          </cell>
          <cell r="T77">
            <v>0.03</v>
          </cell>
          <cell r="U77">
            <v>37956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B78" t="str">
            <v>충남방적</v>
          </cell>
          <cell r="C78">
            <v>5141257</v>
          </cell>
          <cell r="D78">
            <v>4.92</v>
          </cell>
          <cell r="E78">
            <v>4.92</v>
          </cell>
          <cell r="F78">
            <v>4.92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492</v>
          </cell>
          <cell r="N78">
            <v>492</v>
          </cell>
          <cell r="R78">
            <v>0</v>
          </cell>
          <cell r="S78">
            <v>1</v>
          </cell>
          <cell r="T78">
            <v>0.03</v>
          </cell>
          <cell r="U78">
            <v>37956</v>
          </cell>
          <cell r="AE78">
            <v>0</v>
          </cell>
        </row>
        <row r="79">
          <cell r="D79">
            <v>136.06</v>
          </cell>
          <cell r="E79">
            <v>106.08000000000001</v>
          </cell>
          <cell r="F79">
            <v>105.18004728522851</v>
          </cell>
          <cell r="G79">
            <v>0</v>
          </cell>
          <cell r="H79">
            <v>29.98</v>
          </cell>
          <cell r="I79">
            <v>25.665999070201295</v>
          </cell>
          <cell r="J79">
            <v>0</v>
          </cell>
          <cell r="K79">
            <v>0</v>
          </cell>
          <cell r="L79">
            <v>0</v>
          </cell>
          <cell r="M79">
            <v>13606</v>
          </cell>
          <cell r="N79">
            <v>2054</v>
          </cell>
          <cell r="O79">
            <v>8554</v>
          </cell>
          <cell r="P79">
            <v>0</v>
          </cell>
          <cell r="Q79">
            <v>0</v>
          </cell>
          <cell r="R79">
            <v>8</v>
          </cell>
          <cell r="S79">
            <v>3</v>
          </cell>
          <cell r="T79">
            <v>2.5000000000000001E-3</v>
          </cell>
          <cell r="U79">
            <v>37591</v>
          </cell>
          <cell r="V79">
            <v>0</v>
          </cell>
          <cell r="W79">
            <v>2998</v>
          </cell>
          <cell r="X79">
            <v>12</v>
          </cell>
          <cell r="Y79">
            <v>36220</v>
          </cell>
          <cell r="Z79">
            <v>0.01</v>
          </cell>
          <cell r="AA79">
            <v>0.03</v>
          </cell>
          <cell r="AB79">
            <v>38047</v>
          </cell>
          <cell r="AC79">
            <v>0</v>
          </cell>
          <cell r="AD79">
            <v>0</v>
          </cell>
          <cell r="AE79">
            <v>0</v>
          </cell>
        </row>
        <row r="80">
          <cell r="B80" t="str">
            <v>서한</v>
          </cell>
          <cell r="C80">
            <v>60007410</v>
          </cell>
          <cell r="D80">
            <v>136.06</v>
          </cell>
          <cell r="E80">
            <v>106.08000000000001</v>
          </cell>
          <cell r="F80">
            <v>105.18004728522851</v>
          </cell>
          <cell r="G80">
            <v>0</v>
          </cell>
          <cell r="H80">
            <v>29.98</v>
          </cell>
          <cell r="I80">
            <v>25.665999070201295</v>
          </cell>
          <cell r="J80">
            <v>0</v>
          </cell>
          <cell r="K80">
            <v>0</v>
          </cell>
          <cell r="L80">
            <v>0</v>
          </cell>
          <cell r="M80">
            <v>13606</v>
          </cell>
          <cell r="N80">
            <v>2054</v>
          </cell>
          <cell r="O80">
            <v>8554</v>
          </cell>
          <cell r="R80">
            <v>8</v>
          </cell>
          <cell r="S80">
            <v>3</v>
          </cell>
          <cell r="T80">
            <v>2.5000000000000001E-3</v>
          </cell>
          <cell r="U80">
            <v>37591</v>
          </cell>
          <cell r="W80">
            <v>2998</v>
          </cell>
          <cell r="X80">
            <v>12</v>
          </cell>
          <cell r="Y80">
            <v>36220</v>
          </cell>
          <cell r="Z80">
            <v>0.01</v>
          </cell>
          <cell r="AA80">
            <v>0.03</v>
          </cell>
          <cell r="AB80">
            <v>38047</v>
          </cell>
        </row>
        <row r="81">
          <cell r="D81">
            <v>15.56</v>
          </cell>
          <cell r="E81">
            <v>13.5</v>
          </cell>
          <cell r="F81">
            <v>12.691346530727305</v>
          </cell>
          <cell r="G81">
            <v>0</v>
          </cell>
          <cell r="H81">
            <v>2.06</v>
          </cell>
          <cell r="I81">
            <v>1.715453855296742</v>
          </cell>
          <cell r="J81">
            <v>0</v>
          </cell>
          <cell r="K81">
            <v>0</v>
          </cell>
          <cell r="L81">
            <v>0</v>
          </cell>
          <cell r="M81">
            <v>1556</v>
          </cell>
          <cell r="N81">
            <v>1350</v>
          </cell>
          <cell r="O81">
            <v>0</v>
          </cell>
          <cell r="P81">
            <v>0</v>
          </cell>
          <cell r="Q81">
            <v>0</v>
          </cell>
          <cell r="R81">
            <v>15</v>
          </cell>
          <cell r="S81">
            <v>3</v>
          </cell>
          <cell r="T81">
            <v>0</v>
          </cell>
          <cell r="U81">
            <v>75182</v>
          </cell>
          <cell r="V81">
            <v>0</v>
          </cell>
          <cell r="W81">
            <v>206</v>
          </cell>
          <cell r="X81">
            <v>0</v>
          </cell>
          <cell r="Y81">
            <v>36220</v>
          </cell>
          <cell r="Z81">
            <v>0.01</v>
          </cell>
          <cell r="AA81">
            <v>0</v>
          </cell>
          <cell r="AB81">
            <v>37956</v>
          </cell>
          <cell r="AC81">
            <v>0</v>
          </cell>
          <cell r="AD81">
            <v>0</v>
          </cell>
          <cell r="AE81">
            <v>0</v>
          </cell>
        </row>
        <row r="82">
          <cell r="B82" t="str">
            <v>신우</v>
          </cell>
          <cell r="C82">
            <v>5283159</v>
          </cell>
          <cell r="D82">
            <v>11.15</v>
          </cell>
          <cell r="E82">
            <v>9.09</v>
          </cell>
          <cell r="F82">
            <v>8.4812861759752067</v>
          </cell>
          <cell r="G82">
            <v>0</v>
          </cell>
          <cell r="H82">
            <v>2.06</v>
          </cell>
          <cell r="I82">
            <v>1.715453855296742</v>
          </cell>
          <cell r="J82">
            <v>0</v>
          </cell>
          <cell r="K82">
            <v>0</v>
          </cell>
          <cell r="L82">
            <v>0</v>
          </cell>
          <cell r="M82">
            <v>1115</v>
          </cell>
          <cell r="N82">
            <v>909</v>
          </cell>
          <cell r="R82">
            <v>3</v>
          </cell>
          <cell r="T82">
            <v>0</v>
          </cell>
          <cell r="U82">
            <v>37956</v>
          </cell>
          <cell r="W82">
            <v>206</v>
          </cell>
          <cell r="Y82">
            <v>36220</v>
          </cell>
          <cell r="Z82">
            <v>0.01</v>
          </cell>
          <cell r="AB82">
            <v>37956</v>
          </cell>
        </row>
        <row r="83">
          <cell r="B83" t="str">
            <v>신우산업개발</v>
          </cell>
          <cell r="C83">
            <v>185137456</v>
          </cell>
          <cell r="D83">
            <v>4.41</v>
          </cell>
          <cell r="E83">
            <v>4.41</v>
          </cell>
          <cell r="F83">
            <v>4.2100603547520992</v>
          </cell>
          <cell r="G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441</v>
          </cell>
          <cell r="N83">
            <v>441</v>
          </cell>
          <cell r="R83">
            <v>12</v>
          </cell>
          <cell r="S83">
            <v>3</v>
          </cell>
          <cell r="T83">
            <v>0</v>
          </cell>
          <cell r="U83">
            <v>37226</v>
          </cell>
        </row>
        <row r="84">
          <cell r="D84">
            <v>433.56</v>
          </cell>
          <cell r="E84">
            <v>305.37</v>
          </cell>
          <cell r="F84">
            <v>299.53949773683098</v>
          </cell>
          <cell r="G84">
            <v>0</v>
          </cell>
          <cell r="H84">
            <v>12.19</v>
          </cell>
          <cell r="I84">
            <v>10.995081523998874</v>
          </cell>
          <cell r="J84">
            <v>116</v>
          </cell>
          <cell r="K84">
            <v>12.96</v>
          </cell>
          <cell r="L84">
            <v>0</v>
          </cell>
          <cell r="M84">
            <v>43356</v>
          </cell>
          <cell r="N84">
            <v>20218</v>
          </cell>
          <cell r="O84">
            <v>10319</v>
          </cell>
          <cell r="P84">
            <v>0</v>
          </cell>
          <cell r="Q84">
            <v>0</v>
          </cell>
          <cell r="R84">
            <v>9</v>
          </cell>
          <cell r="S84">
            <v>3</v>
          </cell>
          <cell r="T84">
            <v>5.0000000000000001E-3</v>
          </cell>
          <cell r="U84">
            <v>37591</v>
          </cell>
          <cell r="V84">
            <v>0</v>
          </cell>
          <cell r="W84">
            <v>1219</v>
          </cell>
          <cell r="X84">
            <v>0</v>
          </cell>
          <cell r="Y84">
            <v>36312</v>
          </cell>
          <cell r="Z84">
            <v>0.01</v>
          </cell>
          <cell r="AA84">
            <v>0.04</v>
          </cell>
          <cell r="AB84">
            <v>37742</v>
          </cell>
          <cell r="AC84">
            <v>11600</v>
          </cell>
          <cell r="AD84">
            <v>1296</v>
          </cell>
          <cell r="AE84">
            <v>0</v>
          </cell>
        </row>
        <row r="85">
          <cell r="B85" t="str">
            <v>화성산업</v>
          </cell>
          <cell r="C85">
            <v>60073243</v>
          </cell>
          <cell r="D85">
            <v>433.56</v>
          </cell>
          <cell r="E85">
            <v>305.37</v>
          </cell>
          <cell r="F85">
            <v>299.53949773683098</v>
          </cell>
          <cell r="G85">
            <v>0</v>
          </cell>
          <cell r="H85">
            <v>12.19</v>
          </cell>
          <cell r="I85">
            <v>10.995081523998874</v>
          </cell>
          <cell r="J85">
            <v>116</v>
          </cell>
          <cell r="K85">
            <v>12.96</v>
          </cell>
          <cell r="L85">
            <v>0</v>
          </cell>
          <cell r="M85">
            <v>43356</v>
          </cell>
          <cell r="N85">
            <v>20218</v>
          </cell>
          <cell r="O85">
            <v>10319</v>
          </cell>
          <cell r="R85">
            <v>9</v>
          </cell>
          <cell r="S85">
            <v>3</v>
          </cell>
          <cell r="T85">
            <v>5.0000000000000001E-3</v>
          </cell>
          <cell r="U85">
            <v>37591</v>
          </cell>
          <cell r="W85">
            <v>1219</v>
          </cell>
          <cell r="Y85">
            <v>36312</v>
          </cell>
          <cell r="Z85">
            <v>0.01</v>
          </cell>
          <cell r="AA85">
            <v>0.04</v>
          </cell>
          <cell r="AB85">
            <v>37742</v>
          </cell>
          <cell r="AC85">
            <v>11600</v>
          </cell>
          <cell r="AD85">
            <v>1296</v>
          </cell>
        </row>
        <row r="86">
          <cell r="D86">
            <v>28.94</v>
          </cell>
          <cell r="E86">
            <v>28.6</v>
          </cell>
          <cell r="F86">
            <v>28.934654081510356</v>
          </cell>
          <cell r="G86">
            <v>0</v>
          </cell>
          <cell r="H86">
            <v>0</v>
          </cell>
          <cell r="I86">
            <v>0</v>
          </cell>
          <cell r="J86">
            <v>0.34</v>
          </cell>
          <cell r="K86">
            <v>6.51</v>
          </cell>
          <cell r="L86">
            <v>0</v>
          </cell>
          <cell r="M86">
            <v>2894</v>
          </cell>
          <cell r="N86">
            <v>2860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</v>
          </cell>
          <cell r="T86">
            <v>2.5000000000000001E-2</v>
          </cell>
          <cell r="U86">
            <v>37226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34</v>
          </cell>
          <cell r="AD86">
            <v>651</v>
          </cell>
          <cell r="AE86">
            <v>0</v>
          </cell>
        </row>
        <row r="87">
          <cell r="B87" t="str">
            <v>대열기계공업</v>
          </cell>
          <cell r="C87">
            <v>58137178</v>
          </cell>
          <cell r="D87">
            <v>28.94</v>
          </cell>
          <cell r="E87">
            <v>28.6</v>
          </cell>
          <cell r="F87">
            <v>28.934654081510356</v>
          </cell>
          <cell r="G87">
            <v>0</v>
          </cell>
          <cell r="H87">
            <v>0</v>
          </cell>
          <cell r="I87">
            <v>0</v>
          </cell>
          <cell r="J87">
            <v>0.34</v>
          </cell>
          <cell r="K87">
            <v>6.51</v>
          </cell>
          <cell r="L87">
            <v>0</v>
          </cell>
          <cell r="M87">
            <v>2894</v>
          </cell>
          <cell r="N87">
            <v>2860</v>
          </cell>
          <cell r="S87">
            <v>1</v>
          </cell>
          <cell r="T87">
            <v>2.5000000000000001E-2</v>
          </cell>
          <cell r="U87">
            <v>37226</v>
          </cell>
          <cell r="AC87">
            <v>34</v>
          </cell>
          <cell r="AD87">
            <v>651</v>
          </cell>
        </row>
        <row r="88">
          <cell r="D88">
            <v>9.0500000000000007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9.0500000000000007</v>
          </cell>
          <cell r="K88">
            <v>0</v>
          </cell>
          <cell r="L88">
            <v>0</v>
          </cell>
          <cell r="M88">
            <v>905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37226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905</v>
          </cell>
          <cell r="AD88">
            <v>0</v>
          </cell>
          <cell r="AE88">
            <v>0</v>
          </cell>
        </row>
        <row r="89">
          <cell r="B89" t="str">
            <v>한독분말야금</v>
          </cell>
          <cell r="C89">
            <v>113170978</v>
          </cell>
          <cell r="D89">
            <v>9.0500000000000007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9.0500000000000007</v>
          </cell>
          <cell r="K89">
            <v>0</v>
          </cell>
          <cell r="L89">
            <v>0</v>
          </cell>
          <cell r="M89">
            <v>905</v>
          </cell>
          <cell r="U89">
            <v>37226</v>
          </cell>
          <cell r="AC89">
            <v>905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B91" t="str">
            <v>진일특수</v>
          </cell>
          <cell r="C91">
            <v>22037591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B93" t="str">
            <v>가나상사</v>
          </cell>
          <cell r="C93">
            <v>119300860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B95" t="str">
            <v>미주실업</v>
          </cell>
          <cell r="C95">
            <v>13047510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미주제강</v>
          </cell>
          <cell r="C96">
            <v>64018410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미주철강</v>
          </cell>
          <cell r="C97">
            <v>11253373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미주금속</v>
          </cell>
          <cell r="C98">
            <v>60153965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D99">
            <v>5949.2797600000004</v>
          </cell>
          <cell r="E99">
            <v>4642.2697600000001</v>
          </cell>
          <cell r="F99">
            <v>4434.4945599852763</v>
          </cell>
          <cell r="G99">
            <v>682.87</v>
          </cell>
          <cell r="H99">
            <v>114.65</v>
          </cell>
          <cell r="I99">
            <v>87.576048273294191</v>
          </cell>
          <cell r="J99">
            <v>509.49</v>
          </cell>
          <cell r="K99">
            <v>535.70000000000005</v>
          </cell>
          <cell r="L99">
            <v>290.42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첨부 IV-3. 보험가입 명세"/>
      <sheetName val="보험가입명세(실명)"/>
    </sheetNames>
    <definedNames>
      <definedName name="기타지방지역영업점" refersTo="#REF!"/>
      <definedName name="미이행" refersTo="#REF!"/>
      <definedName name="본부집중지점관리" refersTo="#REF!"/>
      <definedName name="부진영업점요약표" refersTo="#REF!"/>
      <definedName name="이면" refersTo="#REF!"/>
      <definedName name="이상징후사유" refersTo="#REF!"/>
      <definedName name="전영업점총연체" refersTo="#REF!"/>
    </definedNames>
    <sheetDataSet>
      <sheetData sheetId="0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정"/>
      <sheetName val="총괄"/>
      <sheetName val="차주별합계"/>
      <sheetName val="부동산"/>
      <sheetName val="신용보증서"/>
      <sheetName val="종합"/>
      <sheetName val="양도원장"/>
      <sheetName val="담보"/>
      <sheetName val="기본정보"/>
      <sheetName val="기일"/>
      <sheetName val="회차하락율"/>
      <sheetName val="전국법원낙찰율"/>
      <sheetName val="감평"/>
      <sheetName val="추가(1)"/>
      <sheetName val="추가(2)"/>
      <sheetName val="추가(3)"/>
      <sheetName val="추가(4)"/>
      <sheetName val="담보코드"/>
      <sheetName val="data"/>
      <sheetName val="f_BS"/>
      <sheetName val="f_IS"/>
      <sheetName val="ABS Valuation(Final)_계좌별평가포함_11"/>
      <sheetName val="대지급금(외화)"/>
      <sheetName val="대차정산"/>
      <sheetName val="Sheet1 (2)"/>
      <sheetName val="10월 급여"/>
    </sheetNames>
    <sheetDataSet>
      <sheetData sheetId="0">
        <row r="29">
          <cell r="C29">
            <v>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C-2"/>
      <sheetName val="관련차주"/>
      <sheetName val="근저당금액확인"/>
      <sheetName val="Sheet4"/>
      <sheetName val="Sheet2"/>
      <sheetName val="Sheet3"/>
      <sheetName val="Sheet A"/>
      <sheetName val="Sheet B"/>
      <sheetName val="Sheet C-1"/>
      <sheetName val="Sheet D"/>
      <sheetName val="Sheet E"/>
      <sheetName val="목록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KRW</v>
          </cell>
          <cell r="C2" t="str">
            <v>강원도</v>
          </cell>
          <cell r="D2" t="str">
            <v>강릉시</v>
          </cell>
          <cell r="E2" t="str">
            <v>단독주택</v>
          </cell>
        </row>
        <row r="3">
          <cell r="C3" t="str">
            <v>경기도</v>
          </cell>
          <cell r="D3" t="str">
            <v>고성군</v>
          </cell>
          <cell r="E3" t="str">
            <v>다가구</v>
          </cell>
        </row>
        <row r="4">
          <cell r="C4" t="str">
            <v>경상남도</v>
          </cell>
          <cell r="D4" t="str">
            <v>동해시</v>
          </cell>
          <cell r="E4" t="str">
            <v>아파트</v>
          </cell>
        </row>
        <row r="5">
          <cell r="C5" t="str">
            <v>경상북도</v>
          </cell>
          <cell r="D5" t="str">
            <v>삼척시</v>
          </cell>
          <cell r="E5" t="str">
            <v>주상복합(주거)</v>
          </cell>
        </row>
        <row r="6">
          <cell r="C6" t="str">
            <v>광주광역시</v>
          </cell>
          <cell r="D6" t="str">
            <v>속초시</v>
          </cell>
          <cell r="E6" t="str">
            <v>연립</v>
          </cell>
        </row>
        <row r="7">
          <cell r="C7" t="str">
            <v>대구광역시</v>
          </cell>
          <cell r="D7" t="str">
            <v>양구군</v>
          </cell>
          <cell r="E7" t="str">
            <v>다세대</v>
          </cell>
        </row>
        <row r="8">
          <cell r="C8" t="str">
            <v>대전광역시</v>
          </cell>
          <cell r="D8" t="str">
            <v>양양군</v>
          </cell>
          <cell r="E8" t="str">
            <v>오피스텔(주거)</v>
          </cell>
        </row>
        <row r="9">
          <cell r="C9" t="str">
            <v>부산광역시</v>
          </cell>
          <cell r="D9" t="str">
            <v>영월군</v>
          </cell>
          <cell r="E9" t="str">
            <v>근린주택</v>
          </cell>
        </row>
        <row r="10">
          <cell r="C10" t="str">
            <v>서울특별시</v>
          </cell>
          <cell r="D10" t="str">
            <v>원주시</v>
          </cell>
          <cell r="E10" t="str">
            <v>아파트상가</v>
          </cell>
        </row>
        <row r="11">
          <cell r="C11" t="str">
            <v>울산광역시</v>
          </cell>
          <cell r="D11" t="str">
            <v>인제군</v>
          </cell>
          <cell r="E11" t="str">
            <v>상가</v>
          </cell>
        </row>
        <row r="12">
          <cell r="C12" t="str">
            <v>인천광역시</v>
          </cell>
          <cell r="D12" t="str">
            <v>정선군</v>
          </cell>
          <cell r="E12" t="str">
            <v>점포</v>
          </cell>
        </row>
        <row r="13">
          <cell r="C13" t="str">
            <v>전라남도</v>
          </cell>
          <cell r="D13" t="str">
            <v>철원군</v>
          </cell>
          <cell r="E13" t="str">
            <v>빌딩</v>
          </cell>
        </row>
        <row r="14">
          <cell r="C14" t="str">
            <v>전라북도</v>
          </cell>
          <cell r="D14" t="str">
            <v>춘천시</v>
          </cell>
          <cell r="E14" t="str">
            <v>근린상가</v>
          </cell>
        </row>
        <row r="15">
          <cell r="C15" t="str">
            <v>제주특별자치도</v>
          </cell>
          <cell r="D15" t="str">
            <v>태백시</v>
          </cell>
          <cell r="E15" t="str">
            <v>사무실</v>
          </cell>
        </row>
        <row r="16">
          <cell r="C16" t="str">
            <v>충청남도</v>
          </cell>
          <cell r="D16" t="str">
            <v>평창군</v>
          </cell>
          <cell r="E16" t="str">
            <v>오피스텔(상가)</v>
          </cell>
        </row>
        <row r="17">
          <cell r="C17" t="str">
            <v>충청북도</v>
          </cell>
          <cell r="D17" t="str">
            <v>홍천군</v>
          </cell>
          <cell r="E17" t="str">
            <v>주상복합(상가)</v>
          </cell>
        </row>
        <row r="18">
          <cell r="D18" t="str">
            <v>화천군</v>
          </cell>
          <cell r="E18" t="str">
            <v>공장</v>
          </cell>
        </row>
        <row r="19">
          <cell r="D19" t="str">
            <v>횡성군</v>
          </cell>
          <cell r="E19" t="str">
            <v>아파트형공장</v>
          </cell>
        </row>
        <row r="20">
          <cell r="D20" t="str">
            <v>수원시 영통구</v>
          </cell>
          <cell r="E20" t="str">
            <v>주유소</v>
          </cell>
        </row>
        <row r="21">
          <cell r="D21" t="str">
            <v>가평군</v>
          </cell>
          <cell r="E21" t="str">
            <v>숙박시설</v>
          </cell>
        </row>
        <row r="22">
          <cell r="D22" t="str">
            <v>고양시 덕양구</v>
          </cell>
          <cell r="E22" t="str">
            <v>레져스포츠시설</v>
          </cell>
        </row>
        <row r="23">
          <cell r="D23" t="str">
            <v>고양시 일산구</v>
          </cell>
          <cell r="E23" t="str">
            <v>대형판매시설</v>
          </cell>
        </row>
        <row r="24">
          <cell r="D24" t="str">
            <v>고양시 일산동구</v>
          </cell>
          <cell r="E24" t="str">
            <v>의료시설</v>
          </cell>
        </row>
        <row r="25">
          <cell r="D25" t="str">
            <v>고양시 일산서구</v>
          </cell>
          <cell r="E25" t="str">
            <v>콘도</v>
          </cell>
        </row>
        <row r="26">
          <cell r="D26" t="str">
            <v>과천시</v>
          </cell>
          <cell r="E26" t="str">
            <v>종교시설</v>
          </cell>
        </row>
        <row r="27">
          <cell r="D27" t="str">
            <v>광명시</v>
          </cell>
          <cell r="E27" t="str">
            <v>연구소</v>
          </cell>
        </row>
        <row r="28">
          <cell r="D28" t="str">
            <v>광주군</v>
          </cell>
          <cell r="E28" t="str">
            <v>골프장</v>
          </cell>
        </row>
        <row r="29">
          <cell r="D29" t="str">
            <v>광주시</v>
          </cell>
          <cell r="E29" t="str">
            <v>스키장</v>
          </cell>
        </row>
        <row r="30">
          <cell r="D30" t="str">
            <v>구리시</v>
          </cell>
          <cell r="E30" t="str">
            <v>주차장</v>
          </cell>
        </row>
        <row r="31">
          <cell r="D31" t="str">
            <v>군포시</v>
          </cell>
          <cell r="E31" t="str">
            <v>기타부동산</v>
          </cell>
        </row>
        <row r="32">
          <cell r="D32" t="str">
            <v>김포시</v>
          </cell>
          <cell r="E32" t="str">
            <v>창고</v>
          </cell>
        </row>
        <row r="33">
          <cell r="D33" t="str">
            <v>남양주시</v>
          </cell>
          <cell r="E33" t="str">
            <v>축사</v>
          </cell>
        </row>
        <row r="34">
          <cell r="D34" t="str">
            <v>동두천시</v>
          </cell>
          <cell r="E34" t="str">
            <v>관리사</v>
          </cell>
        </row>
        <row r="35">
          <cell r="D35" t="str">
            <v>부천시 소사구</v>
          </cell>
          <cell r="E35" t="str">
            <v>양어장</v>
          </cell>
        </row>
        <row r="36">
          <cell r="D36" t="str">
            <v>부천시 오정구</v>
          </cell>
          <cell r="E36" t="str">
            <v>자동차시설</v>
          </cell>
        </row>
        <row r="37">
          <cell r="D37" t="str">
            <v>부천시 원미구</v>
          </cell>
          <cell r="E37" t="str">
            <v>과수원</v>
          </cell>
        </row>
        <row r="38">
          <cell r="D38" t="str">
            <v>성남시 분당구</v>
          </cell>
          <cell r="E38" t="str">
            <v>목장용지</v>
          </cell>
        </row>
        <row r="39">
          <cell r="D39" t="str">
            <v>성남시 수정구</v>
          </cell>
          <cell r="E39" t="str">
            <v>대지</v>
          </cell>
        </row>
        <row r="40">
          <cell r="D40" t="str">
            <v>성남시 중원구</v>
          </cell>
          <cell r="E40" t="str">
            <v>잡종지</v>
          </cell>
        </row>
        <row r="41">
          <cell r="D41" t="str">
            <v>수원시 권선구</v>
          </cell>
          <cell r="E41" t="str">
            <v>전</v>
          </cell>
        </row>
        <row r="42">
          <cell r="D42" t="str">
            <v>수원시 장안구</v>
          </cell>
          <cell r="E42" t="str">
            <v>답</v>
          </cell>
        </row>
        <row r="43">
          <cell r="D43" t="str">
            <v>수원시 팔달구</v>
          </cell>
          <cell r="E43" t="str">
            <v>임야</v>
          </cell>
        </row>
        <row r="44">
          <cell r="D44" t="str">
            <v>시흥시</v>
          </cell>
          <cell r="E44" t="str">
            <v>공장용지</v>
          </cell>
        </row>
        <row r="45">
          <cell r="D45" t="str">
            <v>안산시 단원구</v>
          </cell>
          <cell r="E45" t="str">
            <v>광천지</v>
          </cell>
        </row>
        <row r="46">
          <cell r="D46" t="str">
            <v>안산시 상록구</v>
          </cell>
          <cell r="E46" t="str">
            <v>염전</v>
          </cell>
        </row>
        <row r="47">
          <cell r="D47" t="str">
            <v>안성시</v>
          </cell>
          <cell r="E47" t="str">
            <v>종교용지</v>
          </cell>
        </row>
        <row r="48">
          <cell r="D48" t="str">
            <v>안양시 동안구</v>
          </cell>
          <cell r="E48" t="str">
            <v>학교용지</v>
          </cell>
        </row>
        <row r="49">
          <cell r="D49" t="str">
            <v>안양시 만안구</v>
          </cell>
          <cell r="E49" t="str">
            <v>체육용지</v>
          </cell>
        </row>
        <row r="50">
          <cell r="D50" t="str">
            <v>양주군</v>
          </cell>
          <cell r="E50" t="str">
            <v>공원</v>
          </cell>
        </row>
        <row r="51">
          <cell r="D51" t="str">
            <v>양주시</v>
          </cell>
          <cell r="E51" t="str">
            <v>도로</v>
          </cell>
        </row>
        <row r="52">
          <cell r="D52" t="str">
            <v>양평군</v>
          </cell>
          <cell r="E52" t="str">
            <v>철도용지</v>
          </cell>
        </row>
        <row r="53">
          <cell r="D53" t="str">
            <v>여주군</v>
          </cell>
          <cell r="E53" t="str">
            <v>하천</v>
          </cell>
        </row>
        <row r="54">
          <cell r="D54" t="str">
            <v>연천군</v>
          </cell>
          <cell r="E54" t="str">
            <v>제방</v>
          </cell>
        </row>
        <row r="55">
          <cell r="D55" t="str">
            <v>오산시</v>
          </cell>
          <cell r="E55" t="str">
            <v>구거</v>
          </cell>
        </row>
        <row r="56">
          <cell r="D56" t="str">
            <v>용인시</v>
          </cell>
          <cell r="E56" t="str">
            <v>창고용지</v>
          </cell>
        </row>
        <row r="57">
          <cell r="D57" t="str">
            <v>용인시 기흥구</v>
          </cell>
          <cell r="E57" t="str">
            <v>주유소용지</v>
          </cell>
        </row>
        <row r="58">
          <cell r="D58" t="str">
            <v>용인시 수지구</v>
          </cell>
          <cell r="E58" t="str">
            <v>유지</v>
          </cell>
        </row>
        <row r="59">
          <cell r="D59" t="str">
            <v>용인시 처인구</v>
          </cell>
          <cell r="E59" t="str">
            <v>수도용지</v>
          </cell>
        </row>
        <row r="60">
          <cell r="D60" t="str">
            <v>의왕시</v>
          </cell>
          <cell r="E60" t="str">
            <v>유원지</v>
          </cell>
        </row>
        <row r="61">
          <cell r="D61" t="str">
            <v>의정부시</v>
          </cell>
          <cell r="E61" t="str">
            <v>사적지</v>
          </cell>
        </row>
        <row r="62">
          <cell r="D62" t="str">
            <v>이천시</v>
          </cell>
          <cell r="E62" t="str">
            <v>묘지</v>
          </cell>
        </row>
        <row r="63">
          <cell r="D63" t="str">
            <v>파주시</v>
          </cell>
          <cell r="E63" t="str">
            <v>차량</v>
          </cell>
        </row>
        <row r="64">
          <cell r="D64" t="str">
            <v>평택시</v>
          </cell>
          <cell r="E64" t="str">
            <v>선박</v>
          </cell>
        </row>
        <row r="65">
          <cell r="D65" t="str">
            <v>포천군</v>
          </cell>
          <cell r="E65" t="str">
            <v>중기</v>
          </cell>
        </row>
        <row r="66">
          <cell r="D66" t="str">
            <v>포천시</v>
          </cell>
          <cell r="E66" t="str">
            <v>광업권</v>
          </cell>
        </row>
        <row r="67">
          <cell r="D67" t="str">
            <v>하남시</v>
          </cell>
          <cell r="E67" t="str">
            <v>어업권</v>
          </cell>
        </row>
        <row r="68">
          <cell r="D68" t="str">
            <v>화성시</v>
          </cell>
          <cell r="E68" t="str">
            <v>회원권</v>
          </cell>
        </row>
        <row r="69">
          <cell r="D69" t="str">
            <v>거제시</v>
          </cell>
          <cell r="E69" t="str">
            <v>기계설비</v>
          </cell>
        </row>
        <row r="70">
          <cell r="D70" t="str">
            <v>거창군</v>
          </cell>
          <cell r="E70" t="str">
            <v>기타</v>
          </cell>
        </row>
        <row r="71">
          <cell r="D71" t="str">
            <v>고성군</v>
          </cell>
          <cell r="E71" t="str">
            <v>항공기</v>
          </cell>
        </row>
        <row r="72">
          <cell r="D72" t="str">
            <v>김해시</v>
          </cell>
          <cell r="E72" t="str">
            <v>아파트분양권</v>
          </cell>
        </row>
        <row r="73">
          <cell r="D73" t="str">
            <v>남해군</v>
          </cell>
          <cell r="E73" t="str">
            <v>목욕시설</v>
          </cell>
        </row>
        <row r="74">
          <cell r="D74" t="str">
            <v>마산시</v>
          </cell>
        </row>
        <row r="75">
          <cell r="D75" t="str">
            <v>밀양시</v>
          </cell>
        </row>
        <row r="76">
          <cell r="D76" t="str">
            <v>사천시</v>
          </cell>
        </row>
        <row r="77">
          <cell r="D77" t="str">
            <v>산청군</v>
          </cell>
        </row>
        <row r="78">
          <cell r="D78" t="str">
            <v>양산시</v>
          </cell>
        </row>
        <row r="79">
          <cell r="D79" t="str">
            <v>의령군</v>
          </cell>
        </row>
        <row r="80">
          <cell r="D80" t="str">
            <v>진주시</v>
          </cell>
        </row>
        <row r="81">
          <cell r="D81" t="str">
            <v>진해시</v>
          </cell>
        </row>
        <row r="82">
          <cell r="D82" t="str">
            <v>창녕군</v>
          </cell>
        </row>
        <row r="83">
          <cell r="D83" t="str">
            <v>창원시</v>
          </cell>
        </row>
        <row r="84">
          <cell r="D84" t="str">
            <v>통영시</v>
          </cell>
        </row>
        <row r="85">
          <cell r="D85" t="str">
            <v>하동군</v>
          </cell>
        </row>
        <row r="86">
          <cell r="D86" t="str">
            <v>함안군</v>
          </cell>
        </row>
        <row r="87">
          <cell r="D87" t="str">
            <v>함양군</v>
          </cell>
        </row>
        <row r="88">
          <cell r="D88" t="str">
            <v>합천군</v>
          </cell>
        </row>
        <row r="89">
          <cell r="D89" t="str">
            <v>경산시</v>
          </cell>
        </row>
        <row r="90">
          <cell r="D90" t="str">
            <v>경주시</v>
          </cell>
        </row>
        <row r="91">
          <cell r="D91" t="str">
            <v>고령군</v>
          </cell>
        </row>
        <row r="92">
          <cell r="D92" t="str">
            <v>구미시</v>
          </cell>
        </row>
        <row r="93">
          <cell r="D93" t="str">
            <v>군위군</v>
          </cell>
        </row>
        <row r="94">
          <cell r="D94" t="str">
            <v>김천시</v>
          </cell>
        </row>
        <row r="95">
          <cell r="D95" t="str">
            <v>문경시</v>
          </cell>
        </row>
        <row r="96">
          <cell r="D96" t="str">
            <v>봉화군</v>
          </cell>
        </row>
        <row r="97">
          <cell r="D97" t="str">
            <v>상주시</v>
          </cell>
        </row>
        <row r="98">
          <cell r="D98" t="str">
            <v>성주군</v>
          </cell>
        </row>
        <row r="99">
          <cell r="D99" t="str">
            <v>안동시</v>
          </cell>
        </row>
        <row r="100">
          <cell r="D100" t="str">
            <v>영덕군</v>
          </cell>
        </row>
        <row r="101">
          <cell r="D101" t="str">
            <v>영양군</v>
          </cell>
        </row>
        <row r="102">
          <cell r="D102" t="str">
            <v>영주시</v>
          </cell>
        </row>
        <row r="103">
          <cell r="D103" t="str">
            <v>영천시</v>
          </cell>
        </row>
        <row r="104">
          <cell r="D104" t="str">
            <v>예천군</v>
          </cell>
        </row>
        <row r="105">
          <cell r="D105" t="str">
            <v>울릉군</v>
          </cell>
        </row>
        <row r="106">
          <cell r="D106" t="str">
            <v>울진군</v>
          </cell>
        </row>
        <row r="107">
          <cell r="D107" t="str">
            <v>의성군</v>
          </cell>
        </row>
        <row r="108">
          <cell r="D108" t="str">
            <v>청도군</v>
          </cell>
        </row>
        <row r="109">
          <cell r="D109" t="str">
            <v>청송군</v>
          </cell>
        </row>
        <row r="110">
          <cell r="D110" t="str">
            <v>칠곡군</v>
          </cell>
        </row>
        <row r="111">
          <cell r="D111" t="str">
            <v>포항시 남구</v>
          </cell>
        </row>
        <row r="112">
          <cell r="D112" t="str">
            <v>포항시 북구</v>
          </cell>
        </row>
        <row r="113">
          <cell r="D113" t="str">
            <v>광산구</v>
          </cell>
        </row>
        <row r="114">
          <cell r="D114" t="str">
            <v>남구</v>
          </cell>
        </row>
        <row r="115">
          <cell r="D115" t="str">
            <v>동구</v>
          </cell>
        </row>
        <row r="116">
          <cell r="D116" t="str">
            <v>북구</v>
          </cell>
        </row>
        <row r="117">
          <cell r="D117" t="str">
            <v>서구</v>
          </cell>
        </row>
        <row r="118">
          <cell r="D118" t="str">
            <v>남구</v>
          </cell>
        </row>
        <row r="119">
          <cell r="D119" t="str">
            <v>달서구</v>
          </cell>
        </row>
        <row r="120">
          <cell r="D120" t="str">
            <v>달성군</v>
          </cell>
        </row>
        <row r="121">
          <cell r="D121" t="str">
            <v>동구</v>
          </cell>
        </row>
        <row r="122">
          <cell r="D122" t="str">
            <v>북구</v>
          </cell>
        </row>
        <row r="123">
          <cell r="D123" t="str">
            <v>서구</v>
          </cell>
        </row>
        <row r="124">
          <cell r="D124" t="str">
            <v>수성구</v>
          </cell>
        </row>
        <row r="125">
          <cell r="D125" t="str">
            <v>중구</v>
          </cell>
        </row>
        <row r="126">
          <cell r="D126" t="str">
            <v>대덕구</v>
          </cell>
        </row>
        <row r="127">
          <cell r="D127" t="str">
            <v>동구</v>
          </cell>
        </row>
        <row r="128">
          <cell r="D128" t="str">
            <v>서구</v>
          </cell>
        </row>
        <row r="129">
          <cell r="D129" t="str">
            <v>유성구</v>
          </cell>
        </row>
        <row r="130">
          <cell r="D130" t="str">
            <v>중구</v>
          </cell>
        </row>
        <row r="131">
          <cell r="D131" t="str">
            <v>강서구</v>
          </cell>
        </row>
        <row r="132">
          <cell r="D132" t="str">
            <v>금정구</v>
          </cell>
        </row>
        <row r="133">
          <cell r="D133" t="str">
            <v>기장군</v>
          </cell>
        </row>
        <row r="134">
          <cell r="D134" t="str">
            <v>남구</v>
          </cell>
        </row>
        <row r="135">
          <cell r="D135" t="str">
            <v>동구</v>
          </cell>
        </row>
        <row r="136">
          <cell r="D136" t="str">
            <v>동래구</v>
          </cell>
        </row>
        <row r="137">
          <cell r="D137" t="str">
            <v>북구</v>
          </cell>
        </row>
        <row r="138">
          <cell r="D138" t="str">
            <v>사상구</v>
          </cell>
        </row>
        <row r="139">
          <cell r="D139" t="str">
            <v>사하구</v>
          </cell>
        </row>
        <row r="140">
          <cell r="D140" t="str">
            <v>서구</v>
          </cell>
        </row>
        <row r="141">
          <cell r="D141" t="str">
            <v>수영구</v>
          </cell>
        </row>
        <row r="142">
          <cell r="D142" t="str">
            <v>연제구</v>
          </cell>
        </row>
        <row r="143">
          <cell r="D143" t="str">
            <v>영도구</v>
          </cell>
        </row>
        <row r="144">
          <cell r="D144" t="str">
            <v>중구</v>
          </cell>
        </row>
        <row r="145">
          <cell r="D145" t="str">
            <v>진구</v>
          </cell>
        </row>
        <row r="146">
          <cell r="D146" t="str">
            <v>해운대구</v>
          </cell>
        </row>
        <row r="147">
          <cell r="D147" t="str">
            <v>강남구</v>
          </cell>
        </row>
        <row r="148">
          <cell r="D148" t="str">
            <v>강동구</v>
          </cell>
        </row>
        <row r="149">
          <cell r="D149" t="str">
            <v>강북구</v>
          </cell>
        </row>
        <row r="150">
          <cell r="D150" t="str">
            <v>강서구</v>
          </cell>
        </row>
        <row r="151">
          <cell r="D151" t="str">
            <v>관악구</v>
          </cell>
        </row>
        <row r="152">
          <cell r="D152" t="str">
            <v>광진구</v>
          </cell>
        </row>
        <row r="153">
          <cell r="D153" t="str">
            <v>구로구</v>
          </cell>
        </row>
        <row r="154">
          <cell r="D154" t="str">
            <v>금천구</v>
          </cell>
        </row>
        <row r="155">
          <cell r="D155" t="str">
            <v>노원구</v>
          </cell>
        </row>
        <row r="156">
          <cell r="D156" t="str">
            <v>도봉구</v>
          </cell>
        </row>
        <row r="157">
          <cell r="D157" t="str">
            <v>동대문구</v>
          </cell>
        </row>
        <row r="158">
          <cell r="D158" t="str">
            <v>동작구</v>
          </cell>
        </row>
        <row r="159">
          <cell r="D159" t="str">
            <v>마포구</v>
          </cell>
        </row>
        <row r="160">
          <cell r="D160" t="str">
            <v>서대문구</v>
          </cell>
        </row>
        <row r="161">
          <cell r="D161" t="str">
            <v>서초구</v>
          </cell>
        </row>
        <row r="162">
          <cell r="D162" t="str">
            <v>성동구</v>
          </cell>
        </row>
        <row r="163">
          <cell r="D163" t="str">
            <v>성북구</v>
          </cell>
        </row>
        <row r="164">
          <cell r="D164" t="str">
            <v>송파구</v>
          </cell>
        </row>
        <row r="165">
          <cell r="D165" t="str">
            <v>양천구</v>
          </cell>
        </row>
        <row r="166">
          <cell r="D166" t="str">
            <v>영등포구</v>
          </cell>
        </row>
        <row r="167">
          <cell r="D167" t="str">
            <v>용산구</v>
          </cell>
        </row>
        <row r="168">
          <cell r="D168" t="str">
            <v>은평구</v>
          </cell>
        </row>
        <row r="169">
          <cell r="D169" t="str">
            <v>종로구</v>
          </cell>
        </row>
        <row r="170">
          <cell r="D170" t="str">
            <v>중구</v>
          </cell>
        </row>
        <row r="171">
          <cell r="D171" t="str">
            <v>중랑구</v>
          </cell>
        </row>
        <row r="172">
          <cell r="D172" t="str">
            <v>남구</v>
          </cell>
        </row>
        <row r="173">
          <cell r="D173" t="str">
            <v>동구</v>
          </cell>
        </row>
        <row r="174">
          <cell r="D174" t="str">
            <v>북구</v>
          </cell>
        </row>
        <row r="175">
          <cell r="D175" t="str">
            <v>울주군</v>
          </cell>
        </row>
        <row r="176">
          <cell r="D176" t="str">
            <v>중구</v>
          </cell>
        </row>
        <row r="177">
          <cell r="D177" t="str">
            <v>강화군</v>
          </cell>
        </row>
        <row r="178">
          <cell r="D178" t="str">
            <v>계양구</v>
          </cell>
        </row>
        <row r="179">
          <cell r="D179" t="str">
            <v>남구</v>
          </cell>
        </row>
        <row r="180">
          <cell r="D180" t="str">
            <v>남동구</v>
          </cell>
        </row>
        <row r="181">
          <cell r="D181" t="str">
            <v>동구</v>
          </cell>
        </row>
        <row r="182">
          <cell r="D182" t="str">
            <v>부평구</v>
          </cell>
        </row>
        <row r="183">
          <cell r="D183" t="str">
            <v>서구</v>
          </cell>
        </row>
        <row r="184">
          <cell r="D184" t="str">
            <v>연수구</v>
          </cell>
        </row>
        <row r="185">
          <cell r="D185" t="str">
            <v>옹진군</v>
          </cell>
        </row>
        <row r="186">
          <cell r="D186" t="str">
            <v>중구</v>
          </cell>
        </row>
        <row r="187">
          <cell r="D187" t="str">
            <v>강진군</v>
          </cell>
        </row>
        <row r="188">
          <cell r="D188" t="str">
            <v>고흥군</v>
          </cell>
        </row>
        <row r="189">
          <cell r="D189" t="str">
            <v>곡성군</v>
          </cell>
        </row>
        <row r="190">
          <cell r="D190" t="str">
            <v>광양시</v>
          </cell>
        </row>
        <row r="191">
          <cell r="D191" t="str">
            <v>구례군</v>
          </cell>
        </row>
        <row r="192">
          <cell r="D192" t="str">
            <v>나주시</v>
          </cell>
        </row>
        <row r="193">
          <cell r="D193" t="str">
            <v>담양군</v>
          </cell>
        </row>
        <row r="194">
          <cell r="D194" t="str">
            <v>목포시</v>
          </cell>
        </row>
        <row r="195">
          <cell r="D195" t="str">
            <v>무안군</v>
          </cell>
        </row>
        <row r="196">
          <cell r="D196" t="str">
            <v>보성군</v>
          </cell>
        </row>
        <row r="197">
          <cell r="D197" t="str">
            <v>순천시</v>
          </cell>
        </row>
        <row r="198">
          <cell r="D198" t="str">
            <v>신안군</v>
          </cell>
        </row>
        <row r="199">
          <cell r="D199" t="str">
            <v>여수시</v>
          </cell>
        </row>
        <row r="200">
          <cell r="D200" t="str">
            <v>영광군</v>
          </cell>
        </row>
        <row r="201">
          <cell r="D201" t="str">
            <v>영암군</v>
          </cell>
        </row>
        <row r="202">
          <cell r="D202" t="str">
            <v>완도군</v>
          </cell>
        </row>
        <row r="203">
          <cell r="D203" t="str">
            <v>장성군</v>
          </cell>
        </row>
        <row r="204">
          <cell r="D204" t="str">
            <v>장흥군</v>
          </cell>
        </row>
        <row r="205">
          <cell r="D205" t="str">
            <v>진도군</v>
          </cell>
        </row>
        <row r="206">
          <cell r="D206" t="str">
            <v>함평군</v>
          </cell>
        </row>
        <row r="207">
          <cell r="D207" t="str">
            <v>해남군</v>
          </cell>
        </row>
        <row r="208">
          <cell r="D208" t="str">
            <v>화순군</v>
          </cell>
        </row>
        <row r="209">
          <cell r="D209" t="str">
            <v>고창군</v>
          </cell>
        </row>
        <row r="210">
          <cell r="D210" t="str">
            <v>군산시</v>
          </cell>
        </row>
        <row r="211">
          <cell r="D211" t="str">
            <v>김제시</v>
          </cell>
        </row>
        <row r="212">
          <cell r="D212" t="str">
            <v>남원시</v>
          </cell>
        </row>
        <row r="213">
          <cell r="D213" t="str">
            <v>무주군</v>
          </cell>
        </row>
        <row r="214">
          <cell r="D214" t="str">
            <v>부안군</v>
          </cell>
        </row>
        <row r="215">
          <cell r="D215" t="str">
            <v>순창군</v>
          </cell>
        </row>
        <row r="216">
          <cell r="D216" t="str">
            <v>완주군</v>
          </cell>
        </row>
        <row r="217">
          <cell r="D217" t="str">
            <v>익산시</v>
          </cell>
        </row>
        <row r="218">
          <cell r="D218" t="str">
            <v>임실군</v>
          </cell>
        </row>
        <row r="219">
          <cell r="D219" t="str">
            <v>장수군</v>
          </cell>
        </row>
        <row r="220">
          <cell r="D220" t="str">
            <v>전주시 덕진구</v>
          </cell>
        </row>
        <row r="221">
          <cell r="D221" t="str">
            <v>전주시 완산구</v>
          </cell>
        </row>
        <row r="222">
          <cell r="D222" t="str">
            <v>정읍시</v>
          </cell>
        </row>
        <row r="223">
          <cell r="D223" t="str">
            <v>진안군</v>
          </cell>
        </row>
        <row r="224">
          <cell r="D224" t="str">
            <v>남제주군</v>
          </cell>
        </row>
        <row r="225">
          <cell r="D225" t="str">
            <v>북제주군</v>
          </cell>
        </row>
        <row r="226">
          <cell r="D226" t="str">
            <v>서귀포시</v>
          </cell>
        </row>
        <row r="227">
          <cell r="D227" t="str">
            <v>제주시</v>
          </cell>
        </row>
        <row r="228">
          <cell r="D228" t="str">
            <v>계룡시</v>
          </cell>
        </row>
        <row r="229">
          <cell r="D229" t="str">
            <v>공주시</v>
          </cell>
        </row>
        <row r="230">
          <cell r="D230" t="str">
            <v>금산군</v>
          </cell>
        </row>
        <row r="231">
          <cell r="D231" t="str">
            <v>논산시</v>
          </cell>
        </row>
        <row r="232">
          <cell r="D232" t="str">
            <v>당진군</v>
          </cell>
        </row>
        <row r="233">
          <cell r="D233" t="str">
            <v>보령시</v>
          </cell>
        </row>
        <row r="234">
          <cell r="D234" t="str">
            <v>부여군</v>
          </cell>
        </row>
        <row r="235">
          <cell r="D235" t="str">
            <v>서산시</v>
          </cell>
        </row>
        <row r="236">
          <cell r="D236" t="str">
            <v>서천군</v>
          </cell>
        </row>
        <row r="237">
          <cell r="D237" t="str">
            <v>아산시</v>
          </cell>
        </row>
        <row r="238">
          <cell r="D238" t="str">
            <v>연기군</v>
          </cell>
        </row>
        <row r="239">
          <cell r="D239" t="str">
            <v>예산군</v>
          </cell>
        </row>
        <row r="240">
          <cell r="D240" t="str">
            <v>천안시</v>
          </cell>
        </row>
        <row r="241">
          <cell r="D241" t="str">
            <v>청양군</v>
          </cell>
        </row>
        <row r="242">
          <cell r="D242" t="str">
            <v>태안군</v>
          </cell>
        </row>
        <row r="243">
          <cell r="D243" t="str">
            <v>홍성군</v>
          </cell>
        </row>
        <row r="244">
          <cell r="D244" t="str">
            <v>괴산군</v>
          </cell>
        </row>
        <row r="245">
          <cell r="D245" t="str">
            <v>단양군</v>
          </cell>
        </row>
        <row r="246">
          <cell r="D246" t="str">
            <v>보은군</v>
          </cell>
        </row>
        <row r="247">
          <cell r="D247" t="str">
            <v>영동군</v>
          </cell>
        </row>
        <row r="248">
          <cell r="D248" t="str">
            <v>옥천군</v>
          </cell>
        </row>
        <row r="249">
          <cell r="D249" t="str">
            <v>음성군</v>
          </cell>
        </row>
        <row r="250">
          <cell r="D250" t="str">
            <v>제천시</v>
          </cell>
        </row>
        <row r="251">
          <cell r="D251" t="str">
            <v>증평군</v>
          </cell>
        </row>
        <row r="252">
          <cell r="D252" t="str">
            <v>진천군</v>
          </cell>
        </row>
        <row r="253">
          <cell r="D253" t="str">
            <v>청원군</v>
          </cell>
        </row>
        <row r="254">
          <cell r="D254" t="str">
            <v>청주시 상당구</v>
          </cell>
        </row>
        <row r="255">
          <cell r="D255" t="str">
            <v>청주시 흥덕구</v>
          </cell>
        </row>
        <row r="256">
          <cell r="D256" t="str">
            <v>충주시</v>
          </cell>
        </row>
      </sheetData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check list"/>
      <sheetName val="BI"/>
      <sheetName val="BI_2"/>
      <sheetName val="CD_ Sum"/>
      <sheetName val="CD_Sch"/>
      <sheetName val="CD_Sch (2)"/>
      <sheetName val="SD_List"/>
      <sheetName val="SD_Sch"/>
      <sheetName val="SD_His"/>
      <sheetName val="감가상각비추정"/>
      <sheetName val="Cash_In"/>
      <sheetName val="추정FS제시"/>
      <sheetName val="원가율수정"/>
      <sheetName val="Valuation"/>
      <sheetName val="G"/>
      <sheetName val="Collateral"/>
      <sheetName val="Lien"/>
      <sheetName val="other collateral"/>
      <sheetName val="Confirmation_2"/>
      <sheetName val="시나리오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H2" t="str">
            <v>한정</v>
          </cell>
        </row>
        <row r="3">
          <cell r="H3" t="str">
            <v>한정근</v>
          </cell>
        </row>
        <row r="4">
          <cell r="H4" t="str">
            <v>포괄근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잔존년수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차주별평가결과"/>
      <sheetName val="정리계획CF평가"/>
      <sheetName val="항고구분"/>
      <sheetName val="Data"/>
      <sheetName val="X-3 ENG"/>
      <sheetName val="기대회수율산정"/>
      <sheetName val="기대회수Schedule"/>
      <sheetName val="10월"/>
      <sheetName val="Cashflow판(특별인가)"/>
      <sheetName val="대구경북"/>
      <sheetName val="통장출금액"/>
      <sheetName val="MH_생산"/>
      <sheetName val="장외on2"/>
      <sheetName val="제조원가"/>
      <sheetName val="회사정보"/>
    </sheetNames>
    <sheetDataSet>
      <sheetData sheetId="0" refreshError="1"/>
      <sheetData sheetId="1" refreshError="1"/>
      <sheetData sheetId="2" refreshError="1"/>
      <sheetData sheetId="3" refreshError="1">
        <row r="9">
          <cell r="C9" t="str">
            <v>담보유무</v>
          </cell>
          <cell r="D9" t="str">
            <v>항고고려후 배당기일</v>
          </cell>
          <cell r="E9" t="str">
            <v>일수</v>
          </cell>
          <cell r="F9" t="str">
            <v>적용연수</v>
          </cell>
          <cell r="G9" t="str">
            <v>실지 배당액</v>
          </cell>
          <cell r="H9" t="str">
            <v>당행회수 경매비용</v>
          </cell>
          <cell r="I9" t="str">
            <v>실지배당액 현가</v>
          </cell>
          <cell r="J9" t="str">
            <v>당행회수 경매비용의 현가</v>
          </cell>
          <cell r="K9" t="str">
            <v>실지배당액 총계</v>
          </cell>
          <cell r="L9" t="str">
            <v>가중된 배당 일수</v>
          </cell>
          <cell r="M9" t="str">
            <v>추심기일</v>
          </cell>
        </row>
        <row r="10">
          <cell r="C10">
            <v>1</v>
          </cell>
          <cell r="D10" t="e">
            <v>#N/A</v>
          </cell>
          <cell r="E10" t="e">
            <v>#N/A</v>
          </cell>
          <cell r="F10" t="e">
            <v>#N/A</v>
          </cell>
          <cell r="G10">
            <v>0</v>
          </cell>
          <cell r="I10" t="e">
            <v>#N/A</v>
          </cell>
          <cell r="K10">
            <v>0</v>
          </cell>
          <cell r="L10">
            <v>0</v>
          </cell>
          <cell r="M10">
            <v>37269</v>
          </cell>
        </row>
        <row r="11">
          <cell r="C11">
            <v>1</v>
          </cell>
          <cell r="D11">
            <v>31</v>
          </cell>
          <cell r="E11">
            <v>0</v>
          </cell>
          <cell r="F11">
            <v>1</v>
          </cell>
          <cell r="G11">
            <v>0</v>
          </cell>
          <cell r="I11">
            <v>0</v>
          </cell>
          <cell r="K11">
            <v>0</v>
          </cell>
          <cell r="L11">
            <v>0</v>
          </cell>
          <cell r="M11">
            <v>37269</v>
          </cell>
        </row>
        <row r="12">
          <cell r="C12">
            <v>1</v>
          </cell>
          <cell r="D12">
            <v>31</v>
          </cell>
          <cell r="E12">
            <v>0</v>
          </cell>
          <cell r="F12">
            <v>1</v>
          </cell>
          <cell r="G12">
            <v>0</v>
          </cell>
          <cell r="I12">
            <v>0</v>
          </cell>
          <cell r="K12">
            <v>0</v>
          </cell>
          <cell r="L12">
            <v>0</v>
          </cell>
          <cell r="M12">
            <v>37269</v>
          </cell>
        </row>
        <row r="13">
          <cell r="C13">
            <v>4</v>
          </cell>
          <cell r="D13">
            <v>31</v>
          </cell>
          <cell r="E13">
            <v>0</v>
          </cell>
          <cell r="F13">
            <v>1</v>
          </cell>
          <cell r="G13">
            <v>0</v>
          </cell>
          <cell r="I13">
            <v>0</v>
          </cell>
          <cell r="K13">
            <v>0</v>
          </cell>
          <cell r="L13">
            <v>0</v>
          </cell>
          <cell r="M13">
            <v>37269</v>
          </cell>
        </row>
        <row r="14">
          <cell r="D14">
            <v>31</v>
          </cell>
          <cell r="E14">
            <v>0</v>
          </cell>
          <cell r="F14">
            <v>1</v>
          </cell>
          <cell r="G14">
            <v>0</v>
          </cell>
          <cell r="I14">
            <v>0</v>
          </cell>
          <cell r="K14">
            <v>0</v>
          </cell>
          <cell r="L14">
            <v>0</v>
          </cell>
          <cell r="M14">
            <v>37269</v>
          </cell>
        </row>
        <row r="15">
          <cell r="C15">
            <v>5</v>
          </cell>
          <cell r="D15">
            <v>31</v>
          </cell>
          <cell r="E15">
            <v>0</v>
          </cell>
          <cell r="F15">
            <v>1</v>
          </cell>
          <cell r="G15">
            <v>0</v>
          </cell>
          <cell r="I15">
            <v>0</v>
          </cell>
          <cell r="K15">
            <v>0</v>
          </cell>
          <cell r="L15">
            <v>0</v>
          </cell>
          <cell r="M15">
            <v>37269</v>
          </cell>
        </row>
        <row r="16">
          <cell r="C16">
            <v>6</v>
          </cell>
          <cell r="D16">
            <v>31</v>
          </cell>
          <cell r="E16">
            <v>0</v>
          </cell>
          <cell r="F16">
            <v>1</v>
          </cell>
          <cell r="G16">
            <v>0</v>
          </cell>
          <cell r="I16">
            <v>0</v>
          </cell>
          <cell r="K16">
            <v>0</v>
          </cell>
          <cell r="L16">
            <v>0</v>
          </cell>
          <cell r="M16">
            <v>37269</v>
          </cell>
        </row>
        <row r="17">
          <cell r="C17">
            <v>6</v>
          </cell>
          <cell r="D17" t="e">
            <v>#N/A</v>
          </cell>
          <cell r="E17" t="e">
            <v>#N/A</v>
          </cell>
          <cell r="F17" t="e">
            <v>#N/A</v>
          </cell>
          <cell r="G17">
            <v>0</v>
          </cell>
          <cell r="I17" t="e">
            <v>#N/A</v>
          </cell>
          <cell r="K17">
            <v>0</v>
          </cell>
          <cell r="L17">
            <v>0</v>
          </cell>
          <cell r="M17">
            <v>37269</v>
          </cell>
        </row>
        <row r="18">
          <cell r="C18">
            <v>6</v>
          </cell>
          <cell r="D18">
            <v>31</v>
          </cell>
          <cell r="E18">
            <v>0</v>
          </cell>
          <cell r="F18">
            <v>1</v>
          </cell>
          <cell r="G18">
            <v>0</v>
          </cell>
          <cell r="I18">
            <v>0</v>
          </cell>
          <cell r="K18">
            <v>0</v>
          </cell>
          <cell r="L18">
            <v>0</v>
          </cell>
          <cell r="M18">
            <v>37269</v>
          </cell>
        </row>
        <row r="19">
          <cell r="C19">
            <v>7</v>
          </cell>
          <cell r="D19">
            <v>31</v>
          </cell>
          <cell r="E19">
            <v>0</v>
          </cell>
          <cell r="F19">
            <v>1</v>
          </cell>
          <cell r="G19">
            <v>0</v>
          </cell>
          <cell r="I19">
            <v>0</v>
          </cell>
          <cell r="K19">
            <v>0</v>
          </cell>
          <cell r="L19">
            <v>0</v>
          </cell>
          <cell r="M19">
            <v>37269</v>
          </cell>
        </row>
        <row r="20">
          <cell r="C20">
            <v>8</v>
          </cell>
          <cell r="D20">
            <v>31</v>
          </cell>
          <cell r="E20">
            <v>0</v>
          </cell>
          <cell r="F20">
            <v>1</v>
          </cell>
          <cell r="G20">
            <v>0</v>
          </cell>
          <cell r="I20">
            <v>0</v>
          </cell>
          <cell r="K20">
            <v>0</v>
          </cell>
          <cell r="L20">
            <v>0</v>
          </cell>
          <cell r="M20">
            <v>37269</v>
          </cell>
        </row>
        <row r="21">
          <cell r="C21">
            <v>8</v>
          </cell>
          <cell r="D21">
            <v>31</v>
          </cell>
          <cell r="E21">
            <v>0</v>
          </cell>
          <cell r="F21">
            <v>1</v>
          </cell>
          <cell r="G21">
            <v>0</v>
          </cell>
          <cell r="I21">
            <v>0</v>
          </cell>
          <cell r="K21">
            <v>0</v>
          </cell>
          <cell r="L21">
            <v>0</v>
          </cell>
          <cell r="M21">
            <v>37269</v>
          </cell>
        </row>
        <row r="22">
          <cell r="C22">
            <v>8</v>
          </cell>
          <cell r="D22">
            <v>31</v>
          </cell>
          <cell r="E22">
            <v>0</v>
          </cell>
          <cell r="F22">
            <v>1</v>
          </cell>
          <cell r="G22">
            <v>0</v>
          </cell>
          <cell r="I22">
            <v>0</v>
          </cell>
          <cell r="K22">
            <v>0</v>
          </cell>
          <cell r="L22">
            <v>0</v>
          </cell>
          <cell r="M22">
            <v>37269</v>
          </cell>
        </row>
        <row r="23">
          <cell r="C23">
            <v>8</v>
          </cell>
          <cell r="D23">
            <v>31</v>
          </cell>
          <cell r="E23">
            <v>0</v>
          </cell>
          <cell r="F23">
            <v>1</v>
          </cell>
          <cell r="G23">
            <v>0</v>
          </cell>
          <cell r="I23">
            <v>0</v>
          </cell>
          <cell r="K23">
            <v>0</v>
          </cell>
          <cell r="L23">
            <v>0</v>
          </cell>
          <cell r="M23">
            <v>37269</v>
          </cell>
        </row>
        <row r="24">
          <cell r="C24">
            <v>8</v>
          </cell>
          <cell r="D24">
            <v>31</v>
          </cell>
          <cell r="E24">
            <v>0</v>
          </cell>
          <cell r="F24">
            <v>1</v>
          </cell>
          <cell r="G24">
            <v>0</v>
          </cell>
          <cell r="I24">
            <v>0</v>
          </cell>
          <cell r="K24">
            <v>0</v>
          </cell>
          <cell r="L24">
            <v>0</v>
          </cell>
          <cell r="M24">
            <v>37269</v>
          </cell>
        </row>
        <row r="25">
          <cell r="C25">
            <v>10</v>
          </cell>
          <cell r="D25">
            <v>31</v>
          </cell>
          <cell r="E25">
            <v>0</v>
          </cell>
          <cell r="F25">
            <v>1</v>
          </cell>
          <cell r="G25">
            <v>0</v>
          </cell>
          <cell r="I25">
            <v>0</v>
          </cell>
          <cell r="K25">
            <v>0</v>
          </cell>
          <cell r="L25">
            <v>0</v>
          </cell>
          <cell r="M25">
            <v>37269</v>
          </cell>
        </row>
        <row r="26">
          <cell r="C26">
            <v>10</v>
          </cell>
          <cell r="D26">
            <v>31</v>
          </cell>
          <cell r="E26">
            <v>0</v>
          </cell>
          <cell r="F26">
            <v>1</v>
          </cell>
          <cell r="G26">
            <v>0</v>
          </cell>
          <cell r="I26">
            <v>0</v>
          </cell>
          <cell r="K26">
            <v>0</v>
          </cell>
          <cell r="L26">
            <v>0</v>
          </cell>
          <cell r="M26">
            <v>37269</v>
          </cell>
        </row>
        <row r="27">
          <cell r="C27">
            <v>13</v>
          </cell>
          <cell r="D27">
            <v>31</v>
          </cell>
          <cell r="E27">
            <v>0</v>
          </cell>
          <cell r="F27">
            <v>1</v>
          </cell>
          <cell r="G27">
            <v>0</v>
          </cell>
          <cell r="I27">
            <v>0</v>
          </cell>
          <cell r="K27">
            <v>0</v>
          </cell>
          <cell r="L27">
            <v>0</v>
          </cell>
          <cell r="M27">
            <v>37269</v>
          </cell>
        </row>
        <row r="28">
          <cell r="C28">
            <v>13</v>
          </cell>
          <cell r="D28">
            <v>31</v>
          </cell>
          <cell r="E28">
            <v>0</v>
          </cell>
          <cell r="F28">
            <v>1</v>
          </cell>
          <cell r="G28">
            <v>0</v>
          </cell>
          <cell r="I28">
            <v>0</v>
          </cell>
          <cell r="K28">
            <v>0</v>
          </cell>
          <cell r="L28">
            <v>0</v>
          </cell>
          <cell r="M28">
            <v>37269</v>
          </cell>
        </row>
        <row r="29">
          <cell r="C29">
            <v>17</v>
          </cell>
          <cell r="D29">
            <v>31</v>
          </cell>
          <cell r="E29">
            <v>0</v>
          </cell>
          <cell r="F29">
            <v>1</v>
          </cell>
          <cell r="G29">
            <v>0</v>
          </cell>
          <cell r="I29">
            <v>0</v>
          </cell>
          <cell r="K29">
            <v>0</v>
          </cell>
          <cell r="L29">
            <v>0</v>
          </cell>
          <cell r="M29">
            <v>37269</v>
          </cell>
        </row>
        <row r="30">
          <cell r="C30">
            <v>18</v>
          </cell>
          <cell r="D30">
            <v>31</v>
          </cell>
          <cell r="E30">
            <v>0</v>
          </cell>
          <cell r="F30">
            <v>1</v>
          </cell>
          <cell r="G30">
            <v>0</v>
          </cell>
          <cell r="I30">
            <v>0</v>
          </cell>
          <cell r="K30">
            <v>0</v>
          </cell>
          <cell r="L30">
            <v>0</v>
          </cell>
          <cell r="M30">
            <v>37269</v>
          </cell>
        </row>
        <row r="31">
          <cell r="C31">
            <v>19</v>
          </cell>
          <cell r="D31" t="e">
            <v>#N/A</v>
          </cell>
          <cell r="E31" t="e">
            <v>#N/A</v>
          </cell>
          <cell r="F31" t="e">
            <v>#N/A</v>
          </cell>
          <cell r="G31" t="e">
            <v>#N/A</v>
          </cell>
          <cell r="I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C32">
            <v>21</v>
          </cell>
          <cell r="D32" t="e">
            <v>#N/A</v>
          </cell>
          <cell r="E32" t="e">
            <v>#N/A</v>
          </cell>
          <cell r="F32" t="e">
            <v>#N/A</v>
          </cell>
          <cell r="G32" t="e">
            <v>#N/A</v>
          </cell>
          <cell r="I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C33">
            <v>22</v>
          </cell>
          <cell r="D33" t="e">
            <v>#N/A</v>
          </cell>
          <cell r="E33" t="e">
            <v>#N/A</v>
          </cell>
          <cell r="F33" t="e">
            <v>#N/A</v>
          </cell>
          <cell r="G33" t="e">
            <v>#VALUE!</v>
          </cell>
          <cell r="I33" t="e">
            <v>#N/A</v>
          </cell>
          <cell r="K33" t="e">
            <v>#VALUE!</v>
          </cell>
          <cell r="L33" t="e">
            <v>#VALUE!</v>
          </cell>
          <cell r="M33" t="e">
            <v>#VALUE!</v>
          </cell>
        </row>
        <row r="34">
          <cell r="C34">
            <v>25</v>
          </cell>
          <cell r="D34" t="e">
            <v>#N/A</v>
          </cell>
          <cell r="E34" t="e">
            <v>#N/A</v>
          </cell>
          <cell r="F34" t="e">
            <v>#N/A</v>
          </cell>
          <cell r="G34" t="e">
            <v>#N/A</v>
          </cell>
          <cell r="I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C35">
            <v>25</v>
          </cell>
          <cell r="D35" t="e">
            <v>#N/A</v>
          </cell>
          <cell r="E35" t="e">
            <v>#N/A</v>
          </cell>
          <cell r="F35" t="e">
            <v>#N/A</v>
          </cell>
          <cell r="G35" t="e">
            <v>#N/A</v>
          </cell>
          <cell r="I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</row>
        <row r="36">
          <cell r="C36">
            <v>25</v>
          </cell>
          <cell r="D36" t="e">
            <v>#N/A</v>
          </cell>
          <cell r="E36" t="e">
            <v>#N/A</v>
          </cell>
          <cell r="F36" t="e">
            <v>#N/A</v>
          </cell>
          <cell r="G36" t="e">
            <v>#N/A</v>
          </cell>
          <cell r="I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C37">
            <v>27</v>
          </cell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  <cell r="I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</row>
        <row r="38">
          <cell r="C38">
            <v>28</v>
          </cell>
          <cell r="D38" t="e">
            <v>#N/A</v>
          </cell>
          <cell r="E38" t="e">
            <v>#N/A</v>
          </cell>
          <cell r="F38" t="e">
            <v>#N/A</v>
          </cell>
          <cell r="G38" t="e">
            <v>#N/A</v>
          </cell>
          <cell r="I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C39">
            <v>30</v>
          </cell>
          <cell r="D39" t="e">
            <v>#N/A</v>
          </cell>
          <cell r="E39" t="e">
            <v>#N/A</v>
          </cell>
          <cell r="F39" t="e">
            <v>#N/A</v>
          </cell>
          <cell r="G39" t="e">
            <v>#VALUE!</v>
          </cell>
          <cell r="I39" t="e">
            <v>#N/A</v>
          </cell>
          <cell r="K39" t="e">
            <v>#VALUE!</v>
          </cell>
          <cell r="L39" t="e">
            <v>#VALUE!</v>
          </cell>
          <cell r="M39" t="e">
            <v>#VALUE!</v>
          </cell>
        </row>
        <row r="40">
          <cell r="C40">
            <v>33</v>
          </cell>
          <cell r="D40" t="e">
            <v>#N/A</v>
          </cell>
          <cell r="E40" t="e">
            <v>#N/A</v>
          </cell>
          <cell r="F40" t="e">
            <v>#N/A</v>
          </cell>
          <cell r="G40" t="e">
            <v>#N/A</v>
          </cell>
          <cell r="I40" t="e">
            <v>#N/A</v>
          </cell>
          <cell r="K40" t="e">
            <v>#N/A</v>
          </cell>
          <cell r="L40" t="e">
            <v>#N/A</v>
          </cell>
          <cell r="M40" t="e">
            <v>#N/A</v>
          </cell>
        </row>
        <row r="41">
          <cell r="C41">
            <v>33</v>
          </cell>
          <cell r="D41" t="e">
            <v>#N/A</v>
          </cell>
          <cell r="E41" t="e">
            <v>#N/A</v>
          </cell>
          <cell r="F41" t="e">
            <v>#N/A</v>
          </cell>
          <cell r="G41" t="e">
            <v>#N/A</v>
          </cell>
          <cell r="I41" t="e">
            <v>#N/A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C42">
            <v>35</v>
          </cell>
          <cell r="D42" t="e">
            <v>#N/A</v>
          </cell>
          <cell r="E42" t="e">
            <v>#N/A</v>
          </cell>
          <cell r="F42" t="e">
            <v>#N/A</v>
          </cell>
          <cell r="G42" t="e">
            <v>#N/A</v>
          </cell>
          <cell r="I42" t="e">
            <v>#N/A</v>
          </cell>
          <cell r="K42" t="e">
            <v>#N/A</v>
          </cell>
          <cell r="L42" t="e">
            <v>#N/A</v>
          </cell>
          <cell r="M42" t="e">
            <v>#N/A</v>
          </cell>
        </row>
        <row r="43">
          <cell r="C43">
            <v>35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I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</row>
        <row r="44">
          <cell r="C44">
            <v>35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#VALUE!</v>
          </cell>
          <cell r="I44" t="e">
            <v>#N/A</v>
          </cell>
          <cell r="K44" t="e">
            <v>#N/A</v>
          </cell>
          <cell r="L44" t="e">
            <v>#VALUE!</v>
          </cell>
          <cell r="M44" t="e">
            <v>#N/A</v>
          </cell>
        </row>
        <row r="45">
          <cell r="C45">
            <v>37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I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C46">
            <v>39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I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C47">
            <v>41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I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C48">
            <v>41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I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C49">
            <v>42</v>
          </cell>
          <cell r="D49" t="e">
            <v>#N/A</v>
          </cell>
          <cell r="E49" t="e">
            <v>#N/A</v>
          </cell>
          <cell r="F49" t="e">
            <v>#N/A</v>
          </cell>
          <cell r="G49" t="e">
            <v>#N/A</v>
          </cell>
          <cell r="I49" t="e">
            <v>#N/A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C50">
            <v>43</v>
          </cell>
          <cell r="D50" t="e">
            <v>#N/A</v>
          </cell>
          <cell r="E50" t="e">
            <v>#N/A</v>
          </cell>
          <cell r="F50" t="e">
            <v>#N/A</v>
          </cell>
          <cell r="G50" t="e">
            <v>#N/A</v>
          </cell>
          <cell r="I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C51">
            <v>43</v>
          </cell>
          <cell r="D51" t="e">
            <v>#N/A</v>
          </cell>
          <cell r="E51" t="e">
            <v>#N/A</v>
          </cell>
          <cell r="F51" t="e">
            <v>#N/A</v>
          </cell>
          <cell r="G51" t="e">
            <v>#N/A</v>
          </cell>
          <cell r="I51" t="e">
            <v>#N/A</v>
          </cell>
          <cell r="K51" t="e">
            <v>#N/A</v>
          </cell>
          <cell r="L51" t="e">
            <v>#N/A</v>
          </cell>
          <cell r="M51" t="e">
            <v>#N/A</v>
          </cell>
        </row>
        <row r="52">
          <cell r="C52">
            <v>44</v>
          </cell>
          <cell r="D52" t="e">
            <v>#N/A</v>
          </cell>
          <cell r="E52" t="e">
            <v>#N/A</v>
          </cell>
          <cell r="F52" t="e">
            <v>#N/A</v>
          </cell>
          <cell r="G52" t="e">
            <v>#N/A</v>
          </cell>
          <cell r="I52" t="e">
            <v>#N/A</v>
          </cell>
          <cell r="K52" t="e">
            <v>#N/A</v>
          </cell>
          <cell r="L52" t="e">
            <v>#N/A</v>
          </cell>
          <cell r="M52" t="e">
            <v>#N/A</v>
          </cell>
        </row>
        <row r="53">
          <cell r="C53">
            <v>45</v>
          </cell>
          <cell r="D53" t="e">
            <v>#N/A</v>
          </cell>
          <cell r="E53" t="e">
            <v>#N/A</v>
          </cell>
          <cell r="F53" t="e">
            <v>#N/A</v>
          </cell>
          <cell r="G53" t="e">
            <v>#N/A</v>
          </cell>
          <cell r="I53" t="e">
            <v>#N/A</v>
          </cell>
          <cell r="K53" t="e">
            <v>#N/A</v>
          </cell>
          <cell r="L53" t="e">
            <v>#N/A</v>
          </cell>
          <cell r="M53" t="e">
            <v>#N/A</v>
          </cell>
        </row>
        <row r="54">
          <cell r="C54">
            <v>45</v>
          </cell>
          <cell r="D54" t="e">
            <v>#N/A</v>
          </cell>
          <cell r="E54" t="e">
            <v>#N/A</v>
          </cell>
          <cell r="F54" t="e">
            <v>#N/A</v>
          </cell>
          <cell r="G54" t="e">
            <v>#N/A</v>
          </cell>
          <cell r="I54" t="e">
            <v>#N/A</v>
          </cell>
          <cell r="K54" t="e">
            <v>#N/A</v>
          </cell>
          <cell r="L54" t="e">
            <v>#N/A</v>
          </cell>
          <cell r="M54" t="e">
            <v>#N/A</v>
          </cell>
        </row>
        <row r="55">
          <cell r="C55">
            <v>48</v>
          </cell>
          <cell r="D55" t="e">
            <v>#N/A</v>
          </cell>
          <cell r="E55" t="e">
            <v>#N/A</v>
          </cell>
          <cell r="F55" t="e">
            <v>#N/A</v>
          </cell>
          <cell r="G55" t="e">
            <v>#N/A</v>
          </cell>
          <cell r="I55" t="e">
            <v>#N/A</v>
          </cell>
          <cell r="K55" t="e">
            <v>#N/A</v>
          </cell>
          <cell r="L55" t="e">
            <v>#N/A</v>
          </cell>
          <cell r="M55" t="e">
            <v>#N/A</v>
          </cell>
        </row>
        <row r="56">
          <cell r="C56">
            <v>48</v>
          </cell>
          <cell r="D56" t="e">
            <v>#N/A</v>
          </cell>
          <cell r="E56" t="e">
            <v>#N/A</v>
          </cell>
          <cell r="F56" t="e">
            <v>#N/A</v>
          </cell>
          <cell r="G56" t="e">
            <v>#N/A</v>
          </cell>
          <cell r="I56" t="e">
            <v>#N/A</v>
          </cell>
          <cell r="K56" t="e">
            <v>#N/A</v>
          </cell>
          <cell r="L56" t="e">
            <v>#N/A</v>
          </cell>
          <cell r="M56" t="e">
            <v>#N/A</v>
          </cell>
        </row>
        <row r="57">
          <cell r="C57">
            <v>48</v>
          </cell>
          <cell r="D57" t="e">
            <v>#N/A</v>
          </cell>
          <cell r="E57" t="e">
            <v>#N/A</v>
          </cell>
          <cell r="F57" t="e">
            <v>#N/A</v>
          </cell>
          <cell r="G57" t="e">
            <v>#N/A</v>
          </cell>
          <cell r="I57" t="e">
            <v>#N/A</v>
          </cell>
          <cell r="K57" t="e">
            <v>#N/A</v>
          </cell>
          <cell r="L57" t="e">
            <v>#N/A</v>
          </cell>
          <cell r="M57" t="e">
            <v>#N/A</v>
          </cell>
        </row>
        <row r="58">
          <cell r="C58">
            <v>48</v>
          </cell>
          <cell r="D58" t="e">
            <v>#N/A</v>
          </cell>
          <cell r="E58" t="e">
            <v>#N/A</v>
          </cell>
          <cell r="F58" t="e">
            <v>#N/A</v>
          </cell>
          <cell r="G58" t="e">
            <v>#N/A</v>
          </cell>
          <cell r="I58" t="e">
            <v>#N/A</v>
          </cell>
          <cell r="K58" t="e">
            <v>#N/A</v>
          </cell>
          <cell r="L58" t="e">
            <v>#N/A</v>
          </cell>
          <cell r="M58" t="e">
            <v>#N/A</v>
          </cell>
        </row>
        <row r="59">
          <cell r="C59">
            <v>52</v>
          </cell>
          <cell r="D59" t="e">
            <v>#N/A</v>
          </cell>
          <cell r="E59" t="e">
            <v>#N/A</v>
          </cell>
          <cell r="F59" t="e">
            <v>#N/A</v>
          </cell>
          <cell r="G59" t="e">
            <v>#VALUE!</v>
          </cell>
          <cell r="I59" t="e">
            <v>#N/A</v>
          </cell>
          <cell r="K59" t="e">
            <v>#VALUE!</v>
          </cell>
          <cell r="L59" t="e">
            <v>#VALUE!</v>
          </cell>
          <cell r="M59" t="e">
            <v>#VALUE!</v>
          </cell>
        </row>
        <row r="60">
          <cell r="C60">
            <v>20</v>
          </cell>
          <cell r="D60" t="e">
            <v>#N/A</v>
          </cell>
          <cell r="E60" t="e">
            <v>#N/A</v>
          </cell>
          <cell r="F60" t="e">
            <v>#N/A</v>
          </cell>
          <cell r="G60" t="e">
            <v>#VALUE!</v>
          </cell>
          <cell r="I60" t="e">
            <v>#N/A</v>
          </cell>
          <cell r="K60" t="e">
            <v>#VALUE!</v>
          </cell>
          <cell r="L60" t="e">
            <v>#VALUE!</v>
          </cell>
          <cell r="M60" t="e">
            <v>#VALUE!</v>
          </cell>
        </row>
        <row r="61">
          <cell r="C61">
            <v>26</v>
          </cell>
          <cell r="D61" t="e">
            <v>#N/A</v>
          </cell>
          <cell r="E61" t="e">
            <v>#N/A</v>
          </cell>
          <cell r="F61" t="e">
            <v>#N/A</v>
          </cell>
          <cell r="G61" t="e">
            <v>#N/A</v>
          </cell>
          <cell r="I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A"/>
      <sheetName val="S0005"/>
      <sheetName val="Memo"/>
      <sheetName val="Basic Data"/>
      <sheetName val="평가표_S007"/>
      <sheetName val="경매일정_S007"/>
      <sheetName val="담보 2 재산세"/>
      <sheetName val="담보 3 재산세"/>
      <sheetName val="기본데이터"/>
      <sheetName val="법원별 저감율"/>
      <sheetName val="선순위가정"/>
    </sheetNames>
    <sheetDataSet>
      <sheetData sheetId="0" refreshError="1"/>
      <sheetData sheetId="1" refreshError="1"/>
      <sheetData sheetId="2" refreshError="1"/>
      <sheetData sheetId="3">
        <row r="5">
          <cell r="E5" t="str">
            <v>S007</v>
          </cell>
        </row>
      </sheetData>
      <sheetData sheetId="4"/>
      <sheetData sheetId="5">
        <row r="65">
          <cell r="C65">
            <v>-15207128.816000003</v>
          </cell>
        </row>
      </sheetData>
      <sheetData sheetId="6">
        <row r="45">
          <cell r="F45">
            <v>2683042.5399999996</v>
          </cell>
        </row>
      </sheetData>
      <sheetData sheetId="7">
        <row r="47">
          <cell r="F47">
            <v>486000</v>
          </cell>
        </row>
      </sheetData>
      <sheetData sheetId="8">
        <row r="7">
          <cell r="A7">
            <v>41180</v>
          </cell>
        </row>
        <row r="48">
          <cell r="A48">
            <v>0</v>
          </cell>
          <cell r="B48" t="str">
            <v>~</v>
          </cell>
          <cell r="C48">
            <v>10000000</v>
          </cell>
          <cell r="D48">
            <v>0.02</v>
          </cell>
          <cell r="E48">
            <v>5000</v>
          </cell>
        </row>
        <row r="49">
          <cell r="A49">
            <v>10000000</v>
          </cell>
          <cell r="B49" t="str">
            <v>~</v>
          </cell>
          <cell r="C49">
            <v>50000000</v>
          </cell>
          <cell r="D49">
            <v>1.4999999999999999E-2</v>
          </cell>
          <cell r="E49">
            <v>205000</v>
          </cell>
        </row>
        <row r="50">
          <cell r="A50">
            <v>50000000</v>
          </cell>
          <cell r="B50" t="str">
            <v>~</v>
          </cell>
          <cell r="C50">
            <v>100000000</v>
          </cell>
          <cell r="D50">
            <v>0.01</v>
          </cell>
          <cell r="E50">
            <v>805000</v>
          </cell>
        </row>
        <row r="51">
          <cell r="A51">
            <v>100000000</v>
          </cell>
          <cell r="B51" t="str">
            <v>~</v>
          </cell>
          <cell r="C51">
            <v>300000000</v>
          </cell>
          <cell r="D51">
            <v>5.0000000000000001E-3</v>
          </cell>
          <cell r="E51">
            <v>1305000</v>
          </cell>
        </row>
        <row r="52">
          <cell r="A52">
            <v>300000000</v>
          </cell>
          <cell r="B52" t="str">
            <v>~</v>
          </cell>
          <cell r="C52">
            <v>500000000</v>
          </cell>
          <cell r="D52">
            <v>3.0000000000000001E-3</v>
          </cell>
          <cell r="E52">
            <v>2305000</v>
          </cell>
        </row>
        <row r="53">
          <cell r="A53">
            <v>500000000</v>
          </cell>
          <cell r="B53" t="str">
            <v>~</v>
          </cell>
          <cell r="C53">
            <v>1000000000</v>
          </cell>
          <cell r="D53">
            <v>2E-3</v>
          </cell>
          <cell r="E53">
            <v>2905000</v>
          </cell>
        </row>
        <row r="54">
          <cell r="A54">
            <v>1000000000</v>
          </cell>
          <cell r="B54" t="str">
            <v>~</v>
          </cell>
          <cell r="E54">
            <v>3905000</v>
          </cell>
        </row>
      </sheetData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ATA"/>
      <sheetName val="RS"/>
      <sheetName val="산업분류체계"/>
      <sheetName val="요약"/>
      <sheetName val="총여신"/>
      <sheetName val="기여도"/>
      <sheetName val="요주의"/>
      <sheetName val="고정이하"/>
      <sheetName val="명목GDPRData"/>
      <sheetName val="GDP요약"/>
      <sheetName val="GDP"/>
      <sheetName val="업종별 연체율"/>
      <sheetName val="표1"/>
      <sheetName val="표2"/>
      <sheetName val="은행별고정이하"/>
      <sheetName val="은행별여신"/>
      <sheetName val="은행별여신비교"/>
      <sheetName val="은행별여신비교2"/>
      <sheetName val="업종별여신현황(0707)RD 6"/>
      <sheetName val="Assumptions"/>
      <sheetName val="CashFlow(중간집계)"/>
      <sheetName val="정리계획CF평가"/>
      <sheetName val="Data"/>
      <sheetName val="별제권_정리담보권1"/>
      <sheetName val="2.상각보정명세"/>
      <sheetName val="f_BS"/>
      <sheetName val="f_IS"/>
      <sheetName val="급여봉투"/>
      <sheetName val="기본데이터"/>
      <sheetName val="Sheet1 (2)"/>
      <sheetName val="10월 급여"/>
      <sheetName val="불일치checklist"/>
      <sheetName val="가정"/>
      <sheetName val="기본가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A5" t="str">
            <v>농림수광업</v>
          </cell>
        </row>
        <row r="11">
          <cell r="A11" t="str">
            <v>농림수광업</v>
          </cell>
        </row>
        <row r="13">
          <cell r="A13" t="str">
            <v>음식료담배</v>
          </cell>
        </row>
        <row r="14">
          <cell r="A14" t="str">
            <v>섬유의복</v>
          </cell>
        </row>
        <row r="15">
          <cell r="A15" t="str">
            <v>목재종이</v>
          </cell>
        </row>
        <row r="16">
          <cell r="A16" t="str">
            <v>석유화학</v>
          </cell>
        </row>
        <row r="17">
          <cell r="A17" t="str">
            <v>비금속광물제품</v>
          </cell>
        </row>
        <row r="18">
          <cell r="A18" t="str">
            <v>금속제품</v>
          </cell>
        </row>
        <row r="19">
          <cell r="A19" t="str">
            <v>산업용기계</v>
          </cell>
        </row>
        <row r="20">
          <cell r="A20" t="str">
            <v>전기전자</v>
          </cell>
        </row>
        <row r="21">
          <cell r="A21" t="str">
            <v>전기전자</v>
          </cell>
        </row>
        <row r="22">
          <cell r="A22" t="str">
            <v>운송장비</v>
          </cell>
        </row>
        <row r="23">
          <cell r="A23" t="str">
            <v>가구및기타</v>
          </cell>
        </row>
        <row r="24">
          <cell r="A24" t="str">
            <v>전기가스수도</v>
          </cell>
        </row>
        <row r="28">
          <cell r="A28" t="str">
            <v>건설업</v>
          </cell>
        </row>
        <row r="33">
          <cell r="A33" t="str">
            <v>도소매</v>
          </cell>
        </row>
        <row r="34">
          <cell r="A34" t="str">
            <v>숙박및음식</v>
          </cell>
        </row>
        <row r="36">
          <cell r="A36" t="str">
            <v>운수창고</v>
          </cell>
        </row>
        <row r="37">
          <cell r="A37" t="str">
            <v>통신업</v>
          </cell>
        </row>
        <row r="38">
          <cell r="A38" t="str">
            <v>금융및보험</v>
          </cell>
        </row>
        <row r="40">
          <cell r="A40" t="str">
            <v>부동산및임대</v>
          </cell>
        </row>
        <row r="41">
          <cell r="A41" t="str">
            <v>사업서비스업</v>
          </cell>
        </row>
        <row r="42">
          <cell r="A42" t="str">
            <v>기타서비스업</v>
          </cell>
        </row>
        <row r="43">
          <cell r="A43" t="str">
            <v>기타서비스업</v>
          </cell>
        </row>
        <row r="44">
          <cell r="A44" t="str">
            <v>기타서비스업</v>
          </cell>
        </row>
        <row r="45">
          <cell r="A45" t="str">
            <v>기타서비스업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고객속보"/>
      <sheetName val="목표(연)"/>
      <sheetName val="목표(하)"/>
      <sheetName val="하반기초"/>
      <sheetName val="이수관(0707~)"/>
      <sheetName val="통폐합"/>
      <sheetName val="총괄속보(07상)"/>
      <sheetName val="목표고객(상)"/>
      <sheetName val="명목GDPRData"/>
      <sheetName val="주요 가정"/>
      <sheetName val="현황요약"/>
      <sheetName val="기본데이터"/>
    </sheetNames>
    <sheetDataSet>
      <sheetData sheetId="0">
        <row r="4">
          <cell r="D4">
            <v>5204</v>
          </cell>
          <cell r="E4" t="str">
            <v xml:space="preserve">기업영업부          </v>
          </cell>
          <cell r="F4">
            <v>7</v>
          </cell>
          <cell r="G4">
            <v>290</v>
          </cell>
          <cell r="H4">
            <v>0</v>
          </cell>
          <cell r="I4">
            <v>0</v>
          </cell>
          <cell r="J4">
            <v>296</v>
          </cell>
          <cell r="K4">
            <v>102.07</v>
          </cell>
          <cell r="L4">
            <v>204</v>
          </cell>
        </row>
        <row r="5">
          <cell r="D5">
            <v>5412</v>
          </cell>
          <cell r="E5" t="str">
            <v xml:space="preserve">시화MC              </v>
          </cell>
          <cell r="F5">
            <v>2</v>
          </cell>
          <cell r="G5">
            <v>613</v>
          </cell>
          <cell r="H5">
            <v>0</v>
          </cell>
          <cell r="I5">
            <v>0</v>
          </cell>
          <cell r="J5">
            <v>654</v>
          </cell>
          <cell r="K5">
            <v>106.69</v>
          </cell>
          <cell r="L5">
            <v>213</v>
          </cell>
        </row>
        <row r="6">
          <cell r="D6">
            <v>5237</v>
          </cell>
          <cell r="E6" t="str">
            <v xml:space="preserve">여의도JYMC          </v>
          </cell>
          <cell r="F6">
            <v>11</v>
          </cell>
          <cell r="G6">
            <v>266</v>
          </cell>
          <cell r="H6">
            <v>0</v>
          </cell>
          <cell r="I6">
            <v>0</v>
          </cell>
          <cell r="J6">
            <v>261</v>
          </cell>
          <cell r="K6">
            <v>98.12</v>
          </cell>
          <cell r="L6">
            <v>196</v>
          </cell>
        </row>
        <row r="7">
          <cell r="D7">
            <v>5410</v>
          </cell>
          <cell r="E7" t="str">
            <v xml:space="preserve">남동공단MC          </v>
          </cell>
          <cell r="F7">
            <v>5</v>
          </cell>
          <cell r="G7">
            <v>611</v>
          </cell>
          <cell r="H7">
            <v>0</v>
          </cell>
          <cell r="I7">
            <v>0</v>
          </cell>
          <cell r="J7">
            <v>629</v>
          </cell>
          <cell r="K7">
            <v>102.95</v>
          </cell>
          <cell r="L7">
            <v>206</v>
          </cell>
        </row>
        <row r="8">
          <cell r="D8">
            <v>5259</v>
          </cell>
          <cell r="E8" t="str">
            <v xml:space="preserve">광교기업영업부      </v>
          </cell>
          <cell r="F8">
            <v>1</v>
          </cell>
          <cell r="G8">
            <v>255</v>
          </cell>
          <cell r="H8">
            <v>0</v>
          </cell>
          <cell r="I8">
            <v>0</v>
          </cell>
          <cell r="J8">
            <v>277</v>
          </cell>
          <cell r="K8">
            <v>108.63</v>
          </cell>
          <cell r="L8">
            <v>217</v>
          </cell>
        </row>
        <row r="9">
          <cell r="D9">
            <v>5222</v>
          </cell>
          <cell r="E9" t="str">
            <v xml:space="preserve">역삼동MC            </v>
          </cell>
          <cell r="F9">
            <v>12</v>
          </cell>
          <cell r="G9">
            <v>463</v>
          </cell>
          <cell r="H9">
            <v>0</v>
          </cell>
          <cell r="I9">
            <v>0</v>
          </cell>
          <cell r="J9">
            <v>452</v>
          </cell>
          <cell r="K9">
            <v>97.62</v>
          </cell>
          <cell r="L9">
            <v>195</v>
          </cell>
        </row>
        <row r="10">
          <cell r="D10">
            <v>5236</v>
          </cell>
          <cell r="E10" t="str">
            <v xml:space="preserve">강남JYMC            </v>
          </cell>
          <cell r="F10">
            <v>9</v>
          </cell>
          <cell r="G10">
            <v>312</v>
          </cell>
          <cell r="H10">
            <v>0</v>
          </cell>
          <cell r="I10">
            <v>0</v>
          </cell>
          <cell r="J10">
            <v>311</v>
          </cell>
          <cell r="K10">
            <v>99.68</v>
          </cell>
          <cell r="L10">
            <v>199</v>
          </cell>
        </row>
        <row r="11">
          <cell r="D11">
            <v>5405</v>
          </cell>
          <cell r="E11" t="str">
            <v xml:space="preserve">평촌MC              </v>
          </cell>
          <cell r="F11">
            <v>8</v>
          </cell>
          <cell r="G11">
            <v>642</v>
          </cell>
          <cell r="H11">
            <v>0</v>
          </cell>
          <cell r="I11">
            <v>0</v>
          </cell>
          <cell r="J11">
            <v>651</v>
          </cell>
          <cell r="K11">
            <v>101.4</v>
          </cell>
          <cell r="L11">
            <v>203</v>
          </cell>
        </row>
        <row r="12">
          <cell r="D12">
            <v>5235</v>
          </cell>
          <cell r="E12" t="str">
            <v xml:space="preserve">양재동MC            </v>
          </cell>
          <cell r="F12">
            <v>4</v>
          </cell>
          <cell r="G12">
            <v>386</v>
          </cell>
          <cell r="H12">
            <v>0</v>
          </cell>
          <cell r="I12">
            <v>0</v>
          </cell>
          <cell r="J12">
            <v>407</v>
          </cell>
          <cell r="K12">
            <v>105.44</v>
          </cell>
          <cell r="L12">
            <v>211</v>
          </cell>
        </row>
        <row r="13">
          <cell r="D13">
            <v>5217</v>
          </cell>
          <cell r="E13" t="str">
            <v xml:space="preserve">종로MC              </v>
          </cell>
          <cell r="F13">
            <v>3</v>
          </cell>
          <cell r="G13">
            <v>252</v>
          </cell>
          <cell r="H13">
            <v>0</v>
          </cell>
          <cell r="I13">
            <v>0</v>
          </cell>
          <cell r="J13">
            <v>267</v>
          </cell>
          <cell r="K13">
            <v>105.95</v>
          </cell>
          <cell r="L13">
            <v>212</v>
          </cell>
        </row>
        <row r="14">
          <cell r="D14">
            <v>5276</v>
          </cell>
          <cell r="E14" t="str">
            <v xml:space="preserve">남산MC              </v>
          </cell>
          <cell r="F14">
            <v>6</v>
          </cell>
          <cell r="G14">
            <v>137</v>
          </cell>
          <cell r="H14">
            <v>0</v>
          </cell>
          <cell r="I14">
            <v>0</v>
          </cell>
          <cell r="J14">
            <v>141</v>
          </cell>
          <cell r="K14">
            <v>102.92</v>
          </cell>
          <cell r="L14">
            <v>206</v>
          </cell>
        </row>
        <row r="15">
          <cell r="D15">
            <v>5218</v>
          </cell>
          <cell r="E15" t="str">
            <v xml:space="preserve">학동MC              </v>
          </cell>
          <cell r="F15">
            <v>10</v>
          </cell>
          <cell r="G15">
            <v>526</v>
          </cell>
          <cell r="H15">
            <v>0</v>
          </cell>
          <cell r="I15">
            <v>0</v>
          </cell>
          <cell r="J15">
            <v>522</v>
          </cell>
          <cell r="K15">
            <v>99.24</v>
          </cell>
          <cell r="L15">
            <v>198</v>
          </cell>
        </row>
        <row r="16">
          <cell r="D16">
            <v>9999</v>
          </cell>
          <cell r="E16" t="str">
            <v xml:space="preserve">M01군1소계          </v>
          </cell>
          <cell r="F16">
            <v>0</v>
          </cell>
          <cell r="G16">
            <v>4753</v>
          </cell>
          <cell r="H16">
            <v>0</v>
          </cell>
          <cell r="I16">
            <v>0</v>
          </cell>
          <cell r="J16">
            <v>4868</v>
          </cell>
          <cell r="K16">
            <v>102.56</v>
          </cell>
          <cell r="L16">
            <v>0</v>
          </cell>
        </row>
        <row r="17">
          <cell r="D17">
            <v>5208</v>
          </cell>
          <cell r="E17" t="str">
            <v xml:space="preserve">성수동MC            </v>
          </cell>
          <cell r="F17">
            <v>4</v>
          </cell>
          <cell r="G17">
            <v>319</v>
          </cell>
          <cell r="H17">
            <v>0</v>
          </cell>
          <cell r="I17">
            <v>0</v>
          </cell>
          <cell r="J17">
            <v>342</v>
          </cell>
          <cell r="K17">
            <v>107.21</v>
          </cell>
          <cell r="L17">
            <v>214</v>
          </cell>
        </row>
        <row r="18">
          <cell r="D18">
            <v>5440</v>
          </cell>
          <cell r="E18" t="str">
            <v xml:space="preserve">시화JYMC            </v>
          </cell>
          <cell r="F18">
            <v>3</v>
          </cell>
          <cell r="G18">
            <v>952</v>
          </cell>
          <cell r="H18">
            <v>0</v>
          </cell>
          <cell r="I18">
            <v>0</v>
          </cell>
          <cell r="J18">
            <v>1058</v>
          </cell>
          <cell r="K18">
            <v>111.13</v>
          </cell>
          <cell r="L18">
            <v>222</v>
          </cell>
        </row>
        <row r="19">
          <cell r="D19">
            <v>5227</v>
          </cell>
          <cell r="E19" t="str">
            <v xml:space="preserve">서여의도MC          </v>
          </cell>
          <cell r="F19">
            <v>1</v>
          </cell>
          <cell r="G19">
            <v>292</v>
          </cell>
          <cell r="H19">
            <v>0</v>
          </cell>
          <cell r="I19">
            <v>0</v>
          </cell>
          <cell r="J19">
            <v>339</v>
          </cell>
          <cell r="K19">
            <v>116.1</v>
          </cell>
          <cell r="L19">
            <v>232</v>
          </cell>
        </row>
        <row r="20">
          <cell r="D20">
            <v>5240</v>
          </cell>
          <cell r="E20" t="str">
            <v xml:space="preserve">무교MC              </v>
          </cell>
          <cell r="F20">
            <v>8</v>
          </cell>
          <cell r="G20">
            <v>113</v>
          </cell>
          <cell r="H20">
            <v>0</v>
          </cell>
          <cell r="I20">
            <v>0</v>
          </cell>
          <cell r="J20">
            <v>115</v>
          </cell>
          <cell r="K20">
            <v>101.77</v>
          </cell>
          <cell r="L20">
            <v>204</v>
          </cell>
        </row>
        <row r="21">
          <cell r="D21">
            <v>5228</v>
          </cell>
          <cell r="E21" t="str">
            <v xml:space="preserve">무역센터MC          </v>
          </cell>
          <cell r="F21">
            <v>2</v>
          </cell>
          <cell r="G21">
            <v>210</v>
          </cell>
          <cell r="H21">
            <v>0</v>
          </cell>
          <cell r="I21">
            <v>0</v>
          </cell>
          <cell r="J21">
            <v>235</v>
          </cell>
          <cell r="K21">
            <v>111.9</v>
          </cell>
          <cell r="L21">
            <v>224</v>
          </cell>
        </row>
        <row r="22">
          <cell r="D22">
            <v>5234</v>
          </cell>
          <cell r="E22" t="str">
            <v xml:space="preserve">선릉JYMC            </v>
          </cell>
          <cell r="F22">
            <v>9</v>
          </cell>
          <cell r="G22">
            <v>293</v>
          </cell>
          <cell r="H22">
            <v>0</v>
          </cell>
          <cell r="I22">
            <v>0</v>
          </cell>
          <cell r="J22">
            <v>297</v>
          </cell>
          <cell r="K22">
            <v>101.37</v>
          </cell>
          <cell r="L22">
            <v>203</v>
          </cell>
        </row>
        <row r="23">
          <cell r="D23">
            <v>5210</v>
          </cell>
          <cell r="E23" t="str">
            <v xml:space="preserve">논현동MC            </v>
          </cell>
          <cell r="F23">
            <v>6</v>
          </cell>
          <cell r="G23">
            <v>329</v>
          </cell>
          <cell r="H23">
            <v>0</v>
          </cell>
          <cell r="I23">
            <v>0</v>
          </cell>
          <cell r="J23">
            <v>338</v>
          </cell>
          <cell r="K23">
            <v>102.74</v>
          </cell>
          <cell r="L23">
            <v>205</v>
          </cell>
        </row>
        <row r="24">
          <cell r="D24">
            <v>5229</v>
          </cell>
          <cell r="E24" t="str">
            <v xml:space="preserve">마포JYMC            </v>
          </cell>
          <cell r="F24">
            <v>5</v>
          </cell>
          <cell r="G24">
            <v>336</v>
          </cell>
          <cell r="H24">
            <v>0</v>
          </cell>
          <cell r="I24">
            <v>0</v>
          </cell>
          <cell r="J24">
            <v>353</v>
          </cell>
          <cell r="K24">
            <v>105.06</v>
          </cell>
          <cell r="L24">
            <v>210</v>
          </cell>
        </row>
        <row r="25">
          <cell r="D25">
            <v>5251</v>
          </cell>
          <cell r="E25" t="str">
            <v xml:space="preserve">동여의도MC          </v>
          </cell>
          <cell r="F25">
            <v>12</v>
          </cell>
          <cell r="G25">
            <v>236</v>
          </cell>
          <cell r="H25">
            <v>0</v>
          </cell>
          <cell r="I25">
            <v>0</v>
          </cell>
          <cell r="J25">
            <v>224</v>
          </cell>
          <cell r="K25">
            <v>94.92</v>
          </cell>
          <cell r="L25">
            <v>190</v>
          </cell>
        </row>
        <row r="26">
          <cell r="D26">
            <v>5407</v>
          </cell>
          <cell r="E26" t="str">
            <v xml:space="preserve">안산SbirdMC         </v>
          </cell>
          <cell r="F26">
            <v>11</v>
          </cell>
          <cell r="G26">
            <v>523</v>
          </cell>
          <cell r="H26">
            <v>0</v>
          </cell>
          <cell r="I26">
            <v>0</v>
          </cell>
          <cell r="J26">
            <v>508</v>
          </cell>
          <cell r="K26">
            <v>97.13</v>
          </cell>
          <cell r="L26">
            <v>194</v>
          </cell>
        </row>
        <row r="27">
          <cell r="D27">
            <v>5201</v>
          </cell>
          <cell r="E27" t="str">
            <v xml:space="preserve">삼성YMC             </v>
          </cell>
          <cell r="F27">
            <v>7</v>
          </cell>
          <cell r="G27">
            <v>292</v>
          </cell>
          <cell r="H27">
            <v>0</v>
          </cell>
          <cell r="I27">
            <v>0</v>
          </cell>
          <cell r="J27">
            <v>299</v>
          </cell>
          <cell r="K27">
            <v>102.4</v>
          </cell>
          <cell r="L27">
            <v>205</v>
          </cell>
        </row>
        <row r="28">
          <cell r="D28">
            <v>5604</v>
          </cell>
          <cell r="E28" t="str">
            <v xml:space="preserve">창원MC              </v>
          </cell>
          <cell r="F28">
            <v>10</v>
          </cell>
          <cell r="G28">
            <v>281</v>
          </cell>
          <cell r="H28">
            <v>0</v>
          </cell>
          <cell r="I28">
            <v>0</v>
          </cell>
          <cell r="J28">
            <v>276</v>
          </cell>
          <cell r="K28">
            <v>98.22</v>
          </cell>
          <cell r="L28">
            <v>196</v>
          </cell>
        </row>
        <row r="29">
          <cell r="D29">
            <v>9999</v>
          </cell>
          <cell r="E29" t="str">
            <v xml:space="preserve">M02군1소계          </v>
          </cell>
          <cell r="F29">
            <v>0</v>
          </cell>
          <cell r="G29">
            <v>4176</v>
          </cell>
          <cell r="H29">
            <v>0</v>
          </cell>
          <cell r="I29">
            <v>0</v>
          </cell>
          <cell r="J29">
            <v>4384</v>
          </cell>
          <cell r="K29">
            <v>104.16</v>
          </cell>
          <cell r="L29">
            <v>0</v>
          </cell>
        </row>
        <row r="30">
          <cell r="D30">
            <v>5216</v>
          </cell>
          <cell r="E30" t="str">
            <v xml:space="preserve">광화문JYMC          </v>
          </cell>
          <cell r="F30">
            <v>3</v>
          </cell>
          <cell r="G30">
            <v>211</v>
          </cell>
          <cell r="H30">
            <v>0</v>
          </cell>
          <cell r="I30">
            <v>0</v>
          </cell>
          <cell r="J30">
            <v>241</v>
          </cell>
          <cell r="K30">
            <v>114.22</v>
          </cell>
          <cell r="L30">
            <v>228</v>
          </cell>
        </row>
        <row r="31">
          <cell r="D31">
            <v>5213</v>
          </cell>
          <cell r="E31" t="str">
            <v xml:space="preserve">충무로극동 MC       </v>
          </cell>
          <cell r="F31">
            <v>1</v>
          </cell>
          <cell r="G31">
            <v>199</v>
          </cell>
          <cell r="H31">
            <v>0</v>
          </cell>
          <cell r="I31">
            <v>0</v>
          </cell>
          <cell r="J31">
            <v>255</v>
          </cell>
          <cell r="K31">
            <v>128.13999999999999</v>
          </cell>
          <cell r="L31">
            <v>256</v>
          </cell>
        </row>
        <row r="32">
          <cell r="D32">
            <v>5215</v>
          </cell>
          <cell r="E32" t="str">
            <v xml:space="preserve">디지털센터MC        </v>
          </cell>
          <cell r="F32">
            <v>11</v>
          </cell>
          <cell r="G32">
            <v>288</v>
          </cell>
          <cell r="H32">
            <v>0</v>
          </cell>
          <cell r="I32">
            <v>0</v>
          </cell>
          <cell r="J32">
            <v>283</v>
          </cell>
          <cell r="K32">
            <v>98.26</v>
          </cell>
          <cell r="L32">
            <v>197</v>
          </cell>
        </row>
        <row r="33">
          <cell r="D33">
            <v>5221</v>
          </cell>
          <cell r="E33" t="str">
            <v xml:space="preserve">서교동MC            </v>
          </cell>
          <cell r="F33">
            <v>9</v>
          </cell>
          <cell r="G33">
            <v>397</v>
          </cell>
          <cell r="H33">
            <v>0</v>
          </cell>
          <cell r="I33">
            <v>0</v>
          </cell>
          <cell r="J33">
            <v>408</v>
          </cell>
          <cell r="K33">
            <v>102.77</v>
          </cell>
          <cell r="L33">
            <v>206</v>
          </cell>
        </row>
        <row r="34">
          <cell r="D34">
            <v>5223</v>
          </cell>
          <cell r="E34" t="str">
            <v xml:space="preserve">영동MC              </v>
          </cell>
          <cell r="F34">
            <v>8</v>
          </cell>
          <cell r="G34">
            <v>260</v>
          </cell>
          <cell r="H34">
            <v>0</v>
          </cell>
          <cell r="I34">
            <v>0</v>
          </cell>
          <cell r="J34">
            <v>273</v>
          </cell>
          <cell r="K34">
            <v>105</v>
          </cell>
          <cell r="L34">
            <v>210</v>
          </cell>
        </row>
        <row r="35">
          <cell r="D35">
            <v>5232</v>
          </cell>
          <cell r="E35" t="str">
            <v xml:space="preserve">강서MC              </v>
          </cell>
          <cell r="F35">
            <v>4</v>
          </cell>
          <cell r="G35">
            <v>436</v>
          </cell>
          <cell r="H35">
            <v>0</v>
          </cell>
          <cell r="I35">
            <v>0</v>
          </cell>
          <cell r="J35">
            <v>483</v>
          </cell>
          <cell r="K35">
            <v>110.78</v>
          </cell>
          <cell r="L35">
            <v>222</v>
          </cell>
        </row>
        <row r="36">
          <cell r="D36">
            <v>5409</v>
          </cell>
          <cell r="E36" t="str">
            <v xml:space="preserve">성남공단MC          </v>
          </cell>
          <cell r="F36">
            <v>5</v>
          </cell>
          <cell r="G36">
            <v>431</v>
          </cell>
          <cell r="H36">
            <v>0</v>
          </cell>
          <cell r="I36">
            <v>0</v>
          </cell>
          <cell r="J36">
            <v>464</v>
          </cell>
          <cell r="K36">
            <v>107.66</v>
          </cell>
          <cell r="L36">
            <v>215</v>
          </cell>
        </row>
        <row r="37">
          <cell r="D37">
            <v>5207</v>
          </cell>
          <cell r="E37" t="str">
            <v xml:space="preserve">여의도MC            </v>
          </cell>
          <cell r="F37">
            <v>7</v>
          </cell>
          <cell r="G37">
            <v>265</v>
          </cell>
          <cell r="H37">
            <v>0</v>
          </cell>
          <cell r="I37">
            <v>0</v>
          </cell>
          <cell r="J37">
            <v>281</v>
          </cell>
          <cell r="K37">
            <v>106.04</v>
          </cell>
          <cell r="L37">
            <v>212</v>
          </cell>
        </row>
        <row r="38">
          <cell r="D38">
            <v>5602</v>
          </cell>
          <cell r="E38" t="str">
            <v xml:space="preserve">울산MC              </v>
          </cell>
          <cell r="F38">
            <v>6</v>
          </cell>
          <cell r="G38">
            <v>283</v>
          </cell>
          <cell r="H38">
            <v>0</v>
          </cell>
          <cell r="I38">
            <v>0</v>
          </cell>
          <cell r="J38">
            <v>301</v>
          </cell>
          <cell r="K38">
            <v>106.36</v>
          </cell>
          <cell r="L38">
            <v>213</v>
          </cell>
        </row>
        <row r="39">
          <cell r="D39">
            <v>5212</v>
          </cell>
          <cell r="E39" t="str">
            <v xml:space="preserve">방배JYMC            </v>
          </cell>
          <cell r="F39">
            <v>2</v>
          </cell>
          <cell r="G39">
            <v>347</v>
          </cell>
          <cell r="H39">
            <v>0</v>
          </cell>
          <cell r="I39">
            <v>0</v>
          </cell>
          <cell r="J39">
            <v>422</v>
          </cell>
          <cell r="K39">
            <v>121.61</v>
          </cell>
          <cell r="L39">
            <v>243</v>
          </cell>
        </row>
        <row r="40">
          <cell r="D40">
            <v>5608</v>
          </cell>
          <cell r="E40" t="str">
            <v xml:space="preserve">신평MC              </v>
          </cell>
          <cell r="F40">
            <v>10</v>
          </cell>
          <cell r="G40">
            <v>361</v>
          </cell>
          <cell r="H40">
            <v>0</v>
          </cell>
          <cell r="I40">
            <v>0</v>
          </cell>
          <cell r="J40">
            <v>365</v>
          </cell>
          <cell r="K40">
            <v>101.11</v>
          </cell>
          <cell r="L40">
            <v>202</v>
          </cell>
        </row>
        <row r="41">
          <cell r="D41">
            <v>5246</v>
          </cell>
          <cell r="E41" t="str">
            <v xml:space="preserve">선릉MC              </v>
          </cell>
          <cell r="F41">
            <v>12</v>
          </cell>
          <cell r="G41">
            <v>214</v>
          </cell>
          <cell r="H41">
            <v>0</v>
          </cell>
          <cell r="I41">
            <v>0</v>
          </cell>
          <cell r="J41">
            <v>203</v>
          </cell>
          <cell r="K41">
            <v>94.86</v>
          </cell>
          <cell r="L41">
            <v>190</v>
          </cell>
        </row>
        <row r="42">
          <cell r="D42">
            <v>9999</v>
          </cell>
          <cell r="E42" t="str">
            <v xml:space="preserve">M03군1소계          </v>
          </cell>
          <cell r="F42">
            <v>0</v>
          </cell>
          <cell r="G42">
            <v>3692</v>
          </cell>
          <cell r="H42">
            <v>0</v>
          </cell>
          <cell r="I42">
            <v>0</v>
          </cell>
          <cell r="J42">
            <v>3979</v>
          </cell>
          <cell r="K42">
            <v>108.07</v>
          </cell>
          <cell r="L42">
            <v>0</v>
          </cell>
        </row>
        <row r="43">
          <cell r="D43">
            <v>5247</v>
          </cell>
          <cell r="E43" t="str">
            <v xml:space="preserve">코엑스MC            </v>
          </cell>
          <cell r="F43">
            <v>4</v>
          </cell>
          <cell r="G43">
            <v>142</v>
          </cell>
          <cell r="H43">
            <v>0</v>
          </cell>
          <cell r="I43">
            <v>5</v>
          </cell>
          <cell r="J43">
            <v>149</v>
          </cell>
          <cell r="K43">
            <v>104.93</v>
          </cell>
          <cell r="L43">
            <v>210</v>
          </cell>
        </row>
        <row r="44">
          <cell r="D44">
            <v>5402</v>
          </cell>
          <cell r="E44" t="str">
            <v xml:space="preserve">인천남동MC          </v>
          </cell>
          <cell r="F44">
            <v>2</v>
          </cell>
          <cell r="G44">
            <v>376</v>
          </cell>
          <cell r="H44">
            <v>0</v>
          </cell>
          <cell r="I44">
            <v>0</v>
          </cell>
          <cell r="J44">
            <v>422</v>
          </cell>
          <cell r="K44">
            <v>112.23</v>
          </cell>
          <cell r="L44">
            <v>224</v>
          </cell>
        </row>
        <row r="45">
          <cell r="D45">
            <v>5209</v>
          </cell>
          <cell r="E45" t="str">
            <v xml:space="preserve">잠실MC              </v>
          </cell>
          <cell r="F45">
            <v>10</v>
          </cell>
          <cell r="G45">
            <v>248</v>
          </cell>
          <cell r="H45">
            <v>0</v>
          </cell>
          <cell r="I45">
            <v>0</v>
          </cell>
          <cell r="J45">
            <v>250</v>
          </cell>
          <cell r="K45">
            <v>100.81</v>
          </cell>
          <cell r="L45">
            <v>202</v>
          </cell>
        </row>
        <row r="46">
          <cell r="D46">
            <v>5404</v>
          </cell>
          <cell r="E46" t="str">
            <v xml:space="preserve">수원JYMC            </v>
          </cell>
          <cell r="F46">
            <v>7</v>
          </cell>
          <cell r="G46">
            <v>416</v>
          </cell>
          <cell r="H46">
            <v>0</v>
          </cell>
          <cell r="I46">
            <v>0</v>
          </cell>
          <cell r="J46">
            <v>427</v>
          </cell>
          <cell r="K46">
            <v>102.64</v>
          </cell>
          <cell r="L46">
            <v>205</v>
          </cell>
        </row>
        <row r="47">
          <cell r="D47">
            <v>5413</v>
          </cell>
          <cell r="E47" t="str">
            <v xml:space="preserve">일산MC              </v>
          </cell>
          <cell r="F47">
            <v>9</v>
          </cell>
          <cell r="G47">
            <v>369</v>
          </cell>
          <cell r="H47">
            <v>0</v>
          </cell>
          <cell r="I47">
            <v>0</v>
          </cell>
          <cell r="J47">
            <v>373</v>
          </cell>
          <cell r="K47">
            <v>101.08</v>
          </cell>
          <cell r="L47">
            <v>202</v>
          </cell>
        </row>
        <row r="48">
          <cell r="D48">
            <v>5603</v>
          </cell>
          <cell r="E48" t="str">
            <v xml:space="preserve">양산MC              </v>
          </cell>
          <cell r="F48">
            <v>6</v>
          </cell>
          <cell r="G48">
            <v>332</v>
          </cell>
          <cell r="H48">
            <v>0</v>
          </cell>
          <cell r="I48">
            <v>0</v>
          </cell>
          <cell r="J48">
            <v>342</v>
          </cell>
          <cell r="K48">
            <v>103.01</v>
          </cell>
          <cell r="L48">
            <v>206</v>
          </cell>
        </row>
        <row r="49">
          <cell r="D49">
            <v>5225</v>
          </cell>
          <cell r="E49" t="str">
            <v xml:space="preserve">용산전자MC          </v>
          </cell>
          <cell r="F49">
            <v>12</v>
          </cell>
          <cell r="G49">
            <v>364</v>
          </cell>
          <cell r="H49">
            <v>0</v>
          </cell>
          <cell r="I49">
            <v>0</v>
          </cell>
          <cell r="J49">
            <v>351</v>
          </cell>
          <cell r="K49">
            <v>96.43</v>
          </cell>
          <cell r="L49">
            <v>193</v>
          </cell>
        </row>
        <row r="50">
          <cell r="D50">
            <v>5205</v>
          </cell>
          <cell r="E50" t="str">
            <v xml:space="preserve">명동MC              </v>
          </cell>
          <cell r="F50">
            <v>5</v>
          </cell>
          <cell r="G50">
            <v>231</v>
          </cell>
          <cell r="H50">
            <v>0</v>
          </cell>
          <cell r="I50">
            <v>0</v>
          </cell>
          <cell r="J50">
            <v>239</v>
          </cell>
          <cell r="K50">
            <v>103.46</v>
          </cell>
          <cell r="L50">
            <v>207</v>
          </cell>
        </row>
        <row r="51">
          <cell r="D51">
            <v>5503</v>
          </cell>
          <cell r="E51" t="str">
            <v xml:space="preserve">천안MC              </v>
          </cell>
          <cell r="F51">
            <v>1</v>
          </cell>
          <cell r="G51">
            <v>313</v>
          </cell>
          <cell r="H51">
            <v>0</v>
          </cell>
          <cell r="I51">
            <v>0</v>
          </cell>
          <cell r="J51">
            <v>354</v>
          </cell>
          <cell r="K51">
            <v>113.1</v>
          </cell>
          <cell r="L51">
            <v>226</v>
          </cell>
        </row>
        <row r="52">
          <cell r="D52">
            <v>5203</v>
          </cell>
          <cell r="E52" t="str">
            <v xml:space="preserve">서초남MC            </v>
          </cell>
          <cell r="F52">
            <v>11</v>
          </cell>
          <cell r="G52">
            <v>297</v>
          </cell>
          <cell r="H52">
            <v>0</v>
          </cell>
          <cell r="I52">
            <v>0</v>
          </cell>
          <cell r="J52">
            <v>290</v>
          </cell>
          <cell r="K52">
            <v>97.64</v>
          </cell>
          <cell r="L52">
            <v>195</v>
          </cell>
        </row>
        <row r="53">
          <cell r="D53">
            <v>5219</v>
          </cell>
          <cell r="E53" t="str">
            <v xml:space="preserve">신사동MC            </v>
          </cell>
          <cell r="F53">
            <v>3</v>
          </cell>
          <cell r="G53">
            <v>312</v>
          </cell>
          <cell r="H53">
            <v>0</v>
          </cell>
          <cell r="I53">
            <v>0</v>
          </cell>
          <cell r="J53">
            <v>333</v>
          </cell>
          <cell r="K53">
            <v>106.73</v>
          </cell>
          <cell r="L53">
            <v>213</v>
          </cell>
        </row>
        <row r="54">
          <cell r="D54">
            <v>5419</v>
          </cell>
          <cell r="E54" t="str">
            <v xml:space="preserve">수원MC              </v>
          </cell>
          <cell r="F54">
            <v>8</v>
          </cell>
          <cell r="G54">
            <v>272</v>
          </cell>
          <cell r="H54">
            <v>0</v>
          </cell>
          <cell r="I54">
            <v>0</v>
          </cell>
          <cell r="J54">
            <v>275</v>
          </cell>
          <cell r="K54">
            <v>101.1</v>
          </cell>
          <cell r="L54">
            <v>202</v>
          </cell>
        </row>
        <row r="55">
          <cell r="D55">
            <v>9999</v>
          </cell>
          <cell r="E55" t="str">
            <v xml:space="preserve">M04군1소계          </v>
          </cell>
          <cell r="F55">
            <v>0</v>
          </cell>
          <cell r="G55">
            <v>3672</v>
          </cell>
          <cell r="H55">
            <v>0</v>
          </cell>
          <cell r="I55">
            <v>5</v>
          </cell>
          <cell r="J55">
            <v>3805</v>
          </cell>
          <cell r="K55">
            <v>103.6</v>
          </cell>
          <cell r="L55">
            <v>0</v>
          </cell>
        </row>
        <row r="56">
          <cell r="D56">
            <v>5606</v>
          </cell>
          <cell r="E56" t="str">
            <v xml:space="preserve">부산서면MC          </v>
          </cell>
          <cell r="F56">
            <v>7</v>
          </cell>
          <cell r="G56">
            <v>158</v>
          </cell>
          <cell r="H56">
            <v>0</v>
          </cell>
          <cell r="I56">
            <v>0</v>
          </cell>
          <cell r="J56">
            <v>147</v>
          </cell>
          <cell r="K56">
            <v>93.04</v>
          </cell>
          <cell r="L56">
            <v>186</v>
          </cell>
        </row>
        <row r="57">
          <cell r="D57">
            <v>5214</v>
          </cell>
          <cell r="E57" t="str">
            <v xml:space="preserve">장한평MC            </v>
          </cell>
          <cell r="F57">
            <v>1</v>
          </cell>
          <cell r="G57">
            <v>390</v>
          </cell>
          <cell r="H57">
            <v>0</v>
          </cell>
          <cell r="I57">
            <v>0</v>
          </cell>
          <cell r="J57">
            <v>441</v>
          </cell>
          <cell r="K57">
            <v>113.08</v>
          </cell>
          <cell r="L57">
            <v>226</v>
          </cell>
        </row>
        <row r="58">
          <cell r="D58">
            <v>5601</v>
          </cell>
          <cell r="E58" t="str">
            <v xml:space="preserve">마산MC              </v>
          </cell>
          <cell r="F58">
            <v>10</v>
          </cell>
          <cell r="G58">
            <v>166</v>
          </cell>
          <cell r="H58">
            <v>0</v>
          </cell>
          <cell r="I58">
            <v>0</v>
          </cell>
          <cell r="J58">
            <v>148</v>
          </cell>
          <cell r="K58">
            <v>89.16</v>
          </cell>
          <cell r="L58">
            <v>178</v>
          </cell>
        </row>
        <row r="59">
          <cell r="D59">
            <v>5401</v>
          </cell>
          <cell r="E59" t="str">
            <v xml:space="preserve">반월MC              </v>
          </cell>
          <cell r="F59">
            <v>8</v>
          </cell>
          <cell r="G59">
            <v>413</v>
          </cell>
          <cell r="H59">
            <v>0</v>
          </cell>
          <cell r="I59">
            <v>0</v>
          </cell>
          <cell r="J59">
            <v>382</v>
          </cell>
          <cell r="K59">
            <v>92.49</v>
          </cell>
          <cell r="L59">
            <v>185</v>
          </cell>
        </row>
        <row r="60">
          <cell r="D60">
            <v>5239</v>
          </cell>
          <cell r="E60" t="str">
            <v xml:space="preserve">구로MC              </v>
          </cell>
          <cell r="F60">
            <v>5</v>
          </cell>
          <cell r="G60">
            <v>366</v>
          </cell>
          <cell r="H60">
            <v>0</v>
          </cell>
          <cell r="I60">
            <v>0</v>
          </cell>
          <cell r="J60">
            <v>381</v>
          </cell>
          <cell r="K60">
            <v>104.1</v>
          </cell>
          <cell r="L60">
            <v>208</v>
          </cell>
        </row>
        <row r="61">
          <cell r="D61">
            <v>5411</v>
          </cell>
          <cell r="E61" t="str">
            <v xml:space="preserve">평택MC              </v>
          </cell>
          <cell r="F61">
            <v>4</v>
          </cell>
          <cell r="G61">
            <v>481</v>
          </cell>
          <cell r="H61">
            <v>0</v>
          </cell>
          <cell r="I61">
            <v>0</v>
          </cell>
          <cell r="J61">
            <v>502</v>
          </cell>
          <cell r="K61">
            <v>104.37</v>
          </cell>
          <cell r="L61">
            <v>209</v>
          </cell>
        </row>
        <row r="62">
          <cell r="D62">
            <v>5260</v>
          </cell>
          <cell r="E62" t="str">
            <v xml:space="preserve">소공동 MC           </v>
          </cell>
          <cell r="F62">
            <v>2</v>
          </cell>
          <cell r="G62">
            <v>121</v>
          </cell>
          <cell r="H62">
            <v>0</v>
          </cell>
          <cell r="I62">
            <v>0</v>
          </cell>
          <cell r="J62">
            <v>136</v>
          </cell>
          <cell r="K62">
            <v>112.4</v>
          </cell>
          <cell r="L62">
            <v>225</v>
          </cell>
        </row>
        <row r="63">
          <cell r="D63">
            <v>5403</v>
          </cell>
          <cell r="E63" t="str">
            <v xml:space="preserve">인천MC              </v>
          </cell>
          <cell r="F63">
            <v>3</v>
          </cell>
          <cell r="G63">
            <v>344</v>
          </cell>
          <cell r="H63">
            <v>0</v>
          </cell>
          <cell r="I63">
            <v>0</v>
          </cell>
          <cell r="J63">
            <v>369</v>
          </cell>
          <cell r="K63">
            <v>107.27</v>
          </cell>
          <cell r="L63">
            <v>215</v>
          </cell>
        </row>
        <row r="64">
          <cell r="D64">
            <v>5806</v>
          </cell>
          <cell r="E64" t="str">
            <v xml:space="preserve">광주MC              </v>
          </cell>
          <cell r="F64">
            <v>9</v>
          </cell>
          <cell r="G64">
            <v>384</v>
          </cell>
          <cell r="H64">
            <v>0</v>
          </cell>
          <cell r="I64">
            <v>0</v>
          </cell>
          <cell r="J64">
            <v>346</v>
          </cell>
          <cell r="K64">
            <v>90.1</v>
          </cell>
          <cell r="L64">
            <v>180</v>
          </cell>
        </row>
        <row r="65">
          <cell r="D65">
            <v>5206</v>
          </cell>
          <cell r="E65" t="str">
            <v xml:space="preserve">영등포JYMC          </v>
          </cell>
          <cell r="F65">
            <v>6</v>
          </cell>
          <cell r="G65">
            <v>257</v>
          </cell>
          <cell r="H65">
            <v>0</v>
          </cell>
          <cell r="I65">
            <v>0</v>
          </cell>
          <cell r="J65">
            <v>244</v>
          </cell>
          <cell r="K65">
            <v>94.94</v>
          </cell>
          <cell r="L65">
            <v>190</v>
          </cell>
        </row>
        <row r="66">
          <cell r="D66">
            <v>5211</v>
          </cell>
          <cell r="E66" t="str">
            <v xml:space="preserve">한남동MC            </v>
          </cell>
          <cell r="F66">
            <v>11</v>
          </cell>
          <cell r="G66">
            <v>256</v>
          </cell>
          <cell r="H66">
            <v>0</v>
          </cell>
          <cell r="I66">
            <v>0</v>
          </cell>
          <cell r="J66">
            <v>224</v>
          </cell>
          <cell r="K66">
            <v>87.5</v>
          </cell>
          <cell r="L66">
            <v>175</v>
          </cell>
        </row>
        <row r="67">
          <cell r="D67">
            <v>5263</v>
          </cell>
          <cell r="E67" t="str">
            <v xml:space="preserve">반도MC              </v>
          </cell>
          <cell r="F67">
            <v>12</v>
          </cell>
          <cell r="G67">
            <v>107</v>
          </cell>
          <cell r="H67">
            <v>0</v>
          </cell>
          <cell r="I67">
            <v>0</v>
          </cell>
          <cell r="J67">
            <v>92</v>
          </cell>
          <cell r="K67">
            <v>85.98</v>
          </cell>
          <cell r="L67">
            <v>172</v>
          </cell>
        </row>
        <row r="68">
          <cell r="D68">
            <v>9999</v>
          </cell>
          <cell r="E68" t="str">
            <v xml:space="preserve">M05군1소계          </v>
          </cell>
          <cell r="F68">
            <v>0</v>
          </cell>
          <cell r="G68">
            <v>3443</v>
          </cell>
          <cell r="H68">
            <v>0</v>
          </cell>
          <cell r="I68">
            <v>0</v>
          </cell>
          <cell r="J68">
            <v>3412</v>
          </cell>
          <cell r="K68">
            <v>97.87</v>
          </cell>
          <cell r="L68">
            <v>0</v>
          </cell>
        </row>
        <row r="69">
          <cell r="D69">
            <v>5238</v>
          </cell>
          <cell r="E69" t="str">
            <v xml:space="preserve">용산MC              </v>
          </cell>
          <cell r="F69">
            <v>8</v>
          </cell>
          <cell r="G69">
            <v>148</v>
          </cell>
          <cell r="H69">
            <v>0</v>
          </cell>
          <cell r="I69">
            <v>0</v>
          </cell>
          <cell r="J69">
            <v>147</v>
          </cell>
          <cell r="K69">
            <v>99.32</v>
          </cell>
          <cell r="L69">
            <v>199</v>
          </cell>
        </row>
        <row r="70">
          <cell r="D70">
            <v>5615</v>
          </cell>
          <cell r="E70" t="str">
            <v xml:space="preserve">울산JYMC            </v>
          </cell>
          <cell r="F70">
            <v>7</v>
          </cell>
          <cell r="G70">
            <v>262</v>
          </cell>
          <cell r="H70">
            <v>0</v>
          </cell>
          <cell r="I70">
            <v>0</v>
          </cell>
          <cell r="J70">
            <v>262</v>
          </cell>
          <cell r="K70">
            <v>100</v>
          </cell>
          <cell r="L70">
            <v>200</v>
          </cell>
        </row>
        <row r="71">
          <cell r="D71">
            <v>5805</v>
          </cell>
          <cell r="E71" t="str">
            <v xml:space="preserve">광산MC              </v>
          </cell>
          <cell r="F71">
            <v>6</v>
          </cell>
          <cell r="G71">
            <v>212</v>
          </cell>
          <cell r="H71">
            <v>0</v>
          </cell>
          <cell r="I71">
            <v>0</v>
          </cell>
          <cell r="J71">
            <v>213</v>
          </cell>
          <cell r="K71">
            <v>100.47</v>
          </cell>
          <cell r="L71">
            <v>201</v>
          </cell>
        </row>
        <row r="72">
          <cell r="D72">
            <v>5253</v>
          </cell>
          <cell r="E72" t="str">
            <v xml:space="preserve">테헤란로MC          </v>
          </cell>
          <cell r="F72">
            <v>1</v>
          </cell>
          <cell r="G72">
            <v>138</v>
          </cell>
          <cell r="H72">
            <v>0</v>
          </cell>
          <cell r="I72">
            <v>0</v>
          </cell>
          <cell r="J72">
            <v>154</v>
          </cell>
          <cell r="K72">
            <v>111.59</v>
          </cell>
          <cell r="L72">
            <v>223</v>
          </cell>
        </row>
        <row r="73">
          <cell r="D73">
            <v>5220</v>
          </cell>
          <cell r="E73" t="str">
            <v xml:space="preserve">명동역MC            </v>
          </cell>
          <cell r="F73">
            <v>5</v>
          </cell>
          <cell r="G73">
            <v>168</v>
          </cell>
          <cell r="H73">
            <v>0</v>
          </cell>
          <cell r="I73">
            <v>0</v>
          </cell>
          <cell r="J73">
            <v>174</v>
          </cell>
          <cell r="K73">
            <v>103.57</v>
          </cell>
          <cell r="L73">
            <v>207</v>
          </cell>
        </row>
        <row r="74">
          <cell r="D74">
            <v>5224</v>
          </cell>
          <cell r="E74" t="str">
            <v xml:space="preserve">독산동MC            </v>
          </cell>
          <cell r="F74">
            <v>10</v>
          </cell>
          <cell r="G74">
            <v>255</v>
          </cell>
          <cell r="H74">
            <v>0</v>
          </cell>
          <cell r="I74">
            <v>0</v>
          </cell>
          <cell r="J74">
            <v>245</v>
          </cell>
          <cell r="K74">
            <v>96.08</v>
          </cell>
          <cell r="L74">
            <v>192</v>
          </cell>
        </row>
        <row r="75">
          <cell r="D75">
            <v>5704</v>
          </cell>
          <cell r="E75" t="str">
            <v xml:space="preserve">성서MC              </v>
          </cell>
          <cell r="F75">
            <v>2</v>
          </cell>
          <cell r="G75">
            <v>230</v>
          </cell>
          <cell r="H75">
            <v>0</v>
          </cell>
          <cell r="I75">
            <v>0</v>
          </cell>
          <cell r="J75">
            <v>244</v>
          </cell>
          <cell r="K75">
            <v>106.09</v>
          </cell>
          <cell r="L75">
            <v>212</v>
          </cell>
        </row>
        <row r="76">
          <cell r="D76">
            <v>5414</v>
          </cell>
          <cell r="E76" t="str">
            <v xml:space="preserve">분당MC              </v>
          </cell>
          <cell r="F76">
            <v>4</v>
          </cell>
          <cell r="G76">
            <v>179</v>
          </cell>
          <cell r="H76">
            <v>0</v>
          </cell>
          <cell r="I76">
            <v>0</v>
          </cell>
          <cell r="J76">
            <v>187</v>
          </cell>
          <cell r="K76">
            <v>104.47</v>
          </cell>
          <cell r="L76">
            <v>209</v>
          </cell>
        </row>
        <row r="77">
          <cell r="D77">
            <v>5264</v>
          </cell>
          <cell r="E77" t="str">
            <v xml:space="preserve">압구정역MC          </v>
          </cell>
          <cell r="F77">
            <v>11</v>
          </cell>
          <cell r="G77">
            <v>189</v>
          </cell>
          <cell r="H77">
            <v>0</v>
          </cell>
          <cell r="I77">
            <v>0</v>
          </cell>
          <cell r="J77">
            <v>179</v>
          </cell>
          <cell r="K77">
            <v>94.71</v>
          </cell>
          <cell r="L77">
            <v>189</v>
          </cell>
        </row>
        <row r="78">
          <cell r="D78">
            <v>5417</v>
          </cell>
          <cell r="E78" t="str">
            <v xml:space="preserve">안산MC              </v>
          </cell>
          <cell r="F78">
            <v>3</v>
          </cell>
          <cell r="G78">
            <v>195</v>
          </cell>
          <cell r="H78">
            <v>0</v>
          </cell>
          <cell r="I78">
            <v>0</v>
          </cell>
          <cell r="J78">
            <v>206</v>
          </cell>
          <cell r="K78">
            <v>105.64</v>
          </cell>
          <cell r="L78">
            <v>211</v>
          </cell>
        </row>
        <row r="79">
          <cell r="D79">
            <v>5226</v>
          </cell>
          <cell r="E79" t="str">
            <v xml:space="preserve">당산동MC            </v>
          </cell>
          <cell r="F79">
            <v>9</v>
          </cell>
          <cell r="G79">
            <v>274</v>
          </cell>
          <cell r="H79">
            <v>0</v>
          </cell>
          <cell r="I79">
            <v>0</v>
          </cell>
          <cell r="J79">
            <v>272</v>
          </cell>
          <cell r="K79">
            <v>99.27</v>
          </cell>
          <cell r="L79">
            <v>199</v>
          </cell>
        </row>
        <row r="80">
          <cell r="D80">
            <v>5801</v>
          </cell>
          <cell r="E80" t="str">
            <v xml:space="preserve">전주MC              </v>
          </cell>
          <cell r="F80">
            <v>12</v>
          </cell>
          <cell r="G80">
            <v>187</v>
          </cell>
          <cell r="H80">
            <v>0</v>
          </cell>
          <cell r="I80">
            <v>0</v>
          </cell>
          <cell r="J80">
            <v>170</v>
          </cell>
          <cell r="K80">
            <v>90.91</v>
          </cell>
          <cell r="L80">
            <v>182</v>
          </cell>
        </row>
        <row r="81">
          <cell r="D81">
            <v>9999</v>
          </cell>
          <cell r="E81" t="str">
            <v xml:space="preserve">M06군1소계          </v>
          </cell>
          <cell r="F81">
            <v>0</v>
          </cell>
          <cell r="G81">
            <v>2437</v>
          </cell>
          <cell r="H81">
            <v>0</v>
          </cell>
          <cell r="I81">
            <v>0</v>
          </cell>
          <cell r="J81">
            <v>2453</v>
          </cell>
          <cell r="K81">
            <v>101.01</v>
          </cell>
          <cell r="L81">
            <v>0</v>
          </cell>
        </row>
        <row r="82">
          <cell r="D82">
            <v>5408</v>
          </cell>
          <cell r="E82" t="str">
            <v xml:space="preserve">부천MC              </v>
          </cell>
          <cell r="F82">
            <v>8</v>
          </cell>
          <cell r="G82">
            <v>285</v>
          </cell>
          <cell r="H82">
            <v>0</v>
          </cell>
          <cell r="I82">
            <v>0</v>
          </cell>
          <cell r="J82">
            <v>295</v>
          </cell>
          <cell r="K82">
            <v>103.51</v>
          </cell>
          <cell r="L82">
            <v>207</v>
          </cell>
        </row>
        <row r="83">
          <cell r="D83">
            <v>5406</v>
          </cell>
          <cell r="E83" t="str">
            <v xml:space="preserve">부평JYMC            </v>
          </cell>
          <cell r="F83">
            <v>4</v>
          </cell>
          <cell r="G83">
            <v>239</v>
          </cell>
          <cell r="H83">
            <v>0</v>
          </cell>
          <cell r="I83">
            <v>0</v>
          </cell>
          <cell r="J83">
            <v>262</v>
          </cell>
          <cell r="K83">
            <v>109.62</v>
          </cell>
          <cell r="L83">
            <v>219</v>
          </cell>
        </row>
        <row r="84">
          <cell r="D84">
            <v>5277</v>
          </cell>
          <cell r="E84" t="str">
            <v xml:space="preserve">광화문MC            </v>
          </cell>
          <cell r="F84">
            <v>1</v>
          </cell>
          <cell r="G84">
            <v>144</v>
          </cell>
          <cell r="H84">
            <v>0</v>
          </cell>
          <cell r="I84">
            <v>0</v>
          </cell>
          <cell r="J84">
            <v>174</v>
          </cell>
          <cell r="K84">
            <v>120.83</v>
          </cell>
          <cell r="L84">
            <v>242</v>
          </cell>
        </row>
        <row r="85">
          <cell r="D85">
            <v>5249</v>
          </cell>
          <cell r="E85" t="str">
            <v xml:space="preserve">GS타워MC            </v>
          </cell>
          <cell r="F85">
            <v>3</v>
          </cell>
          <cell r="G85">
            <v>131</v>
          </cell>
          <cell r="H85">
            <v>0</v>
          </cell>
          <cell r="I85">
            <v>0</v>
          </cell>
          <cell r="J85">
            <v>144</v>
          </cell>
          <cell r="K85">
            <v>109.92</v>
          </cell>
          <cell r="L85">
            <v>220</v>
          </cell>
        </row>
        <row r="86">
          <cell r="D86">
            <v>5255</v>
          </cell>
          <cell r="E86" t="str">
            <v xml:space="preserve">영등포MC            </v>
          </cell>
          <cell r="F86">
            <v>7</v>
          </cell>
          <cell r="G86">
            <v>157</v>
          </cell>
          <cell r="H86">
            <v>0</v>
          </cell>
          <cell r="I86">
            <v>0</v>
          </cell>
          <cell r="J86">
            <v>169</v>
          </cell>
          <cell r="K86">
            <v>107.64</v>
          </cell>
          <cell r="L86">
            <v>215</v>
          </cell>
        </row>
        <row r="87">
          <cell r="D87">
            <v>5438</v>
          </cell>
          <cell r="E87" t="str">
            <v xml:space="preserve">오산MC              </v>
          </cell>
          <cell r="F87">
            <v>5</v>
          </cell>
          <cell r="G87">
            <v>265</v>
          </cell>
          <cell r="H87">
            <v>0</v>
          </cell>
          <cell r="I87">
            <v>0</v>
          </cell>
          <cell r="J87">
            <v>288</v>
          </cell>
          <cell r="K87">
            <v>108.68</v>
          </cell>
          <cell r="L87">
            <v>217</v>
          </cell>
        </row>
        <row r="88">
          <cell r="D88">
            <v>5270</v>
          </cell>
          <cell r="E88" t="str">
            <v xml:space="preserve">강남대로MC          </v>
          </cell>
          <cell r="F88">
            <v>6</v>
          </cell>
          <cell r="G88">
            <v>149</v>
          </cell>
          <cell r="H88">
            <v>0</v>
          </cell>
          <cell r="I88">
            <v>0</v>
          </cell>
          <cell r="J88">
            <v>161</v>
          </cell>
          <cell r="K88">
            <v>108.05</v>
          </cell>
          <cell r="L88">
            <v>216</v>
          </cell>
        </row>
        <row r="89">
          <cell r="D89">
            <v>5420</v>
          </cell>
          <cell r="E89" t="str">
            <v xml:space="preserve">구리MC              </v>
          </cell>
          <cell r="F89">
            <v>2</v>
          </cell>
          <cell r="G89">
            <v>132</v>
          </cell>
          <cell r="H89">
            <v>0</v>
          </cell>
          <cell r="I89">
            <v>0</v>
          </cell>
          <cell r="J89">
            <v>152</v>
          </cell>
          <cell r="K89">
            <v>115.15</v>
          </cell>
          <cell r="L89">
            <v>230</v>
          </cell>
        </row>
        <row r="90">
          <cell r="D90">
            <v>5507</v>
          </cell>
          <cell r="E90" t="str">
            <v xml:space="preserve">충북기업영업부      </v>
          </cell>
          <cell r="F90">
            <v>9</v>
          </cell>
          <cell r="G90">
            <v>320</v>
          </cell>
          <cell r="H90">
            <v>0</v>
          </cell>
          <cell r="I90">
            <v>0</v>
          </cell>
          <cell r="J90">
            <v>328</v>
          </cell>
          <cell r="K90">
            <v>102.5</v>
          </cell>
          <cell r="L90">
            <v>205</v>
          </cell>
        </row>
        <row r="91">
          <cell r="D91">
            <v>5267</v>
          </cell>
          <cell r="E91" t="str">
            <v xml:space="preserve">장안동MC            </v>
          </cell>
          <cell r="F91">
            <v>10</v>
          </cell>
          <cell r="G91">
            <v>137</v>
          </cell>
          <cell r="H91">
            <v>0</v>
          </cell>
          <cell r="I91">
            <v>0</v>
          </cell>
          <cell r="J91">
            <v>126</v>
          </cell>
          <cell r="K91">
            <v>91.97</v>
          </cell>
          <cell r="L91">
            <v>184</v>
          </cell>
        </row>
        <row r="92">
          <cell r="D92">
            <v>9999</v>
          </cell>
          <cell r="E92" t="str">
            <v xml:space="preserve">M07군1소계          </v>
          </cell>
          <cell r="F92">
            <v>0</v>
          </cell>
          <cell r="G92">
            <v>1959</v>
          </cell>
          <cell r="H92">
            <v>0</v>
          </cell>
          <cell r="I92">
            <v>0</v>
          </cell>
          <cell r="J92">
            <v>2099</v>
          </cell>
          <cell r="K92">
            <v>107.79</v>
          </cell>
          <cell r="L92">
            <v>0</v>
          </cell>
        </row>
        <row r="93">
          <cell r="D93">
            <v>5428</v>
          </cell>
          <cell r="E93" t="str">
            <v xml:space="preserve">평촌역MC            </v>
          </cell>
          <cell r="F93">
            <v>6</v>
          </cell>
          <cell r="G93">
            <v>260</v>
          </cell>
          <cell r="H93">
            <v>0</v>
          </cell>
          <cell r="I93">
            <v>0</v>
          </cell>
          <cell r="J93">
            <v>278</v>
          </cell>
          <cell r="K93">
            <v>106.92</v>
          </cell>
          <cell r="L93">
            <v>214</v>
          </cell>
        </row>
        <row r="94">
          <cell r="D94">
            <v>5415</v>
          </cell>
          <cell r="E94" t="str">
            <v xml:space="preserve">파주 LCD MC         </v>
          </cell>
          <cell r="F94">
            <v>2</v>
          </cell>
          <cell r="G94">
            <v>166</v>
          </cell>
          <cell r="H94">
            <v>0</v>
          </cell>
          <cell r="I94">
            <v>0</v>
          </cell>
          <cell r="J94">
            <v>189</v>
          </cell>
          <cell r="K94">
            <v>113.86</v>
          </cell>
          <cell r="L94">
            <v>228</v>
          </cell>
        </row>
        <row r="95">
          <cell r="D95">
            <v>5248</v>
          </cell>
          <cell r="E95" t="str">
            <v xml:space="preserve">테헤란로JYMC        </v>
          </cell>
          <cell r="F95">
            <v>4</v>
          </cell>
          <cell r="G95">
            <v>191</v>
          </cell>
          <cell r="H95">
            <v>0</v>
          </cell>
          <cell r="I95">
            <v>0</v>
          </cell>
          <cell r="J95">
            <v>211</v>
          </cell>
          <cell r="K95">
            <v>110.47</v>
          </cell>
          <cell r="L95">
            <v>221</v>
          </cell>
        </row>
        <row r="96">
          <cell r="D96">
            <v>5437</v>
          </cell>
          <cell r="E96" t="str">
            <v xml:space="preserve">남동JYMC            </v>
          </cell>
          <cell r="F96">
            <v>5</v>
          </cell>
          <cell r="G96">
            <v>361</v>
          </cell>
          <cell r="H96">
            <v>0</v>
          </cell>
          <cell r="I96">
            <v>0</v>
          </cell>
          <cell r="J96">
            <v>389</v>
          </cell>
          <cell r="K96">
            <v>107.76</v>
          </cell>
          <cell r="L96">
            <v>216</v>
          </cell>
        </row>
        <row r="97">
          <cell r="D97">
            <v>5284</v>
          </cell>
          <cell r="E97" t="str">
            <v xml:space="preserve">강남역MC            </v>
          </cell>
          <cell r="F97">
            <v>7</v>
          </cell>
          <cell r="G97">
            <v>162</v>
          </cell>
          <cell r="H97">
            <v>0</v>
          </cell>
          <cell r="I97">
            <v>0</v>
          </cell>
          <cell r="J97">
            <v>163</v>
          </cell>
          <cell r="K97">
            <v>100.62</v>
          </cell>
          <cell r="L97">
            <v>201</v>
          </cell>
        </row>
        <row r="98">
          <cell r="D98">
            <v>5703</v>
          </cell>
          <cell r="E98" t="str">
            <v xml:space="preserve">구미MC              </v>
          </cell>
          <cell r="F98">
            <v>8</v>
          </cell>
          <cell r="G98">
            <v>311</v>
          </cell>
          <cell r="H98">
            <v>0</v>
          </cell>
          <cell r="I98">
            <v>0</v>
          </cell>
          <cell r="J98">
            <v>306</v>
          </cell>
          <cell r="K98">
            <v>98.39</v>
          </cell>
          <cell r="L98">
            <v>197</v>
          </cell>
        </row>
        <row r="99">
          <cell r="D99">
            <v>5273</v>
          </cell>
          <cell r="E99" t="str">
            <v xml:space="preserve">퇴계로MC            </v>
          </cell>
          <cell r="F99">
            <v>1</v>
          </cell>
          <cell r="G99">
            <v>88</v>
          </cell>
          <cell r="H99">
            <v>0</v>
          </cell>
          <cell r="I99">
            <v>0</v>
          </cell>
          <cell r="J99">
            <v>134</v>
          </cell>
          <cell r="K99">
            <v>152.27000000000001</v>
          </cell>
          <cell r="L99">
            <v>300</v>
          </cell>
        </row>
        <row r="100">
          <cell r="D100">
            <v>5607</v>
          </cell>
          <cell r="E100" t="str">
            <v xml:space="preserve">사상MC              </v>
          </cell>
          <cell r="F100">
            <v>9</v>
          </cell>
          <cell r="G100">
            <v>235</v>
          </cell>
          <cell r="H100">
            <v>0</v>
          </cell>
          <cell r="I100">
            <v>0</v>
          </cell>
          <cell r="J100">
            <v>229</v>
          </cell>
          <cell r="K100">
            <v>97.45</v>
          </cell>
          <cell r="L100">
            <v>195</v>
          </cell>
        </row>
        <row r="101">
          <cell r="D101">
            <v>5502</v>
          </cell>
          <cell r="E101" t="str">
            <v xml:space="preserve">대전MC              </v>
          </cell>
          <cell r="F101">
            <v>3</v>
          </cell>
          <cell r="G101">
            <v>205</v>
          </cell>
          <cell r="H101">
            <v>0</v>
          </cell>
          <cell r="I101">
            <v>0</v>
          </cell>
          <cell r="J101">
            <v>230</v>
          </cell>
          <cell r="K101">
            <v>112.2</v>
          </cell>
          <cell r="L101">
            <v>224</v>
          </cell>
        </row>
        <row r="102">
          <cell r="D102">
            <v>5271</v>
          </cell>
          <cell r="E102" t="str">
            <v xml:space="preserve">남부터미널MC        </v>
          </cell>
          <cell r="F102">
            <v>12</v>
          </cell>
          <cell r="G102">
            <v>147</v>
          </cell>
          <cell r="H102">
            <v>0</v>
          </cell>
          <cell r="I102">
            <v>0</v>
          </cell>
          <cell r="J102">
            <v>121</v>
          </cell>
          <cell r="K102">
            <v>82.31</v>
          </cell>
          <cell r="L102">
            <v>165</v>
          </cell>
        </row>
        <row r="103">
          <cell r="D103">
            <v>5202</v>
          </cell>
          <cell r="E103" t="str">
            <v xml:space="preserve">창신동MC            </v>
          </cell>
          <cell r="F103">
            <v>11</v>
          </cell>
          <cell r="G103">
            <v>150</v>
          </cell>
          <cell r="H103">
            <v>0</v>
          </cell>
          <cell r="I103">
            <v>0</v>
          </cell>
          <cell r="J103">
            <v>139</v>
          </cell>
          <cell r="K103">
            <v>92.67</v>
          </cell>
          <cell r="L103">
            <v>185</v>
          </cell>
        </row>
        <row r="104">
          <cell r="D104">
            <v>5242</v>
          </cell>
          <cell r="E104" t="str">
            <v xml:space="preserve">양재남MC            </v>
          </cell>
          <cell r="F104">
            <v>10</v>
          </cell>
          <cell r="G104">
            <v>246</v>
          </cell>
          <cell r="H104">
            <v>0</v>
          </cell>
          <cell r="I104">
            <v>0</v>
          </cell>
          <cell r="J104">
            <v>238</v>
          </cell>
          <cell r="K104">
            <v>96.75</v>
          </cell>
          <cell r="L104">
            <v>193</v>
          </cell>
        </row>
        <row r="105">
          <cell r="D105">
            <v>9999</v>
          </cell>
          <cell r="E105" t="str">
            <v xml:space="preserve">M08군1소계          </v>
          </cell>
          <cell r="F105">
            <v>0</v>
          </cell>
          <cell r="G105">
            <v>2522</v>
          </cell>
          <cell r="H105">
            <v>0</v>
          </cell>
          <cell r="I105">
            <v>0</v>
          </cell>
          <cell r="J105">
            <v>2627</v>
          </cell>
          <cell r="K105">
            <v>105.97</v>
          </cell>
          <cell r="L105">
            <v>0</v>
          </cell>
        </row>
        <row r="106">
          <cell r="D106">
            <v>5434</v>
          </cell>
          <cell r="E106" t="str">
            <v xml:space="preserve">송현동MC            </v>
          </cell>
          <cell r="F106">
            <v>2</v>
          </cell>
          <cell r="G106">
            <v>250</v>
          </cell>
          <cell r="H106">
            <v>0</v>
          </cell>
          <cell r="I106">
            <v>0</v>
          </cell>
          <cell r="J106">
            <v>286</v>
          </cell>
          <cell r="K106">
            <v>114.4</v>
          </cell>
          <cell r="L106">
            <v>229</v>
          </cell>
        </row>
        <row r="107">
          <cell r="D107">
            <v>5706</v>
          </cell>
          <cell r="E107" t="str">
            <v xml:space="preserve">성서공단MC          </v>
          </cell>
          <cell r="F107">
            <v>1</v>
          </cell>
          <cell r="G107">
            <v>190</v>
          </cell>
          <cell r="H107">
            <v>0</v>
          </cell>
          <cell r="I107">
            <v>0</v>
          </cell>
          <cell r="J107">
            <v>227</v>
          </cell>
          <cell r="K107">
            <v>119.47</v>
          </cell>
          <cell r="L107">
            <v>239</v>
          </cell>
        </row>
        <row r="108">
          <cell r="D108">
            <v>5616</v>
          </cell>
          <cell r="E108" t="str">
            <v xml:space="preserve">부전동MC            </v>
          </cell>
          <cell r="F108">
            <v>10</v>
          </cell>
          <cell r="G108">
            <v>133</v>
          </cell>
          <cell r="H108">
            <v>0</v>
          </cell>
          <cell r="I108">
            <v>0</v>
          </cell>
          <cell r="J108">
            <v>130</v>
          </cell>
          <cell r="K108">
            <v>97.74</v>
          </cell>
          <cell r="L108">
            <v>195</v>
          </cell>
        </row>
        <row r="109">
          <cell r="D109">
            <v>5269</v>
          </cell>
          <cell r="E109" t="str">
            <v xml:space="preserve">마포MC              </v>
          </cell>
          <cell r="F109">
            <v>3</v>
          </cell>
          <cell r="G109">
            <v>129</v>
          </cell>
          <cell r="H109">
            <v>0</v>
          </cell>
          <cell r="I109">
            <v>0</v>
          </cell>
          <cell r="J109">
            <v>144</v>
          </cell>
          <cell r="K109">
            <v>111.63</v>
          </cell>
          <cell r="L109">
            <v>223</v>
          </cell>
        </row>
        <row r="110">
          <cell r="D110">
            <v>5430</v>
          </cell>
          <cell r="E110" t="str">
            <v xml:space="preserve">송림동MC            </v>
          </cell>
          <cell r="F110">
            <v>4</v>
          </cell>
          <cell r="G110">
            <v>253</v>
          </cell>
          <cell r="H110">
            <v>0</v>
          </cell>
          <cell r="I110">
            <v>0</v>
          </cell>
          <cell r="J110">
            <v>282</v>
          </cell>
          <cell r="K110">
            <v>111.46</v>
          </cell>
          <cell r="L110">
            <v>223</v>
          </cell>
        </row>
        <row r="111">
          <cell r="D111">
            <v>5231</v>
          </cell>
          <cell r="E111" t="str">
            <v xml:space="preserve">사당동MC            </v>
          </cell>
          <cell r="F111">
            <v>5</v>
          </cell>
          <cell r="G111">
            <v>150</v>
          </cell>
          <cell r="H111">
            <v>0</v>
          </cell>
          <cell r="I111">
            <v>0</v>
          </cell>
          <cell r="J111">
            <v>158</v>
          </cell>
          <cell r="K111">
            <v>105.33</v>
          </cell>
          <cell r="L111">
            <v>211</v>
          </cell>
        </row>
        <row r="112">
          <cell r="D112">
            <v>5501</v>
          </cell>
          <cell r="E112" t="str">
            <v xml:space="preserve">오창MC              </v>
          </cell>
          <cell r="F112">
            <v>7</v>
          </cell>
          <cell r="G112">
            <v>253</v>
          </cell>
          <cell r="H112">
            <v>0</v>
          </cell>
          <cell r="I112">
            <v>0</v>
          </cell>
          <cell r="J112">
            <v>251</v>
          </cell>
          <cell r="K112">
            <v>99.21</v>
          </cell>
          <cell r="L112">
            <v>198</v>
          </cell>
        </row>
        <row r="113">
          <cell r="D113">
            <v>5711</v>
          </cell>
          <cell r="E113" t="str">
            <v xml:space="preserve">대구3공단MC         </v>
          </cell>
          <cell r="F113">
            <v>6</v>
          </cell>
          <cell r="G113">
            <v>372</v>
          </cell>
          <cell r="H113">
            <v>0</v>
          </cell>
          <cell r="I113">
            <v>0</v>
          </cell>
          <cell r="J113">
            <v>391</v>
          </cell>
          <cell r="K113">
            <v>105.11</v>
          </cell>
          <cell r="L113">
            <v>210</v>
          </cell>
        </row>
        <row r="114">
          <cell r="D114">
            <v>5605</v>
          </cell>
          <cell r="E114" t="str">
            <v xml:space="preserve">부산MC              </v>
          </cell>
          <cell r="F114">
            <v>9</v>
          </cell>
          <cell r="G114">
            <v>296</v>
          </cell>
          <cell r="H114">
            <v>0</v>
          </cell>
          <cell r="I114">
            <v>0</v>
          </cell>
          <cell r="J114">
            <v>291</v>
          </cell>
          <cell r="K114">
            <v>98.31</v>
          </cell>
          <cell r="L114">
            <v>197</v>
          </cell>
        </row>
        <row r="115">
          <cell r="D115">
            <v>5233</v>
          </cell>
          <cell r="E115" t="str">
            <v xml:space="preserve">강북MC              </v>
          </cell>
          <cell r="F115">
            <v>11</v>
          </cell>
          <cell r="G115">
            <v>190</v>
          </cell>
          <cell r="H115">
            <v>0</v>
          </cell>
          <cell r="I115">
            <v>0</v>
          </cell>
          <cell r="J115">
            <v>178</v>
          </cell>
          <cell r="K115">
            <v>93.68</v>
          </cell>
          <cell r="L115">
            <v>187</v>
          </cell>
        </row>
        <row r="116">
          <cell r="D116">
            <v>5702</v>
          </cell>
          <cell r="E116" t="str">
            <v xml:space="preserve">포항MC              </v>
          </cell>
          <cell r="F116">
            <v>8</v>
          </cell>
          <cell r="G116">
            <v>313</v>
          </cell>
          <cell r="H116">
            <v>0</v>
          </cell>
          <cell r="I116">
            <v>0</v>
          </cell>
          <cell r="J116">
            <v>310</v>
          </cell>
          <cell r="K116">
            <v>99.04</v>
          </cell>
          <cell r="L116">
            <v>198</v>
          </cell>
        </row>
        <row r="117">
          <cell r="D117">
            <v>9999</v>
          </cell>
          <cell r="E117" t="str">
            <v xml:space="preserve">M09군1소계          </v>
          </cell>
          <cell r="F117">
            <v>0</v>
          </cell>
          <cell r="G117">
            <v>2529</v>
          </cell>
          <cell r="H117">
            <v>0</v>
          </cell>
          <cell r="I117">
            <v>0</v>
          </cell>
          <cell r="J117">
            <v>2648</v>
          </cell>
          <cell r="K117">
            <v>105.04</v>
          </cell>
          <cell r="L117">
            <v>0</v>
          </cell>
        </row>
        <row r="118">
          <cell r="D118">
            <v>5281</v>
          </cell>
          <cell r="E118" t="str">
            <v xml:space="preserve">디지털산업MC        </v>
          </cell>
          <cell r="F118">
            <v>1</v>
          </cell>
          <cell r="G118">
            <v>271</v>
          </cell>
          <cell r="H118">
            <v>0</v>
          </cell>
          <cell r="I118">
            <v>0</v>
          </cell>
          <cell r="J118">
            <v>309</v>
          </cell>
          <cell r="K118">
            <v>114.02</v>
          </cell>
          <cell r="L118">
            <v>228</v>
          </cell>
        </row>
        <row r="119">
          <cell r="D119">
            <v>5245</v>
          </cell>
          <cell r="E119" t="str">
            <v xml:space="preserve">역삼역MC            </v>
          </cell>
          <cell r="F119">
            <v>6</v>
          </cell>
          <cell r="G119">
            <v>179</v>
          </cell>
          <cell r="H119">
            <v>0</v>
          </cell>
          <cell r="I119">
            <v>0</v>
          </cell>
          <cell r="J119">
            <v>182</v>
          </cell>
          <cell r="K119">
            <v>101.68</v>
          </cell>
          <cell r="L119">
            <v>203</v>
          </cell>
        </row>
        <row r="120">
          <cell r="D120">
            <v>5618</v>
          </cell>
          <cell r="E120" t="str">
            <v xml:space="preserve">김해MC              </v>
          </cell>
          <cell r="F120">
            <v>2</v>
          </cell>
          <cell r="G120">
            <v>272</v>
          </cell>
          <cell r="H120">
            <v>0</v>
          </cell>
          <cell r="I120">
            <v>0</v>
          </cell>
          <cell r="J120">
            <v>304</v>
          </cell>
          <cell r="K120">
            <v>111.76</v>
          </cell>
          <cell r="L120">
            <v>224</v>
          </cell>
        </row>
        <row r="121">
          <cell r="D121">
            <v>5709</v>
          </cell>
          <cell r="E121" t="str">
            <v xml:space="preserve">경주MC              </v>
          </cell>
          <cell r="F121">
            <v>8</v>
          </cell>
          <cell r="G121">
            <v>167</v>
          </cell>
          <cell r="H121">
            <v>0</v>
          </cell>
          <cell r="I121">
            <v>0</v>
          </cell>
          <cell r="J121">
            <v>169</v>
          </cell>
          <cell r="K121">
            <v>101.2</v>
          </cell>
          <cell r="L121">
            <v>202</v>
          </cell>
        </row>
        <row r="122">
          <cell r="D122">
            <v>5423</v>
          </cell>
          <cell r="E122" t="str">
            <v xml:space="preserve">원주MC              </v>
          </cell>
          <cell r="F122">
            <v>5</v>
          </cell>
          <cell r="G122">
            <v>226</v>
          </cell>
          <cell r="H122">
            <v>0</v>
          </cell>
          <cell r="I122">
            <v>0</v>
          </cell>
          <cell r="J122">
            <v>242</v>
          </cell>
          <cell r="K122">
            <v>107.08</v>
          </cell>
          <cell r="L122">
            <v>214</v>
          </cell>
        </row>
        <row r="123">
          <cell r="D123">
            <v>5266</v>
          </cell>
          <cell r="E123" t="str">
            <v xml:space="preserve">시흥남MC            </v>
          </cell>
          <cell r="F123">
            <v>4</v>
          </cell>
          <cell r="G123">
            <v>299</v>
          </cell>
          <cell r="H123">
            <v>0</v>
          </cell>
          <cell r="I123">
            <v>0</v>
          </cell>
          <cell r="J123">
            <v>326</v>
          </cell>
          <cell r="K123">
            <v>109.03</v>
          </cell>
          <cell r="L123">
            <v>218</v>
          </cell>
        </row>
        <row r="124">
          <cell r="D124">
            <v>5431</v>
          </cell>
          <cell r="E124" t="str">
            <v xml:space="preserve">신갈MC              </v>
          </cell>
          <cell r="F124">
            <v>3</v>
          </cell>
          <cell r="G124">
            <v>213</v>
          </cell>
          <cell r="H124">
            <v>0</v>
          </cell>
          <cell r="I124">
            <v>0</v>
          </cell>
          <cell r="J124">
            <v>233</v>
          </cell>
          <cell r="K124">
            <v>109.39</v>
          </cell>
          <cell r="L124">
            <v>219</v>
          </cell>
        </row>
        <row r="125">
          <cell r="D125">
            <v>5230</v>
          </cell>
          <cell r="E125" t="str">
            <v xml:space="preserve">강동MC              </v>
          </cell>
          <cell r="F125">
            <v>7</v>
          </cell>
          <cell r="G125">
            <v>211</v>
          </cell>
          <cell r="H125">
            <v>0</v>
          </cell>
          <cell r="I125">
            <v>0</v>
          </cell>
          <cell r="J125">
            <v>214</v>
          </cell>
          <cell r="K125">
            <v>101.42</v>
          </cell>
          <cell r="L125">
            <v>203</v>
          </cell>
        </row>
        <row r="126">
          <cell r="D126">
            <v>9999</v>
          </cell>
          <cell r="E126" t="str">
            <v xml:space="preserve">M10군1소계          </v>
          </cell>
          <cell r="F126">
            <v>0</v>
          </cell>
          <cell r="G126">
            <v>1838</v>
          </cell>
          <cell r="H126">
            <v>0</v>
          </cell>
          <cell r="I126">
            <v>0</v>
          </cell>
          <cell r="J126">
            <v>1979</v>
          </cell>
          <cell r="K126">
            <v>106.95</v>
          </cell>
          <cell r="L126">
            <v>0</v>
          </cell>
        </row>
        <row r="127">
          <cell r="D127">
            <v>5280</v>
          </cell>
          <cell r="E127" t="str">
            <v xml:space="preserve">가락JYMC            </v>
          </cell>
          <cell r="F127">
            <v>2</v>
          </cell>
          <cell r="G127">
            <v>331</v>
          </cell>
          <cell r="H127">
            <v>0</v>
          </cell>
          <cell r="I127">
            <v>0</v>
          </cell>
          <cell r="J127">
            <v>346</v>
          </cell>
          <cell r="K127">
            <v>104.53</v>
          </cell>
          <cell r="L127">
            <v>209</v>
          </cell>
        </row>
        <row r="128">
          <cell r="D128">
            <v>5416</v>
          </cell>
          <cell r="E128" t="str">
            <v xml:space="preserve">시화공단MC          </v>
          </cell>
          <cell r="F128">
            <v>7</v>
          </cell>
          <cell r="G128">
            <v>279</v>
          </cell>
          <cell r="H128">
            <v>0</v>
          </cell>
          <cell r="I128">
            <v>0</v>
          </cell>
          <cell r="J128">
            <v>254</v>
          </cell>
          <cell r="K128">
            <v>91.04</v>
          </cell>
          <cell r="L128">
            <v>182</v>
          </cell>
        </row>
        <row r="129">
          <cell r="D129">
            <v>5611</v>
          </cell>
          <cell r="E129" t="str">
            <v xml:space="preserve">연산JYMC            </v>
          </cell>
          <cell r="F129">
            <v>3</v>
          </cell>
          <cell r="G129">
            <v>147</v>
          </cell>
          <cell r="H129">
            <v>0</v>
          </cell>
          <cell r="I129">
            <v>0</v>
          </cell>
          <cell r="J129">
            <v>153</v>
          </cell>
          <cell r="K129">
            <v>104.08</v>
          </cell>
          <cell r="L129">
            <v>208</v>
          </cell>
        </row>
        <row r="130">
          <cell r="D130">
            <v>5279</v>
          </cell>
          <cell r="E130" t="str">
            <v xml:space="preserve">자양동MC            </v>
          </cell>
          <cell r="F130">
            <v>5</v>
          </cell>
          <cell r="G130">
            <v>140</v>
          </cell>
          <cell r="H130">
            <v>0</v>
          </cell>
          <cell r="I130">
            <v>0</v>
          </cell>
          <cell r="J130">
            <v>136</v>
          </cell>
          <cell r="K130">
            <v>97.14</v>
          </cell>
          <cell r="L130">
            <v>194</v>
          </cell>
        </row>
        <row r="131">
          <cell r="D131">
            <v>5710</v>
          </cell>
          <cell r="E131" t="str">
            <v xml:space="preserve">대구MC              </v>
          </cell>
          <cell r="F131">
            <v>1</v>
          </cell>
          <cell r="G131">
            <v>338</v>
          </cell>
          <cell r="H131">
            <v>0</v>
          </cell>
          <cell r="I131">
            <v>0</v>
          </cell>
          <cell r="J131">
            <v>355</v>
          </cell>
          <cell r="K131">
            <v>105.03</v>
          </cell>
          <cell r="L131">
            <v>210</v>
          </cell>
        </row>
        <row r="132">
          <cell r="D132">
            <v>5613</v>
          </cell>
          <cell r="E132" t="str">
            <v xml:space="preserve">창원공단MC          </v>
          </cell>
          <cell r="F132">
            <v>4</v>
          </cell>
          <cell r="G132">
            <v>246</v>
          </cell>
          <cell r="H132">
            <v>0</v>
          </cell>
          <cell r="I132">
            <v>0</v>
          </cell>
          <cell r="J132">
            <v>241</v>
          </cell>
          <cell r="K132">
            <v>97.97</v>
          </cell>
          <cell r="L132">
            <v>196</v>
          </cell>
        </row>
        <row r="133">
          <cell r="D133">
            <v>5426</v>
          </cell>
          <cell r="E133" t="str">
            <v xml:space="preserve">부천기업            </v>
          </cell>
          <cell r="F133">
            <v>6</v>
          </cell>
          <cell r="G133">
            <v>131</v>
          </cell>
          <cell r="H133">
            <v>0</v>
          </cell>
          <cell r="I133">
            <v>0</v>
          </cell>
          <cell r="J133">
            <v>126</v>
          </cell>
          <cell r="K133">
            <v>96.18</v>
          </cell>
          <cell r="L133">
            <v>192</v>
          </cell>
        </row>
        <row r="134">
          <cell r="D134">
            <v>9999</v>
          </cell>
          <cell r="E134" t="str">
            <v xml:space="preserve">M11군1소계          </v>
          </cell>
          <cell r="F134">
            <v>0</v>
          </cell>
          <cell r="G134">
            <v>1612</v>
          </cell>
          <cell r="H134">
            <v>0</v>
          </cell>
          <cell r="I134">
            <v>0</v>
          </cell>
          <cell r="J134">
            <v>1611</v>
          </cell>
          <cell r="K134">
            <v>99.43</v>
          </cell>
          <cell r="L134">
            <v>0</v>
          </cell>
        </row>
        <row r="135">
          <cell r="D135">
            <v>5617</v>
          </cell>
          <cell r="E135" t="str">
            <v xml:space="preserve">녹산JYMC            </v>
          </cell>
          <cell r="F135">
            <v>3</v>
          </cell>
          <cell r="G135">
            <v>312</v>
          </cell>
          <cell r="H135">
            <v>0</v>
          </cell>
          <cell r="I135">
            <v>0</v>
          </cell>
          <cell r="J135">
            <v>336</v>
          </cell>
          <cell r="K135">
            <v>107.69</v>
          </cell>
          <cell r="L135">
            <v>215</v>
          </cell>
        </row>
        <row r="136">
          <cell r="D136">
            <v>5252</v>
          </cell>
          <cell r="E136" t="str">
            <v xml:space="preserve">여의도서MC          </v>
          </cell>
          <cell r="F136">
            <v>4</v>
          </cell>
          <cell r="G136">
            <v>98</v>
          </cell>
          <cell r="H136">
            <v>0</v>
          </cell>
          <cell r="I136">
            <v>0</v>
          </cell>
          <cell r="J136">
            <v>105</v>
          </cell>
          <cell r="K136">
            <v>107.14</v>
          </cell>
          <cell r="L136">
            <v>214</v>
          </cell>
        </row>
        <row r="137">
          <cell r="D137">
            <v>5422</v>
          </cell>
          <cell r="E137" t="str">
            <v xml:space="preserve">부평MC              </v>
          </cell>
          <cell r="F137">
            <v>1</v>
          </cell>
          <cell r="G137">
            <v>184</v>
          </cell>
          <cell r="H137">
            <v>0</v>
          </cell>
          <cell r="I137">
            <v>0</v>
          </cell>
          <cell r="J137">
            <v>208</v>
          </cell>
          <cell r="K137">
            <v>113.04</v>
          </cell>
          <cell r="L137">
            <v>226</v>
          </cell>
        </row>
        <row r="138">
          <cell r="D138">
            <v>5283</v>
          </cell>
          <cell r="E138" t="str">
            <v xml:space="preserve">가산디지털MC        </v>
          </cell>
          <cell r="F138">
            <v>5</v>
          </cell>
          <cell r="G138">
            <v>269</v>
          </cell>
          <cell r="H138">
            <v>0</v>
          </cell>
          <cell r="I138">
            <v>0</v>
          </cell>
          <cell r="J138">
            <v>287</v>
          </cell>
          <cell r="K138">
            <v>106.69</v>
          </cell>
          <cell r="L138">
            <v>213</v>
          </cell>
        </row>
        <row r="139">
          <cell r="D139">
            <v>5435</v>
          </cell>
          <cell r="E139" t="str">
            <v xml:space="preserve">의정부JYMC          </v>
          </cell>
          <cell r="F139">
            <v>9</v>
          </cell>
          <cell r="G139">
            <v>302</v>
          </cell>
          <cell r="H139">
            <v>0</v>
          </cell>
          <cell r="I139">
            <v>0</v>
          </cell>
          <cell r="J139">
            <v>304</v>
          </cell>
          <cell r="K139">
            <v>100.66</v>
          </cell>
          <cell r="L139">
            <v>201</v>
          </cell>
        </row>
        <row r="140">
          <cell r="D140">
            <v>5506</v>
          </cell>
          <cell r="E140" t="str">
            <v xml:space="preserve">충주MC              </v>
          </cell>
          <cell r="F140">
            <v>2</v>
          </cell>
          <cell r="G140">
            <v>161</v>
          </cell>
          <cell r="H140">
            <v>0</v>
          </cell>
          <cell r="I140">
            <v>0</v>
          </cell>
          <cell r="J140">
            <v>174</v>
          </cell>
          <cell r="K140">
            <v>108.07</v>
          </cell>
          <cell r="L140">
            <v>216</v>
          </cell>
        </row>
        <row r="141">
          <cell r="D141">
            <v>5424</v>
          </cell>
          <cell r="E141" t="str">
            <v xml:space="preserve">성남MC              </v>
          </cell>
          <cell r="F141">
            <v>8</v>
          </cell>
          <cell r="G141">
            <v>128</v>
          </cell>
          <cell r="H141">
            <v>0</v>
          </cell>
          <cell r="I141">
            <v>0</v>
          </cell>
          <cell r="J141">
            <v>130</v>
          </cell>
          <cell r="K141">
            <v>101.56</v>
          </cell>
          <cell r="L141">
            <v>203</v>
          </cell>
        </row>
        <row r="142">
          <cell r="D142">
            <v>5508</v>
          </cell>
          <cell r="E142" t="str">
            <v xml:space="preserve">대전JYMC            </v>
          </cell>
          <cell r="F142">
            <v>7</v>
          </cell>
          <cell r="G142">
            <v>157</v>
          </cell>
          <cell r="H142">
            <v>0</v>
          </cell>
          <cell r="I142">
            <v>0</v>
          </cell>
          <cell r="J142">
            <v>163</v>
          </cell>
          <cell r="K142">
            <v>103.82</v>
          </cell>
          <cell r="L142">
            <v>208</v>
          </cell>
        </row>
        <row r="143">
          <cell r="D143">
            <v>5282</v>
          </cell>
          <cell r="E143" t="str">
            <v xml:space="preserve">양재역MC            </v>
          </cell>
          <cell r="F143">
            <v>6</v>
          </cell>
          <cell r="G143">
            <v>183</v>
          </cell>
          <cell r="H143">
            <v>0</v>
          </cell>
          <cell r="I143">
            <v>0</v>
          </cell>
          <cell r="J143">
            <v>195</v>
          </cell>
          <cell r="K143">
            <v>106.56</v>
          </cell>
          <cell r="L143">
            <v>213</v>
          </cell>
        </row>
        <row r="144">
          <cell r="D144">
            <v>5433</v>
          </cell>
          <cell r="E144" t="str">
            <v xml:space="preserve">이천MC              </v>
          </cell>
          <cell r="F144">
            <v>11</v>
          </cell>
          <cell r="G144">
            <v>184</v>
          </cell>
          <cell r="H144">
            <v>0</v>
          </cell>
          <cell r="I144">
            <v>0</v>
          </cell>
          <cell r="J144">
            <v>182</v>
          </cell>
          <cell r="K144">
            <v>98.91</v>
          </cell>
          <cell r="L144">
            <v>198</v>
          </cell>
        </row>
        <row r="145">
          <cell r="D145">
            <v>5425</v>
          </cell>
          <cell r="E145" t="str">
            <v xml:space="preserve">강원기업영업부      </v>
          </cell>
          <cell r="F145">
            <v>10</v>
          </cell>
          <cell r="G145">
            <v>225</v>
          </cell>
          <cell r="H145">
            <v>0</v>
          </cell>
          <cell r="I145">
            <v>0</v>
          </cell>
          <cell r="J145">
            <v>226</v>
          </cell>
          <cell r="K145">
            <v>100.44</v>
          </cell>
          <cell r="L145">
            <v>201</v>
          </cell>
        </row>
        <row r="146">
          <cell r="D146">
            <v>9999</v>
          </cell>
          <cell r="E146" t="str">
            <v xml:space="preserve">M12군1소계          </v>
          </cell>
          <cell r="F146">
            <v>0</v>
          </cell>
          <cell r="G146">
            <v>2203</v>
          </cell>
          <cell r="H146">
            <v>0</v>
          </cell>
          <cell r="I146">
            <v>0</v>
          </cell>
          <cell r="J146">
            <v>2310</v>
          </cell>
          <cell r="K146">
            <v>104.96</v>
          </cell>
          <cell r="L146">
            <v>0</v>
          </cell>
        </row>
        <row r="147">
          <cell r="D147">
            <v>5258</v>
          </cell>
          <cell r="E147" t="str">
            <v xml:space="preserve">종로JYMC            </v>
          </cell>
          <cell r="F147">
            <v>2</v>
          </cell>
          <cell r="G147">
            <v>141</v>
          </cell>
          <cell r="H147">
            <v>0</v>
          </cell>
          <cell r="I147">
            <v>0</v>
          </cell>
          <cell r="J147">
            <v>151</v>
          </cell>
          <cell r="K147">
            <v>107.09</v>
          </cell>
          <cell r="L147">
            <v>214</v>
          </cell>
        </row>
        <row r="148">
          <cell r="D148">
            <v>5439</v>
          </cell>
          <cell r="E148" t="str">
            <v xml:space="preserve">화성발안MC          </v>
          </cell>
          <cell r="F148">
            <v>1</v>
          </cell>
          <cell r="G148">
            <v>158</v>
          </cell>
          <cell r="H148">
            <v>0</v>
          </cell>
          <cell r="I148">
            <v>0</v>
          </cell>
          <cell r="J148">
            <v>185</v>
          </cell>
          <cell r="K148">
            <v>117.09</v>
          </cell>
          <cell r="L148">
            <v>234</v>
          </cell>
        </row>
        <row r="149">
          <cell r="D149">
            <v>5807</v>
          </cell>
          <cell r="E149" t="str">
            <v xml:space="preserve">목포MC              </v>
          </cell>
          <cell r="F149">
            <v>4</v>
          </cell>
          <cell r="G149">
            <v>143</v>
          </cell>
          <cell r="H149">
            <v>0</v>
          </cell>
          <cell r="I149">
            <v>0</v>
          </cell>
          <cell r="J149">
            <v>150</v>
          </cell>
          <cell r="K149">
            <v>104.9</v>
          </cell>
          <cell r="L149">
            <v>210</v>
          </cell>
        </row>
        <row r="150">
          <cell r="D150">
            <v>5436</v>
          </cell>
          <cell r="E150" t="str">
            <v xml:space="preserve">부천JYMC            </v>
          </cell>
          <cell r="F150">
            <v>5</v>
          </cell>
          <cell r="G150">
            <v>187</v>
          </cell>
          <cell r="H150">
            <v>0</v>
          </cell>
          <cell r="I150">
            <v>0</v>
          </cell>
          <cell r="J150">
            <v>196</v>
          </cell>
          <cell r="K150">
            <v>104.81</v>
          </cell>
          <cell r="L150">
            <v>210</v>
          </cell>
        </row>
        <row r="151">
          <cell r="D151">
            <v>5268</v>
          </cell>
          <cell r="E151" t="str">
            <v xml:space="preserve">보라매역MC          </v>
          </cell>
          <cell r="F151">
            <v>7</v>
          </cell>
          <cell r="G151">
            <v>104</v>
          </cell>
          <cell r="H151">
            <v>0</v>
          </cell>
          <cell r="I151">
            <v>0</v>
          </cell>
          <cell r="J151">
            <v>101</v>
          </cell>
          <cell r="K151">
            <v>97.12</v>
          </cell>
          <cell r="L151">
            <v>194</v>
          </cell>
        </row>
        <row r="152">
          <cell r="D152">
            <v>5278</v>
          </cell>
          <cell r="E152" t="str">
            <v xml:space="preserve">반포남MC            </v>
          </cell>
          <cell r="F152">
            <v>3</v>
          </cell>
          <cell r="G152">
            <v>150</v>
          </cell>
          <cell r="H152">
            <v>0</v>
          </cell>
          <cell r="I152">
            <v>0</v>
          </cell>
          <cell r="J152">
            <v>159</v>
          </cell>
          <cell r="K152">
            <v>106</v>
          </cell>
          <cell r="L152">
            <v>212</v>
          </cell>
        </row>
        <row r="153">
          <cell r="D153">
            <v>5610</v>
          </cell>
          <cell r="E153" t="str">
            <v xml:space="preserve">웅상MC              </v>
          </cell>
          <cell r="F153">
            <v>8</v>
          </cell>
          <cell r="G153">
            <v>150</v>
          </cell>
          <cell r="H153">
            <v>0</v>
          </cell>
          <cell r="I153">
            <v>0</v>
          </cell>
          <cell r="J153">
            <v>144</v>
          </cell>
          <cell r="K153">
            <v>96</v>
          </cell>
          <cell r="L153">
            <v>192</v>
          </cell>
        </row>
        <row r="154">
          <cell r="D154">
            <v>5804</v>
          </cell>
          <cell r="E154" t="str">
            <v xml:space="preserve">익산MC              </v>
          </cell>
          <cell r="F154">
            <v>6</v>
          </cell>
          <cell r="G154">
            <v>116</v>
          </cell>
          <cell r="H154">
            <v>0</v>
          </cell>
          <cell r="I154">
            <v>0</v>
          </cell>
          <cell r="J154">
            <v>119</v>
          </cell>
          <cell r="K154">
            <v>102.59</v>
          </cell>
          <cell r="L154">
            <v>205</v>
          </cell>
        </row>
        <row r="155">
          <cell r="D155">
            <v>5421</v>
          </cell>
          <cell r="E155" t="str">
            <v xml:space="preserve">안양MC              </v>
          </cell>
          <cell r="F155">
            <v>9</v>
          </cell>
          <cell r="G155">
            <v>145</v>
          </cell>
          <cell r="H155">
            <v>0</v>
          </cell>
          <cell r="I155">
            <v>0</v>
          </cell>
          <cell r="J155">
            <v>130</v>
          </cell>
          <cell r="K155">
            <v>89.66</v>
          </cell>
          <cell r="L155">
            <v>179</v>
          </cell>
        </row>
        <row r="156">
          <cell r="D156">
            <v>9999</v>
          </cell>
          <cell r="E156" t="str">
            <v xml:space="preserve">M13군1소계          </v>
          </cell>
          <cell r="F156">
            <v>0</v>
          </cell>
          <cell r="G156">
            <v>1294</v>
          </cell>
          <cell r="H156">
            <v>0</v>
          </cell>
          <cell r="I156">
            <v>0</v>
          </cell>
          <cell r="J156">
            <v>1335</v>
          </cell>
          <cell r="K156">
            <v>102.81</v>
          </cell>
          <cell r="L156">
            <v>0</v>
          </cell>
        </row>
        <row r="157">
          <cell r="D157">
            <v>5272</v>
          </cell>
          <cell r="E157" t="str">
            <v xml:space="preserve">스타시티MC          </v>
          </cell>
          <cell r="F157">
            <v>8</v>
          </cell>
          <cell r="G157">
            <v>151</v>
          </cell>
          <cell r="H157">
            <v>0</v>
          </cell>
          <cell r="I157">
            <v>0</v>
          </cell>
          <cell r="J157">
            <v>158</v>
          </cell>
          <cell r="K157">
            <v>104.64</v>
          </cell>
          <cell r="L157">
            <v>209</v>
          </cell>
        </row>
        <row r="158">
          <cell r="D158">
            <v>5432</v>
          </cell>
          <cell r="E158" t="str">
            <v xml:space="preserve">서현역MC            </v>
          </cell>
          <cell r="F158">
            <v>3</v>
          </cell>
          <cell r="G158">
            <v>125</v>
          </cell>
          <cell r="H158">
            <v>0</v>
          </cell>
          <cell r="I158">
            <v>0</v>
          </cell>
          <cell r="J158">
            <v>139</v>
          </cell>
          <cell r="K158">
            <v>111.2</v>
          </cell>
          <cell r="L158">
            <v>222</v>
          </cell>
        </row>
        <row r="159">
          <cell r="D159">
            <v>5712</v>
          </cell>
          <cell r="E159" t="str">
            <v xml:space="preserve">진량공단MC          </v>
          </cell>
          <cell r="F159">
            <v>4</v>
          </cell>
          <cell r="G159">
            <v>153</v>
          </cell>
          <cell r="H159">
            <v>0</v>
          </cell>
          <cell r="I159">
            <v>0</v>
          </cell>
          <cell r="J159">
            <v>168</v>
          </cell>
          <cell r="K159">
            <v>109.8</v>
          </cell>
          <cell r="L159">
            <v>220</v>
          </cell>
        </row>
        <row r="160">
          <cell r="D160">
            <v>5620</v>
          </cell>
          <cell r="E160" t="str">
            <v xml:space="preserve">진영MC              </v>
          </cell>
          <cell r="F160">
            <v>5</v>
          </cell>
          <cell r="G160">
            <v>115</v>
          </cell>
          <cell r="H160">
            <v>0</v>
          </cell>
          <cell r="I160">
            <v>0</v>
          </cell>
          <cell r="J160">
            <v>126</v>
          </cell>
          <cell r="K160">
            <v>109.57</v>
          </cell>
          <cell r="L160">
            <v>219</v>
          </cell>
        </row>
        <row r="161">
          <cell r="D161">
            <v>5418</v>
          </cell>
          <cell r="E161" t="str">
            <v xml:space="preserve">호계동MC            </v>
          </cell>
          <cell r="F161">
            <v>7</v>
          </cell>
          <cell r="G161">
            <v>154</v>
          </cell>
          <cell r="H161">
            <v>0</v>
          </cell>
          <cell r="I161">
            <v>0</v>
          </cell>
          <cell r="J161">
            <v>163</v>
          </cell>
          <cell r="K161">
            <v>105.84</v>
          </cell>
          <cell r="L161">
            <v>212</v>
          </cell>
        </row>
        <row r="162">
          <cell r="D162">
            <v>5442</v>
          </cell>
          <cell r="E162" t="str">
            <v xml:space="preserve">남동공단2MC         </v>
          </cell>
          <cell r="F162">
            <v>1</v>
          </cell>
          <cell r="G162">
            <v>116</v>
          </cell>
          <cell r="H162">
            <v>0</v>
          </cell>
          <cell r="I162">
            <v>0</v>
          </cell>
          <cell r="J162">
            <v>173</v>
          </cell>
          <cell r="K162">
            <v>149.13999999999999</v>
          </cell>
          <cell r="L162">
            <v>298</v>
          </cell>
        </row>
        <row r="163">
          <cell r="D163">
            <v>5803</v>
          </cell>
          <cell r="E163" t="str">
            <v xml:space="preserve">순천MC              </v>
          </cell>
          <cell r="F163">
            <v>2</v>
          </cell>
          <cell r="G163">
            <v>108</v>
          </cell>
          <cell r="H163">
            <v>0</v>
          </cell>
          <cell r="I163">
            <v>0</v>
          </cell>
          <cell r="J163">
            <v>121</v>
          </cell>
          <cell r="K163">
            <v>112.04</v>
          </cell>
          <cell r="L163">
            <v>224</v>
          </cell>
        </row>
        <row r="164">
          <cell r="D164">
            <v>5505</v>
          </cell>
          <cell r="E164" t="str">
            <v xml:space="preserve">증평MC              </v>
          </cell>
          <cell r="F164">
            <v>9</v>
          </cell>
          <cell r="G164">
            <v>123</v>
          </cell>
          <cell r="H164">
            <v>0</v>
          </cell>
          <cell r="I164">
            <v>0</v>
          </cell>
          <cell r="J164">
            <v>128</v>
          </cell>
          <cell r="K164">
            <v>104.07</v>
          </cell>
          <cell r="L164">
            <v>208</v>
          </cell>
        </row>
        <row r="165">
          <cell r="D165">
            <v>5256</v>
          </cell>
          <cell r="E165" t="str">
            <v xml:space="preserve">롯데월드MC          </v>
          </cell>
          <cell r="F165">
            <v>6</v>
          </cell>
          <cell r="G165">
            <v>85</v>
          </cell>
          <cell r="H165">
            <v>0</v>
          </cell>
          <cell r="I165">
            <v>0</v>
          </cell>
          <cell r="J165">
            <v>91</v>
          </cell>
          <cell r="K165">
            <v>107.06</v>
          </cell>
          <cell r="L165">
            <v>214</v>
          </cell>
        </row>
        <row r="166">
          <cell r="D166">
            <v>9999</v>
          </cell>
          <cell r="E166" t="str">
            <v xml:space="preserve">M14군1소계          </v>
          </cell>
          <cell r="F166">
            <v>0</v>
          </cell>
          <cell r="G166">
            <v>1130</v>
          </cell>
          <cell r="H166">
            <v>0</v>
          </cell>
          <cell r="I166">
            <v>0</v>
          </cell>
          <cell r="J166">
            <v>1267</v>
          </cell>
          <cell r="K166">
            <v>112.59</v>
          </cell>
          <cell r="L16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대차합동"/>
      <sheetName val="출자한도1031"/>
      <sheetName val="Reporting_Package-국내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BM_NEW2"/>
      <sheetName val="Sheet1"/>
      <sheetName val="PL,보정"/>
      <sheetName val="60명당사(총괄)"/>
      <sheetName val="설치수량"/>
      <sheetName val="Ⅱ1-0타"/>
      <sheetName val="대지급금(외화)"/>
      <sheetName val="제조원가명세서"/>
      <sheetName val="2.상각보정명세"/>
      <sheetName val="code"/>
      <sheetName val="상품입력"/>
      <sheetName val="원재료입력"/>
      <sheetName val="기흥진행률"/>
      <sheetName val="10월판관"/>
      <sheetName val="퇴직영수증"/>
      <sheetName val="주주명부&lt;끝&gt;"/>
      <sheetName val="유효값"/>
      <sheetName val="f_BS"/>
      <sheetName val="f_IS"/>
      <sheetName val="Sheet1 (2)"/>
      <sheetName val="10월 급여"/>
      <sheetName val="정의"/>
      <sheetName val="표지(0810)"/>
      <sheetName val="1_계수목표"/>
      <sheetName val="2_종합계획"/>
      <sheetName val="3_부문계획"/>
      <sheetName val="계획요약_(2)"/>
      <sheetName val="계수원본(99_2_28)"/>
      <sheetName val="LEAD_SHEET_(K상각후회수율)"/>
      <sheetName val="Oper_Amount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93상각비"/>
      <sheetName val="고정비"/>
      <sheetName val="우수 부진영업점"/>
      <sheetName val="일수"/>
      <sheetName val="2011년_1Q_IFRS"/>
      <sheetName val="매도평가"/>
      <sheetName val="보증금(전신전화가입권)"/>
      <sheetName val="자본금"/>
      <sheetName val="회사정보"/>
      <sheetName val="구매"/>
      <sheetName val="적금및발행어음계산"/>
      <sheetName val="Ⅰ-1"/>
      <sheetName val="주요비율-낙관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CashFlow(중간집계)"/>
      <sheetName val="법원비용"/>
      <sheetName val="COBS"/>
      <sheetName val="손익계산서"/>
      <sheetName val="현장경상비"/>
      <sheetName val="코드"/>
      <sheetName val="목표고객속보"/>
      <sheetName val="전계정"/>
      <sheetName val="이익부문"/>
      <sheetName val="합동별(기표용)"/>
      <sheetName val="건물명세"/>
      <sheetName val="반제품생산량(12월월간)"/>
      <sheetName val="프린트입출고(누적)"/>
      <sheetName val="대출금"/>
      <sheetName val="00'미수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전산원장"/>
      <sheetName val="설정(한도)"/>
      <sheetName val="위기상황 평가(1105)"/>
      <sheetName val="시산표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공통"/>
      <sheetName val="Input_Infor"/>
      <sheetName val="lookup"/>
      <sheetName val="이름"/>
      <sheetName val="당월손익계산서★"/>
      <sheetName val="외상매출금현황-수정분 A2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Köpfe"/>
      <sheetName val="부도어음관리현황1"/>
      <sheetName val="퇴직급여충당금명세서"/>
      <sheetName val="★MS"/>
      <sheetName val="AP"/>
      <sheetName val="Ctrl"/>
      <sheetName val="060930"/>
      <sheetName val="시실누(모) "/>
      <sheetName val="현우실적"/>
      <sheetName val="목표설정"/>
      <sheetName val="&lt;DataBook표지&gt; "/>
      <sheetName val=""/>
      <sheetName val="종합일지"/>
      <sheetName val="연체대출"/>
      <sheetName val="점소신청"/>
      <sheetName val="주요 가정"/>
      <sheetName val="코드정의"/>
      <sheetName val="ﾛﾝﾄﾞﾝ"/>
      <sheetName val="장판지"/>
      <sheetName val="성적표96"/>
      <sheetName val="개인회원 자격·업종코드표"/>
      <sheetName val="DB"/>
      <sheetName val="명목GDPRData"/>
      <sheetName val="명세참조(No Touch)"/>
      <sheetName val="최종"/>
      <sheetName val="원가계산"/>
      <sheetName val="LoanList"/>
      <sheetName val="10K4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정부노임단가"/>
      <sheetName val="추심사번(신)"/>
      <sheetName val="6층"/>
      <sheetName val="FF7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Header"/>
      <sheetName val="sapactivexlhidden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단가표"/>
      <sheetName val="Sheet7"/>
      <sheetName val="control sheet"/>
      <sheetName val="조립"/>
      <sheetName val="인건비"/>
      <sheetName val="RM CODE"/>
      <sheetName val="환율INDEX"/>
      <sheetName val="시실누(모)_"/>
      <sheetName val="개인회원_자격·업종코드표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평잔"/>
      <sheetName val="DBS"/>
      <sheetName val="차수"/>
      <sheetName val="sap`04.7.14"/>
      <sheetName val="Macro1"/>
      <sheetName val="기초공"/>
      <sheetName val="3BL공동구 수량"/>
      <sheetName val="기둥(원형)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RM_CODE"/>
      <sheetName val="일일계획"/>
      <sheetName val="Lists"/>
      <sheetName val="US Codes"/>
    </sheetNames>
    <sheetDataSet>
      <sheetData sheetId="0">
        <row r="3">
          <cell r="C3" t="str">
            <v>WON</v>
          </cell>
        </row>
      </sheetData>
      <sheetData sheetId="1">
        <row r="3">
          <cell r="C3" t="str">
            <v>WON</v>
          </cell>
        </row>
      </sheetData>
      <sheetData sheetId="2">
        <row r="3">
          <cell r="C3" t="str">
            <v>WON</v>
          </cell>
        </row>
      </sheetData>
      <sheetData sheetId="3">
        <row r="3">
          <cell r="C3" t="str">
            <v>WON</v>
          </cell>
        </row>
      </sheetData>
      <sheetData sheetId="4">
        <row r="3">
          <cell r="C3" t="str">
            <v>WON</v>
          </cell>
        </row>
      </sheetData>
      <sheetData sheetId="5">
        <row r="3">
          <cell r="C3" t="str">
            <v>WON</v>
          </cell>
        </row>
      </sheetData>
      <sheetData sheetId="6">
        <row r="3">
          <cell r="C3" t="str">
            <v>WON</v>
          </cell>
        </row>
      </sheetData>
      <sheetData sheetId="7">
        <row r="3">
          <cell r="C3" t="str">
            <v>WON</v>
          </cell>
        </row>
      </sheetData>
      <sheetData sheetId="8">
        <row r="3">
          <cell r="C3" t="str">
            <v>WON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C3" t="str">
            <v>WON</v>
          </cell>
        </row>
      </sheetData>
      <sheetData sheetId="47">
        <row r="3">
          <cell r="C3" t="str">
            <v>WON</v>
          </cell>
        </row>
      </sheetData>
      <sheetData sheetId="48">
        <row r="3">
          <cell r="C3" t="str">
            <v>WON</v>
          </cell>
        </row>
      </sheetData>
      <sheetData sheetId="49">
        <row r="3">
          <cell r="C3" t="str">
            <v>WON</v>
          </cell>
        </row>
      </sheetData>
      <sheetData sheetId="50">
        <row r="3">
          <cell r="C3" t="str">
            <v>WON</v>
          </cell>
        </row>
      </sheetData>
      <sheetData sheetId="51">
        <row r="3">
          <cell r="C3" t="str">
            <v>WON</v>
          </cell>
        </row>
      </sheetData>
      <sheetData sheetId="52">
        <row r="3">
          <cell r="C3" t="str">
            <v>WON</v>
          </cell>
        </row>
      </sheetData>
      <sheetData sheetId="53">
        <row r="3">
          <cell r="C3" t="str">
            <v>WON</v>
          </cell>
        </row>
      </sheetData>
      <sheetData sheetId="54">
        <row r="3">
          <cell r="C3" t="str">
            <v>WON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항고구분"/>
      <sheetName val="주식 등 질권 "/>
      <sheetName val="차주별평가결과"/>
      <sheetName val="분당임차변경"/>
      <sheetName val="basic_info"/>
      <sheetName val="별제권_정리담보권1"/>
      <sheetName val="매출.물동명세"/>
      <sheetName val="대차대조표"/>
      <sheetName val="RECIMAKE"/>
      <sheetName val="콤보박스와 리스트박스의 연결"/>
      <sheetName val="신공"/>
      <sheetName val="대여현황"/>
      <sheetName val="단가"/>
      <sheetName val="대전-교대(A1-A2)"/>
      <sheetName val="Sheet1"/>
      <sheetName val="당사수지"/>
      <sheetName val="현금흐름(SPC)"/>
      <sheetName val="대처방안"/>
      <sheetName val="공통가설"/>
      <sheetName val="기본 FACTOR"/>
      <sheetName val="정리계획CF평가"/>
      <sheetName val="단위수량"/>
      <sheetName val="97 사업추정(WEKI)"/>
      <sheetName val="전체현황"/>
      <sheetName val="미지급금"/>
      <sheetName val="분양면적표"/>
      <sheetName val="공동"/>
      <sheetName val="박상무"/>
      <sheetName val="곽병갑"/>
      <sheetName val="김석천"/>
      <sheetName val="오이균"/>
      <sheetName val="이명례"/>
      <sheetName val="6호기"/>
      <sheetName val="아파트"/>
      <sheetName val="해창정"/>
      <sheetName val="BM_NEW2"/>
      <sheetName val="FAB별"/>
      <sheetName val="Cashflow판(특별)"/>
      <sheetName val="BASEMODL"/>
      <sheetName val="공통비(전체)"/>
      <sheetName val="Assumption"/>
      <sheetName val="Summary"/>
      <sheetName val="생산직"/>
      <sheetName val="종배수관"/>
      <sheetName val="시네마입금"/>
      <sheetName val="11.17-11.23"/>
      <sheetName val="11.24-11.30"/>
      <sheetName val="배당율"/>
      <sheetName val="한도관리2"/>
      <sheetName val="합동별편출입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일련번호</v>
          </cell>
          <cell r="BN9" t="str">
            <v>항고고려후 배당기일</v>
          </cell>
          <cell r="BR9" t="str">
            <v>실지 배당액</v>
          </cell>
        </row>
        <row r="10">
          <cell r="B10">
            <v>1</v>
          </cell>
          <cell r="BN10">
            <v>37180</v>
          </cell>
          <cell r="BR10">
            <v>0</v>
          </cell>
        </row>
        <row r="11">
          <cell r="B11">
            <v>2</v>
          </cell>
          <cell r="BN11">
            <v>37180</v>
          </cell>
          <cell r="BR11" t="e">
            <v>#VALUE!</v>
          </cell>
        </row>
        <row r="12">
          <cell r="B12">
            <v>3</v>
          </cell>
          <cell r="BN12">
            <v>37180</v>
          </cell>
          <cell r="BR12" t="e">
            <v>#VALUE!</v>
          </cell>
        </row>
        <row r="13">
          <cell r="B13">
            <v>4</v>
          </cell>
          <cell r="BN13">
            <v>37180</v>
          </cell>
          <cell r="BR13" t="e">
            <v>#VALUE!</v>
          </cell>
        </row>
        <row r="14">
          <cell r="B14">
            <v>5</v>
          </cell>
          <cell r="BN14">
            <v>37180</v>
          </cell>
          <cell r="BR14" t="e">
            <v>#VALUE!</v>
          </cell>
        </row>
        <row r="15">
          <cell r="B15">
            <v>6</v>
          </cell>
          <cell r="BN15">
            <v>37180</v>
          </cell>
          <cell r="BR15" t="e">
            <v>#VALUE!</v>
          </cell>
        </row>
        <row r="16">
          <cell r="B16">
            <v>7</v>
          </cell>
          <cell r="BN16">
            <v>37180</v>
          </cell>
          <cell r="BR16" t="e">
            <v>#VALUE!</v>
          </cell>
        </row>
        <row r="17">
          <cell r="B17">
            <v>8</v>
          </cell>
          <cell r="BN17">
            <v>37180</v>
          </cell>
          <cell r="BR17">
            <v>0</v>
          </cell>
        </row>
        <row r="18">
          <cell r="B18">
            <v>9</v>
          </cell>
          <cell r="BN18">
            <v>37180</v>
          </cell>
          <cell r="BR18">
            <v>0</v>
          </cell>
        </row>
        <row r="19">
          <cell r="B19">
            <v>10</v>
          </cell>
          <cell r="BN19">
            <v>37180</v>
          </cell>
          <cell r="BR19">
            <v>0</v>
          </cell>
        </row>
        <row r="20">
          <cell r="B20">
            <v>11</v>
          </cell>
          <cell r="BN20">
            <v>37180</v>
          </cell>
          <cell r="BR20">
            <v>1161469.1719119998</v>
          </cell>
        </row>
        <row r="21">
          <cell r="B21">
            <v>12</v>
          </cell>
          <cell r="BN21">
            <v>37180</v>
          </cell>
          <cell r="BR21">
            <v>4095637.56</v>
          </cell>
        </row>
        <row r="22">
          <cell r="B22">
            <v>13</v>
          </cell>
          <cell r="BN22">
            <v>37180</v>
          </cell>
          <cell r="BR22">
            <v>0</v>
          </cell>
        </row>
        <row r="23">
          <cell r="B23">
            <v>14</v>
          </cell>
          <cell r="BN23">
            <v>37180</v>
          </cell>
          <cell r="BR23">
            <v>56145.484863999998</v>
          </cell>
        </row>
        <row r="24">
          <cell r="B24">
            <v>15</v>
          </cell>
          <cell r="BN24">
            <v>37180</v>
          </cell>
          <cell r="BR24">
            <v>0</v>
          </cell>
        </row>
        <row r="25">
          <cell r="B25">
            <v>16</v>
          </cell>
          <cell r="BN25">
            <v>37180</v>
          </cell>
          <cell r="BR25">
            <v>0</v>
          </cell>
        </row>
        <row r="26">
          <cell r="B26">
            <v>17</v>
          </cell>
          <cell r="BN26">
            <v>37180</v>
          </cell>
          <cell r="BR26">
            <v>0</v>
          </cell>
        </row>
        <row r="27">
          <cell r="B27">
            <v>18</v>
          </cell>
          <cell r="BN27">
            <v>37180</v>
          </cell>
          <cell r="BR27">
            <v>0</v>
          </cell>
        </row>
        <row r="28">
          <cell r="B28">
            <v>19</v>
          </cell>
          <cell r="BN28">
            <v>37180</v>
          </cell>
          <cell r="BR28">
            <v>2818863.0995839997</v>
          </cell>
        </row>
        <row r="29">
          <cell r="B29">
            <v>20</v>
          </cell>
          <cell r="BN29">
            <v>37180</v>
          </cell>
          <cell r="BR29">
            <v>0</v>
          </cell>
        </row>
        <row r="30">
          <cell r="B30">
            <v>21</v>
          </cell>
          <cell r="BN30">
            <v>37180</v>
          </cell>
          <cell r="BR30">
            <v>45554.309556</v>
          </cell>
        </row>
        <row r="31">
          <cell r="B31">
            <v>22</v>
          </cell>
          <cell r="BN31">
            <v>37180</v>
          </cell>
          <cell r="BR31">
            <v>729014.77246720006</v>
          </cell>
        </row>
        <row r="32">
          <cell r="B32">
            <v>23</v>
          </cell>
          <cell r="BN32">
            <v>37270</v>
          </cell>
          <cell r="BR32">
            <v>92127.518827939639</v>
          </cell>
        </row>
        <row r="33">
          <cell r="B33">
            <v>24</v>
          </cell>
          <cell r="BN33">
            <v>37210</v>
          </cell>
          <cell r="BR33">
            <v>112845.8854879705</v>
          </cell>
        </row>
        <row r="34">
          <cell r="B34">
            <v>25</v>
          </cell>
          <cell r="BN34">
            <v>37180</v>
          </cell>
          <cell r="BR34">
            <v>86742.911507285986</v>
          </cell>
        </row>
        <row r="35">
          <cell r="B35">
            <v>26</v>
          </cell>
          <cell r="BN35">
            <v>37180</v>
          </cell>
          <cell r="BR35">
            <v>2359.8608676041222</v>
          </cell>
        </row>
        <row r="36">
          <cell r="B36">
            <v>27</v>
          </cell>
          <cell r="BN36">
            <v>37270</v>
          </cell>
          <cell r="BR36">
            <v>16219.495983609011</v>
          </cell>
        </row>
        <row r="37">
          <cell r="B37">
            <v>28</v>
          </cell>
          <cell r="BN37">
            <v>37270</v>
          </cell>
          <cell r="BR37">
            <v>0</v>
          </cell>
        </row>
        <row r="38">
          <cell r="B38">
            <v>29</v>
          </cell>
          <cell r="BN38">
            <v>37180</v>
          </cell>
          <cell r="BR38">
            <v>173215.91969007917</v>
          </cell>
        </row>
        <row r="39">
          <cell r="B39">
            <v>30</v>
          </cell>
          <cell r="BN39">
            <v>37210</v>
          </cell>
          <cell r="BR39">
            <v>86774.415304303024</v>
          </cell>
        </row>
        <row r="40">
          <cell r="B40">
            <v>31</v>
          </cell>
          <cell r="BN40">
            <v>37180</v>
          </cell>
          <cell r="BR40">
            <v>336844.00311525271</v>
          </cell>
        </row>
        <row r="41">
          <cell r="B41">
            <v>32</v>
          </cell>
          <cell r="BN41">
            <v>37180</v>
          </cell>
          <cell r="BR41">
            <v>28512.362412671755</v>
          </cell>
        </row>
        <row r="42">
          <cell r="B42">
            <v>33</v>
          </cell>
          <cell r="BN42">
            <v>37210</v>
          </cell>
          <cell r="BR42">
            <v>113272.26239192097</v>
          </cell>
        </row>
        <row r="43">
          <cell r="B43">
            <v>34</v>
          </cell>
          <cell r="BN43">
            <v>37210</v>
          </cell>
          <cell r="BR43">
            <v>80579.221402532305</v>
          </cell>
        </row>
        <row r="44">
          <cell r="B44">
            <v>35</v>
          </cell>
          <cell r="BN44">
            <v>37180</v>
          </cell>
          <cell r="BR44">
            <v>267395.80276436138</v>
          </cell>
        </row>
        <row r="45">
          <cell r="B45">
            <v>36</v>
          </cell>
          <cell r="BN45">
            <v>37210</v>
          </cell>
          <cell r="BR45">
            <v>61718.908260334552</v>
          </cell>
        </row>
        <row r="46">
          <cell r="B46">
            <v>37</v>
          </cell>
          <cell r="BN46">
            <v>37180</v>
          </cell>
          <cell r="BR46">
            <v>0</v>
          </cell>
        </row>
        <row r="47">
          <cell r="B47">
            <v>38</v>
          </cell>
          <cell r="BN47">
            <v>37210</v>
          </cell>
          <cell r="BR47">
            <v>205261.96306151725</v>
          </cell>
        </row>
        <row r="48">
          <cell r="B48">
            <v>39</v>
          </cell>
          <cell r="BN48">
            <v>37180</v>
          </cell>
          <cell r="BR48">
            <v>1214746.7029738743</v>
          </cell>
        </row>
        <row r="49">
          <cell r="B49">
            <v>40</v>
          </cell>
          <cell r="BN49" t="e">
            <v>#N/A</v>
          </cell>
          <cell r="BR49" t="e">
            <v>#N/A</v>
          </cell>
        </row>
        <row r="50">
          <cell r="B50">
            <v>41</v>
          </cell>
          <cell r="BN50" t="e">
            <v>#N/A</v>
          </cell>
          <cell r="BR50" t="e">
            <v>#N/A</v>
          </cell>
        </row>
        <row r="51">
          <cell r="B51">
            <v>42</v>
          </cell>
          <cell r="BN51" t="e">
            <v>#N/A</v>
          </cell>
          <cell r="BR51" t="e">
            <v>#N/A</v>
          </cell>
        </row>
        <row r="52">
          <cell r="B52">
            <v>43</v>
          </cell>
          <cell r="BN52">
            <v>37330</v>
          </cell>
          <cell r="BR52">
            <v>328643.97809835232</v>
          </cell>
        </row>
        <row r="53">
          <cell r="B53">
            <v>44</v>
          </cell>
          <cell r="BN53">
            <v>37270</v>
          </cell>
          <cell r="BR53">
            <v>0</v>
          </cell>
        </row>
        <row r="54">
          <cell r="B54">
            <v>45</v>
          </cell>
          <cell r="BN54">
            <v>37270</v>
          </cell>
          <cell r="BR54">
            <v>41113.895020664822</v>
          </cell>
        </row>
        <row r="55">
          <cell r="B55">
            <v>46</v>
          </cell>
          <cell r="BN55">
            <v>37270</v>
          </cell>
          <cell r="BR55">
            <v>203201.47840458149</v>
          </cell>
        </row>
        <row r="56">
          <cell r="B56">
            <v>47</v>
          </cell>
          <cell r="BN56">
            <v>37270</v>
          </cell>
          <cell r="BR56">
            <v>0</v>
          </cell>
        </row>
        <row r="57">
          <cell r="B57">
            <v>48</v>
          </cell>
          <cell r="BN57">
            <v>37240</v>
          </cell>
          <cell r="BR57">
            <v>37986.835927740729</v>
          </cell>
        </row>
        <row r="58">
          <cell r="B58">
            <v>49</v>
          </cell>
          <cell r="BN58">
            <v>37240</v>
          </cell>
          <cell r="BR58">
            <v>92005.458712783264</v>
          </cell>
        </row>
        <row r="59">
          <cell r="B59">
            <v>50</v>
          </cell>
          <cell r="BN59">
            <v>37270</v>
          </cell>
          <cell r="BR59">
            <v>9432.0156145989677</v>
          </cell>
        </row>
        <row r="60">
          <cell r="B60">
            <v>51</v>
          </cell>
          <cell r="BN60">
            <v>37180</v>
          </cell>
          <cell r="BR60">
            <v>29247.085521412839</v>
          </cell>
        </row>
        <row r="61">
          <cell r="B61">
            <v>52</v>
          </cell>
          <cell r="BN61">
            <v>37240</v>
          </cell>
          <cell r="BR61">
            <v>0</v>
          </cell>
        </row>
        <row r="62">
          <cell r="B62">
            <v>53</v>
          </cell>
          <cell r="BN62" t="e">
            <v>#N/A</v>
          </cell>
          <cell r="BR62" t="e">
            <v>#N/A</v>
          </cell>
        </row>
        <row r="63">
          <cell r="B63">
            <v>54</v>
          </cell>
          <cell r="BN63">
            <v>37300</v>
          </cell>
          <cell r="BR63">
            <v>577423.38521496544</v>
          </cell>
        </row>
        <row r="64">
          <cell r="B64">
            <v>55</v>
          </cell>
          <cell r="BN64">
            <v>37180</v>
          </cell>
          <cell r="BR64">
            <v>3370943.9399030027</v>
          </cell>
        </row>
        <row r="65">
          <cell r="B65">
            <v>56</v>
          </cell>
          <cell r="BN65">
            <v>37180</v>
          </cell>
          <cell r="BR65">
            <v>727624.16393425781</v>
          </cell>
        </row>
        <row r="66">
          <cell r="B66">
            <v>57</v>
          </cell>
          <cell r="BN66">
            <v>37180</v>
          </cell>
          <cell r="BR66">
            <v>585626.49660672247</v>
          </cell>
        </row>
        <row r="67">
          <cell r="B67">
            <v>58</v>
          </cell>
          <cell r="BN67">
            <v>37180</v>
          </cell>
          <cell r="BR67">
            <v>18339.961524764054</v>
          </cell>
        </row>
        <row r="68">
          <cell r="B68">
            <v>59</v>
          </cell>
          <cell r="BN68">
            <v>37240</v>
          </cell>
          <cell r="BR68">
            <v>844929.50322670327</v>
          </cell>
        </row>
        <row r="69">
          <cell r="B69">
            <v>60</v>
          </cell>
          <cell r="BN69">
            <v>37240</v>
          </cell>
          <cell r="BR69">
            <v>778969.6013957446</v>
          </cell>
        </row>
        <row r="70">
          <cell r="B70">
            <v>61</v>
          </cell>
          <cell r="BN70">
            <v>37210</v>
          </cell>
          <cell r="BR70">
            <v>0</v>
          </cell>
        </row>
        <row r="71">
          <cell r="B71">
            <v>62</v>
          </cell>
          <cell r="BN71">
            <v>37240</v>
          </cell>
          <cell r="BR71">
            <v>0</v>
          </cell>
        </row>
        <row r="72">
          <cell r="B72">
            <v>63</v>
          </cell>
          <cell r="BN72">
            <v>37210</v>
          </cell>
          <cell r="BR72">
            <v>2508.1840838957205</v>
          </cell>
        </row>
        <row r="73">
          <cell r="B73">
            <v>64</v>
          </cell>
          <cell r="BN73">
            <v>37240</v>
          </cell>
          <cell r="BR73">
            <v>3908695.3766668793</v>
          </cell>
        </row>
        <row r="74">
          <cell r="B74">
            <v>65</v>
          </cell>
          <cell r="BN74">
            <v>37210</v>
          </cell>
          <cell r="BR74">
            <v>80499.94439057172</v>
          </cell>
        </row>
        <row r="75">
          <cell r="B75">
            <v>66</v>
          </cell>
          <cell r="BN75">
            <v>37180</v>
          </cell>
          <cell r="BR75">
            <v>267140.44620504894</v>
          </cell>
        </row>
        <row r="76">
          <cell r="B76">
            <v>67</v>
          </cell>
          <cell r="BN76">
            <v>37210</v>
          </cell>
          <cell r="BR76">
            <v>61657.408046907665</v>
          </cell>
        </row>
        <row r="77">
          <cell r="B77">
            <v>68</v>
          </cell>
          <cell r="BN77">
            <v>37180</v>
          </cell>
          <cell r="BR77">
            <v>0</v>
          </cell>
        </row>
        <row r="78">
          <cell r="B78">
            <v>69</v>
          </cell>
          <cell r="BN78">
            <v>37210</v>
          </cell>
          <cell r="BR78">
            <v>205065.16626277522</v>
          </cell>
        </row>
        <row r="79">
          <cell r="B79">
            <v>70</v>
          </cell>
          <cell r="BN79">
            <v>37180</v>
          </cell>
          <cell r="BR79">
            <v>1213686.796729923</v>
          </cell>
        </row>
        <row r="80">
          <cell r="B80">
            <v>71</v>
          </cell>
          <cell r="BN80" t="e">
            <v>#N/A</v>
          </cell>
          <cell r="BR80" t="e">
            <v>#N/A</v>
          </cell>
        </row>
        <row r="81">
          <cell r="B81">
            <v>72</v>
          </cell>
          <cell r="BN81">
            <v>37210</v>
          </cell>
          <cell r="BR81">
            <v>1777523.7892264158</v>
          </cell>
        </row>
        <row r="82">
          <cell r="B82">
            <v>73</v>
          </cell>
          <cell r="BN82">
            <v>37300</v>
          </cell>
          <cell r="BR82">
            <v>2866543.415172922</v>
          </cell>
        </row>
        <row r="83">
          <cell r="B83">
            <v>74</v>
          </cell>
          <cell r="BN83">
            <v>37270</v>
          </cell>
          <cell r="BR83">
            <v>113753.01250839909</v>
          </cell>
        </row>
        <row r="84">
          <cell r="B84">
            <v>75</v>
          </cell>
          <cell r="BN84">
            <v>37210</v>
          </cell>
          <cell r="BR84">
            <v>1694122.6824740786</v>
          </cell>
        </row>
        <row r="85">
          <cell r="B85">
            <v>76</v>
          </cell>
          <cell r="BN85">
            <v>37180</v>
          </cell>
          <cell r="BR85">
            <v>4748.8846334147765</v>
          </cell>
        </row>
        <row r="86">
          <cell r="B86">
            <v>77</v>
          </cell>
          <cell r="BN86">
            <v>37180</v>
          </cell>
          <cell r="BR86">
            <v>1625329.2082307199</v>
          </cell>
        </row>
        <row r="87">
          <cell r="B87">
            <v>78</v>
          </cell>
          <cell r="BN87">
            <v>37210</v>
          </cell>
          <cell r="BR87">
            <v>666890.45217776741</v>
          </cell>
        </row>
        <row r="88">
          <cell r="B88">
            <v>79</v>
          </cell>
          <cell r="BN88">
            <v>37240</v>
          </cell>
          <cell r="BR88">
            <v>687009.35507695097</v>
          </cell>
        </row>
        <row r="89">
          <cell r="B89">
            <v>80</v>
          </cell>
          <cell r="BN89">
            <v>37240</v>
          </cell>
          <cell r="BR89">
            <v>687043.92029684677</v>
          </cell>
        </row>
        <row r="90">
          <cell r="B90">
            <v>81</v>
          </cell>
          <cell r="BN90">
            <v>37210</v>
          </cell>
          <cell r="BR90">
            <v>1012931.2483186685</v>
          </cell>
        </row>
        <row r="91">
          <cell r="B91">
            <v>82</v>
          </cell>
          <cell r="BN91">
            <v>37240</v>
          </cell>
          <cell r="BR91">
            <v>143941.48841824665</v>
          </cell>
        </row>
        <row r="92">
          <cell r="B92">
            <v>83</v>
          </cell>
          <cell r="BN92">
            <v>37002</v>
          </cell>
          <cell r="BR92">
            <v>1170683.3665694399</v>
          </cell>
        </row>
        <row r="93">
          <cell r="B93">
            <v>84</v>
          </cell>
          <cell r="BN93">
            <v>37180</v>
          </cell>
          <cell r="BR93">
            <v>241628.43119796849</v>
          </cell>
        </row>
        <row r="94">
          <cell r="B94">
            <v>85</v>
          </cell>
          <cell r="BN94">
            <v>37180</v>
          </cell>
          <cell r="BR94">
            <v>64343.527143702988</v>
          </cell>
        </row>
        <row r="95">
          <cell r="B95">
            <v>86</v>
          </cell>
          <cell r="BN95">
            <v>37180</v>
          </cell>
          <cell r="BR95">
            <v>0</v>
          </cell>
        </row>
        <row r="96">
          <cell r="B96">
            <v>87</v>
          </cell>
          <cell r="BN96">
            <v>37180</v>
          </cell>
          <cell r="BR96">
            <v>0</v>
          </cell>
        </row>
        <row r="97">
          <cell r="B97">
            <v>88</v>
          </cell>
          <cell r="BN97">
            <v>37180</v>
          </cell>
          <cell r="BR97">
            <v>0</v>
          </cell>
        </row>
        <row r="98">
          <cell r="B98">
            <v>89</v>
          </cell>
          <cell r="BN98">
            <v>37330</v>
          </cell>
          <cell r="BR98">
            <v>301785.64671391994</v>
          </cell>
        </row>
        <row r="99">
          <cell r="B99">
            <v>90</v>
          </cell>
          <cell r="BN99">
            <v>37270</v>
          </cell>
          <cell r="BR99">
            <v>539120.09331536002</v>
          </cell>
        </row>
        <row r="100">
          <cell r="B100">
            <v>91</v>
          </cell>
          <cell r="BN100">
            <v>37210</v>
          </cell>
          <cell r="BR100">
            <v>873303.64194130269</v>
          </cell>
        </row>
        <row r="101">
          <cell r="B101">
            <v>92</v>
          </cell>
          <cell r="BN101">
            <v>37180</v>
          </cell>
          <cell r="BR101">
            <v>3619449.4850586965</v>
          </cell>
        </row>
        <row r="102">
          <cell r="B102">
            <v>93</v>
          </cell>
          <cell r="BN102">
            <v>37002</v>
          </cell>
          <cell r="BR102">
            <v>277279.44764959998</v>
          </cell>
        </row>
        <row r="103">
          <cell r="B103">
            <v>94</v>
          </cell>
          <cell r="BN103">
            <v>37180</v>
          </cell>
          <cell r="BR103">
            <v>55079.060171125289</v>
          </cell>
        </row>
        <row r="104">
          <cell r="B104">
            <v>95</v>
          </cell>
          <cell r="BN104">
            <v>37180</v>
          </cell>
          <cell r="BR104">
            <v>305035.16530110105</v>
          </cell>
        </row>
        <row r="105">
          <cell r="B105">
            <v>96</v>
          </cell>
          <cell r="BN105">
            <v>37180</v>
          </cell>
          <cell r="BR105">
            <v>4162.0470692085482</v>
          </cell>
        </row>
        <row r="106">
          <cell r="B106">
            <v>97</v>
          </cell>
          <cell r="BN106">
            <v>37180</v>
          </cell>
          <cell r="BR106">
            <v>0</v>
          </cell>
        </row>
        <row r="107">
          <cell r="B107">
            <v>98</v>
          </cell>
          <cell r="BN107">
            <v>37180</v>
          </cell>
          <cell r="BR107">
            <v>101525.36108139085</v>
          </cell>
        </row>
        <row r="108">
          <cell r="B108">
            <v>99</v>
          </cell>
          <cell r="BN108">
            <v>37180</v>
          </cell>
          <cell r="BR108">
            <v>0</v>
          </cell>
        </row>
        <row r="109">
          <cell r="B109">
            <v>100</v>
          </cell>
          <cell r="BN109">
            <v>37180</v>
          </cell>
          <cell r="BR109">
            <v>34140.913087891662</v>
          </cell>
        </row>
        <row r="110">
          <cell r="B110">
            <v>101</v>
          </cell>
          <cell r="BN110">
            <v>37180</v>
          </cell>
          <cell r="BR110">
            <v>8057901.6446892675</v>
          </cell>
        </row>
        <row r="111">
          <cell r="B111">
            <v>102</v>
          </cell>
          <cell r="BN111">
            <v>37180</v>
          </cell>
          <cell r="BR111">
            <v>198683.10630928449</v>
          </cell>
        </row>
        <row r="112">
          <cell r="B112">
            <v>103</v>
          </cell>
          <cell r="BN112">
            <v>37180</v>
          </cell>
          <cell r="BR112">
            <v>0</v>
          </cell>
        </row>
        <row r="113">
          <cell r="B113">
            <v>104</v>
          </cell>
          <cell r="BN113">
            <v>37180</v>
          </cell>
          <cell r="BR113">
            <v>0</v>
          </cell>
        </row>
        <row r="114">
          <cell r="B114">
            <v>105</v>
          </cell>
          <cell r="BN114">
            <v>37180</v>
          </cell>
          <cell r="BR114">
            <v>0</v>
          </cell>
        </row>
        <row r="115">
          <cell r="B115">
            <v>106</v>
          </cell>
          <cell r="BN115">
            <v>37180</v>
          </cell>
          <cell r="BR115">
            <v>0</v>
          </cell>
        </row>
        <row r="116">
          <cell r="B116">
            <v>107</v>
          </cell>
          <cell r="BN116">
            <v>37180</v>
          </cell>
          <cell r="BR116">
            <v>0</v>
          </cell>
        </row>
        <row r="117">
          <cell r="B117">
            <v>108</v>
          </cell>
          <cell r="BN117">
            <v>37180</v>
          </cell>
          <cell r="BR117">
            <v>0</v>
          </cell>
        </row>
        <row r="118">
          <cell r="B118">
            <v>109</v>
          </cell>
          <cell r="BN118">
            <v>37180</v>
          </cell>
          <cell r="BR118">
            <v>0</v>
          </cell>
        </row>
        <row r="119">
          <cell r="B119">
            <v>110</v>
          </cell>
          <cell r="BN119">
            <v>37180</v>
          </cell>
          <cell r="BR119">
            <v>0</v>
          </cell>
        </row>
        <row r="120">
          <cell r="B120">
            <v>111</v>
          </cell>
          <cell r="BN120">
            <v>37180</v>
          </cell>
          <cell r="BR120">
            <v>3289251.7456238824</v>
          </cell>
        </row>
        <row r="121">
          <cell r="B121">
            <v>112</v>
          </cell>
          <cell r="BN121">
            <v>37240</v>
          </cell>
          <cell r="BR121">
            <v>163427.72899999999</v>
          </cell>
        </row>
        <row r="122">
          <cell r="B122">
            <v>113</v>
          </cell>
          <cell r="BN122">
            <v>37180</v>
          </cell>
          <cell r="BR122">
            <v>3280523.6831581872</v>
          </cell>
        </row>
        <row r="123">
          <cell r="B123">
            <v>114</v>
          </cell>
          <cell r="BN123">
            <v>37240</v>
          </cell>
          <cell r="BR123">
            <v>69796.820154792425</v>
          </cell>
        </row>
        <row r="124">
          <cell r="B124">
            <v>115</v>
          </cell>
          <cell r="BN124">
            <v>37180</v>
          </cell>
          <cell r="BR124">
            <v>1065631.2035982178</v>
          </cell>
        </row>
        <row r="125">
          <cell r="B125">
            <v>116</v>
          </cell>
          <cell r="BN125">
            <v>37270</v>
          </cell>
          <cell r="BR125">
            <v>564120.50699999998</v>
          </cell>
        </row>
        <row r="126">
          <cell r="B126">
            <v>117</v>
          </cell>
          <cell r="BN126">
            <v>37180</v>
          </cell>
          <cell r="BR126">
            <v>5780330.2437298102</v>
          </cell>
        </row>
        <row r="127">
          <cell r="B127">
            <v>118</v>
          </cell>
          <cell r="BN127">
            <v>37270</v>
          </cell>
          <cell r="BR127">
            <v>861161.17656234663</v>
          </cell>
        </row>
        <row r="128">
          <cell r="B128">
            <v>119</v>
          </cell>
          <cell r="BN128">
            <v>37210</v>
          </cell>
          <cell r="BR128">
            <v>2909851.8300484284</v>
          </cell>
        </row>
        <row r="129">
          <cell r="B129">
            <v>120</v>
          </cell>
          <cell r="BN129">
            <v>37210</v>
          </cell>
          <cell r="BR129">
            <v>10988613.49726053</v>
          </cell>
        </row>
        <row r="130">
          <cell r="B130">
            <v>121</v>
          </cell>
          <cell r="BN130">
            <v>37180</v>
          </cell>
          <cell r="BR130">
            <v>1413361.0885096171</v>
          </cell>
        </row>
        <row r="131">
          <cell r="B131">
            <v>122</v>
          </cell>
          <cell r="BN131">
            <v>37180</v>
          </cell>
          <cell r="BR131">
            <v>781116.0021927827</v>
          </cell>
        </row>
        <row r="132">
          <cell r="B132">
            <v>123</v>
          </cell>
          <cell r="BN132">
            <v>36950</v>
          </cell>
          <cell r="BR132">
            <v>5608780.9254559996</v>
          </cell>
        </row>
        <row r="133">
          <cell r="B133">
            <v>124</v>
          </cell>
          <cell r="BN133">
            <v>37092</v>
          </cell>
          <cell r="BR133">
            <v>1380357.1451224</v>
          </cell>
        </row>
        <row r="134">
          <cell r="B134">
            <v>125</v>
          </cell>
          <cell r="BN134">
            <v>37240</v>
          </cell>
          <cell r="BR134">
            <v>73344.641097400512</v>
          </cell>
        </row>
        <row r="135">
          <cell r="B135">
            <v>126</v>
          </cell>
          <cell r="BN135">
            <v>37210</v>
          </cell>
          <cell r="BR135">
            <v>39253.395260346661</v>
          </cell>
        </row>
        <row r="136">
          <cell r="B136">
            <v>127</v>
          </cell>
          <cell r="BN136" t="e">
            <v>#N/A</v>
          </cell>
          <cell r="BR136" t="e">
            <v>#N/A</v>
          </cell>
        </row>
        <row r="137">
          <cell r="B137">
            <v>128</v>
          </cell>
          <cell r="BN137">
            <v>37270</v>
          </cell>
          <cell r="BR137">
            <v>36280.899041600009</v>
          </cell>
        </row>
        <row r="138">
          <cell r="B138">
            <v>129</v>
          </cell>
          <cell r="BN138">
            <v>37240</v>
          </cell>
          <cell r="BR138">
            <v>790825.46546304971</v>
          </cell>
        </row>
        <row r="139">
          <cell r="B139">
            <v>130</v>
          </cell>
          <cell r="BN139">
            <v>37210</v>
          </cell>
          <cell r="BR139">
            <v>1894688.1398734306</v>
          </cell>
        </row>
        <row r="140">
          <cell r="B140">
            <v>131</v>
          </cell>
          <cell r="BN140">
            <v>37180</v>
          </cell>
          <cell r="BR140">
            <v>0</v>
          </cell>
        </row>
        <row r="141">
          <cell r="B141">
            <v>132</v>
          </cell>
          <cell r="BN141">
            <v>37050</v>
          </cell>
          <cell r="BR141">
            <v>246206.96769023998</v>
          </cell>
        </row>
        <row r="142">
          <cell r="B142">
            <v>133</v>
          </cell>
          <cell r="BN142">
            <v>37180</v>
          </cell>
          <cell r="BR142">
            <v>2686502.8054057169</v>
          </cell>
        </row>
        <row r="143">
          <cell r="B143">
            <v>134</v>
          </cell>
          <cell r="BN143">
            <v>37210</v>
          </cell>
          <cell r="BR143">
            <v>2575302.0120000001</v>
          </cell>
        </row>
        <row r="144">
          <cell r="B144">
            <v>135</v>
          </cell>
          <cell r="BN144">
            <v>37210</v>
          </cell>
          <cell r="BR144">
            <v>326624.03279999999</v>
          </cell>
        </row>
        <row r="145">
          <cell r="B145">
            <v>136</v>
          </cell>
          <cell r="BN145">
            <v>37180</v>
          </cell>
          <cell r="BR145">
            <v>12328549.760000002</v>
          </cell>
        </row>
        <row r="146">
          <cell r="B146">
            <v>137</v>
          </cell>
          <cell r="BN146">
            <v>37180</v>
          </cell>
          <cell r="BR146">
            <v>14306392.179599999</v>
          </cell>
        </row>
        <row r="147">
          <cell r="B147">
            <v>138</v>
          </cell>
          <cell r="BN147">
            <v>37180</v>
          </cell>
          <cell r="BR147">
            <v>0</v>
          </cell>
        </row>
        <row r="148">
          <cell r="B148">
            <v>139</v>
          </cell>
          <cell r="BN148">
            <v>37180</v>
          </cell>
          <cell r="BR148">
            <v>2868243.1898699999</v>
          </cell>
        </row>
        <row r="149">
          <cell r="B149">
            <v>140</v>
          </cell>
          <cell r="BN149">
            <v>37210</v>
          </cell>
          <cell r="BR149">
            <v>18882241.002106827</v>
          </cell>
        </row>
        <row r="150">
          <cell r="B150">
            <v>141</v>
          </cell>
          <cell r="BN150">
            <v>37180</v>
          </cell>
          <cell r="BR150">
            <v>2562214.3406694047</v>
          </cell>
        </row>
        <row r="151">
          <cell r="B151">
            <v>142</v>
          </cell>
          <cell r="BN151">
            <v>37123</v>
          </cell>
          <cell r="BR151">
            <v>1109326.8949594386</v>
          </cell>
        </row>
        <row r="152">
          <cell r="B152">
            <v>143</v>
          </cell>
          <cell r="BN152">
            <v>37180</v>
          </cell>
          <cell r="BR152">
            <v>243020.60731671983</v>
          </cell>
        </row>
        <row r="153">
          <cell r="B153">
            <v>144</v>
          </cell>
          <cell r="BN153">
            <v>37180</v>
          </cell>
          <cell r="BR153">
            <v>2821212.7786896001</v>
          </cell>
        </row>
        <row r="154">
          <cell r="B154">
            <v>145</v>
          </cell>
          <cell r="BN154">
            <v>37330</v>
          </cell>
          <cell r="BR154">
            <v>1528226.97591968</v>
          </cell>
        </row>
        <row r="155">
          <cell r="B155">
            <v>146</v>
          </cell>
          <cell r="BN155" t="e">
            <v>#N/A</v>
          </cell>
          <cell r="BR155" t="e">
            <v>#N/A</v>
          </cell>
        </row>
        <row r="156">
          <cell r="B156">
            <v>147</v>
          </cell>
          <cell r="BN156">
            <v>37180</v>
          </cell>
          <cell r="BR156">
            <v>109812.58858590294</v>
          </cell>
        </row>
        <row r="157">
          <cell r="B157">
            <v>148</v>
          </cell>
          <cell r="BN157">
            <v>37240</v>
          </cell>
          <cell r="BR157">
            <v>84838.003306394035</v>
          </cell>
        </row>
        <row r="158">
          <cell r="B158">
            <v>149</v>
          </cell>
          <cell r="BN158">
            <v>37180</v>
          </cell>
          <cell r="BR158">
            <v>5440087.4902949585</v>
          </cell>
        </row>
        <row r="159">
          <cell r="B159">
            <v>150</v>
          </cell>
          <cell r="BN159">
            <v>37180</v>
          </cell>
          <cell r="BR159">
            <v>513623.43081274477</v>
          </cell>
        </row>
        <row r="160">
          <cell r="B160">
            <v>151</v>
          </cell>
          <cell r="BN160">
            <v>37180</v>
          </cell>
          <cell r="BR160">
            <v>4205472.1742648343</v>
          </cell>
        </row>
        <row r="161">
          <cell r="B161">
            <v>152</v>
          </cell>
          <cell r="BN161">
            <v>37180</v>
          </cell>
          <cell r="BR161">
            <v>1918398.6483958834</v>
          </cell>
        </row>
        <row r="162">
          <cell r="B162">
            <v>153</v>
          </cell>
          <cell r="BN162">
            <v>37180</v>
          </cell>
          <cell r="BR162">
            <v>93944.76052943882</v>
          </cell>
        </row>
        <row r="163">
          <cell r="B163">
            <v>154</v>
          </cell>
          <cell r="BN163">
            <v>37270</v>
          </cell>
          <cell r="BR163">
            <v>756819.06597968016</v>
          </cell>
        </row>
        <row r="164">
          <cell r="B164">
            <v>155</v>
          </cell>
          <cell r="BN164" t="e">
            <v>#N/A</v>
          </cell>
          <cell r="BR164" t="e">
            <v>#N/A</v>
          </cell>
        </row>
        <row r="165">
          <cell r="B165">
            <v>156</v>
          </cell>
          <cell r="BN165">
            <v>37330</v>
          </cell>
          <cell r="BR165">
            <v>307491.86000393698</v>
          </cell>
        </row>
        <row r="166">
          <cell r="B166">
            <v>157</v>
          </cell>
          <cell r="BN166">
            <v>37360</v>
          </cell>
          <cell r="BR166">
            <v>613922.73143217003</v>
          </cell>
        </row>
        <row r="167">
          <cell r="B167">
            <v>158</v>
          </cell>
          <cell r="BN167">
            <v>37270</v>
          </cell>
          <cell r="BR167">
            <v>7011330.1605472174</v>
          </cell>
        </row>
        <row r="168">
          <cell r="B168">
            <v>159</v>
          </cell>
          <cell r="BN168">
            <v>37210</v>
          </cell>
          <cell r="BR168">
            <v>2992789.0508918888</v>
          </cell>
        </row>
        <row r="169">
          <cell r="B169">
            <v>160</v>
          </cell>
          <cell r="BN169">
            <v>37002</v>
          </cell>
          <cell r="BR169">
            <v>1123193.4405549851</v>
          </cell>
        </row>
        <row r="170">
          <cell r="B170">
            <v>161</v>
          </cell>
          <cell r="BN170">
            <v>37082</v>
          </cell>
          <cell r="BR170">
            <v>705846.07610520208</v>
          </cell>
        </row>
        <row r="171">
          <cell r="B171">
            <v>162</v>
          </cell>
          <cell r="BN171">
            <v>37082</v>
          </cell>
          <cell r="BR171">
            <v>505143.88781544386</v>
          </cell>
        </row>
        <row r="172">
          <cell r="B172">
            <v>163</v>
          </cell>
          <cell r="BN172">
            <v>36979</v>
          </cell>
          <cell r="BR172">
            <v>88401.290462767894</v>
          </cell>
        </row>
        <row r="173">
          <cell r="B173">
            <v>164</v>
          </cell>
          <cell r="BN173">
            <v>36979</v>
          </cell>
          <cell r="BR173">
            <v>40836.053964411803</v>
          </cell>
        </row>
        <row r="174">
          <cell r="B174">
            <v>165</v>
          </cell>
          <cell r="BN174">
            <v>36979</v>
          </cell>
          <cell r="BR174">
            <v>0</v>
          </cell>
        </row>
        <row r="175">
          <cell r="B175">
            <v>166</v>
          </cell>
          <cell r="BN175">
            <v>36979</v>
          </cell>
          <cell r="BR175">
            <v>56207.296920020286</v>
          </cell>
        </row>
        <row r="176">
          <cell r="B176">
            <v>167</v>
          </cell>
          <cell r="BN176">
            <v>37180</v>
          </cell>
          <cell r="BR176">
            <v>379160.68997311994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한도관리2"/>
      <sheetName val="합동별편출입"/>
      <sheetName val="배당율"/>
      <sheetName val="한도관리"/>
      <sheetName val="한도관리3"/>
      <sheetName val="대출유가편출입"/>
      <sheetName val="basic_info"/>
      <sheetName val="분당임차변경"/>
      <sheetName val="담보평가"/>
      <sheetName val="주요 가정"/>
      <sheetName val="목표고객속보"/>
    </sheetNames>
    <sheetDataSet>
      <sheetData sheetId="0" refreshError="1">
        <row r="29">
          <cell r="B29">
            <v>0</v>
          </cell>
          <cell r="E29">
            <v>0</v>
          </cell>
        </row>
      </sheetData>
      <sheetData sheetId="1" refreshError="1">
        <row r="20">
          <cell r="B20">
            <v>0</v>
          </cell>
        </row>
        <row r="29">
          <cell r="B29">
            <v>0</v>
          </cell>
        </row>
      </sheetData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채권명세(최초제시)"/>
      <sheetName val="최초요약"/>
      <sheetName val="채권명세(5.25)"/>
      <sheetName val="5.25요약"/>
      <sheetName val="채권명세 (5.28)"/>
      <sheetName val="5.28요약"/>
      <sheetName val="추가명세(0529)"/>
      <sheetName val="추가명세(0531)"/>
      <sheetName val="추가명세(0601)"/>
      <sheetName val="0601총괄제시"/>
      <sheetName val="0529추가요약"/>
      <sheetName val="0531추가요약"/>
      <sheetName val="0601추가요약"/>
      <sheetName val="개인법인구분"/>
      <sheetName val="법원비용"/>
      <sheetName val="Sheet11"/>
      <sheetName val="배당율"/>
      <sheetName val="한도관리2"/>
      <sheetName val="합동별편출입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 t="str">
            <v>（주）대솔이엔아이　　　　　　</v>
          </cell>
          <cell r="C2" t="str">
            <v>1238159706</v>
          </cell>
          <cell r="D2" t="str">
            <v>법인</v>
          </cell>
        </row>
        <row r="3">
          <cell r="B3" t="str">
            <v>（주）대솔이엔아이　　　　　　</v>
          </cell>
          <cell r="C3" t="str">
            <v>1238159707</v>
          </cell>
          <cell r="D3" t="str">
            <v>법인</v>
          </cell>
        </row>
        <row r="4">
          <cell r="B4" t="str">
            <v>（주）대솔이엔아이　　　　　　</v>
          </cell>
          <cell r="C4" t="str">
            <v>1238159708</v>
          </cell>
          <cell r="D4" t="str">
            <v>법인</v>
          </cell>
        </row>
        <row r="5">
          <cell r="B5" t="str">
            <v>（주）대솔이엔아이　　　　　　</v>
          </cell>
          <cell r="C5" t="str">
            <v>1238159709</v>
          </cell>
          <cell r="D5" t="str">
            <v>법인</v>
          </cell>
        </row>
        <row r="6">
          <cell r="B6" t="str">
            <v>（주）범일특수금속　　　　　　</v>
          </cell>
          <cell r="C6" t="str">
            <v>1238159710</v>
          </cell>
          <cell r="D6" t="str">
            <v>법인</v>
          </cell>
        </row>
        <row r="7">
          <cell r="B7" t="str">
            <v>（주）범일특수금속　　　　　　</v>
          </cell>
          <cell r="C7" t="str">
            <v>1238159711</v>
          </cell>
          <cell r="D7" t="str">
            <v>법인</v>
          </cell>
        </row>
        <row r="8">
          <cell r="B8" t="str">
            <v>（주）범일특수금속　　　　　　</v>
          </cell>
          <cell r="C8" t="str">
            <v>1368117022</v>
          </cell>
          <cell r="D8" t="str">
            <v>법인</v>
          </cell>
        </row>
        <row r="9">
          <cell r="B9" t="str">
            <v>（주）범일특수금속　　　　　　</v>
          </cell>
          <cell r="C9" t="str">
            <v>1368117023</v>
          </cell>
          <cell r="D9" t="str">
            <v>법인</v>
          </cell>
        </row>
        <row r="10">
          <cell r="B10" t="str">
            <v>（주）범일특수금속　　　　　　</v>
          </cell>
          <cell r="C10" t="str">
            <v>1368117024</v>
          </cell>
          <cell r="D10" t="str">
            <v>법인</v>
          </cell>
        </row>
        <row r="11">
          <cell r="B11" t="str">
            <v>（주）범일특수금속　　　　　　</v>
          </cell>
          <cell r="C11" t="str">
            <v>1368117025</v>
          </cell>
          <cell r="D11" t="str">
            <v>법인</v>
          </cell>
        </row>
        <row r="12">
          <cell r="B12" t="str">
            <v>（주）범일특수금속　　　　　　</v>
          </cell>
          <cell r="C12" t="str">
            <v>1368117026</v>
          </cell>
          <cell r="D12" t="str">
            <v>법인</v>
          </cell>
        </row>
        <row r="13">
          <cell r="B13" t="str">
            <v>（주）삼호팀버　　　　　　　　</v>
          </cell>
          <cell r="C13" t="str">
            <v>1368117027</v>
          </cell>
          <cell r="D13" t="str">
            <v>법인</v>
          </cell>
        </row>
        <row r="14">
          <cell r="B14" t="str">
            <v>（주）삼호팀버　　　　　　　　</v>
          </cell>
          <cell r="C14" t="str">
            <v>1368126763</v>
          </cell>
          <cell r="D14" t="str">
            <v>법인</v>
          </cell>
        </row>
        <row r="15">
          <cell r="B15" t="str">
            <v>（주）삼호팀버　　　　　　　　</v>
          </cell>
          <cell r="C15" t="str">
            <v>1368126763</v>
          </cell>
          <cell r="D15" t="str">
            <v>법인</v>
          </cell>
        </row>
        <row r="16">
          <cell r="B16" t="str">
            <v>（주）삼호팀버　　　　　　　　</v>
          </cell>
          <cell r="C16" t="str">
            <v>1368126763</v>
          </cell>
          <cell r="D16" t="str">
            <v>법인</v>
          </cell>
        </row>
        <row r="17">
          <cell r="B17" t="str">
            <v>（주）삼호팀버　　　　　　　　</v>
          </cell>
          <cell r="C17" t="str">
            <v>1368126763</v>
          </cell>
          <cell r="D17" t="str">
            <v>법인</v>
          </cell>
        </row>
        <row r="18">
          <cell r="B18" t="str">
            <v>（주）삼호팀버　　　　　　　　</v>
          </cell>
          <cell r="C18" t="str">
            <v>1368126763</v>
          </cell>
          <cell r="D18" t="str">
            <v>법인</v>
          </cell>
        </row>
        <row r="19">
          <cell r="B19" t="str">
            <v>（주）삼호팀버　　　　　　　　</v>
          </cell>
          <cell r="C19" t="str">
            <v>1368126763</v>
          </cell>
          <cell r="D19" t="str">
            <v>법인</v>
          </cell>
        </row>
        <row r="20">
          <cell r="B20" t="str">
            <v>（주）삼호팀버　　　　　　　　</v>
          </cell>
          <cell r="C20" t="str">
            <v>1368126763</v>
          </cell>
          <cell r="D20" t="str">
            <v>법인</v>
          </cell>
        </row>
        <row r="21">
          <cell r="B21" t="str">
            <v>（주）에스엠코리아　　　　　　</v>
          </cell>
          <cell r="C21" t="str">
            <v>1378116986</v>
          </cell>
          <cell r="D21" t="str">
            <v>법인</v>
          </cell>
        </row>
        <row r="22">
          <cell r="B22" t="str">
            <v>（주）에스엠코리아　　　　　　</v>
          </cell>
          <cell r="C22" t="str">
            <v>1378116986</v>
          </cell>
          <cell r="D22" t="str">
            <v>법인</v>
          </cell>
        </row>
        <row r="23">
          <cell r="B23" t="str">
            <v>（주）에스엠코리아　　　　　　</v>
          </cell>
          <cell r="C23" t="str">
            <v>1378116986</v>
          </cell>
          <cell r="D23" t="str">
            <v>법인</v>
          </cell>
        </row>
        <row r="24">
          <cell r="B24" t="str">
            <v>（주）에스엠코리아　　　　　　</v>
          </cell>
          <cell r="C24" t="str">
            <v>1378116986</v>
          </cell>
          <cell r="D24" t="str">
            <v>법인</v>
          </cell>
        </row>
        <row r="25">
          <cell r="B25" t="str">
            <v>（주）에스엠코리아　　　　　　</v>
          </cell>
          <cell r="C25" t="str">
            <v>1378116986</v>
          </cell>
          <cell r="D25" t="str">
            <v>법인</v>
          </cell>
        </row>
        <row r="26">
          <cell r="B26" t="str">
            <v>（주）오남　　　　　　　　　　</v>
          </cell>
          <cell r="C26" t="str">
            <v>1278123326</v>
          </cell>
          <cell r="D26" t="str">
            <v>법인</v>
          </cell>
        </row>
        <row r="27">
          <cell r="B27" t="str">
            <v>（주）오남　　　　　　　　　　</v>
          </cell>
          <cell r="C27" t="str">
            <v>1278123326</v>
          </cell>
          <cell r="D27" t="str">
            <v>법인</v>
          </cell>
        </row>
        <row r="28">
          <cell r="B28" t="str">
            <v>（주）오남　　　　　　　　　　</v>
          </cell>
          <cell r="C28" t="str">
            <v>1278123326</v>
          </cell>
          <cell r="D28" t="str">
            <v>법인</v>
          </cell>
        </row>
        <row r="29">
          <cell r="B29" t="str">
            <v>（주）오남　　　　　　　　　　</v>
          </cell>
          <cell r="C29" t="str">
            <v>1278123326</v>
          </cell>
          <cell r="D29" t="str">
            <v>법인</v>
          </cell>
        </row>
        <row r="30">
          <cell r="B30" t="str">
            <v>（주）오남　　　　　　　　　　</v>
          </cell>
          <cell r="C30" t="str">
            <v>1278123326</v>
          </cell>
          <cell r="D30" t="str">
            <v>법인</v>
          </cell>
        </row>
        <row r="31">
          <cell r="B31" t="str">
            <v>（주）오남　　　　　　　　　　</v>
          </cell>
          <cell r="C31" t="str">
            <v>1278123326</v>
          </cell>
          <cell r="D31" t="str">
            <v>법인</v>
          </cell>
        </row>
        <row r="32">
          <cell r="B32" t="str">
            <v>（주）오남　　　　　　　　　　</v>
          </cell>
          <cell r="C32" t="str">
            <v>1278123326</v>
          </cell>
          <cell r="D32" t="str">
            <v>법인</v>
          </cell>
        </row>
        <row r="33">
          <cell r="B33" t="str">
            <v>（주）오남　　　　　　　　　　</v>
          </cell>
          <cell r="C33" t="str">
            <v>1278123326</v>
          </cell>
          <cell r="D33" t="str">
            <v>법인</v>
          </cell>
        </row>
        <row r="34">
          <cell r="B34" t="str">
            <v>（주）오남　　　　　　　　　　</v>
          </cell>
          <cell r="C34" t="str">
            <v>1278123326</v>
          </cell>
          <cell r="D34" t="str">
            <v>법인</v>
          </cell>
        </row>
        <row r="35">
          <cell r="B35" t="str">
            <v>（주）오남　　　　　　　　　　</v>
          </cell>
          <cell r="C35" t="str">
            <v>1278123326</v>
          </cell>
          <cell r="D35" t="str">
            <v>법인</v>
          </cell>
        </row>
        <row r="36">
          <cell r="B36" t="str">
            <v>（주）오남　　　　　　　　　　</v>
          </cell>
          <cell r="C36" t="str">
            <v>1278123326</v>
          </cell>
          <cell r="D36" t="str">
            <v>법인</v>
          </cell>
        </row>
        <row r="37">
          <cell r="B37" t="str">
            <v>（주）오남　　　　　　　　　　</v>
          </cell>
          <cell r="C37" t="str">
            <v>1278123326</v>
          </cell>
          <cell r="D37" t="str">
            <v>법인</v>
          </cell>
        </row>
        <row r="38">
          <cell r="B38" t="str">
            <v>（주）오남　　　　　　　　　　</v>
          </cell>
          <cell r="C38" t="str">
            <v>1278123326</v>
          </cell>
          <cell r="D38" t="str">
            <v>법인</v>
          </cell>
        </row>
        <row r="39">
          <cell r="B39" t="str">
            <v>（주）오남　　　　　　　　　　</v>
          </cell>
          <cell r="C39" t="str">
            <v>1278123326</v>
          </cell>
          <cell r="D39" t="str">
            <v>법인</v>
          </cell>
        </row>
        <row r="40">
          <cell r="B40" t="str">
            <v>（주）오남　　　　　　　　　　</v>
          </cell>
          <cell r="C40" t="str">
            <v>1278123326</v>
          </cell>
          <cell r="D40" t="str">
            <v>법인</v>
          </cell>
        </row>
        <row r="41">
          <cell r="B41" t="str">
            <v>（주）우림라텍스　　　　　　　</v>
          </cell>
          <cell r="C41" t="str">
            <v>3028109833</v>
          </cell>
          <cell r="D41" t="str">
            <v>법인</v>
          </cell>
        </row>
        <row r="42">
          <cell r="B42" t="str">
            <v>（주）우림라텍스　　　　　　　</v>
          </cell>
          <cell r="C42" t="str">
            <v>3028109833</v>
          </cell>
          <cell r="D42" t="str">
            <v>법인</v>
          </cell>
        </row>
        <row r="43">
          <cell r="B43" t="str">
            <v>（주）우림라텍스　　　　　　　</v>
          </cell>
          <cell r="C43" t="str">
            <v>3028109833</v>
          </cell>
          <cell r="D43" t="str">
            <v>법인</v>
          </cell>
        </row>
        <row r="44">
          <cell r="B44" t="str">
            <v>（주）우림라텍스　　　　　　　</v>
          </cell>
          <cell r="C44" t="str">
            <v>3028109833</v>
          </cell>
          <cell r="D44" t="str">
            <v>법인</v>
          </cell>
        </row>
        <row r="45">
          <cell r="B45" t="str">
            <v>（주）우림라텍스　　　　　　　</v>
          </cell>
          <cell r="C45" t="str">
            <v>3028109833</v>
          </cell>
          <cell r="D45" t="str">
            <v>법인</v>
          </cell>
        </row>
        <row r="46">
          <cell r="B46" t="str">
            <v>（주）우림라텍스　　　　　　　</v>
          </cell>
          <cell r="C46" t="str">
            <v>3028109833</v>
          </cell>
          <cell r="D46" t="str">
            <v>법인</v>
          </cell>
        </row>
        <row r="47">
          <cell r="B47" t="str">
            <v>（주）코리아리싸이트　　　　　</v>
          </cell>
          <cell r="C47" t="str">
            <v>1368114933</v>
          </cell>
          <cell r="D47" t="str">
            <v>법인</v>
          </cell>
        </row>
        <row r="48">
          <cell r="B48" t="str">
            <v>（주）코리아리싸이트　　　　　</v>
          </cell>
          <cell r="C48" t="str">
            <v>1368114933</v>
          </cell>
          <cell r="D48" t="str">
            <v>법인</v>
          </cell>
        </row>
        <row r="49">
          <cell r="B49" t="str">
            <v>（주）코리아리싸이트　　　　　</v>
          </cell>
          <cell r="C49" t="str">
            <v>1368114933</v>
          </cell>
          <cell r="D49" t="str">
            <v>법인</v>
          </cell>
        </row>
        <row r="50">
          <cell r="B50" t="str">
            <v>（주）한솔웨딩　　　　　　　　</v>
          </cell>
          <cell r="C50" t="str">
            <v>1148189190</v>
          </cell>
          <cell r="D50" t="str">
            <v>법인</v>
          </cell>
        </row>
        <row r="51">
          <cell r="B51" t="str">
            <v>（주）한양공영　　　　　　　　</v>
          </cell>
          <cell r="C51" t="str">
            <v>1358112946</v>
          </cell>
          <cell r="D51" t="str">
            <v>법인</v>
          </cell>
        </row>
        <row r="52">
          <cell r="B52" t="str">
            <v>（주）한양공영　　　　　　　　</v>
          </cell>
          <cell r="C52" t="str">
            <v>1358112946</v>
          </cell>
          <cell r="D52" t="str">
            <v>법인</v>
          </cell>
        </row>
        <row r="53">
          <cell r="B53" t="str">
            <v>（주）한양공영　　　　　　　　</v>
          </cell>
          <cell r="C53" t="str">
            <v>1358112946</v>
          </cell>
          <cell r="D53" t="str">
            <v>법인</v>
          </cell>
        </row>
        <row r="54">
          <cell r="B54" t="str">
            <v>（주）한양공영　　　　　　　　</v>
          </cell>
          <cell r="C54" t="str">
            <v>1358112946</v>
          </cell>
          <cell r="D54" t="str">
            <v>법인</v>
          </cell>
        </row>
        <row r="55">
          <cell r="B55" t="str">
            <v>（주）한양공영　　　　　　　　</v>
          </cell>
          <cell r="C55" t="str">
            <v>1358112946</v>
          </cell>
          <cell r="D55" t="str">
            <v>법인</v>
          </cell>
        </row>
        <row r="56">
          <cell r="B56" t="str">
            <v>（주）한양공영　　　　　　　　</v>
          </cell>
          <cell r="C56" t="str">
            <v>1358112946</v>
          </cell>
          <cell r="D56" t="str">
            <v>법인</v>
          </cell>
        </row>
        <row r="57">
          <cell r="B57" t="str">
            <v>（주）한양공영　　　　　　　　</v>
          </cell>
          <cell r="C57" t="str">
            <v>1358112946</v>
          </cell>
          <cell r="D57" t="str">
            <v>법인</v>
          </cell>
        </row>
        <row r="58">
          <cell r="B58" t="str">
            <v>（주）한양공영　　　　　　　　</v>
          </cell>
          <cell r="C58" t="str">
            <v>1358112946</v>
          </cell>
          <cell r="D58" t="str">
            <v>법인</v>
          </cell>
        </row>
        <row r="59">
          <cell r="B59" t="str">
            <v>（주）한양공영　　　　　　　　</v>
          </cell>
          <cell r="C59" t="str">
            <v>1358112946</v>
          </cell>
          <cell r="D59" t="str">
            <v>법인</v>
          </cell>
        </row>
        <row r="60">
          <cell r="B60" t="str">
            <v>（주）한양공영　　　　　　　　</v>
          </cell>
          <cell r="C60" t="str">
            <v>1358112946</v>
          </cell>
          <cell r="D60" t="str">
            <v>법인</v>
          </cell>
        </row>
        <row r="61">
          <cell r="B61" t="str">
            <v>（주）한양공영　　　　　　　　</v>
          </cell>
          <cell r="C61" t="str">
            <v>1358112946</v>
          </cell>
          <cell r="D61" t="str">
            <v>법인</v>
          </cell>
        </row>
        <row r="62">
          <cell r="B62" t="str">
            <v>（주）한양공영　　　　　　　　</v>
          </cell>
          <cell r="C62" t="str">
            <v>1358112946</v>
          </cell>
          <cell r="D62" t="str">
            <v>법인</v>
          </cell>
        </row>
        <row r="63">
          <cell r="B63" t="str">
            <v>（주）한양공영　　　　　　　　</v>
          </cell>
          <cell r="C63" t="str">
            <v>1358112946</v>
          </cell>
          <cell r="D63" t="str">
            <v>법인</v>
          </cell>
        </row>
        <row r="64">
          <cell r="B64" t="str">
            <v>（주）한양공영　　　　　　　　</v>
          </cell>
          <cell r="C64" t="str">
            <v>1358112946</v>
          </cell>
          <cell r="D64" t="str">
            <v>법인</v>
          </cell>
        </row>
        <row r="65">
          <cell r="B65" t="str">
            <v>（주）한양공영　　　　　　　　</v>
          </cell>
          <cell r="C65" t="str">
            <v>1358112946</v>
          </cell>
          <cell r="D65" t="str">
            <v>법인</v>
          </cell>
        </row>
        <row r="66">
          <cell r="B66" t="str">
            <v>（주）한양공영　　　　　　　　</v>
          </cell>
          <cell r="C66" t="str">
            <v>1358112946</v>
          </cell>
          <cell r="D66" t="str">
            <v>법인</v>
          </cell>
        </row>
        <row r="67">
          <cell r="B67" t="str">
            <v>（주）현대동케이블　　　　　　</v>
          </cell>
          <cell r="C67" t="str">
            <v>1068127290</v>
          </cell>
          <cell r="D67" t="str">
            <v>법인</v>
          </cell>
        </row>
        <row r="68">
          <cell r="B68" t="str">
            <v>（주）현대동케이블　　　　　　</v>
          </cell>
          <cell r="C68" t="str">
            <v>1068127290</v>
          </cell>
          <cell r="D68" t="str">
            <v>법인</v>
          </cell>
        </row>
        <row r="69">
          <cell r="B69" t="str">
            <v>（주）현대동케이블　　　　　　</v>
          </cell>
          <cell r="C69" t="str">
            <v>1068127290</v>
          </cell>
          <cell r="D69" t="str">
            <v>법인</v>
          </cell>
        </row>
        <row r="70">
          <cell r="B70" t="str">
            <v>（주）현대동케이블　　　　　　</v>
          </cell>
          <cell r="C70" t="str">
            <v>1068127290</v>
          </cell>
          <cell r="D70" t="str">
            <v>법인</v>
          </cell>
        </row>
        <row r="71">
          <cell r="B71" t="str">
            <v>（합명）평택운수사　　　　　　</v>
          </cell>
          <cell r="C71" t="str">
            <v>1258100045</v>
          </cell>
          <cell r="D71" t="str">
            <v>법인</v>
          </cell>
        </row>
        <row r="72">
          <cell r="B72" t="str">
            <v>（합명）평택운수사　　　　　　</v>
          </cell>
          <cell r="C72" t="str">
            <v>1258100045</v>
          </cell>
          <cell r="D72" t="str">
            <v>법인</v>
          </cell>
        </row>
        <row r="73">
          <cell r="B73" t="str">
            <v>강두희　　　　　　　　　　　　</v>
          </cell>
          <cell r="C73" t="str">
            <v>6209221226123</v>
          </cell>
          <cell r="D73" t="str">
            <v>개인</v>
          </cell>
        </row>
        <row r="74">
          <cell r="B74" t="str">
            <v>강장희　　　　　　　　　　　　</v>
          </cell>
          <cell r="C74" t="str">
            <v>6111171149615</v>
          </cell>
          <cell r="D74" t="str">
            <v>개인</v>
          </cell>
        </row>
        <row r="75">
          <cell r="B75" t="str">
            <v>강장희　　　　　　　　　　　　</v>
          </cell>
          <cell r="C75" t="str">
            <v>6111171149615</v>
          </cell>
          <cell r="D75" t="str">
            <v>개인</v>
          </cell>
        </row>
        <row r="76">
          <cell r="B76" t="str">
            <v>강중식　　　　　　　　　　　　</v>
          </cell>
          <cell r="C76" t="str">
            <v>4401291057714</v>
          </cell>
          <cell r="D76" t="str">
            <v>개인</v>
          </cell>
        </row>
        <row r="77">
          <cell r="B77" t="str">
            <v>고정순　　　　　　　　　　　　</v>
          </cell>
          <cell r="C77" t="str">
            <v>3611222489913</v>
          </cell>
          <cell r="D77" t="str">
            <v>개인</v>
          </cell>
        </row>
        <row r="78">
          <cell r="B78" t="str">
            <v>고정순　　　　　　　　　　　　</v>
          </cell>
          <cell r="C78" t="str">
            <v>3611222489913</v>
          </cell>
          <cell r="D78" t="str">
            <v>개인</v>
          </cell>
        </row>
        <row r="79">
          <cell r="B79" t="str">
            <v>광원산업（주）　　　　　　　　</v>
          </cell>
          <cell r="C79" t="str">
            <v>1248132923</v>
          </cell>
          <cell r="D79" t="str">
            <v>법인</v>
          </cell>
        </row>
        <row r="80">
          <cell r="B80" t="str">
            <v>광원산업（주）　　　　　　　　</v>
          </cell>
          <cell r="C80" t="str">
            <v>1248132923</v>
          </cell>
          <cell r="D80" t="str">
            <v>법인</v>
          </cell>
        </row>
        <row r="81">
          <cell r="B81" t="str">
            <v>광원산업（주）　　　　　　　　</v>
          </cell>
          <cell r="C81" t="str">
            <v>1248132923</v>
          </cell>
          <cell r="D81" t="str">
            <v>법인</v>
          </cell>
        </row>
        <row r="82">
          <cell r="B82" t="str">
            <v>광원산업（주）　　　　　　　　</v>
          </cell>
          <cell r="C82" t="str">
            <v>1248132923</v>
          </cell>
          <cell r="D82" t="str">
            <v>법인</v>
          </cell>
        </row>
        <row r="83">
          <cell r="B83" t="str">
            <v>광적산업송명석　　　　　　　　</v>
          </cell>
          <cell r="C83" t="str">
            <v>5404271063112</v>
          </cell>
          <cell r="D83" t="str">
            <v>개인</v>
          </cell>
        </row>
        <row r="84">
          <cell r="B84" t="str">
            <v>광적산업송명석　　　　　　　　</v>
          </cell>
          <cell r="C84" t="str">
            <v>5404271063112</v>
          </cell>
          <cell r="D84" t="str">
            <v>개인</v>
          </cell>
        </row>
        <row r="85">
          <cell r="B85" t="str">
            <v>광적산업송명석　　　　　　　　</v>
          </cell>
          <cell r="C85" t="str">
            <v>5404271063112</v>
          </cell>
          <cell r="D85" t="str">
            <v>개인</v>
          </cell>
        </row>
        <row r="86">
          <cell r="B86" t="str">
            <v>광적산업송명석　　　　　　　　</v>
          </cell>
          <cell r="C86" t="str">
            <v>5404271063112</v>
          </cell>
          <cell r="D86" t="str">
            <v>개인</v>
          </cell>
        </row>
        <row r="87">
          <cell r="B87" t="str">
            <v>광적산업송명석　　　　　　　　</v>
          </cell>
          <cell r="C87" t="str">
            <v>5404271063112</v>
          </cell>
          <cell r="D87" t="str">
            <v>개인</v>
          </cell>
        </row>
        <row r="88">
          <cell r="B88" t="str">
            <v>광적산업송명석　　　　　　　　</v>
          </cell>
          <cell r="C88" t="str">
            <v>5404271063112</v>
          </cell>
          <cell r="D88" t="str">
            <v>개인</v>
          </cell>
        </row>
        <row r="89">
          <cell r="B89" t="str">
            <v>광적산업송명석　　　　　　　　</v>
          </cell>
          <cell r="C89" t="str">
            <v>5404271063112</v>
          </cell>
          <cell r="D89" t="str">
            <v>개인</v>
          </cell>
        </row>
        <row r="90">
          <cell r="B90" t="str">
            <v>광적산업송명석　　　　　　　　</v>
          </cell>
          <cell r="C90" t="str">
            <v>5404271063112</v>
          </cell>
          <cell r="D90" t="str">
            <v>개인</v>
          </cell>
        </row>
        <row r="91">
          <cell r="B91" t="str">
            <v>광적산업송명석　　　　　　　　</v>
          </cell>
          <cell r="C91" t="str">
            <v>5404271063112</v>
          </cell>
          <cell r="D91" t="str">
            <v>개인</v>
          </cell>
        </row>
        <row r="92">
          <cell r="B92" t="str">
            <v>광적산업송명석　　　　　　　　</v>
          </cell>
          <cell r="C92" t="str">
            <v>5404271063112</v>
          </cell>
          <cell r="D92" t="str">
            <v>개인</v>
          </cell>
        </row>
        <row r="93">
          <cell r="B93" t="str">
            <v>광적산업송명석　　　　　　　　</v>
          </cell>
          <cell r="C93" t="str">
            <v>5404271063112</v>
          </cell>
          <cell r="D93" t="str">
            <v>개인</v>
          </cell>
        </row>
        <row r="94">
          <cell r="B94" t="str">
            <v>광적산업송명석　　　　　　　　</v>
          </cell>
          <cell r="C94" t="str">
            <v>5404271063112</v>
          </cell>
          <cell r="D94" t="str">
            <v>개인</v>
          </cell>
        </row>
        <row r="95">
          <cell r="B95" t="str">
            <v>광적산업송명석　　　　　　　　</v>
          </cell>
          <cell r="C95" t="str">
            <v>5404271063112</v>
          </cell>
          <cell r="D95" t="str">
            <v>개인</v>
          </cell>
        </row>
        <row r="96">
          <cell r="B96" t="str">
            <v>권영길　　　　　　　　　　　　</v>
          </cell>
          <cell r="C96" t="str">
            <v>5309091162810</v>
          </cell>
          <cell r="D96" t="str">
            <v>개인</v>
          </cell>
        </row>
        <row r="97">
          <cell r="B97" t="str">
            <v>김동종　　　　　　　　　　　　</v>
          </cell>
          <cell r="C97" t="str">
            <v>6810171802812</v>
          </cell>
          <cell r="D97" t="str">
            <v>개인</v>
          </cell>
        </row>
        <row r="98">
          <cell r="B98" t="str">
            <v>김병도　　　　　　　　　　　　</v>
          </cell>
          <cell r="C98" t="str">
            <v>5608081005514</v>
          </cell>
          <cell r="D98" t="str">
            <v>개인</v>
          </cell>
        </row>
        <row r="99">
          <cell r="B99" t="str">
            <v>김병도　　　　　　　　　　　　</v>
          </cell>
          <cell r="C99" t="str">
            <v>5608081005514</v>
          </cell>
          <cell r="D99" t="str">
            <v>개인</v>
          </cell>
        </row>
        <row r="100">
          <cell r="B100" t="str">
            <v>김병도　　　　　　　　　　　　</v>
          </cell>
          <cell r="C100" t="str">
            <v>5608081005514</v>
          </cell>
          <cell r="D100" t="str">
            <v>개인</v>
          </cell>
        </row>
        <row r="101">
          <cell r="B101" t="str">
            <v>김석규　　　　　　　　　　　　</v>
          </cell>
          <cell r="C101" t="str">
            <v>6001191321319</v>
          </cell>
          <cell r="D101" t="str">
            <v>개인</v>
          </cell>
        </row>
        <row r="102">
          <cell r="B102" t="str">
            <v>김수진　　　　　　　　　　　　</v>
          </cell>
          <cell r="C102" t="str">
            <v>6702102058315</v>
          </cell>
          <cell r="D102" t="str">
            <v>개인</v>
          </cell>
        </row>
        <row r="103">
          <cell r="B103" t="str">
            <v>김수진　　　　　　　　　　　　</v>
          </cell>
          <cell r="C103" t="str">
            <v>6702102058315</v>
          </cell>
          <cell r="D103" t="str">
            <v>개인</v>
          </cell>
        </row>
        <row r="104">
          <cell r="B104" t="str">
            <v>김수진　　　　　　　　　　　　</v>
          </cell>
          <cell r="C104" t="str">
            <v>6702102058315</v>
          </cell>
          <cell r="D104" t="str">
            <v>개인</v>
          </cell>
        </row>
        <row r="105">
          <cell r="B105" t="str">
            <v>김영선　　　　　　　　　　　　</v>
          </cell>
          <cell r="C105" t="str">
            <v>5911281573814</v>
          </cell>
          <cell r="D105" t="str">
            <v>개인</v>
          </cell>
        </row>
        <row r="106">
          <cell r="B106" t="str">
            <v>김영선　　　　　　　　　　　　</v>
          </cell>
          <cell r="C106" t="str">
            <v>5911281573814</v>
          </cell>
          <cell r="D106" t="str">
            <v>개인</v>
          </cell>
        </row>
        <row r="107">
          <cell r="B107" t="str">
            <v>김은주　　　　　　　　　　　　</v>
          </cell>
          <cell r="C107" t="str">
            <v>6909152067712</v>
          </cell>
          <cell r="D107" t="str">
            <v>개인</v>
          </cell>
        </row>
        <row r="108">
          <cell r="B108" t="str">
            <v>김은주　　　　　　　　　　　　</v>
          </cell>
          <cell r="C108" t="str">
            <v>6909152067712</v>
          </cell>
          <cell r="D108" t="str">
            <v>개인</v>
          </cell>
        </row>
        <row r="109">
          <cell r="B109" t="str">
            <v>김인숙　　　　　　　　　　　　</v>
          </cell>
          <cell r="C109" t="str">
            <v>6502152622423</v>
          </cell>
          <cell r="D109" t="str">
            <v>개인</v>
          </cell>
        </row>
        <row r="110">
          <cell r="B110" t="str">
            <v>김인숙　　　　　　　　　　　　</v>
          </cell>
          <cell r="C110" t="str">
            <v>6502152622423</v>
          </cell>
          <cell r="D110" t="str">
            <v>개인</v>
          </cell>
        </row>
        <row r="111">
          <cell r="B111" t="str">
            <v>김장복　　　　　　　　　　　　</v>
          </cell>
          <cell r="C111" t="str">
            <v>5709301226615</v>
          </cell>
          <cell r="D111" t="str">
            <v>개인</v>
          </cell>
        </row>
        <row r="112">
          <cell r="B112" t="str">
            <v>남상덕　　　　　　　　　　　　</v>
          </cell>
          <cell r="C112" t="str">
            <v>6504061068522</v>
          </cell>
          <cell r="D112" t="str">
            <v>개인</v>
          </cell>
        </row>
        <row r="113">
          <cell r="B113" t="str">
            <v>대지미도건설（주）　　　　　　</v>
          </cell>
          <cell r="C113" t="str">
            <v>1118104509</v>
          </cell>
          <cell r="D113" t="str">
            <v>법인</v>
          </cell>
        </row>
        <row r="114">
          <cell r="B114" t="str">
            <v>대지미도건설（주）　　　　　　</v>
          </cell>
          <cell r="C114" t="str">
            <v>1118104509</v>
          </cell>
          <cell r="D114" t="str">
            <v>법인</v>
          </cell>
        </row>
        <row r="115">
          <cell r="B115" t="str">
            <v>대지미도건설（주）　　　　　　</v>
          </cell>
          <cell r="C115" t="str">
            <v>1118104509</v>
          </cell>
          <cell r="D115" t="str">
            <v>법인</v>
          </cell>
        </row>
        <row r="116">
          <cell r="B116" t="str">
            <v>대지미도건설（주）　　　　　　</v>
          </cell>
          <cell r="C116" t="str">
            <v>1118104509</v>
          </cell>
          <cell r="D116" t="str">
            <v>법인</v>
          </cell>
        </row>
        <row r="117">
          <cell r="B117" t="str">
            <v>대창산업－심민자　　　　　　　</v>
          </cell>
          <cell r="C117" t="str">
            <v>7111252031225</v>
          </cell>
          <cell r="D117" t="str">
            <v>개인</v>
          </cell>
        </row>
        <row r="118">
          <cell r="B118" t="str">
            <v>대창산업－심민자　　　　　　　</v>
          </cell>
          <cell r="C118" t="str">
            <v>7111252031225</v>
          </cell>
          <cell r="D118" t="str">
            <v>개인</v>
          </cell>
        </row>
        <row r="119">
          <cell r="B119" t="str">
            <v>대창산업－심민자　　　　　　　</v>
          </cell>
          <cell r="C119" t="str">
            <v>7111252031225</v>
          </cell>
          <cell r="D119" t="str">
            <v>개인</v>
          </cell>
        </row>
        <row r="120">
          <cell r="B120" t="str">
            <v>맹청호　　　　　　　　　　　　</v>
          </cell>
          <cell r="C120" t="str">
            <v>5311201227110</v>
          </cell>
          <cell r="D120" t="str">
            <v>개인</v>
          </cell>
        </row>
        <row r="121">
          <cell r="B121" t="str">
            <v>맹청호　　　　　　　　　　　　</v>
          </cell>
          <cell r="C121" t="str">
            <v>5311201227110</v>
          </cell>
          <cell r="D121" t="str">
            <v>개인</v>
          </cell>
        </row>
        <row r="122">
          <cell r="B122" t="str">
            <v>박성남　　　　　　　　　　　　</v>
          </cell>
          <cell r="C122" t="str">
            <v>5807221227125</v>
          </cell>
          <cell r="D122" t="str">
            <v>개인</v>
          </cell>
        </row>
        <row r="123">
          <cell r="B123" t="str">
            <v>박성남　　　　　　　　　　　　</v>
          </cell>
          <cell r="C123" t="str">
            <v>5807221227125</v>
          </cell>
          <cell r="D123" t="str">
            <v>개인</v>
          </cell>
        </row>
        <row r="124">
          <cell r="B124" t="str">
            <v>박성남　　　　　　　　　　　　</v>
          </cell>
          <cell r="C124" t="str">
            <v>5807221227125</v>
          </cell>
          <cell r="D124" t="str">
            <v>개인</v>
          </cell>
        </row>
        <row r="125">
          <cell r="B125" t="str">
            <v>박숙영　　　　　　　　　　　　</v>
          </cell>
          <cell r="C125" t="str">
            <v>5707212178118</v>
          </cell>
          <cell r="D125" t="str">
            <v>개인</v>
          </cell>
        </row>
        <row r="126">
          <cell r="B126" t="str">
            <v>박영진　　　　　　　　　　　　</v>
          </cell>
          <cell r="C126" t="str">
            <v>4207121249114</v>
          </cell>
          <cell r="D126" t="str">
            <v>개인</v>
          </cell>
        </row>
        <row r="127">
          <cell r="B127" t="str">
            <v>박영진　　　　　　　　　　　　</v>
          </cell>
          <cell r="C127" t="str">
            <v>4207121249114</v>
          </cell>
          <cell r="D127" t="str">
            <v>개인</v>
          </cell>
        </row>
        <row r="128">
          <cell r="B128" t="str">
            <v>박영진　　　　　　　　　　　　</v>
          </cell>
          <cell r="C128" t="str">
            <v>4207121249114</v>
          </cell>
          <cell r="D128" t="str">
            <v>개인</v>
          </cell>
        </row>
        <row r="129">
          <cell r="B129" t="str">
            <v>박의호　　　　　　　　　　　　</v>
          </cell>
          <cell r="C129" t="str">
            <v>6409091683818</v>
          </cell>
          <cell r="D129" t="str">
            <v>개인</v>
          </cell>
        </row>
        <row r="130">
          <cell r="B130" t="str">
            <v>박의호　　　　　　　　　　　　</v>
          </cell>
          <cell r="C130" t="str">
            <v>6409091683818</v>
          </cell>
          <cell r="D130" t="str">
            <v>개인</v>
          </cell>
        </row>
        <row r="131">
          <cell r="B131" t="str">
            <v>박장호　　　　　　　　　　　　</v>
          </cell>
          <cell r="C131" t="str">
            <v>7509301105515</v>
          </cell>
          <cell r="D131" t="str">
            <v>개인</v>
          </cell>
        </row>
        <row r="132">
          <cell r="B132" t="str">
            <v>박재준　　　　　　　　　　　　</v>
          </cell>
          <cell r="C132" t="str">
            <v>4409151350921</v>
          </cell>
          <cell r="D132" t="str">
            <v>개인</v>
          </cell>
        </row>
        <row r="133">
          <cell r="B133" t="str">
            <v>백관선　　　　　　　　　　　　</v>
          </cell>
          <cell r="C133" t="str">
            <v>5402171226110</v>
          </cell>
          <cell r="D133" t="str">
            <v>개인</v>
          </cell>
        </row>
        <row r="134">
          <cell r="B134" t="str">
            <v>백관선　　　　　　　　　　　　</v>
          </cell>
          <cell r="C134" t="str">
            <v>5402171226110</v>
          </cell>
          <cell r="D134" t="str">
            <v>개인</v>
          </cell>
        </row>
        <row r="135">
          <cell r="B135" t="str">
            <v>백산기전（주）　　　　　　　　</v>
          </cell>
          <cell r="C135" t="str">
            <v>1298133359</v>
          </cell>
          <cell r="D135" t="str">
            <v>법인</v>
          </cell>
        </row>
        <row r="136">
          <cell r="B136" t="str">
            <v>백산기전（주）　　　　　　　　</v>
          </cell>
          <cell r="C136" t="str">
            <v>1298133359</v>
          </cell>
          <cell r="D136" t="str">
            <v>법인</v>
          </cell>
        </row>
        <row r="137">
          <cell r="B137" t="str">
            <v>백산기전（주）　　　　　　　　</v>
          </cell>
          <cell r="C137" t="str">
            <v>1298133359</v>
          </cell>
          <cell r="D137" t="str">
            <v>법인</v>
          </cell>
        </row>
        <row r="138">
          <cell r="B138" t="str">
            <v>백산기전（주）　　　　　　　　</v>
          </cell>
          <cell r="C138" t="str">
            <v>1298133359</v>
          </cell>
          <cell r="D138" t="str">
            <v>법인</v>
          </cell>
        </row>
        <row r="139">
          <cell r="B139" t="str">
            <v>백산기전（주）　　　　　　　　</v>
          </cell>
          <cell r="C139" t="str">
            <v>1298133359</v>
          </cell>
          <cell r="D139" t="str">
            <v>법인</v>
          </cell>
        </row>
        <row r="140">
          <cell r="B140" t="str">
            <v>백산기전（주）　　　　　　　　</v>
          </cell>
          <cell r="C140" t="str">
            <v>1298133359</v>
          </cell>
          <cell r="D140" t="str">
            <v>법인</v>
          </cell>
        </row>
        <row r="141">
          <cell r="B141" t="str">
            <v>백산기전（주）　　　　　　　　</v>
          </cell>
          <cell r="C141" t="str">
            <v>1298133359</v>
          </cell>
          <cell r="D141" t="str">
            <v>법인</v>
          </cell>
        </row>
        <row r="142">
          <cell r="B142" t="str">
            <v>서승호　　　　　　　　　　　　</v>
          </cell>
          <cell r="C142" t="str">
            <v>3603101009110</v>
          </cell>
          <cell r="D142" t="str">
            <v>개인</v>
          </cell>
        </row>
        <row r="143">
          <cell r="B143" t="str">
            <v>서평산업개발（주）　　　　　　</v>
          </cell>
          <cell r="C143" t="str">
            <v>1258125600</v>
          </cell>
          <cell r="D143" t="str">
            <v>법인</v>
          </cell>
        </row>
        <row r="144">
          <cell r="B144" t="str">
            <v>서평산업개발（주）　　　　　　</v>
          </cell>
          <cell r="C144" t="str">
            <v>1258125600</v>
          </cell>
          <cell r="D144" t="str">
            <v>법인</v>
          </cell>
        </row>
        <row r="145">
          <cell r="B145" t="str">
            <v>송갑순　　　　　　　　　　　　</v>
          </cell>
          <cell r="C145" t="str">
            <v>1403182238912</v>
          </cell>
          <cell r="D145" t="str">
            <v>개인</v>
          </cell>
        </row>
        <row r="146">
          <cell r="B146" t="str">
            <v>송갑순　　　　　　　　　　　　</v>
          </cell>
          <cell r="C146" t="str">
            <v>1403182238912</v>
          </cell>
          <cell r="D146" t="str">
            <v>개인</v>
          </cell>
        </row>
        <row r="147">
          <cell r="B147" t="str">
            <v>신미선　　　　　　　　　　　　</v>
          </cell>
          <cell r="C147" t="str">
            <v>5911072168334</v>
          </cell>
          <cell r="D147" t="str">
            <v>개인</v>
          </cell>
        </row>
        <row r="148">
          <cell r="B148" t="str">
            <v>심도가스대표주용남　　　　　　</v>
          </cell>
          <cell r="C148" t="str">
            <v>5205271255412</v>
          </cell>
          <cell r="D148" t="str">
            <v>개인</v>
          </cell>
        </row>
        <row r="149">
          <cell r="B149" t="str">
            <v>심도가스대표주용남　　　　　　</v>
          </cell>
          <cell r="C149" t="str">
            <v>5205271255412</v>
          </cell>
          <cell r="D149" t="str">
            <v>개인</v>
          </cell>
        </row>
        <row r="150">
          <cell r="B150" t="str">
            <v>심도가스대표주용남　　　　　　</v>
          </cell>
          <cell r="C150" t="str">
            <v>5205271255412</v>
          </cell>
          <cell r="D150" t="str">
            <v>개인</v>
          </cell>
        </row>
        <row r="151">
          <cell r="B151" t="str">
            <v>심도가스대표주용남　　　　　　</v>
          </cell>
          <cell r="C151" t="str">
            <v>5205271255412</v>
          </cell>
          <cell r="D151" t="str">
            <v>개인</v>
          </cell>
        </row>
        <row r="152">
          <cell r="B152" t="str">
            <v>심도가스대표주용남　　　　　　</v>
          </cell>
          <cell r="C152" t="str">
            <v>5205271255412</v>
          </cell>
          <cell r="D152" t="str">
            <v>개인</v>
          </cell>
        </row>
        <row r="153">
          <cell r="B153" t="str">
            <v>심도가스대표주용남　　　　　　</v>
          </cell>
          <cell r="C153" t="str">
            <v>5205271255412</v>
          </cell>
          <cell r="D153" t="str">
            <v>개인</v>
          </cell>
        </row>
        <row r="154">
          <cell r="B154" t="str">
            <v>심도가스대표주용남　　　　　　</v>
          </cell>
          <cell r="C154" t="str">
            <v>5205271255412</v>
          </cell>
          <cell r="D154" t="str">
            <v>개인</v>
          </cell>
        </row>
        <row r="155">
          <cell r="B155" t="str">
            <v>심재선　　　　　　　　　　　　</v>
          </cell>
          <cell r="C155" t="str">
            <v>6312031538922</v>
          </cell>
          <cell r="D155" t="str">
            <v>개인</v>
          </cell>
        </row>
        <row r="156">
          <cell r="B156" t="str">
            <v>양기현　　　　　　　　　　　　</v>
          </cell>
          <cell r="C156" t="str">
            <v>4204191559811</v>
          </cell>
          <cell r="D156" t="str">
            <v>개인</v>
          </cell>
        </row>
        <row r="157">
          <cell r="B157" t="str">
            <v>양기현　　　　　　　　　　　　</v>
          </cell>
          <cell r="C157" t="str">
            <v>4204191559811</v>
          </cell>
          <cell r="D157" t="str">
            <v>개인</v>
          </cell>
        </row>
        <row r="158">
          <cell r="B158" t="str">
            <v>양기현　　　　　　　　　　　　</v>
          </cell>
          <cell r="C158" t="str">
            <v>4204191559811</v>
          </cell>
          <cell r="D158" t="str">
            <v>개인</v>
          </cell>
        </row>
        <row r="159">
          <cell r="B159" t="str">
            <v>오복례　　　　　　　　　　　　</v>
          </cell>
          <cell r="C159" t="str">
            <v>4205102221712</v>
          </cell>
          <cell r="D159" t="str">
            <v>개인</v>
          </cell>
        </row>
        <row r="160">
          <cell r="B160" t="str">
            <v>오복례　　　　　　　　　　　　</v>
          </cell>
          <cell r="C160" t="str">
            <v>4205102221712</v>
          </cell>
          <cell r="D160" t="str">
            <v>개인</v>
          </cell>
        </row>
        <row r="161">
          <cell r="B161" t="str">
            <v>이상호　　　　　　　　　　　　</v>
          </cell>
          <cell r="C161" t="str">
            <v>2202101079317</v>
          </cell>
          <cell r="D161" t="str">
            <v>개인</v>
          </cell>
        </row>
        <row r="162">
          <cell r="B162" t="str">
            <v>이상호　　　　　　　　　　　　</v>
          </cell>
          <cell r="C162" t="str">
            <v>2202101079317</v>
          </cell>
          <cell r="D162" t="str">
            <v>개인</v>
          </cell>
        </row>
        <row r="163">
          <cell r="B163" t="str">
            <v>이수원　　　　　　　　　　　　</v>
          </cell>
          <cell r="C163" t="str">
            <v>6010101800911</v>
          </cell>
          <cell r="D163" t="str">
            <v>개인</v>
          </cell>
        </row>
        <row r="164">
          <cell r="B164" t="str">
            <v>이순길　　　　　　　　　　　　</v>
          </cell>
          <cell r="C164" t="str">
            <v>5503191238822</v>
          </cell>
          <cell r="D164" t="str">
            <v>개인</v>
          </cell>
        </row>
        <row r="165">
          <cell r="B165" t="str">
            <v>이신훈　　　　　　　　　　　　</v>
          </cell>
          <cell r="C165" t="str">
            <v>5809101401016</v>
          </cell>
          <cell r="D165" t="str">
            <v>개인</v>
          </cell>
        </row>
        <row r="166">
          <cell r="B166" t="str">
            <v>이신훈　　　　　　　　　　　　</v>
          </cell>
          <cell r="C166" t="str">
            <v>5809101401016</v>
          </cell>
          <cell r="D166" t="str">
            <v>개인</v>
          </cell>
        </row>
        <row r="167">
          <cell r="B167" t="str">
            <v>이종천－세원산업　　　　　　　</v>
          </cell>
          <cell r="C167" t="str">
            <v>6110131251211</v>
          </cell>
          <cell r="D167" t="str">
            <v>개인</v>
          </cell>
        </row>
        <row r="168">
          <cell r="B168" t="str">
            <v>이종천－세원산업　　　　　　　</v>
          </cell>
          <cell r="C168" t="str">
            <v>6110131251211</v>
          </cell>
          <cell r="D168" t="str">
            <v>개인</v>
          </cell>
        </row>
        <row r="169">
          <cell r="B169" t="str">
            <v>이주현　　　　　　　　　　　　</v>
          </cell>
          <cell r="C169" t="str">
            <v>6603232005818</v>
          </cell>
          <cell r="D169" t="str">
            <v>개인</v>
          </cell>
        </row>
        <row r="170">
          <cell r="B170" t="str">
            <v>이주현　　　　　　　　　　　　</v>
          </cell>
          <cell r="C170" t="str">
            <v>6603232005818</v>
          </cell>
          <cell r="D170" t="str">
            <v>개인</v>
          </cell>
        </row>
        <row r="171">
          <cell r="B171" t="str">
            <v>이주현　　　　　　　　　　　　</v>
          </cell>
          <cell r="C171" t="str">
            <v>6603232005818</v>
          </cell>
          <cell r="D171" t="str">
            <v>개인</v>
          </cell>
        </row>
        <row r="172">
          <cell r="B172" t="str">
            <v>이해준－서울산업　　　　　　　</v>
          </cell>
          <cell r="C172" t="str">
            <v>4904201155210</v>
          </cell>
          <cell r="D172" t="str">
            <v>개인</v>
          </cell>
        </row>
        <row r="173">
          <cell r="B173" t="str">
            <v>이화수　　　　　　　　　　　　</v>
          </cell>
          <cell r="C173" t="str">
            <v>6108261144110</v>
          </cell>
          <cell r="D173" t="str">
            <v>개인</v>
          </cell>
        </row>
        <row r="174">
          <cell r="B174" t="str">
            <v>이화수　　　　　　　　　　　　</v>
          </cell>
          <cell r="C174" t="str">
            <v>6108261144110</v>
          </cell>
          <cell r="D174" t="str">
            <v>개인</v>
          </cell>
        </row>
        <row r="175">
          <cell r="B175" t="str">
            <v>임향미　　　　　　　　　　　　</v>
          </cell>
          <cell r="C175" t="str">
            <v>6711232226113</v>
          </cell>
          <cell r="D175" t="str">
            <v>개인</v>
          </cell>
        </row>
        <row r="176">
          <cell r="B176" t="str">
            <v>임향미　　　　　　　　　　　　</v>
          </cell>
          <cell r="C176" t="str">
            <v>6711232226113</v>
          </cell>
          <cell r="D176" t="str">
            <v>개인</v>
          </cell>
        </row>
        <row r="177">
          <cell r="B177" t="str">
            <v>임향미　　　　　　　　　　　　</v>
          </cell>
          <cell r="C177" t="str">
            <v>6711232226113</v>
          </cell>
          <cell r="D177" t="str">
            <v>개인</v>
          </cell>
        </row>
        <row r="178">
          <cell r="B178" t="str">
            <v>임향미　　　　　　　　　　　　</v>
          </cell>
          <cell r="C178" t="str">
            <v>6711232226113</v>
          </cell>
          <cell r="D178" t="str">
            <v>개인</v>
          </cell>
        </row>
        <row r="179">
          <cell r="B179" t="str">
            <v>장동영　　　　　　　　　　　　</v>
          </cell>
          <cell r="C179" t="str">
            <v>6502131251514</v>
          </cell>
          <cell r="D179" t="str">
            <v>개인</v>
          </cell>
        </row>
        <row r="180">
          <cell r="B180" t="str">
            <v>장동영　　　　　　　　　　　　</v>
          </cell>
          <cell r="C180" t="str">
            <v>6502131251514</v>
          </cell>
          <cell r="D180" t="str">
            <v>개인</v>
          </cell>
        </row>
        <row r="181">
          <cell r="B181" t="str">
            <v>정광개발（주）　　　　　　　　</v>
          </cell>
          <cell r="C181" t="str">
            <v>1318146070</v>
          </cell>
          <cell r="D181" t="str">
            <v>법인</v>
          </cell>
        </row>
        <row r="182">
          <cell r="B182" t="str">
            <v>정광개발（주）　　　　　　　　</v>
          </cell>
          <cell r="C182" t="str">
            <v>1318146070</v>
          </cell>
          <cell r="D182" t="str">
            <v>법인</v>
          </cell>
        </row>
        <row r="183">
          <cell r="B183" t="str">
            <v>정광개발（주）　　　　　　　　</v>
          </cell>
          <cell r="C183" t="str">
            <v>1318146070</v>
          </cell>
          <cell r="D183" t="str">
            <v>법인</v>
          </cell>
        </row>
        <row r="184">
          <cell r="B184" t="str">
            <v>정광개발（주）　　　　　　　　</v>
          </cell>
          <cell r="C184" t="str">
            <v>1318146070</v>
          </cell>
          <cell r="D184" t="str">
            <v>법인</v>
          </cell>
        </row>
        <row r="185">
          <cell r="B185" t="str">
            <v>정성범　　　　　　　　　　　　</v>
          </cell>
          <cell r="C185" t="str">
            <v>7505181168028</v>
          </cell>
          <cell r="D185" t="str">
            <v>개인</v>
          </cell>
        </row>
        <row r="186">
          <cell r="B186" t="str">
            <v>정우섬유－승영남　　　　　　　</v>
          </cell>
          <cell r="C186" t="str">
            <v>5304101010315</v>
          </cell>
          <cell r="D186" t="str">
            <v>개인</v>
          </cell>
        </row>
        <row r="187">
          <cell r="B187" t="str">
            <v>정우섬유－승영남　　　　　　　</v>
          </cell>
          <cell r="C187" t="str">
            <v>5304101010315</v>
          </cell>
          <cell r="D187" t="str">
            <v>개인</v>
          </cell>
        </row>
        <row r="188">
          <cell r="B188" t="str">
            <v>정우섬유－승영남　　　　　　　</v>
          </cell>
          <cell r="C188" t="str">
            <v>5304101010315</v>
          </cell>
          <cell r="D188" t="str">
            <v>개인</v>
          </cell>
        </row>
        <row r="189">
          <cell r="B189" t="str">
            <v>정우섬유－승영남　　　　　　　</v>
          </cell>
          <cell r="C189" t="str">
            <v>5304101010315</v>
          </cell>
          <cell r="D189" t="str">
            <v>개인</v>
          </cell>
        </row>
        <row r="190">
          <cell r="B190" t="str">
            <v>정호일　　　　　　　　　　　　</v>
          </cell>
          <cell r="C190" t="str">
            <v>6802271233417</v>
          </cell>
          <cell r="D190" t="str">
            <v>개인</v>
          </cell>
        </row>
        <row r="191">
          <cell r="B191" t="str">
            <v>정호일　　　　　　　　　　　　</v>
          </cell>
          <cell r="C191" t="str">
            <v>6802271233417</v>
          </cell>
          <cell r="D191" t="str">
            <v>개인</v>
          </cell>
        </row>
        <row r="192">
          <cell r="B192" t="str">
            <v>정환기　　　　　　　　　　　　</v>
          </cell>
          <cell r="C192" t="str">
            <v>6212181535911</v>
          </cell>
          <cell r="D192" t="str">
            <v>개인</v>
          </cell>
        </row>
        <row r="193">
          <cell r="B193" t="str">
            <v>정환기　　　　　　　　　　　　</v>
          </cell>
          <cell r="C193" t="str">
            <v>6212181535911</v>
          </cell>
          <cell r="D193" t="str">
            <v>개인</v>
          </cell>
        </row>
        <row r="194">
          <cell r="B194" t="str">
            <v>최수철　　　　　　　　　　　　</v>
          </cell>
          <cell r="C194" t="str">
            <v>5908101074618</v>
          </cell>
          <cell r="D194" t="str">
            <v>개인</v>
          </cell>
        </row>
        <row r="195">
          <cell r="B195" t="str">
            <v>최수철　　　　　　　　　　　　</v>
          </cell>
          <cell r="C195" t="str">
            <v>5908101074618</v>
          </cell>
          <cell r="D195" t="str">
            <v>개인</v>
          </cell>
        </row>
        <row r="196">
          <cell r="B196" t="str">
            <v>최수철　　　　　　　　　　　　</v>
          </cell>
          <cell r="C196" t="str">
            <v>5908101074618</v>
          </cell>
          <cell r="D196" t="str">
            <v>개인</v>
          </cell>
        </row>
        <row r="197">
          <cell r="B197" t="str">
            <v>최영순　　　　　　　　　　　　</v>
          </cell>
          <cell r="C197" t="str">
            <v>6602252069621</v>
          </cell>
          <cell r="D197" t="str">
            <v>개인</v>
          </cell>
        </row>
        <row r="198">
          <cell r="B198" t="str">
            <v>최용태　　　　　　　　　　　　</v>
          </cell>
          <cell r="C198" t="str">
            <v>5912211058431</v>
          </cell>
          <cell r="D198" t="str">
            <v>개인</v>
          </cell>
        </row>
        <row r="199">
          <cell r="B199" t="str">
            <v>최종선　　　　　　　　　　　　</v>
          </cell>
          <cell r="C199" t="str">
            <v>5910081046428</v>
          </cell>
          <cell r="D199" t="str">
            <v>개인</v>
          </cell>
        </row>
        <row r="200">
          <cell r="B200" t="str">
            <v>최종선　　　　　　　　　　　　</v>
          </cell>
          <cell r="C200" t="str">
            <v>5910081046428</v>
          </cell>
          <cell r="D200" t="str">
            <v>개인</v>
          </cell>
        </row>
        <row r="201">
          <cell r="B201" t="str">
            <v>최종선　　　　　　　　　　　　</v>
          </cell>
          <cell r="C201" t="str">
            <v>5910081046428</v>
          </cell>
          <cell r="D201" t="str">
            <v>개인</v>
          </cell>
        </row>
        <row r="202">
          <cell r="B202" t="str">
            <v>최창선　　　　　　　　　　　　</v>
          </cell>
          <cell r="C202" t="str">
            <v>5303121144216</v>
          </cell>
          <cell r="D202" t="str">
            <v>개인</v>
          </cell>
        </row>
        <row r="203">
          <cell r="B203" t="str">
            <v>최창선　　　　　　　　　　　　</v>
          </cell>
          <cell r="C203" t="str">
            <v>5303121144216</v>
          </cell>
          <cell r="D203" t="str">
            <v>개인</v>
          </cell>
        </row>
        <row r="204">
          <cell r="B204" t="str">
            <v>한명심　　　　　　　　　　　　</v>
          </cell>
          <cell r="C204" t="str">
            <v>6006262665721</v>
          </cell>
          <cell r="D204" t="str">
            <v>개인</v>
          </cell>
        </row>
        <row r="205">
          <cell r="B205" t="str">
            <v>한명심　　　　　　　　　　　　</v>
          </cell>
          <cell r="C205" t="str">
            <v>6006262665721</v>
          </cell>
          <cell r="D205" t="str">
            <v>개인</v>
          </cell>
        </row>
        <row r="206">
          <cell r="B206" t="str">
            <v xml:space="preserve">（주）클리닉죤　　　　　　　　  </v>
          </cell>
          <cell r="C206">
            <v>1058615535</v>
          </cell>
          <cell r="D206" t="str">
            <v>법인</v>
          </cell>
        </row>
        <row r="207">
          <cell r="B207" t="str">
            <v xml:space="preserve">（주）파워테크라인　　　　　　  </v>
          </cell>
          <cell r="C207">
            <v>1088117482</v>
          </cell>
          <cell r="D207" t="str">
            <v>법인</v>
          </cell>
        </row>
        <row r="208">
          <cell r="B208" t="str">
            <v xml:space="preserve">（주）파워테크라인　　　　　　  </v>
          </cell>
          <cell r="C208">
            <v>1088117482</v>
          </cell>
          <cell r="D208" t="str">
            <v>법인</v>
          </cell>
        </row>
        <row r="209">
          <cell r="B209" t="str">
            <v xml:space="preserve">（주）파워테크라인　　　　　　  </v>
          </cell>
          <cell r="C209">
            <v>1088117482</v>
          </cell>
          <cell r="D209" t="str">
            <v>법인</v>
          </cell>
        </row>
        <row r="210">
          <cell r="B210" t="str">
            <v xml:space="preserve">（주）파워테크라인　　　　　　  </v>
          </cell>
          <cell r="C210">
            <v>1088117482</v>
          </cell>
          <cell r="D210" t="str">
            <v>법인</v>
          </cell>
        </row>
        <row r="211">
          <cell r="B211" t="str">
            <v xml:space="preserve">（주）디에스아이통신　　　　　  </v>
          </cell>
          <cell r="C211">
            <v>1098144167</v>
          </cell>
          <cell r="D211" t="str">
            <v>법인</v>
          </cell>
        </row>
        <row r="212">
          <cell r="B212" t="str">
            <v xml:space="preserve">（주）디에스아이통신　　　　　  </v>
          </cell>
          <cell r="C212">
            <v>1098144167</v>
          </cell>
          <cell r="D212" t="str">
            <v>법인</v>
          </cell>
        </row>
        <row r="213">
          <cell r="B213" t="str">
            <v xml:space="preserve">（주）디에스아이통신　　　　　  </v>
          </cell>
          <cell r="C213">
            <v>1098144167</v>
          </cell>
          <cell r="D213" t="str">
            <v>법인</v>
          </cell>
        </row>
        <row r="214">
          <cell r="B214" t="str">
            <v xml:space="preserve">（주）디에스아이통신　　　　　  </v>
          </cell>
          <cell r="C214">
            <v>1098144167</v>
          </cell>
          <cell r="D214" t="str">
            <v>법인</v>
          </cell>
        </row>
        <row r="215">
          <cell r="B215" t="str">
            <v xml:space="preserve">（주）디에스아이통신　　　　　  </v>
          </cell>
          <cell r="C215">
            <v>1098144167</v>
          </cell>
          <cell r="D215" t="str">
            <v>법인</v>
          </cell>
        </row>
        <row r="216">
          <cell r="B216" t="str">
            <v xml:space="preserve">（주）디에스아이통신　　　　　  </v>
          </cell>
          <cell r="C216">
            <v>1098144167</v>
          </cell>
          <cell r="D216" t="str">
            <v>법인</v>
          </cell>
        </row>
        <row r="217">
          <cell r="B217" t="str">
            <v xml:space="preserve">（주）디에스아이통신　　　　　  </v>
          </cell>
          <cell r="C217">
            <v>1098144167</v>
          </cell>
          <cell r="D217" t="str">
            <v>법인</v>
          </cell>
        </row>
        <row r="218">
          <cell r="B218" t="str">
            <v xml:space="preserve">（주）디에스아이통신　　　　　  </v>
          </cell>
          <cell r="C218">
            <v>1098144167</v>
          </cell>
          <cell r="D218" t="str">
            <v>법인</v>
          </cell>
        </row>
        <row r="219">
          <cell r="B219" t="str">
            <v xml:space="preserve">（주）디에스아이통신　　　　　  </v>
          </cell>
          <cell r="C219">
            <v>1098144167</v>
          </cell>
          <cell r="D219" t="str">
            <v>법인</v>
          </cell>
        </row>
        <row r="220">
          <cell r="B220" t="str">
            <v xml:space="preserve">（주）디에스아이통신　　　　　  </v>
          </cell>
          <cell r="C220">
            <v>1098144167</v>
          </cell>
          <cell r="D220" t="str">
            <v>법인</v>
          </cell>
        </row>
        <row r="221">
          <cell r="B221" t="str">
            <v xml:space="preserve">（주）디에스아이통신　　　　　  </v>
          </cell>
          <cell r="C221">
            <v>1098144167</v>
          </cell>
          <cell r="D221" t="str">
            <v>법인</v>
          </cell>
        </row>
        <row r="222">
          <cell r="B222" t="str">
            <v xml:space="preserve">（주）디에스아이통신　　　　　  </v>
          </cell>
          <cell r="C222">
            <v>1098144167</v>
          </cell>
          <cell r="D222" t="str">
            <v>법인</v>
          </cell>
        </row>
        <row r="223">
          <cell r="B223" t="str">
            <v xml:space="preserve">（주）디에스아이통신　　　　　  </v>
          </cell>
          <cell r="C223">
            <v>1098144167</v>
          </cell>
          <cell r="D223" t="str">
            <v>법인</v>
          </cell>
        </row>
        <row r="224">
          <cell r="B224" t="str">
            <v xml:space="preserve">（주）디에스아이통신　　　　　  </v>
          </cell>
          <cell r="C224">
            <v>1098144167</v>
          </cell>
          <cell r="D224" t="str">
            <v>법인</v>
          </cell>
        </row>
        <row r="225">
          <cell r="B225" t="str">
            <v xml:space="preserve">（주）디에스아이통신　　　　　  </v>
          </cell>
          <cell r="C225">
            <v>1098144167</v>
          </cell>
          <cell r="D225" t="str">
            <v>법인</v>
          </cell>
        </row>
        <row r="226">
          <cell r="B226" t="str">
            <v xml:space="preserve">명창건업（주）　　　　　　　　  </v>
          </cell>
          <cell r="C226">
            <v>1148146755</v>
          </cell>
          <cell r="D226" t="str">
            <v>법인</v>
          </cell>
        </row>
        <row r="227">
          <cell r="B227" t="str">
            <v xml:space="preserve">피앤에이상사（주）　　　　　　  </v>
          </cell>
          <cell r="C227">
            <v>1168167834</v>
          </cell>
          <cell r="D227" t="str">
            <v>법인</v>
          </cell>
        </row>
        <row r="228">
          <cell r="B228" t="str">
            <v xml:space="preserve">피앤에이상사（주）　　　　　　  </v>
          </cell>
          <cell r="C228">
            <v>1168167834</v>
          </cell>
          <cell r="D228" t="str">
            <v>법인</v>
          </cell>
        </row>
        <row r="229">
          <cell r="B229" t="str">
            <v xml:space="preserve">피앤에이상사（주）　　　　　　  </v>
          </cell>
          <cell r="C229">
            <v>1168167834</v>
          </cell>
          <cell r="D229" t="str">
            <v>법인</v>
          </cell>
        </row>
        <row r="230">
          <cell r="B230" t="str">
            <v xml:space="preserve">피앤에이상사（주）　　　　　　  </v>
          </cell>
          <cell r="C230">
            <v>1168167834</v>
          </cell>
          <cell r="D230" t="str">
            <v>법인</v>
          </cell>
        </row>
        <row r="231">
          <cell r="B231" t="str">
            <v xml:space="preserve">피앤에이상사（주）　　　　　　  </v>
          </cell>
          <cell r="C231">
            <v>1168167834</v>
          </cell>
          <cell r="D231" t="str">
            <v>법인</v>
          </cell>
        </row>
        <row r="232">
          <cell r="B232" t="str">
            <v xml:space="preserve">피앤에이상사（주）　　　　　　  </v>
          </cell>
          <cell r="C232">
            <v>1168167834</v>
          </cell>
          <cell r="D232" t="str">
            <v>법인</v>
          </cell>
        </row>
        <row r="233">
          <cell r="B233" t="str">
            <v xml:space="preserve">제논텔레콤（주）　　　　　　　  </v>
          </cell>
          <cell r="C233">
            <v>1178111274</v>
          </cell>
          <cell r="D233" t="str">
            <v>법인</v>
          </cell>
        </row>
        <row r="234">
          <cell r="B234" t="str">
            <v xml:space="preserve">제논텔레콤（주）　　　　　　　  </v>
          </cell>
          <cell r="C234">
            <v>1178111274</v>
          </cell>
          <cell r="D234" t="str">
            <v>법인</v>
          </cell>
        </row>
        <row r="235">
          <cell r="B235" t="str">
            <v xml:space="preserve">（주）한국필립교역　　　　　　  </v>
          </cell>
          <cell r="C235">
            <v>1228127953</v>
          </cell>
          <cell r="D235" t="str">
            <v>법인</v>
          </cell>
        </row>
        <row r="236">
          <cell r="B236" t="str">
            <v xml:space="preserve">（주）한국필립교역　　　　　　  </v>
          </cell>
          <cell r="C236">
            <v>1228127953</v>
          </cell>
          <cell r="D236" t="str">
            <v>법인</v>
          </cell>
        </row>
        <row r="237">
          <cell r="B237" t="str">
            <v xml:space="preserve">（주）한국필립교역　　　　　　  </v>
          </cell>
          <cell r="C237">
            <v>1228127953</v>
          </cell>
          <cell r="D237" t="str">
            <v>법인</v>
          </cell>
        </row>
        <row r="238">
          <cell r="B238" t="str">
            <v xml:space="preserve">（주）한국필립교역　　　　　　  </v>
          </cell>
          <cell r="C238">
            <v>1228127953</v>
          </cell>
          <cell r="D238" t="str">
            <v>법인</v>
          </cell>
        </row>
        <row r="239">
          <cell r="B239" t="str">
            <v xml:space="preserve">（주）한국필립교역　　　　　　  </v>
          </cell>
          <cell r="C239">
            <v>1228127953</v>
          </cell>
          <cell r="D239" t="str">
            <v>법인</v>
          </cell>
        </row>
        <row r="240">
          <cell r="B240" t="str">
            <v xml:space="preserve">（주）한국필립교역　　　　　　  </v>
          </cell>
          <cell r="C240">
            <v>1228127953</v>
          </cell>
          <cell r="D240" t="str">
            <v>법인</v>
          </cell>
        </row>
        <row r="241">
          <cell r="B241" t="str">
            <v xml:space="preserve">（주）한국필립교역　　　　　　  </v>
          </cell>
          <cell r="C241">
            <v>1228127953</v>
          </cell>
          <cell r="D241" t="str">
            <v>법인</v>
          </cell>
        </row>
        <row r="242">
          <cell r="B242" t="str">
            <v xml:space="preserve">행성주식회사　　　　　　　　　  </v>
          </cell>
          <cell r="C242">
            <v>1268134738</v>
          </cell>
          <cell r="D242" t="str">
            <v>법인</v>
          </cell>
        </row>
        <row r="243">
          <cell r="B243" t="str">
            <v xml:space="preserve">행성주식회사　　　　　　　　　  </v>
          </cell>
          <cell r="C243">
            <v>1268134738</v>
          </cell>
          <cell r="D243" t="str">
            <v>법인</v>
          </cell>
        </row>
        <row r="244">
          <cell r="B244" t="str">
            <v xml:space="preserve">행성주식회사　　　　　　　　　  </v>
          </cell>
          <cell r="C244">
            <v>1268134738</v>
          </cell>
          <cell r="D244" t="str">
            <v>법인</v>
          </cell>
        </row>
        <row r="245">
          <cell r="B245" t="str">
            <v xml:space="preserve">（주）에프에스케이알통상　　　  </v>
          </cell>
          <cell r="C245">
            <v>2108129660</v>
          </cell>
          <cell r="D245" t="str">
            <v>법인</v>
          </cell>
        </row>
        <row r="246">
          <cell r="B246" t="str">
            <v xml:space="preserve">（주）에프에스케이알통상　　　  </v>
          </cell>
          <cell r="C246">
            <v>2108129660</v>
          </cell>
          <cell r="D246" t="str">
            <v>법인</v>
          </cell>
        </row>
        <row r="247">
          <cell r="B247" t="str">
            <v xml:space="preserve">（주）에프에스케이알통상　　　  </v>
          </cell>
          <cell r="C247">
            <v>2108129660</v>
          </cell>
          <cell r="D247" t="str">
            <v>법인</v>
          </cell>
        </row>
        <row r="248">
          <cell r="B248" t="str">
            <v xml:space="preserve">（주）창도코퍼레이션　　　　　  </v>
          </cell>
          <cell r="C248">
            <v>2148625939</v>
          </cell>
          <cell r="D248" t="str">
            <v>법인</v>
          </cell>
        </row>
        <row r="249">
          <cell r="B249" t="str">
            <v xml:space="preserve">（주）창도코퍼레이션　　　　　  </v>
          </cell>
          <cell r="C249">
            <v>2148625939</v>
          </cell>
          <cell r="D249" t="str">
            <v>법인</v>
          </cell>
        </row>
        <row r="250">
          <cell r="B250" t="str">
            <v xml:space="preserve">（주）창도코퍼레이션　　　　　  </v>
          </cell>
          <cell r="C250">
            <v>2148625939</v>
          </cell>
          <cell r="D250" t="str">
            <v>법인</v>
          </cell>
        </row>
        <row r="251">
          <cell r="B251" t="str">
            <v xml:space="preserve">（주）동신상역　　　　　　　　  </v>
          </cell>
          <cell r="C251">
            <v>2168113813</v>
          </cell>
          <cell r="D251" t="str">
            <v>법인</v>
          </cell>
        </row>
        <row r="252">
          <cell r="B252" t="str">
            <v xml:space="preserve">（주）동신상역　　　　　　　　  </v>
          </cell>
          <cell r="C252">
            <v>2168113813</v>
          </cell>
          <cell r="D252" t="str">
            <v>법인</v>
          </cell>
        </row>
        <row r="253">
          <cell r="B253" t="str">
            <v xml:space="preserve">（주）삼양철관상사　　　　　　  </v>
          </cell>
          <cell r="C253">
            <v>2178102570</v>
          </cell>
          <cell r="D253" t="str">
            <v>법인</v>
          </cell>
        </row>
        <row r="254">
          <cell r="B254" t="str">
            <v xml:space="preserve">（주）삼양철관상사　　　　　　  </v>
          </cell>
          <cell r="C254">
            <v>2178102570</v>
          </cell>
          <cell r="D254" t="str">
            <v>법인</v>
          </cell>
        </row>
        <row r="255">
          <cell r="B255" t="str">
            <v xml:space="preserve">（주）삼양철관상사　　　　　　  </v>
          </cell>
          <cell r="C255">
            <v>2178102570</v>
          </cell>
          <cell r="D255" t="str">
            <v>법인</v>
          </cell>
        </row>
        <row r="256">
          <cell r="B256" t="str">
            <v xml:space="preserve">（주）삼양철관상사　　　　　　  </v>
          </cell>
          <cell r="C256">
            <v>2178102570</v>
          </cell>
          <cell r="D256" t="str">
            <v>법인</v>
          </cell>
        </row>
        <row r="257">
          <cell r="B257" t="str">
            <v xml:space="preserve">（주）삼양철관상사　　　　　　  </v>
          </cell>
          <cell r="C257">
            <v>2178102570</v>
          </cell>
          <cell r="D257" t="str">
            <v>법인</v>
          </cell>
        </row>
        <row r="258">
          <cell r="B258" t="str">
            <v xml:space="preserve">（주）삼양철관상사　　　　　　  </v>
          </cell>
          <cell r="C258">
            <v>2178102570</v>
          </cell>
          <cell r="D258" t="str">
            <v>법인</v>
          </cell>
        </row>
        <row r="259">
          <cell r="B259" t="str">
            <v xml:space="preserve">（주）창일물산　　　　　　　　  </v>
          </cell>
          <cell r="C259">
            <v>2178107895</v>
          </cell>
          <cell r="D259" t="str">
            <v>법인</v>
          </cell>
        </row>
        <row r="260">
          <cell r="B260" t="str">
            <v xml:space="preserve">（주）창일물산　　　　　　　　  </v>
          </cell>
          <cell r="C260">
            <v>2178107895</v>
          </cell>
          <cell r="D260" t="str">
            <v>법인</v>
          </cell>
        </row>
        <row r="261">
          <cell r="B261" t="str">
            <v xml:space="preserve">（주）창일물산　　　　　　　　  </v>
          </cell>
          <cell r="C261">
            <v>2178107895</v>
          </cell>
          <cell r="D261" t="str">
            <v>법인</v>
          </cell>
        </row>
        <row r="262">
          <cell r="B262" t="str">
            <v xml:space="preserve">（주）창일물산　　　　　　　　  </v>
          </cell>
          <cell r="C262">
            <v>2178107895</v>
          </cell>
          <cell r="D262" t="str">
            <v>법인</v>
          </cell>
        </row>
        <row r="263">
          <cell r="B263" t="str">
            <v xml:space="preserve">（주）창일물산　　　　　　　　  </v>
          </cell>
          <cell r="C263">
            <v>2178107895</v>
          </cell>
          <cell r="D263" t="str">
            <v>법인</v>
          </cell>
        </row>
        <row r="264">
          <cell r="B264" t="str">
            <v xml:space="preserve">（주）창일물산　　　　　　　　  </v>
          </cell>
          <cell r="C264">
            <v>2178107895</v>
          </cell>
          <cell r="D264" t="str">
            <v>법인</v>
          </cell>
        </row>
        <row r="265">
          <cell r="B265" t="str">
            <v xml:space="preserve">（주）창일물산　　　　　　　　  </v>
          </cell>
          <cell r="C265">
            <v>2178107895</v>
          </cell>
          <cell r="D265" t="str">
            <v>법인</v>
          </cell>
        </row>
        <row r="266">
          <cell r="B266" t="str">
            <v xml:space="preserve">（주）창일물산　　　　　　　　  </v>
          </cell>
          <cell r="C266">
            <v>2178107895</v>
          </cell>
          <cell r="D266" t="str">
            <v>법인</v>
          </cell>
        </row>
        <row r="267">
          <cell r="B267" t="str">
            <v xml:space="preserve">（주）창일물산　　　　　　　　  </v>
          </cell>
          <cell r="C267">
            <v>2178107895</v>
          </cell>
          <cell r="D267" t="str">
            <v>법인</v>
          </cell>
        </row>
        <row r="268">
          <cell r="B268" t="str">
            <v xml:space="preserve">（주）드림월드코퍼레이션　　　  </v>
          </cell>
          <cell r="C268">
            <v>2298122337</v>
          </cell>
          <cell r="D268" t="str">
            <v>법인</v>
          </cell>
        </row>
        <row r="269">
          <cell r="B269" t="str">
            <v xml:space="preserve">박병섭　　　　　　　　　　　　  </v>
          </cell>
          <cell r="C269">
            <v>2802211052813</v>
          </cell>
          <cell r="D269" t="str">
            <v>개인</v>
          </cell>
        </row>
        <row r="270">
          <cell r="B270" t="str">
            <v xml:space="preserve">박병섭　　　　　　　　　　　　  </v>
          </cell>
          <cell r="C270">
            <v>2802211052813</v>
          </cell>
          <cell r="D270" t="str">
            <v>개인</v>
          </cell>
        </row>
        <row r="271">
          <cell r="B271" t="str">
            <v xml:space="preserve">박병섭　　　　　　　　　　　　  </v>
          </cell>
          <cell r="C271">
            <v>2802211052813</v>
          </cell>
          <cell r="D271" t="str">
            <v>개인</v>
          </cell>
        </row>
        <row r="272">
          <cell r="B272" t="str">
            <v xml:space="preserve">（주）코세텍　　　　　　　　　  </v>
          </cell>
          <cell r="C272">
            <v>3048109784</v>
          </cell>
          <cell r="D272" t="str">
            <v>법인</v>
          </cell>
        </row>
        <row r="273">
          <cell r="B273" t="str">
            <v xml:space="preserve">（주）코세텍　　　　　　　　　  </v>
          </cell>
          <cell r="C273">
            <v>3048109784</v>
          </cell>
          <cell r="D273" t="str">
            <v>법인</v>
          </cell>
        </row>
        <row r="274">
          <cell r="B274" t="str">
            <v xml:space="preserve">（주）코세텍　　　　　　　　　  </v>
          </cell>
          <cell r="C274">
            <v>3048109784</v>
          </cell>
          <cell r="D274" t="str">
            <v>법인</v>
          </cell>
        </row>
        <row r="275">
          <cell r="B275" t="str">
            <v xml:space="preserve">（주）코세텍　　　　　　　　　  </v>
          </cell>
          <cell r="C275">
            <v>3048109784</v>
          </cell>
          <cell r="D275" t="str">
            <v>법인</v>
          </cell>
        </row>
        <row r="276">
          <cell r="B276" t="str">
            <v xml:space="preserve">（주）코세텍　　　　　　　　　  </v>
          </cell>
          <cell r="C276">
            <v>3048109784</v>
          </cell>
          <cell r="D276" t="str">
            <v>법인</v>
          </cell>
        </row>
        <row r="277">
          <cell r="B277" t="str">
            <v xml:space="preserve">（주）코세텍　　　　　　　　　  </v>
          </cell>
          <cell r="C277">
            <v>3048109784</v>
          </cell>
          <cell r="D277" t="str">
            <v>법인</v>
          </cell>
        </row>
        <row r="278">
          <cell r="B278" t="str">
            <v xml:space="preserve">（주）코세텍　　　　　　　　　  </v>
          </cell>
          <cell r="C278">
            <v>3048109784</v>
          </cell>
          <cell r="D278" t="str">
            <v>법인</v>
          </cell>
        </row>
        <row r="279">
          <cell r="B279" t="str">
            <v xml:space="preserve">（주）코세텍　　　　　　　　　  </v>
          </cell>
          <cell r="C279">
            <v>3048109784</v>
          </cell>
          <cell r="D279" t="str">
            <v>법인</v>
          </cell>
        </row>
        <row r="280">
          <cell r="B280" t="str">
            <v xml:space="preserve">（주）코세텍　　　　　　　　　  </v>
          </cell>
          <cell r="C280">
            <v>3048109784</v>
          </cell>
          <cell r="D280" t="str">
            <v>법인</v>
          </cell>
        </row>
        <row r="281">
          <cell r="B281" t="str">
            <v xml:space="preserve">이연원　　　　　　　　　　　　  </v>
          </cell>
          <cell r="C281">
            <v>3406251231211</v>
          </cell>
          <cell r="D281" t="str">
            <v>개인</v>
          </cell>
        </row>
        <row r="282">
          <cell r="B282" t="str">
            <v xml:space="preserve">이연원　　　　　　　　　　　　  </v>
          </cell>
          <cell r="C282">
            <v>3406251231211</v>
          </cell>
          <cell r="D282" t="str">
            <v>개인</v>
          </cell>
        </row>
        <row r="283">
          <cell r="B283" t="str">
            <v xml:space="preserve">김인식　　　　　　　　　　　　  </v>
          </cell>
          <cell r="C283">
            <v>3605052711013</v>
          </cell>
          <cell r="D283" t="str">
            <v>개인</v>
          </cell>
        </row>
        <row r="284">
          <cell r="B284" t="str">
            <v xml:space="preserve">김인식　　　　　　　　　　　　  </v>
          </cell>
          <cell r="C284">
            <v>3605052711013</v>
          </cell>
          <cell r="D284" t="str">
            <v>개인</v>
          </cell>
        </row>
        <row r="285">
          <cell r="B285" t="str">
            <v>안재관</v>
          </cell>
          <cell r="C285">
            <v>4106271041913</v>
          </cell>
          <cell r="D285" t="str">
            <v>개인</v>
          </cell>
        </row>
        <row r="286">
          <cell r="B286" t="str">
            <v>안재관</v>
          </cell>
          <cell r="C286">
            <v>4106271041913</v>
          </cell>
          <cell r="D286" t="str">
            <v>개인</v>
          </cell>
        </row>
        <row r="287">
          <cell r="B287" t="str">
            <v xml:space="preserve">장순희　　　　　　　　　　　　  </v>
          </cell>
          <cell r="C287">
            <v>4112032530312</v>
          </cell>
          <cell r="D287" t="str">
            <v>개인</v>
          </cell>
        </row>
        <row r="288">
          <cell r="B288" t="str">
            <v xml:space="preserve">장순희　　　　　　　　　　　　  </v>
          </cell>
          <cell r="C288">
            <v>4112032530312</v>
          </cell>
          <cell r="D288" t="str">
            <v>개인</v>
          </cell>
        </row>
        <row r="289">
          <cell r="B289" t="str">
            <v xml:space="preserve">김미요　　　　　　　　　　　　  </v>
          </cell>
          <cell r="C289">
            <v>4206032047614</v>
          </cell>
          <cell r="D289" t="str">
            <v>개인</v>
          </cell>
        </row>
        <row r="290">
          <cell r="B290" t="str">
            <v xml:space="preserve">김미요　　　　　　　　　　　　  </v>
          </cell>
          <cell r="C290">
            <v>4206032047614</v>
          </cell>
          <cell r="D290" t="str">
            <v>개인</v>
          </cell>
        </row>
        <row r="291">
          <cell r="B291" t="str">
            <v xml:space="preserve">김정남－힐하우스　　　　　　　  </v>
          </cell>
          <cell r="C291">
            <v>4311041067811</v>
          </cell>
          <cell r="D291" t="str">
            <v>개인</v>
          </cell>
        </row>
        <row r="292">
          <cell r="B292" t="str">
            <v xml:space="preserve">이중선　　　　　　　　　　　　  </v>
          </cell>
          <cell r="C292">
            <v>4403282051817</v>
          </cell>
          <cell r="D292" t="str">
            <v>개인</v>
          </cell>
        </row>
        <row r="293">
          <cell r="B293" t="str">
            <v xml:space="preserve">김재춘　　　　　　　　　　　　  </v>
          </cell>
          <cell r="C293">
            <v>4510251670917</v>
          </cell>
          <cell r="D293" t="str">
            <v>개인</v>
          </cell>
        </row>
        <row r="294">
          <cell r="B294" t="str">
            <v xml:space="preserve">김삼순　　　　　　　　　　　　  </v>
          </cell>
          <cell r="C294">
            <v>4512182011017</v>
          </cell>
          <cell r="D294" t="str">
            <v>개인</v>
          </cell>
        </row>
        <row r="295">
          <cell r="B295" t="str">
            <v xml:space="preserve">김삼순　　　　　　　　　　　　  </v>
          </cell>
          <cell r="C295">
            <v>4512182011017</v>
          </cell>
          <cell r="D295" t="str">
            <v>개인</v>
          </cell>
        </row>
        <row r="296">
          <cell r="B296" t="str">
            <v xml:space="preserve">정도연　　　　　　　　　　　　  </v>
          </cell>
          <cell r="C296">
            <v>4609131005016</v>
          </cell>
          <cell r="D296" t="str">
            <v>개인</v>
          </cell>
        </row>
        <row r="297">
          <cell r="B297" t="str">
            <v xml:space="preserve">정성열　　　　　　　　　　　　  </v>
          </cell>
          <cell r="C297">
            <v>4612251037816</v>
          </cell>
          <cell r="D297" t="str">
            <v>개인</v>
          </cell>
        </row>
        <row r="298">
          <cell r="B298" t="str">
            <v xml:space="preserve">정성열　　　　　　　　　　　　  </v>
          </cell>
          <cell r="C298">
            <v>4612251037816</v>
          </cell>
          <cell r="D298" t="str">
            <v>개인</v>
          </cell>
        </row>
        <row r="299">
          <cell r="B299" t="str">
            <v xml:space="preserve">김덕심　　　　　　　　　　　　  </v>
          </cell>
          <cell r="C299">
            <v>4710232056224</v>
          </cell>
          <cell r="D299" t="str">
            <v>개인</v>
          </cell>
        </row>
        <row r="300">
          <cell r="B300" t="str">
            <v xml:space="preserve">김관홍　　　　　　　　　　　　  </v>
          </cell>
          <cell r="C300">
            <v>4903251026122</v>
          </cell>
          <cell r="D300" t="str">
            <v>개인</v>
          </cell>
        </row>
        <row r="301">
          <cell r="B301" t="str">
            <v xml:space="preserve">김관홍　　　　　　　　　　　　  </v>
          </cell>
          <cell r="C301">
            <v>4903251026122</v>
          </cell>
          <cell r="D301" t="str">
            <v>개인</v>
          </cell>
        </row>
        <row r="302">
          <cell r="B302" t="str">
            <v xml:space="preserve">하차원　　　　　　　　　　　　  </v>
          </cell>
          <cell r="C302">
            <v>4909251930911</v>
          </cell>
          <cell r="D302" t="str">
            <v>개인</v>
          </cell>
        </row>
        <row r="303">
          <cell r="B303" t="str">
            <v xml:space="preserve">하차원　　　　　　　　　　　　  </v>
          </cell>
          <cell r="C303">
            <v>4909251930911</v>
          </cell>
          <cell r="D303" t="str">
            <v>개인</v>
          </cell>
        </row>
        <row r="304">
          <cell r="B304" t="str">
            <v xml:space="preserve">하차원　　　　　　　　　　　　  </v>
          </cell>
          <cell r="C304">
            <v>4909251930911</v>
          </cell>
          <cell r="D304" t="str">
            <v>개인</v>
          </cell>
        </row>
        <row r="305">
          <cell r="B305" t="str">
            <v xml:space="preserve">하차원　　　　　　　　　　　　  </v>
          </cell>
          <cell r="C305">
            <v>4909251930911</v>
          </cell>
          <cell r="D305" t="str">
            <v>개인</v>
          </cell>
        </row>
        <row r="306">
          <cell r="B306" t="str">
            <v>이레동화염광국</v>
          </cell>
          <cell r="C306">
            <v>5203071067112</v>
          </cell>
          <cell r="D306" t="str">
            <v>개인</v>
          </cell>
        </row>
        <row r="307">
          <cell r="B307" t="str">
            <v>이레동화염광국</v>
          </cell>
          <cell r="C307">
            <v>5203071067112</v>
          </cell>
          <cell r="D307" t="str">
            <v>개인</v>
          </cell>
        </row>
        <row r="308">
          <cell r="B308" t="str">
            <v>이레동화염광국</v>
          </cell>
          <cell r="C308">
            <v>5203071067112</v>
          </cell>
          <cell r="D308" t="str">
            <v>개인</v>
          </cell>
        </row>
        <row r="309">
          <cell r="B309" t="str">
            <v>이레동화염광국</v>
          </cell>
          <cell r="C309">
            <v>5203071067112</v>
          </cell>
          <cell r="D309" t="str">
            <v>개인</v>
          </cell>
        </row>
        <row r="310">
          <cell r="B310" t="str">
            <v xml:space="preserve">최복래　　　　　　　　　　　　  </v>
          </cell>
          <cell r="C310">
            <v>5404101002618</v>
          </cell>
          <cell r="D310" t="str">
            <v>개인</v>
          </cell>
        </row>
        <row r="311">
          <cell r="B311" t="str">
            <v xml:space="preserve">최복래　　　　　　　　　　　　  </v>
          </cell>
          <cell r="C311">
            <v>5404101002618</v>
          </cell>
          <cell r="D311" t="str">
            <v>개인</v>
          </cell>
        </row>
        <row r="312">
          <cell r="B312" t="str">
            <v xml:space="preserve">김정자　　　　　　　　　　　　  </v>
          </cell>
          <cell r="C312">
            <v>5407302025518</v>
          </cell>
          <cell r="D312" t="str">
            <v>개인</v>
          </cell>
        </row>
        <row r="313">
          <cell r="B313" t="str">
            <v xml:space="preserve">김정자　　　　　　　　　　　　  </v>
          </cell>
          <cell r="C313">
            <v>5407302025518</v>
          </cell>
          <cell r="D313" t="str">
            <v>개인</v>
          </cell>
        </row>
        <row r="314">
          <cell r="B314" t="str">
            <v xml:space="preserve">손덕선　　　　　　　　　　　　  </v>
          </cell>
          <cell r="C314">
            <v>5505172231011</v>
          </cell>
          <cell r="D314" t="str">
            <v>개인</v>
          </cell>
        </row>
        <row r="315">
          <cell r="B315" t="str">
            <v xml:space="preserve">손덕선　　　　　　　　　　　　  </v>
          </cell>
          <cell r="C315">
            <v>5505172231011</v>
          </cell>
          <cell r="D315" t="str">
            <v>개인</v>
          </cell>
        </row>
        <row r="316">
          <cell r="B316" t="str">
            <v xml:space="preserve">김복술　　　　　　　　　　　　  </v>
          </cell>
          <cell r="C316">
            <v>5508301380334</v>
          </cell>
          <cell r="D316" t="str">
            <v>개인</v>
          </cell>
        </row>
        <row r="317">
          <cell r="B317" t="str">
            <v xml:space="preserve">김종운　　　　　　　　　　　　  </v>
          </cell>
          <cell r="C317">
            <v>5511081036816</v>
          </cell>
          <cell r="D317" t="str">
            <v>개인</v>
          </cell>
        </row>
        <row r="318">
          <cell r="B318" t="str">
            <v xml:space="preserve">김종운　　　　　　　　　　　　  </v>
          </cell>
          <cell r="C318">
            <v>5511081036816</v>
          </cell>
          <cell r="D318" t="str">
            <v>개인</v>
          </cell>
        </row>
        <row r="319">
          <cell r="B319" t="str">
            <v xml:space="preserve">소병노　　　　　　　　　　　　  </v>
          </cell>
          <cell r="C319">
            <v>5603031520016</v>
          </cell>
          <cell r="D319" t="str">
            <v>개인</v>
          </cell>
        </row>
        <row r="320">
          <cell r="B320" t="str">
            <v xml:space="preserve">소병노　　　　　　　　　　　　  </v>
          </cell>
          <cell r="C320">
            <v>5603031520016</v>
          </cell>
          <cell r="D320" t="str">
            <v>개인</v>
          </cell>
        </row>
        <row r="321">
          <cell r="B321" t="str">
            <v xml:space="preserve">김영철　　　　　　　　　　　　  </v>
          </cell>
          <cell r="C321">
            <v>5701301167631</v>
          </cell>
          <cell r="D321" t="str">
            <v>개인</v>
          </cell>
        </row>
        <row r="322">
          <cell r="B322" t="str">
            <v xml:space="preserve">김영철　　　　　　　　　　　　  </v>
          </cell>
          <cell r="C322">
            <v>5701301167631</v>
          </cell>
          <cell r="D322" t="str">
            <v>개인</v>
          </cell>
        </row>
        <row r="323">
          <cell r="B323" t="str">
            <v xml:space="preserve">최태용　　　　　　　　　　　　  </v>
          </cell>
          <cell r="C323">
            <v>5703161222317</v>
          </cell>
          <cell r="D323" t="str">
            <v>개인</v>
          </cell>
        </row>
        <row r="324">
          <cell r="B324" t="str">
            <v xml:space="preserve">최태용　　　　　　　　　　　　  </v>
          </cell>
          <cell r="C324">
            <v>5703161222317</v>
          </cell>
          <cell r="D324" t="str">
            <v>개인</v>
          </cell>
        </row>
        <row r="325">
          <cell r="B325" t="str">
            <v xml:space="preserve">김성재　　　　　　　　　　　　  </v>
          </cell>
          <cell r="C325">
            <v>5809041671017</v>
          </cell>
          <cell r="D325" t="str">
            <v>개인</v>
          </cell>
        </row>
        <row r="326">
          <cell r="B326" t="str">
            <v xml:space="preserve">김성재　　　　　　　　　　　　  </v>
          </cell>
          <cell r="C326">
            <v>5809041671017</v>
          </cell>
          <cell r="D326" t="str">
            <v>개인</v>
          </cell>
        </row>
        <row r="327">
          <cell r="B327" t="str">
            <v xml:space="preserve">이종찬　　　　　　　　　　　　  </v>
          </cell>
          <cell r="C327">
            <v>5810021237011</v>
          </cell>
          <cell r="D327" t="str">
            <v>개인</v>
          </cell>
        </row>
        <row r="328">
          <cell r="B328" t="str">
            <v xml:space="preserve">이종찬　　　　　　　　　　　　  </v>
          </cell>
          <cell r="C328">
            <v>5810021237011</v>
          </cell>
          <cell r="D328" t="str">
            <v>개인</v>
          </cell>
        </row>
        <row r="329">
          <cell r="B329" t="str">
            <v xml:space="preserve">백용기　　　　　　　　　　　　  </v>
          </cell>
          <cell r="C329">
            <v>5902281064012</v>
          </cell>
          <cell r="D329" t="str">
            <v>개인</v>
          </cell>
        </row>
        <row r="330">
          <cell r="B330" t="str">
            <v xml:space="preserve">백용기　　　　　　　　　　　　  </v>
          </cell>
          <cell r="C330">
            <v>5902281064012</v>
          </cell>
          <cell r="D330" t="str">
            <v>개인</v>
          </cell>
        </row>
        <row r="331">
          <cell r="B331" t="str">
            <v xml:space="preserve">강원복－백제제화　　　　　　　  </v>
          </cell>
          <cell r="C331">
            <v>5906201446811</v>
          </cell>
          <cell r="D331" t="str">
            <v>개인</v>
          </cell>
        </row>
        <row r="332">
          <cell r="B332" t="str">
            <v xml:space="preserve">강원복－백제제화　　　　　　　  </v>
          </cell>
          <cell r="C332">
            <v>5906201446811</v>
          </cell>
          <cell r="D332" t="str">
            <v>개인</v>
          </cell>
        </row>
        <row r="333">
          <cell r="B333" t="str">
            <v xml:space="preserve">강원복－백제제화　　　　　　　  </v>
          </cell>
          <cell r="C333">
            <v>5906201446811</v>
          </cell>
          <cell r="D333" t="str">
            <v>개인</v>
          </cell>
        </row>
        <row r="334">
          <cell r="B334" t="str">
            <v xml:space="preserve">정애자　　　　　　　　　　　　  </v>
          </cell>
          <cell r="C334">
            <v>5910022382210</v>
          </cell>
          <cell r="D334" t="str">
            <v>개인</v>
          </cell>
        </row>
        <row r="335">
          <cell r="B335" t="str">
            <v xml:space="preserve">정애자　　　　　　　　　　　　  </v>
          </cell>
          <cell r="C335">
            <v>5910022382210</v>
          </cell>
          <cell r="D335" t="str">
            <v>개인</v>
          </cell>
        </row>
        <row r="336">
          <cell r="B336" t="str">
            <v xml:space="preserve">이승훈　　　　　　　　　　　　  </v>
          </cell>
          <cell r="C336">
            <v>5911291009313</v>
          </cell>
          <cell r="D336" t="str">
            <v>개인</v>
          </cell>
        </row>
        <row r="337">
          <cell r="B337" t="str">
            <v>봉현산업 최순보</v>
          </cell>
          <cell r="C337">
            <v>6005211808213</v>
          </cell>
          <cell r="D337" t="str">
            <v>개인</v>
          </cell>
        </row>
        <row r="338">
          <cell r="B338" t="str">
            <v>봉현산업 최순보</v>
          </cell>
          <cell r="C338">
            <v>6005211808213</v>
          </cell>
          <cell r="D338" t="str">
            <v>개인</v>
          </cell>
        </row>
        <row r="339">
          <cell r="B339" t="str">
            <v>봉현산업 최순보</v>
          </cell>
          <cell r="C339">
            <v>6005211808213</v>
          </cell>
          <cell r="D339" t="str">
            <v>개인</v>
          </cell>
        </row>
        <row r="340">
          <cell r="B340" t="str">
            <v xml:space="preserve">박대근　　　　　　　　　　　　  </v>
          </cell>
          <cell r="C340">
            <v>6103251030820</v>
          </cell>
          <cell r="D340" t="str">
            <v>개인</v>
          </cell>
        </row>
        <row r="341">
          <cell r="B341" t="str">
            <v xml:space="preserve">동원참치강서점　　　　　　　　  </v>
          </cell>
          <cell r="C341">
            <v>6106091063422</v>
          </cell>
          <cell r="D341" t="str">
            <v>개인</v>
          </cell>
        </row>
        <row r="342">
          <cell r="B342" t="str">
            <v xml:space="preserve">동원참치강서점　　　　　　　　  </v>
          </cell>
          <cell r="C342">
            <v>6106091063422</v>
          </cell>
          <cell r="D342" t="str">
            <v>개인</v>
          </cell>
        </row>
        <row r="343">
          <cell r="B343" t="str">
            <v xml:space="preserve">윤재춘　　　　　　　　　　　　  </v>
          </cell>
          <cell r="C343">
            <v>6107221646017</v>
          </cell>
          <cell r="D343" t="str">
            <v>개인</v>
          </cell>
        </row>
        <row r="344">
          <cell r="B344" t="str">
            <v xml:space="preserve">윤재춘　　　　　　　　　　　　  </v>
          </cell>
          <cell r="C344">
            <v>6107221646017</v>
          </cell>
          <cell r="D344" t="str">
            <v>개인</v>
          </cell>
        </row>
        <row r="345">
          <cell r="B345" t="str">
            <v xml:space="preserve">황정봉　　　　　　　　　　　　  </v>
          </cell>
          <cell r="C345">
            <v>6208241051510</v>
          </cell>
          <cell r="D345" t="str">
            <v>개인</v>
          </cell>
        </row>
        <row r="346">
          <cell r="B346" t="str">
            <v xml:space="preserve">황정봉　　　　　　　　　　　　  </v>
          </cell>
          <cell r="C346">
            <v>6208241051510</v>
          </cell>
          <cell r="D346" t="str">
            <v>개인</v>
          </cell>
        </row>
        <row r="347">
          <cell r="B347" t="str">
            <v xml:space="preserve">이승주　　　　　　　　　　　　  </v>
          </cell>
          <cell r="C347">
            <v>6303041168228</v>
          </cell>
          <cell r="D347" t="str">
            <v>개인</v>
          </cell>
        </row>
        <row r="348">
          <cell r="B348" t="str">
            <v xml:space="preserve">이승주　　　　　　　　　　　　  </v>
          </cell>
          <cell r="C348">
            <v>6303041168228</v>
          </cell>
          <cell r="D348" t="str">
            <v>개인</v>
          </cell>
        </row>
        <row r="349">
          <cell r="B349" t="str">
            <v xml:space="preserve">손영상　　　　　　　　　　　　  </v>
          </cell>
          <cell r="C349">
            <v>6304021023914</v>
          </cell>
          <cell r="D349" t="str">
            <v>개인</v>
          </cell>
        </row>
        <row r="350">
          <cell r="B350" t="str">
            <v xml:space="preserve">손영상　　　　　　　　　　　　  </v>
          </cell>
          <cell r="C350">
            <v>6304021023914</v>
          </cell>
          <cell r="D350" t="str">
            <v>개인</v>
          </cell>
        </row>
        <row r="351">
          <cell r="B351" t="str">
            <v xml:space="preserve">정용희　　　　　　　　　　　　  </v>
          </cell>
          <cell r="C351">
            <v>6406121245014</v>
          </cell>
          <cell r="D351" t="str">
            <v>개인</v>
          </cell>
        </row>
        <row r="352">
          <cell r="B352" t="str">
            <v xml:space="preserve">정용희　　　　　　　　　　　　  </v>
          </cell>
          <cell r="C352">
            <v>6406121245014</v>
          </cell>
          <cell r="D352" t="str">
            <v>개인</v>
          </cell>
        </row>
        <row r="353">
          <cell r="B353" t="str">
            <v xml:space="preserve">정규진　　　　　　　　　　　　  </v>
          </cell>
          <cell r="C353">
            <v>6409101478911</v>
          </cell>
          <cell r="D353" t="str">
            <v>개인</v>
          </cell>
        </row>
        <row r="354">
          <cell r="B354" t="str">
            <v xml:space="preserve">정규진　　　　　　　　　　　　  </v>
          </cell>
          <cell r="C354">
            <v>6409101478911</v>
          </cell>
          <cell r="D354" t="str">
            <v>개인</v>
          </cell>
        </row>
        <row r="355">
          <cell r="B355" t="str">
            <v xml:space="preserve">정규진　　　　　　　　　　　　  </v>
          </cell>
          <cell r="C355">
            <v>6409101478911</v>
          </cell>
          <cell r="D355" t="str">
            <v>개인</v>
          </cell>
        </row>
        <row r="356">
          <cell r="B356" t="str">
            <v xml:space="preserve">김정수　　　　　　　　　　　　  </v>
          </cell>
          <cell r="C356">
            <v>6506161117410</v>
          </cell>
          <cell r="D356" t="str">
            <v>개인</v>
          </cell>
        </row>
        <row r="357">
          <cell r="B357" t="str">
            <v>최수민</v>
          </cell>
          <cell r="C357">
            <v>5708141017327</v>
          </cell>
          <cell r="D357" t="str">
            <v>개인</v>
          </cell>
        </row>
        <row r="358">
          <cell r="B358" t="str">
            <v xml:space="preserve">김정수　　　　　　　　　　　　  </v>
          </cell>
          <cell r="C358">
            <v>6506161117410</v>
          </cell>
          <cell r="D358" t="str">
            <v>개인</v>
          </cell>
        </row>
        <row r="359">
          <cell r="B359" t="str">
            <v xml:space="preserve">김정수　　　　　　　　　　　　  </v>
          </cell>
          <cell r="C359">
            <v>6506161117410</v>
          </cell>
          <cell r="D359" t="str">
            <v>개인</v>
          </cell>
        </row>
        <row r="360">
          <cell r="B360" t="str">
            <v xml:space="preserve">이종학　　　　　　　　　　　　  </v>
          </cell>
          <cell r="C360">
            <v>6511131018120</v>
          </cell>
          <cell r="D360" t="str">
            <v>개인</v>
          </cell>
        </row>
        <row r="361">
          <cell r="B361" t="str">
            <v xml:space="preserve">이종학　　　　　　　　　　　　  </v>
          </cell>
          <cell r="C361">
            <v>6511131018120</v>
          </cell>
          <cell r="D361" t="str">
            <v>개인</v>
          </cell>
        </row>
        <row r="362">
          <cell r="B362" t="str">
            <v xml:space="preserve">윤정엽　　　　　　　　　　　　  </v>
          </cell>
          <cell r="C362">
            <v>6601082581512</v>
          </cell>
          <cell r="D362" t="str">
            <v>개인</v>
          </cell>
        </row>
        <row r="363">
          <cell r="B363" t="str">
            <v xml:space="preserve">윤정엽　　　　　　　　　　　　  </v>
          </cell>
          <cell r="C363">
            <v>6601082581512</v>
          </cell>
          <cell r="D363" t="str">
            <v>개인</v>
          </cell>
        </row>
        <row r="364">
          <cell r="B364" t="str">
            <v xml:space="preserve">최석종　　　　　　　　　　　　  </v>
          </cell>
          <cell r="C364">
            <v>6602211657510</v>
          </cell>
          <cell r="D364" t="str">
            <v>개인</v>
          </cell>
        </row>
        <row r="365">
          <cell r="B365" t="str">
            <v xml:space="preserve">최석종　　　　　　　　　　　　  </v>
          </cell>
          <cell r="C365">
            <v>6602211657510</v>
          </cell>
          <cell r="D365" t="str">
            <v>개인</v>
          </cell>
        </row>
        <row r="366">
          <cell r="B366" t="str">
            <v xml:space="preserve">김상우　　　　　　　　　　　　  </v>
          </cell>
          <cell r="C366">
            <v>6605051025826</v>
          </cell>
          <cell r="D366" t="str">
            <v>개인</v>
          </cell>
        </row>
        <row r="367">
          <cell r="B367" t="str">
            <v xml:space="preserve">김상우　　　　　　　　　　　　  </v>
          </cell>
          <cell r="C367">
            <v>6605051025826</v>
          </cell>
          <cell r="D367" t="str">
            <v>개인</v>
          </cell>
        </row>
        <row r="368">
          <cell r="B368" t="str">
            <v xml:space="preserve">권성완　　　　　　　　　　　　  </v>
          </cell>
          <cell r="C368">
            <v>6810031226316</v>
          </cell>
          <cell r="D368" t="str">
            <v>개인</v>
          </cell>
        </row>
        <row r="369">
          <cell r="B369" t="str">
            <v xml:space="preserve">권성완　　　　　　　　　　　　  </v>
          </cell>
          <cell r="C369">
            <v>6810031226316</v>
          </cell>
          <cell r="D369" t="str">
            <v>개인</v>
          </cell>
        </row>
        <row r="370">
          <cell r="B370" t="str">
            <v xml:space="preserve">권성완　　　　　　　　　　　　  </v>
          </cell>
          <cell r="C370">
            <v>6810031226316</v>
          </cell>
          <cell r="D370" t="str">
            <v>개인</v>
          </cell>
        </row>
        <row r="371">
          <cell r="B371" t="str">
            <v xml:space="preserve">박선영　　　　　　　　　　　　  </v>
          </cell>
          <cell r="C371">
            <v>7107232066615</v>
          </cell>
          <cell r="D371" t="str">
            <v>개인</v>
          </cell>
        </row>
        <row r="372">
          <cell r="B372" t="str">
            <v xml:space="preserve">박선영　　　　　　　　　　　　  </v>
          </cell>
          <cell r="C372">
            <v>7107232066615</v>
          </cell>
          <cell r="D372" t="str">
            <v>개인</v>
          </cell>
        </row>
        <row r="373">
          <cell r="B373" t="str">
            <v xml:space="preserve">김신양　　　　　　　　　　　　  </v>
          </cell>
          <cell r="C373">
            <v>7407122162034</v>
          </cell>
          <cell r="D373" t="str">
            <v>개인</v>
          </cell>
        </row>
        <row r="374">
          <cell r="B374" t="str">
            <v xml:space="preserve">김신양　　　　　　　　　　　　  </v>
          </cell>
          <cell r="C374">
            <v>7407122162034</v>
          </cell>
          <cell r="D374" t="str">
            <v>개인</v>
          </cell>
        </row>
        <row r="375">
          <cell r="B375" t="str">
            <v xml:space="preserve">김은혜　　　　　　　　　　　　  </v>
          </cell>
          <cell r="C375">
            <v>7606242548414</v>
          </cell>
          <cell r="D375" t="str">
            <v>개인</v>
          </cell>
        </row>
        <row r="376">
          <cell r="B376" t="str">
            <v xml:space="preserve">김은혜　　　　　　　　　　　　  </v>
          </cell>
          <cell r="C376">
            <v>7606242548414</v>
          </cell>
          <cell r="D376" t="str">
            <v>개인</v>
          </cell>
        </row>
        <row r="377">
          <cell r="B377" t="str">
            <v>양성섭</v>
          </cell>
          <cell r="C377" t="str">
            <v>6911071652412</v>
          </cell>
          <cell r="D377" t="str">
            <v>개인</v>
          </cell>
        </row>
        <row r="378">
          <cell r="B378" t="str">
            <v>양성섭</v>
          </cell>
          <cell r="C378" t="str">
            <v>6911071652412</v>
          </cell>
          <cell r="D378" t="str">
            <v>개인</v>
          </cell>
        </row>
        <row r="379">
          <cell r="B379" t="str">
            <v>양성섭</v>
          </cell>
          <cell r="C379" t="str">
            <v>6911071652412</v>
          </cell>
          <cell r="D379" t="str">
            <v>개인</v>
          </cell>
        </row>
        <row r="380">
          <cell r="B380" t="str">
            <v>양성섭</v>
          </cell>
          <cell r="C380" t="str">
            <v>6911071652412</v>
          </cell>
          <cell r="D380" t="str">
            <v>개인</v>
          </cell>
        </row>
        <row r="381">
          <cell r="B381" t="str">
            <v>에이원철강㈜</v>
          </cell>
          <cell r="C381" t="str">
            <v>4108134953</v>
          </cell>
          <cell r="D381" t="str">
            <v>법인</v>
          </cell>
        </row>
        <row r="382">
          <cell r="B382" t="str">
            <v>에이원철강㈜</v>
          </cell>
          <cell r="C382" t="str">
            <v>4108134953</v>
          </cell>
          <cell r="D382" t="str">
            <v>법인</v>
          </cell>
        </row>
        <row r="383">
          <cell r="B383" t="str">
            <v>에이원철강㈜</v>
          </cell>
          <cell r="C383" t="str">
            <v>4108134953</v>
          </cell>
          <cell r="D383" t="str">
            <v>법인</v>
          </cell>
        </row>
        <row r="384">
          <cell r="B384" t="str">
            <v>에이원철강㈜</v>
          </cell>
          <cell r="C384" t="str">
            <v>4108134953</v>
          </cell>
          <cell r="D384" t="str">
            <v>법인</v>
          </cell>
        </row>
        <row r="385">
          <cell r="B385" t="str">
            <v>에이원철강㈜</v>
          </cell>
          <cell r="C385" t="str">
            <v>4108134953</v>
          </cell>
          <cell r="D385" t="str">
            <v>법인</v>
          </cell>
        </row>
        <row r="386">
          <cell r="B386" t="str">
            <v>현정문</v>
          </cell>
          <cell r="C386" t="str">
            <v>6404231559821</v>
          </cell>
          <cell r="D386" t="str">
            <v>개인</v>
          </cell>
        </row>
        <row r="387">
          <cell r="B387" t="str">
            <v>현정문</v>
          </cell>
          <cell r="C387" t="str">
            <v>6404231559821</v>
          </cell>
          <cell r="D387" t="str">
            <v>개인</v>
          </cell>
        </row>
        <row r="388">
          <cell r="B388" t="str">
            <v>현정문</v>
          </cell>
          <cell r="C388" t="str">
            <v>6404231559821</v>
          </cell>
          <cell r="D388" t="str">
            <v>개인</v>
          </cell>
        </row>
        <row r="389">
          <cell r="B389" t="str">
            <v>현정문</v>
          </cell>
          <cell r="C389" t="str">
            <v>6404231559821</v>
          </cell>
          <cell r="D389" t="str">
            <v>개인</v>
          </cell>
        </row>
        <row r="390">
          <cell r="B390" t="str">
            <v>윤영신</v>
          </cell>
          <cell r="C390" t="str">
            <v>5709052566925</v>
          </cell>
          <cell r="D390" t="str">
            <v>개인</v>
          </cell>
        </row>
        <row r="391">
          <cell r="B391" t="str">
            <v>윤영신</v>
          </cell>
          <cell r="C391" t="str">
            <v>5709052566925</v>
          </cell>
          <cell r="D391" t="str">
            <v>개인</v>
          </cell>
        </row>
        <row r="392">
          <cell r="B392" t="str">
            <v>윤영신</v>
          </cell>
          <cell r="C392" t="str">
            <v>5709052566925</v>
          </cell>
          <cell r="D392" t="str">
            <v>개인</v>
          </cell>
        </row>
        <row r="393">
          <cell r="B393" t="str">
            <v>백영국</v>
          </cell>
          <cell r="C393" t="str">
            <v>6602091552922</v>
          </cell>
          <cell r="D393" t="str">
            <v>개인</v>
          </cell>
        </row>
        <row r="394">
          <cell r="B394" t="str">
            <v>백영국</v>
          </cell>
          <cell r="C394" t="str">
            <v>6602091552922</v>
          </cell>
          <cell r="D394" t="str">
            <v>개인</v>
          </cell>
        </row>
        <row r="395">
          <cell r="B395" t="str">
            <v>한원창</v>
          </cell>
          <cell r="C395" t="str">
            <v>6604221648513</v>
          </cell>
          <cell r="D395" t="str">
            <v>개인</v>
          </cell>
        </row>
        <row r="396">
          <cell r="B396" t="str">
            <v>한원창</v>
          </cell>
          <cell r="C396" t="str">
            <v>6604221648513</v>
          </cell>
          <cell r="D396" t="str">
            <v>개인</v>
          </cell>
        </row>
        <row r="397">
          <cell r="B397" t="str">
            <v>김삼식</v>
          </cell>
          <cell r="C397" t="str">
            <v>5805101649121</v>
          </cell>
          <cell r="D397" t="str">
            <v>개인</v>
          </cell>
        </row>
        <row r="398">
          <cell r="B398" t="str">
            <v>김삼식</v>
          </cell>
          <cell r="C398" t="str">
            <v>5805101649121</v>
          </cell>
          <cell r="D398" t="str">
            <v>개인</v>
          </cell>
        </row>
        <row r="399">
          <cell r="B399" t="str">
            <v>김삼식</v>
          </cell>
          <cell r="C399" t="str">
            <v>5805101649121</v>
          </cell>
          <cell r="D399" t="str">
            <v>개인</v>
          </cell>
        </row>
        <row r="400">
          <cell r="B400" t="str">
            <v>김삼식</v>
          </cell>
          <cell r="C400" t="str">
            <v>5805101649121</v>
          </cell>
          <cell r="D400" t="str">
            <v>개인</v>
          </cell>
        </row>
        <row r="401">
          <cell r="B401" t="str">
            <v>서원철</v>
          </cell>
          <cell r="C401" t="str">
            <v>5903021535232</v>
          </cell>
          <cell r="D401" t="str">
            <v>개인</v>
          </cell>
        </row>
        <row r="402">
          <cell r="B402" t="str">
            <v>서원철</v>
          </cell>
          <cell r="C402" t="str">
            <v>5903021535232</v>
          </cell>
          <cell r="D402" t="str">
            <v>개인</v>
          </cell>
        </row>
        <row r="403">
          <cell r="B403" t="str">
            <v>이창무</v>
          </cell>
          <cell r="C403" t="str">
            <v>6503121551010</v>
          </cell>
          <cell r="D403" t="str">
            <v>개인</v>
          </cell>
        </row>
        <row r="404">
          <cell r="B404" t="str">
            <v>이창무</v>
          </cell>
          <cell r="C404" t="str">
            <v>6503121551010</v>
          </cell>
          <cell r="D404" t="str">
            <v>개인</v>
          </cell>
        </row>
        <row r="405">
          <cell r="B405" t="str">
            <v>이창무</v>
          </cell>
          <cell r="C405" t="str">
            <v>6503121551010</v>
          </cell>
          <cell r="D405" t="str">
            <v>개인</v>
          </cell>
        </row>
        <row r="406">
          <cell r="B406" t="str">
            <v>이창무</v>
          </cell>
          <cell r="C406" t="str">
            <v>6503121551010</v>
          </cell>
          <cell r="D406" t="str">
            <v>개인</v>
          </cell>
        </row>
        <row r="407">
          <cell r="B407" t="str">
            <v>홍천기</v>
          </cell>
          <cell r="C407" t="str">
            <v>6107241654226</v>
          </cell>
          <cell r="D407" t="str">
            <v>개인</v>
          </cell>
        </row>
        <row r="408">
          <cell r="B408" t="str">
            <v>홍천기</v>
          </cell>
          <cell r="C408" t="str">
            <v>6107241654226</v>
          </cell>
          <cell r="D408" t="str">
            <v>개인</v>
          </cell>
        </row>
        <row r="409">
          <cell r="B409" t="str">
            <v>홍천기</v>
          </cell>
          <cell r="C409" t="str">
            <v>6107241654226</v>
          </cell>
          <cell r="D409" t="str">
            <v>개인</v>
          </cell>
        </row>
        <row r="410">
          <cell r="B410" t="str">
            <v>홍천기</v>
          </cell>
          <cell r="C410" t="str">
            <v>6107241654226</v>
          </cell>
          <cell r="D410" t="str">
            <v>개인</v>
          </cell>
        </row>
        <row r="411">
          <cell r="B411" t="str">
            <v>홍천기</v>
          </cell>
          <cell r="C411" t="str">
            <v>6107241654226</v>
          </cell>
          <cell r="D411" t="str">
            <v>개인</v>
          </cell>
        </row>
        <row r="412">
          <cell r="B412" t="str">
            <v>홍천기</v>
          </cell>
          <cell r="C412" t="str">
            <v>6107241654226</v>
          </cell>
          <cell r="D412" t="str">
            <v>개인</v>
          </cell>
        </row>
        <row r="413">
          <cell r="B413" t="str">
            <v>박미경</v>
          </cell>
          <cell r="C413" t="str">
            <v>7209192639310</v>
          </cell>
          <cell r="D413" t="str">
            <v>개인</v>
          </cell>
        </row>
        <row r="414">
          <cell r="B414" t="str">
            <v>박미경</v>
          </cell>
          <cell r="C414" t="str">
            <v>7209192639310</v>
          </cell>
          <cell r="D414" t="str">
            <v>개인</v>
          </cell>
        </row>
        <row r="415">
          <cell r="B415" t="str">
            <v>박미경</v>
          </cell>
          <cell r="C415" t="str">
            <v>7209192639310</v>
          </cell>
          <cell r="D415" t="str">
            <v>개인</v>
          </cell>
        </row>
        <row r="416">
          <cell r="B416" t="str">
            <v>송호암</v>
          </cell>
          <cell r="C416" t="str">
            <v>6210221639321</v>
          </cell>
          <cell r="D416" t="str">
            <v>개인</v>
          </cell>
        </row>
        <row r="417">
          <cell r="B417" t="str">
            <v>송호암</v>
          </cell>
          <cell r="C417" t="str">
            <v>6210221639321</v>
          </cell>
          <cell r="D417" t="str">
            <v>개인</v>
          </cell>
        </row>
        <row r="418">
          <cell r="B418" t="str">
            <v>송호암</v>
          </cell>
          <cell r="C418" t="str">
            <v>6210221639321</v>
          </cell>
          <cell r="D418" t="str">
            <v>개인</v>
          </cell>
        </row>
        <row r="419">
          <cell r="B419" t="str">
            <v>송호암</v>
          </cell>
          <cell r="C419" t="str">
            <v>6210221639321</v>
          </cell>
          <cell r="D419" t="str">
            <v>개인</v>
          </cell>
        </row>
        <row r="420">
          <cell r="B420" t="str">
            <v>송호암</v>
          </cell>
          <cell r="C420" t="str">
            <v>6210221639321</v>
          </cell>
          <cell r="D420" t="str">
            <v>개인</v>
          </cell>
        </row>
        <row r="421">
          <cell r="B421" t="str">
            <v>박창현</v>
          </cell>
          <cell r="C421" t="str">
            <v>6405161559112</v>
          </cell>
          <cell r="D421" t="str">
            <v>개인</v>
          </cell>
        </row>
        <row r="422">
          <cell r="B422" t="str">
            <v>박창현</v>
          </cell>
          <cell r="C422" t="str">
            <v>6405161559112</v>
          </cell>
          <cell r="D422" t="str">
            <v>개인</v>
          </cell>
        </row>
        <row r="423">
          <cell r="B423" t="str">
            <v>박상중</v>
          </cell>
          <cell r="C423" t="str">
            <v>7109121654613</v>
          </cell>
          <cell r="D423" t="str">
            <v>개인</v>
          </cell>
        </row>
        <row r="424">
          <cell r="B424" t="str">
            <v>박상중</v>
          </cell>
          <cell r="C424" t="str">
            <v>7109121654613</v>
          </cell>
          <cell r="D424" t="str">
            <v>개인</v>
          </cell>
        </row>
        <row r="425">
          <cell r="B425" t="str">
            <v>문정숙</v>
          </cell>
          <cell r="C425" t="str">
            <v>5111292642118</v>
          </cell>
          <cell r="D425" t="str">
            <v>개인</v>
          </cell>
        </row>
        <row r="426">
          <cell r="B426" t="str">
            <v>김용훈</v>
          </cell>
          <cell r="C426" t="str">
            <v>5912271626317</v>
          </cell>
          <cell r="D426" t="str">
            <v>개인</v>
          </cell>
        </row>
        <row r="427">
          <cell r="B427" t="str">
            <v>김용훈</v>
          </cell>
          <cell r="C427" t="str">
            <v>5912271626317</v>
          </cell>
          <cell r="D427" t="str">
            <v>개인</v>
          </cell>
        </row>
        <row r="428">
          <cell r="B428" t="str">
            <v>김용훈</v>
          </cell>
          <cell r="C428" t="str">
            <v>5912271626317</v>
          </cell>
          <cell r="D428" t="str">
            <v>개인</v>
          </cell>
        </row>
        <row r="429">
          <cell r="B429" t="str">
            <v>곽경호</v>
          </cell>
          <cell r="C429" t="str">
            <v>6912251637222</v>
          </cell>
          <cell r="D429" t="str">
            <v>개인</v>
          </cell>
        </row>
        <row r="430">
          <cell r="B430" t="str">
            <v>곽경호</v>
          </cell>
          <cell r="C430" t="str">
            <v>6912251637222</v>
          </cell>
          <cell r="D430" t="str">
            <v>개인</v>
          </cell>
        </row>
        <row r="431">
          <cell r="B431" t="str">
            <v>김철현</v>
          </cell>
          <cell r="C431" t="str">
            <v>6104141807610</v>
          </cell>
          <cell r="D431" t="str">
            <v>개인</v>
          </cell>
        </row>
        <row r="432">
          <cell r="B432" t="str">
            <v>김철현</v>
          </cell>
          <cell r="C432" t="str">
            <v>6104141807610</v>
          </cell>
          <cell r="D432" t="str">
            <v>개인</v>
          </cell>
        </row>
        <row r="433">
          <cell r="B433" t="str">
            <v>장형운</v>
          </cell>
          <cell r="C433" t="str">
            <v>6405051642918</v>
          </cell>
          <cell r="D433" t="str">
            <v>개인</v>
          </cell>
        </row>
        <row r="434">
          <cell r="B434" t="str">
            <v>장형운</v>
          </cell>
          <cell r="C434" t="str">
            <v>6405051642918</v>
          </cell>
          <cell r="D434" t="str">
            <v>개인</v>
          </cell>
        </row>
        <row r="435">
          <cell r="B435" t="str">
            <v>장형운</v>
          </cell>
          <cell r="C435" t="str">
            <v>6405051642918</v>
          </cell>
          <cell r="D435" t="str">
            <v>개인</v>
          </cell>
        </row>
        <row r="436">
          <cell r="B436" t="str">
            <v>최주곤</v>
          </cell>
          <cell r="C436" t="str">
            <v>5506061624615</v>
          </cell>
          <cell r="D436" t="str">
            <v>개인</v>
          </cell>
        </row>
        <row r="437">
          <cell r="B437" t="str">
            <v>최주곤</v>
          </cell>
          <cell r="C437" t="str">
            <v>5506061624615</v>
          </cell>
          <cell r="D437" t="str">
            <v>개인</v>
          </cell>
        </row>
        <row r="438">
          <cell r="B438" t="str">
            <v>우진산업㈜</v>
          </cell>
          <cell r="C438" t="str">
            <v>4128105833</v>
          </cell>
          <cell r="D438" t="str">
            <v>법인</v>
          </cell>
        </row>
        <row r="439">
          <cell r="B439" t="str">
            <v>우진산업㈜</v>
          </cell>
          <cell r="C439" t="str">
            <v>4128105833</v>
          </cell>
          <cell r="D439" t="str">
            <v>법인</v>
          </cell>
        </row>
        <row r="440">
          <cell r="B440" t="str">
            <v>우진산업㈜</v>
          </cell>
          <cell r="C440" t="str">
            <v>4128105833</v>
          </cell>
          <cell r="D440" t="str">
            <v>법인</v>
          </cell>
        </row>
        <row r="441">
          <cell r="B441" t="str">
            <v>우진산업㈜</v>
          </cell>
          <cell r="C441" t="str">
            <v>4128105833</v>
          </cell>
          <cell r="D441" t="str">
            <v>법인</v>
          </cell>
        </row>
        <row r="442">
          <cell r="B442" t="str">
            <v>우진산업㈜</v>
          </cell>
          <cell r="C442" t="str">
            <v>4128105833</v>
          </cell>
          <cell r="D442" t="str">
            <v>법인</v>
          </cell>
        </row>
        <row r="443">
          <cell r="B443" t="str">
            <v>김원기</v>
          </cell>
          <cell r="C443" t="str">
            <v>7301101640311</v>
          </cell>
          <cell r="D443" t="str">
            <v>개인</v>
          </cell>
        </row>
        <row r="444">
          <cell r="B444" t="str">
            <v>김원기</v>
          </cell>
          <cell r="C444" t="str">
            <v>7301101640311</v>
          </cell>
          <cell r="D444" t="str">
            <v>개인</v>
          </cell>
        </row>
        <row r="445">
          <cell r="B445" t="str">
            <v>임완주</v>
          </cell>
          <cell r="C445" t="str">
            <v>5706271108510</v>
          </cell>
          <cell r="D445" t="str">
            <v>개인</v>
          </cell>
        </row>
        <row r="446">
          <cell r="B446" t="str">
            <v>김학진</v>
          </cell>
          <cell r="C446" t="str">
            <v>7005131496013</v>
          </cell>
          <cell r="D446" t="str">
            <v>개인</v>
          </cell>
        </row>
        <row r="447">
          <cell r="B447" t="str">
            <v>김학진</v>
          </cell>
          <cell r="C447" t="str">
            <v>7005131496013</v>
          </cell>
          <cell r="D447" t="str">
            <v>개인</v>
          </cell>
        </row>
        <row r="448">
          <cell r="B448" t="str">
            <v>윤기자</v>
          </cell>
          <cell r="C448" t="str">
            <v>6806072540318</v>
          </cell>
          <cell r="D448" t="str">
            <v>개인</v>
          </cell>
        </row>
        <row r="449">
          <cell r="B449" t="str">
            <v>윤기자</v>
          </cell>
          <cell r="C449" t="str">
            <v>6806072540318</v>
          </cell>
          <cell r="D449" t="str">
            <v>개인</v>
          </cell>
        </row>
        <row r="450">
          <cell r="B450" t="str">
            <v>윤기자</v>
          </cell>
          <cell r="C450" t="str">
            <v>6806072540318</v>
          </cell>
          <cell r="D450" t="str">
            <v>개인</v>
          </cell>
        </row>
        <row r="451">
          <cell r="B451" t="str">
            <v>하정남</v>
          </cell>
          <cell r="C451" t="str">
            <v>5401101490618</v>
          </cell>
          <cell r="D451" t="str">
            <v>개인</v>
          </cell>
        </row>
        <row r="452">
          <cell r="B452" t="str">
            <v>하정남</v>
          </cell>
          <cell r="C452" t="str">
            <v>5401101490618</v>
          </cell>
          <cell r="D452" t="str">
            <v>개인</v>
          </cell>
        </row>
        <row r="453">
          <cell r="B453" t="str">
            <v>하정남</v>
          </cell>
          <cell r="C453" t="str">
            <v>5401101490618</v>
          </cell>
          <cell r="D453" t="str">
            <v>개인</v>
          </cell>
        </row>
        <row r="454">
          <cell r="B454" t="str">
            <v>최형숙</v>
          </cell>
          <cell r="C454" t="str">
            <v>5311242489413</v>
          </cell>
          <cell r="D454" t="str">
            <v>개인</v>
          </cell>
        </row>
        <row r="455">
          <cell r="B455" t="str">
            <v>최형숙</v>
          </cell>
          <cell r="C455" t="str">
            <v>5311242489413</v>
          </cell>
          <cell r="D455" t="str">
            <v>개인</v>
          </cell>
        </row>
        <row r="456">
          <cell r="B456" t="str">
            <v>최현길</v>
          </cell>
          <cell r="C456" t="str">
            <v>7106111548719</v>
          </cell>
          <cell r="D456" t="str">
            <v>개인</v>
          </cell>
        </row>
        <row r="457">
          <cell r="B457" t="str">
            <v>김광식</v>
          </cell>
          <cell r="C457" t="str">
            <v>5608121490511</v>
          </cell>
          <cell r="D457" t="str">
            <v>개인</v>
          </cell>
        </row>
        <row r="458">
          <cell r="B458" t="str">
            <v>김광식</v>
          </cell>
          <cell r="C458" t="str">
            <v>5608121490511</v>
          </cell>
          <cell r="D458" t="str">
            <v>개인</v>
          </cell>
        </row>
        <row r="459">
          <cell r="B459" t="str">
            <v>심정숙</v>
          </cell>
          <cell r="C459" t="str">
            <v>6703052531711</v>
          </cell>
          <cell r="D459" t="str">
            <v>개인</v>
          </cell>
        </row>
        <row r="460">
          <cell r="B460" t="str">
            <v>심정숙</v>
          </cell>
          <cell r="C460" t="str">
            <v>6703052531711</v>
          </cell>
          <cell r="D460" t="str">
            <v>개인</v>
          </cell>
        </row>
        <row r="461">
          <cell r="B461" t="str">
            <v>문경숙</v>
          </cell>
          <cell r="C461" t="str">
            <v>5803232480618</v>
          </cell>
          <cell r="D461" t="str">
            <v>개인</v>
          </cell>
        </row>
        <row r="462">
          <cell r="B462" t="str">
            <v>문경숙</v>
          </cell>
          <cell r="C462" t="str">
            <v>5803232480618</v>
          </cell>
          <cell r="D462" t="str">
            <v>개인</v>
          </cell>
        </row>
        <row r="463">
          <cell r="B463" t="str">
            <v>설인숙</v>
          </cell>
          <cell r="C463" t="str">
            <v>6106202533517</v>
          </cell>
          <cell r="D463" t="str">
            <v>개인</v>
          </cell>
        </row>
        <row r="464">
          <cell r="B464" t="str">
            <v>설인숙</v>
          </cell>
          <cell r="C464" t="str">
            <v>6106202533517</v>
          </cell>
          <cell r="D464" t="str">
            <v>개인</v>
          </cell>
        </row>
        <row r="465">
          <cell r="B465" t="str">
            <v>㈜정훈종합건설</v>
          </cell>
          <cell r="C465" t="str">
            <v>4018113857</v>
          </cell>
          <cell r="D465" t="str">
            <v>법인</v>
          </cell>
        </row>
        <row r="466">
          <cell r="B466" t="str">
            <v>㈜정훈종합건설</v>
          </cell>
          <cell r="C466" t="str">
            <v>4018113857</v>
          </cell>
          <cell r="D466" t="str">
            <v>법인</v>
          </cell>
        </row>
        <row r="467">
          <cell r="B467" t="str">
            <v>㈜정훈종합건설</v>
          </cell>
          <cell r="C467" t="str">
            <v>4018113857</v>
          </cell>
          <cell r="D467" t="str">
            <v>법인</v>
          </cell>
        </row>
        <row r="468">
          <cell r="B468" t="str">
            <v>㈜정훈종합건설</v>
          </cell>
          <cell r="C468" t="str">
            <v>4018113857</v>
          </cell>
          <cell r="D468" t="str">
            <v>법인</v>
          </cell>
        </row>
        <row r="469">
          <cell r="B469" t="str">
            <v>㈜정훈종합건설</v>
          </cell>
          <cell r="C469" t="str">
            <v>4018113857</v>
          </cell>
          <cell r="D469" t="str">
            <v>법인</v>
          </cell>
        </row>
        <row r="470">
          <cell r="B470" t="str">
            <v>㈜정훈종합건설</v>
          </cell>
          <cell r="C470" t="str">
            <v>4018113857</v>
          </cell>
          <cell r="D470" t="str">
            <v>법인</v>
          </cell>
        </row>
        <row r="471">
          <cell r="B471" t="str">
            <v>㈜정훈종합건설</v>
          </cell>
          <cell r="C471" t="str">
            <v>4018113857</v>
          </cell>
          <cell r="D471" t="str">
            <v>법인</v>
          </cell>
        </row>
        <row r="472">
          <cell r="B472" t="str">
            <v>㈜정훈종합건설</v>
          </cell>
          <cell r="C472" t="str">
            <v>4018113857</v>
          </cell>
          <cell r="D472" t="str">
            <v>법인</v>
          </cell>
        </row>
        <row r="473">
          <cell r="B473" t="str">
            <v>㈜정훈종합건설</v>
          </cell>
          <cell r="C473" t="str">
            <v>4018113857</v>
          </cell>
          <cell r="D473" t="str">
            <v>법인</v>
          </cell>
        </row>
        <row r="474">
          <cell r="B474" t="str">
            <v>㈜정훈종합건설</v>
          </cell>
          <cell r="C474" t="str">
            <v>4018113857</v>
          </cell>
          <cell r="D474" t="str">
            <v>법인</v>
          </cell>
        </row>
        <row r="475">
          <cell r="B475" t="str">
            <v>㈜정훈종합건설</v>
          </cell>
          <cell r="C475" t="str">
            <v>4018113857</v>
          </cell>
          <cell r="D475" t="str">
            <v>법인</v>
          </cell>
        </row>
        <row r="476">
          <cell r="B476" t="str">
            <v>㈜정훈종합건설</v>
          </cell>
          <cell r="C476" t="str">
            <v>4018113857</v>
          </cell>
          <cell r="D476" t="str">
            <v>법인</v>
          </cell>
        </row>
        <row r="477">
          <cell r="B477" t="str">
            <v>(유)금산유화</v>
          </cell>
          <cell r="C477" t="str">
            <v>4058110401</v>
          </cell>
          <cell r="D477" t="str">
            <v>법인</v>
          </cell>
        </row>
        <row r="478">
          <cell r="B478" t="str">
            <v>(유)금산유화</v>
          </cell>
          <cell r="C478" t="str">
            <v>4058110401</v>
          </cell>
          <cell r="D478" t="str">
            <v>법인</v>
          </cell>
        </row>
        <row r="479">
          <cell r="B479" t="str">
            <v>(유)금산유화</v>
          </cell>
          <cell r="C479" t="str">
            <v>4058110401</v>
          </cell>
          <cell r="D479" t="str">
            <v>법인</v>
          </cell>
        </row>
        <row r="480">
          <cell r="B480" t="str">
            <v>(유)금산유화</v>
          </cell>
          <cell r="C480" t="str">
            <v>4058110401</v>
          </cell>
          <cell r="D480" t="str">
            <v>법인</v>
          </cell>
        </row>
        <row r="481">
          <cell r="B481" t="str">
            <v>(유)금산유화</v>
          </cell>
          <cell r="C481" t="str">
            <v>4058110401</v>
          </cell>
          <cell r="D481" t="str">
            <v>법인</v>
          </cell>
        </row>
        <row r="482">
          <cell r="B482" t="str">
            <v>(유)금산유화</v>
          </cell>
          <cell r="C482" t="str">
            <v>4058110401</v>
          </cell>
          <cell r="D482" t="str">
            <v>법인</v>
          </cell>
        </row>
        <row r="483">
          <cell r="B483" t="str">
            <v>(유)금산유화</v>
          </cell>
          <cell r="C483" t="str">
            <v>4058110401</v>
          </cell>
          <cell r="D483" t="str">
            <v>법인</v>
          </cell>
        </row>
        <row r="484">
          <cell r="B484" t="str">
            <v>조규현</v>
          </cell>
          <cell r="C484" t="str">
            <v>5506061541212</v>
          </cell>
          <cell r="D484" t="str">
            <v>개인</v>
          </cell>
        </row>
        <row r="485">
          <cell r="B485" t="str">
            <v>조규현</v>
          </cell>
          <cell r="C485" t="str">
            <v>5506061541212</v>
          </cell>
          <cell r="D485" t="str">
            <v>개인</v>
          </cell>
        </row>
        <row r="486">
          <cell r="B486" t="str">
            <v>조규현</v>
          </cell>
          <cell r="C486" t="str">
            <v>5506061541212</v>
          </cell>
          <cell r="D486" t="str">
            <v>개인</v>
          </cell>
        </row>
        <row r="487">
          <cell r="B487" t="str">
            <v>김용관</v>
          </cell>
          <cell r="C487" t="str">
            <v>5706041490318</v>
          </cell>
          <cell r="D487" t="str">
            <v>개인</v>
          </cell>
        </row>
        <row r="488">
          <cell r="B488" t="str">
            <v>김용관</v>
          </cell>
          <cell r="C488" t="str">
            <v>5706041490318</v>
          </cell>
          <cell r="D488" t="str">
            <v>개인</v>
          </cell>
        </row>
        <row r="489">
          <cell r="B489" t="str">
            <v>김용환</v>
          </cell>
          <cell r="C489" t="str">
            <v>5611071542615</v>
          </cell>
          <cell r="D489" t="str">
            <v>개인</v>
          </cell>
        </row>
        <row r="490">
          <cell r="B490" t="str">
            <v>김용환</v>
          </cell>
          <cell r="C490" t="str">
            <v>5611071542615</v>
          </cell>
          <cell r="D490" t="str">
            <v>개인</v>
          </cell>
        </row>
        <row r="491">
          <cell r="B491" t="str">
            <v>(유)동호목재</v>
          </cell>
          <cell r="C491" t="str">
            <v>3138110117</v>
          </cell>
          <cell r="D491" t="str">
            <v>법인</v>
          </cell>
        </row>
        <row r="492">
          <cell r="B492" t="str">
            <v>(유)동호목재</v>
          </cell>
          <cell r="C492" t="str">
            <v>3138110117</v>
          </cell>
          <cell r="D492" t="str">
            <v>법인</v>
          </cell>
        </row>
        <row r="493">
          <cell r="B493" t="str">
            <v>(유)동호목재</v>
          </cell>
          <cell r="C493" t="str">
            <v>3138110117</v>
          </cell>
          <cell r="D493" t="str">
            <v>법인</v>
          </cell>
        </row>
        <row r="494">
          <cell r="B494" t="str">
            <v>(유)동호목재</v>
          </cell>
          <cell r="C494" t="str">
            <v>3138110117</v>
          </cell>
          <cell r="D494" t="str">
            <v>법인</v>
          </cell>
        </row>
        <row r="495">
          <cell r="B495" t="str">
            <v>(유)동호목재</v>
          </cell>
          <cell r="C495" t="str">
            <v>3138110117</v>
          </cell>
          <cell r="D495" t="str">
            <v>법인</v>
          </cell>
        </row>
        <row r="496">
          <cell r="B496" t="str">
            <v>㈜홈텍</v>
          </cell>
          <cell r="C496" t="str">
            <v>1298137904</v>
          </cell>
          <cell r="D496" t="str">
            <v>법인</v>
          </cell>
        </row>
        <row r="497">
          <cell r="B497" t="str">
            <v>㈜홈텍</v>
          </cell>
          <cell r="C497" t="str">
            <v>1298137904</v>
          </cell>
          <cell r="D497" t="str">
            <v>법인</v>
          </cell>
        </row>
        <row r="498">
          <cell r="B498" t="str">
            <v>㈜홈텍</v>
          </cell>
          <cell r="C498" t="str">
            <v>1298137904</v>
          </cell>
          <cell r="D498" t="str">
            <v>법인</v>
          </cell>
        </row>
        <row r="499">
          <cell r="B499" t="str">
            <v>백두선</v>
          </cell>
          <cell r="C499" t="str">
            <v>6802181574518</v>
          </cell>
          <cell r="D499" t="str">
            <v>개인</v>
          </cell>
        </row>
        <row r="500">
          <cell r="B500" t="str">
            <v>백두선</v>
          </cell>
          <cell r="C500" t="str">
            <v>6802181574518</v>
          </cell>
          <cell r="D500" t="str">
            <v>개인</v>
          </cell>
        </row>
        <row r="501">
          <cell r="B501" t="str">
            <v>백두선</v>
          </cell>
          <cell r="C501" t="str">
            <v>6802181574518</v>
          </cell>
          <cell r="D501" t="str">
            <v>개인</v>
          </cell>
        </row>
        <row r="502">
          <cell r="B502" t="str">
            <v>윤난실</v>
          </cell>
          <cell r="C502" t="str">
            <v>7605292953416</v>
          </cell>
          <cell r="D502" t="str">
            <v>개인</v>
          </cell>
        </row>
        <row r="503">
          <cell r="B503" t="str">
            <v>윤난실</v>
          </cell>
          <cell r="C503" t="str">
            <v>7605292953416</v>
          </cell>
          <cell r="D503" t="str">
            <v>개인</v>
          </cell>
        </row>
        <row r="504">
          <cell r="B504" t="str">
            <v>박문현</v>
          </cell>
          <cell r="C504" t="str">
            <v>6405101951110</v>
          </cell>
          <cell r="D504" t="str">
            <v>개인</v>
          </cell>
        </row>
        <row r="505">
          <cell r="B505" t="str">
            <v>박문현</v>
          </cell>
          <cell r="C505" t="str">
            <v>6405101951110</v>
          </cell>
          <cell r="D505" t="str">
            <v>개인</v>
          </cell>
        </row>
        <row r="506">
          <cell r="B506" t="str">
            <v>차정남</v>
          </cell>
          <cell r="C506" t="str">
            <v>4705161632411</v>
          </cell>
          <cell r="D506" t="str">
            <v>개인</v>
          </cell>
        </row>
        <row r="507">
          <cell r="B507" t="str">
            <v>차정남</v>
          </cell>
          <cell r="C507" t="str">
            <v>4705161632411</v>
          </cell>
          <cell r="D507" t="str">
            <v>개인</v>
          </cell>
        </row>
        <row r="508">
          <cell r="B508" t="str">
            <v>차정남</v>
          </cell>
          <cell r="C508" t="str">
            <v>4705161632411</v>
          </cell>
          <cell r="D508" t="str">
            <v>개인</v>
          </cell>
        </row>
        <row r="509">
          <cell r="B509" t="str">
            <v>차정남</v>
          </cell>
          <cell r="C509" t="str">
            <v>4705161632411</v>
          </cell>
          <cell r="D509" t="str">
            <v>개인</v>
          </cell>
        </row>
        <row r="510">
          <cell r="B510" t="str">
            <v>박옥자</v>
          </cell>
          <cell r="C510" t="str">
            <v>3805052632212</v>
          </cell>
          <cell r="D510" t="str">
            <v>개인</v>
          </cell>
        </row>
        <row r="511">
          <cell r="B511" t="str">
            <v>박옥자</v>
          </cell>
          <cell r="C511" t="str">
            <v>3805052632212</v>
          </cell>
          <cell r="D511" t="str">
            <v>개인</v>
          </cell>
        </row>
        <row r="512">
          <cell r="B512" t="str">
            <v>이영권</v>
          </cell>
          <cell r="C512" t="str">
            <v>6312031519939</v>
          </cell>
          <cell r="D512" t="str">
            <v>개인</v>
          </cell>
        </row>
        <row r="513">
          <cell r="B513" t="str">
            <v>이영권</v>
          </cell>
          <cell r="C513" t="str">
            <v>6312031519939</v>
          </cell>
          <cell r="D513" t="str">
            <v>개인</v>
          </cell>
        </row>
        <row r="514">
          <cell r="B514" t="str">
            <v>김영희</v>
          </cell>
          <cell r="C514" t="str">
            <v>7009292566011</v>
          </cell>
          <cell r="D514" t="str">
            <v>개인</v>
          </cell>
        </row>
        <row r="515">
          <cell r="B515" t="str">
            <v>김영희</v>
          </cell>
          <cell r="C515" t="str">
            <v>7009292566011</v>
          </cell>
          <cell r="D515" t="str">
            <v>개인</v>
          </cell>
        </row>
        <row r="516">
          <cell r="B516" t="str">
            <v>김영희</v>
          </cell>
          <cell r="C516" t="str">
            <v>7009292566011</v>
          </cell>
          <cell r="D516" t="str">
            <v>개인</v>
          </cell>
        </row>
        <row r="517">
          <cell r="B517" t="str">
            <v>㈜동아그린</v>
          </cell>
          <cell r="C517" t="str">
            <v>4168120739</v>
          </cell>
          <cell r="D517" t="str">
            <v>법인</v>
          </cell>
        </row>
        <row r="518">
          <cell r="B518" t="str">
            <v>㈜동아그린</v>
          </cell>
          <cell r="C518" t="str">
            <v>4168120739</v>
          </cell>
          <cell r="D518" t="str">
            <v>법인</v>
          </cell>
        </row>
        <row r="519">
          <cell r="B519" t="str">
            <v>광양자원㈜</v>
          </cell>
          <cell r="C519" t="str">
            <v>4168115916</v>
          </cell>
          <cell r="D519" t="str">
            <v>법인</v>
          </cell>
        </row>
        <row r="520">
          <cell r="B520" t="str">
            <v>광양자원㈜</v>
          </cell>
          <cell r="C520" t="str">
            <v>4168115916</v>
          </cell>
          <cell r="D520" t="str">
            <v>법인</v>
          </cell>
        </row>
        <row r="521">
          <cell r="B521" t="str">
            <v>광양자원㈜</v>
          </cell>
          <cell r="C521" t="str">
            <v>4168115916</v>
          </cell>
          <cell r="D521" t="str">
            <v>법인</v>
          </cell>
        </row>
        <row r="522">
          <cell r="B522" t="str">
            <v>광양자원㈜</v>
          </cell>
          <cell r="C522" t="str">
            <v>4168115916</v>
          </cell>
          <cell r="D522" t="str">
            <v>법인</v>
          </cell>
        </row>
        <row r="523">
          <cell r="B523" t="str">
            <v>이용일</v>
          </cell>
          <cell r="C523" t="str">
            <v>5401021656914</v>
          </cell>
          <cell r="D523" t="str">
            <v>개인</v>
          </cell>
        </row>
        <row r="524">
          <cell r="B524" t="str">
            <v>이용일</v>
          </cell>
          <cell r="C524" t="str">
            <v>5401021656914</v>
          </cell>
          <cell r="D524" t="str">
            <v>개인</v>
          </cell>
        </row>
        <row r="525">
          <cell r="B525" t="str">
            <v>이용일</v>
          </cell>
          <cell r="C525" t="str">
            <v>5401021656914</v>
          </cell>
          <cell r="D525" t="str">
            <v>개인</v>
          </cell>
        </row>
        <row r="526">
          <cell r="B526" t="str">
            <v>청운산업㈜</v>
          </cell>
          <cell r="C526" t="str">
            <v>6168121736</v>
          </cell>
          <cell r="D526" t="str">
            <v>법인</v>
          </cell>
        </row>
        <row r="527">
          <cell r="B527" t="str">
            <v>청운산업㈜</v>
          </cell>
          <cell r="C527" t="str">
            <v>6168121736</v>
          </cell>
          <cell r="D527" t="str">
            <v>법인</v>
          </cell>
        </row>
        <row r="528">
          <cell r="B528" t="str">
            <v>청운산업㈜</v>
          </cell>
          <cell r="C528" t="str">
            <v>6168121736</v>
          </cell>
          <cell r="D528" t="str">
            <v>법인</v>
          </cell>
        </row>
        <row r="529">
          <cell r="B529" t="str">
            <v>청운산업㈜</v>
          </cell>
          <cell r="C529" t="str">
            <v>6168121736</v>
          </cell>
          <cell r="D529" t="str">
            <v>법인</v>
          </cell>
        </row>
        <row r="530">
          <cell r="B530" t="str">
            <v>청운산업㈜</v>
          </cell>
          <cell r="C530" t="str">
            <v>6168121736</v>
          </cell>
          <cell r="D530" t="str">
            <v>법인</v>
          </cell>
        </row>
        <row r="531">
          <cell r="B531" t="str">
            <v>청운산업㈜</v>
          </cell>
          <cell r="C531" t="str">
            <v>6168121736</v>
          </cell>
          <cell r="D531" t="str">
            <v>법인</v>
          </cell>
        </row>
        <row r="532">
          <cell r="B532" t="str">
            <v>청운산업㈜</v>
          </cell>
          <cell r="C532" t="str">
            <v>6168121736</v>
          </cell>
          <cell r="D532" t="str">
            <v>법인</v>
          </cell>
        </row>
        <row r="533">
          <cell r="B533" t="str">
            <v>청운산업㈜</v>
          </cell>
          <cell r="C533" t="str">
            <v>6168121736</v>
          </cell>
          <cell r="D533" t="str">
            <v>법인</v>
          </cell>
        </row>
        <row r="534">
          <cell r="B534" t="str">
            <v>청운산업㈜</v>
          </cell>
          <cell r="C534" t="str">
            <v>6168121736</v>
          </cell>
          <cell r="D534" t="str">
            <v>법인</v>
          </cell>
        </row>
        <row r="535">
          <cell r="B535" t="str">
            <v>청운산업㈜</v>
          </cell>
          <cell r="C535" t="str">
            <v>6168121736</v>
          </cell>
          <cell r="D535" t="str">
            <v>법인</v>
          </cell>
        </row>
        <row r="536">
          <cell r="B536" t="str">
            <v>김효정</v>
          </cell>
          <cell r="C536" t="str">
            <v>6110202932531</v>
          </cell>
          <cell r="D536" t="str">
            <v>개인</v>
          </cell>
        </row>
        <row r="537">
          <cell r="B537" t="str">
            <v>(유)삼호수산</v>
          </cell>
          <cell r="C537" t="str">
            <v>4118123954</v>
          </cell>
          <cell r="D537" t="str">
            <v>법인</v>
          </cell>
        </row>
        <row r="538">
          <cell r="B538" t="str">
            <v>(유)삼호수산</v>
          </cell>
          <cell r="C538" t="str">
            <v>4118123954</v>
          </cell>
          <cell r="D538" t="str">
            <v>법인</v>
          </cell>
        </row>
        <row r="539">
          <cell r="B539" t="str">
            <v>문승호</v>
          </cell>
          <cell r="C539" t="str">
            <v>7202111472121</v>
          </cell>
          <cell r="D539" t="str">
            <v>개인</v>
          </cell>
        </row>
        <row r="540">
          <cell r="B540" t="str">
            <v>문승호</v>
          </cell>
          <cell r="C540" t="str">
            <v>7202111472121</v>
          </cell>
          <cell r="D540" t="str">
            <v>개인</v>
          </cell>
        </row>
        <row r="541">
          <cell r="B541" t="str">
            <v>문승호</v>
          </cell>
          <cell r="C541" t="str">
            <v>7202111472121</v>
          </cell>
          <cell r="D541" t="str">
            <v>개인</v>
          </cell>
        </row>
        <row r="542">
          <cell r="B542" t="str">
            <v>㈜고은</v>
          </cell>
          <cell r="C542" t="str">
            <v>4138103139</v>
          </cell>
          <cell r="D542" t="str">
            <v>법인</v>
          </cell>
        </row>
        <row r="543">
          <cell r="B543" t="str">
            <v>㈜고은</v>
          </cell>
          <cell r="C543" t="str">
            <v>4138103139</v>
          </cell>
          <cell r="D543" t="str">
            <v>법인</v>
          </cell>
        </row>
        <row r="544">
          <cell r="B544" t="str">
            <v>㈜고은</v>
          </cell>
          <cell r="C544" t="str">
            <v>4138103139</v>
          </cell>
          <cell r="D544" t="str">
            <v>법인</v>
          </cell>
        </row>
        <row r="545">
          <cell r="B545" t="str">
            <v>김연화</v>
          </cell>
          <cell r="C545" t="str">
            <v>7303142668329</v>
          </cell>
          <cell r="D545" t="str">
            <v>개인</v>
          </cell>
        </row>
        <row r="546">
          <cell r="B546" t="str">
            <v>김연화</v>
          </cell>
          <cell r="C546" t="str">
            <v>7303142668329</v>
          </cell>
          <cell r="D546" t="str">
            <v>개인</v>
          </cell>
        </row>
        <row r="547">
          <cell r="B547" t="str">
            <v>박건민</v>
          </cell>
          <cell r="C547" t="str">
            <v>6610131668422</v>
          </cell>
          <cell r="D547" t="str">
            <v>개인</v>
          </cell>
        </row>
        <row r="548">
          <cell r="B548" t="str">
            <v>박건민</v>
          </cell>
          <cell r="C548" t="str">
            <v>6610131668422</v>
          </cell>
          <cell r="D548" t="str">
            <v>개인</v>
          </cell>
        </row>
        <row r="549">
          <cell r="B549" t="str">
            <v>윤철</v>
          </cell>
          <cell r="C549" t="str">
            <v>7003011558217</v>
          </cell>
          <cell r="D549" t="str">
            <v>개인</v>
          </cell>
        </row>
        <row r="550">
          <cell r="B550" t="str">
            <v>윤철</v>
          </cell>
          <cell r="C550" t="str">
            <v>7003011558217</v>
          </cell>
          <cell r="D550" t="str">
            <v>개인</v>
          </cell>
        </row>
        <row r="551">
          <cell r="B551" t="str">
            <v>명순희</v>
          </cell>
          <cell r="C551" t="str">
            <v>4509282637410</v>
          </cell>
          <cell r="D551" t="str">
            <v>개인</v>
          </cell>
        </row>
        <row r="552">
          <cell r="B552" t="str">
            <v>명순희</v>
          </cell>
          <cell r="C552" t="str">
            <v>4509282637410</v>
          </cell>
          <cell r="D552" t="str">
            <v>개인</v>
          </cell>
        </row>
        <row r="553">
          <cell r="B553" t="str">
            <v>명순희</v>
          </cell>
          <cell r="C553" t="str">
            <v>4509282637410</v>
          </cell>
          <cell r="D553" t="str">
            <v>개인</v>
          </cell>
        </row>
        <row r="554">
          <cell r="B554" t="str">
            <v>김현희</v>
          </cell>
          <cell r="C554" t="str">
            <v>6812122567316</v>
          </cell>
          <cell r="D554" t="str">
            <v>개인</v>
          </cell>
        </row>
        <row r="555">
          <cell r="B555" t="str">
            <v>김현희</v>
          </cell>
          <cell r="C555" t="str">
            <v>6812122567316</v>
          </cell>
          <cell r="D555" t="str">
            <v>개인</v>
          </cell>
        </row>
        <row r="556">
          <cell r="B556" t="str">
            <v>조성열</v>
          </cell>
          <cell r="C556" t="str">
            <v>6101101666318</v>
          </cell>
          <cell r="D556" t="str">
            <v>개인</v>
          </cell>
        </row>
        <row r="557">
          <cell r="B557" t="str">
            <v>조성열</v>
          </cell>
          <cell r="C557" t="str">
            <v>6101101666318</v>
          </cell>
          <cell r="D557" t="str">
            <v>개인</v>
          </cell>
        </row>
        <row r="558">
          <cell r="B558" t="str">
            <v>조성열</v>
          </cell>
          <cell r="C558" t="str">
            <v>6101101666318</v>
          </cell>
          <cell r="D558" t="str">
            <v>개인</v>
          </cell>
        </row>
        <row r="559">
          <cell r="B559" t="str">
            <v>최문</v>
          </cell>
          <cell r="C559" t="str">
            <v>6003291568119</v>
          </cell>
          <cell r="D559" t="str">
            <v>개인</v>
          </cell>
        </row>
        <row r="560">
          <cell r="B560" t="str">
            <v>최문</v>
          </cell>
          <cell r="C560" t="str">
            <v>6003291568119</v>
          </cell>
          <cell r="D560" t="str">
            <v>개인</v>
          </cell>
        </row>
        <row r="561">
          <cell r="B561" t="str">
            <v>최대복</v>
          </cell>
          <cell r="C561" t="str">
            <v>5112281667820</v>
          </cell>
          <cell r="D561" t="str">
            <v>개인</v>
          </cell>
        </row>
        <row r="562">
          <cell r="B562" t="str">
            <v>최대복</v>
          </cell>
          <cell r="C562" t="str">
            <v>5112281667820</v>
          </cell>
          <cell r="D562" t="str">
            <v>개인</v>
          </cell>
        </row>
        <row r="563">
          <cell r="B563" t="str">
            <v>최대복</v>
          </cell>
          <cell r="C563" t="str">
            <v>5112281667820</v>
          </cell>
          <cell r="D563" t="str">
            <v>개인</v>
          </cell>
        </row>
        <row r="564">
          <cell r="B564" t="str">
            <v>박복득</v>
          </cell>
          <cell r="C564">
            <v>4212152783019</v>
          </cell>
          <cell r="D564" t="str">
            <v>개인</v>
          </cell>
        </row>
        <row r="565">
          <cell r="B565" t="str">
            <v>김대근</v>
          </cell>
          <cell r="C565">
            <v>7009011896512</v>
          </cell>
          <cell r="D565" t="str">
            <v>개인</v>
          </cell>
        </row>
        <row r="566">
          <cell r="B566" t="str">
            <v>안재웅</v>
          </cell>
          <cell r="C566">
            <v>5901121683528</v>
          </cell>
          <cell r="D566" t="str">
            <v>개인</v>
          </cell>
        </row>
        <row r="567">
          <cell r="B567" t="str">
            <v>박창현</v>
          </cell>
          <cell r="C567">
            <v>7602261670212</v>
          </cell>
          <cell r="D567" t="str">
            <v>개인</v>
          </cell>
        </row>
        <row r="568">
          <cell r="B568" t="str">
            <v>오태수</v>
          </cell>
          <cell r="C568">
            <v>5510141683511</v>
          </cell>
          <cell r="D568" t="str">
            <v>개인</v>
          </cell>
        </row>
        <row r="569">
          <cell r="B569" t="str">
            <v>오태수</v>
          </cell>
          <cell r="C569">
            <v>5510141683511</v>
          </cell>
          <cell r="D569" t="str">
            <v>개인</v>
          </cell>
        </row>
        <row r="570">
          <cell r="B570" t="str">
            <v>배상성</v>
          </cell>
          <cell r="C570">
            <v>5904011328325</v>
          </cell>
          <cell r="D570" t="str">
            <v>개인</v>
          </cell>
        </row>
        <row r="571">
          <cell r="B571" t="str">
            <v>손일식</v>
          </cell>
          <cell r="C571">
            <v>4110071671112</v>
          </cell>
          <cell r="D571" t="str">
            <v>개인</v>
          </cell>
        </row>
        <row r="572">
          <cell r="B572" t="str">
            <v>손일식</v>
          </cell>
          <cell r="C572">
            <v>4110071671112</v>
          </cell>
          <cell r="D572" t="str">
            <v>개인</v>
          </cell>
        </row>
        <row r="573">
          <cell r="B573" t="str">
            <v>이종규</v>
          </cell>
          <cell r="C573">
            <v>4807271768221</v>
          </cell>
          <cell r="D573" t="str">
            <v>개인</v>
          </cell>
        </row>
        <row r="574">
          <cell r="B574" t="str">
            <v>이종규</v>
          </cell>
          <cell r="C574">
            <v>4807271768221</v>
          </cell>
          <cell r="D574" t="str">
            <v>개인</v>
          </cell>
        </row>
        <row r="575">
          <cell r="B575" t="str">
            <v>이만옥</v>
          </cell>
          <cell r="C575">
            <v>4406161674615</v>
          </cell>
          <cell r="D575" t="str">
            <v>개인</v>
          </cell>
        </row>
        <row r="576">
          <cell r="B576" t="str">
            <v>이승유</v>
          </cell>
          <cell r="C576">
            <v>5203061690727</v>
          </cell>
          <cell r="D576" t="str">
            <v>개인</v>
          </cell>
        </row>
        <row r="577">
          <cell r="B577" t="str">
            <v>송창근</v>
          </cell>
          <cell r="C577">
            <v>6303051812347</v>
          </cell>
          <cell r="D577" t="str">
            <v>개인</v>
          </cell>
        </row>
        <row r="578">
          <cell r="B578" t="str">
            <v>현지원</v>
          </cell>
          <cell r="C578">
            <v>5612072029528</v>
          </cell>
          <cell r="D578" t="str">
            <v>개인</v>
          </cell>
        </row>
        <row r="579">
          <cell r="B579" t="str">
            <v>강현창</v>
          </cell>
          <cell r="C579">
            <v>7008301810128</v>
          </cell>
          <cell r="D579" t="str">
            <v>개인</v>
          </cell>
        </row>
        <row r="580">
          <cell r="B580" t="str">
            <v>박정수</v>
          </cell>
          <cell r="C580">
            <v>5609091674423</v>
          </cell>
          <cell r="D580" t="str">
            <v>개인</v>
          </cell>
        </row>
        <row r="581">
          <cell r="B581" t="str">
            <v>박정수</v>
          </cell>
          <cell r="C581">
            <v>5609091674423</v>
          </cell>
          <cell r="D581" t="str">
            <v>개인</v>
          </cell>
        </row>
        <row r="582">
          <cell r="B582" t="str">
            <v>박정수</v>
          </cell>
          <cell r="C582">
            <v>5609091674423</v>
          </cell>
          <cell r="D582" t="str">
            <v>개인</v>
          </cell>
        </row>
        <row r="583">
          <cell r="B583" t="str">
            <v>박정수</v>
          </cell>
          <cell r="C583">
            <v>5609091674423</v>
          </cell>
          <cell r="D583" t="str">
            <v>개인</v>
          </cell>
        </row>
        <row r="584">
          <cell r="B584" t="str">
            <v>박정수</v>
          </cell>
          <cell r="C584">
            <v>5609091674423</v>
          </cell>
          <cell r="D584" t="str">
            <v>개인</v>
          </cell>
        </row>
        <row r="585">
          <cell r="B585" t="str">
            <v>박정수</v>
          </cell>
          <cell r="C585">
            <v>5609091674423</v>
          </cell>
          <cell r="D585" t="str">
            <v>개인</v>
          </cell>
        </row>
        <row r="586">
          <cell r="B586" t="str">
            <v>박정수</v>
          </cell>
          <cell r="C586">
            <v>5609091674423</v>
          </cell>
          <cell r="D586" t="str">
            <v>개인</v>
          </cell>
        </row>
        <row r="587">
          <cell r="B587" t="str">
            <v>박정수</v>
          </cell>
          <cell r="C587">
            <v>5609091674423</v>
          </cell>
          <cell r="D587" t="str">
            <v>개인</v>
          </cell>
        </row>
        <row r="588">
          <cell r="B588" t="str">
            <v>박정수</v>
          </cell>
          <cell r="C588">
            <v>5609091674423</v>
          </cell>
          <cell r="D588" t="str">
            <v>개인</v>
          </cell>
        </row>
        <row r="589">
          <cell r="B589" t="str">
            <v>이동천</v>
          </cell>
          <cell r="C589">
            <v>5508151696026</v>
          </cell>
          <cell r="D589" t="str">
            <v>개인</v>
          </cell>
        </row>
        <row r="590">
          <cell r="B590" t="str">
            <v>이동천</v>
          </cell>
          <cell r="C590">
            <v>5508151696026</v>
          </cell>
          <cell r="D590" t="str">
            <v>개인</v>
          </cell>
        </row>
        <row r="591">
          <cell r="B591" t="str">
            <v>이동천</v>
          </cell>
          <cell r="C591">
            <v>5508151696026</v>
          </cell>
          <cell r="D591" t="str">
            <v>개인</v>
          </cell>
        </row>
        <row r="592">
          <cell r="B592" t="str">
            <v>이동천</v>
          </cell>
          <cell r="C592">
            <v>5508151696026</v>
          </cell>
          <cell r="D592" t="str">
            <v>개인</v>
          </cell>
        </row>
        <row r="593">
          <cell r="B593" t="str">
            <v>이동천</v>
          </cell>
          <cell r="C593">
            <v>5508151696026</v>
          </cell>
          <cell r="D593" t="str">
            <v>개인</v>
          </cell>
        </row>
        <row r="594">
          <cell r="B594" t="str">
            <v>이동천</v>
          </cell>
          <cell r="C594">
            <v>5508151696026</v>
          </cell>
          <cell r="D594" t="str">
            <v>개인</v>
          </cell>
        </row>
        <row r="595">
          <cell r="B595" t="str">
            <v>이동천</v>
          </cell>
          <cell r="C595">
            <v>5508151696026</v>
          </cell>
          <cell r="D595" t="str">
            <v>개인</v>
          </cell>
        </row>
        <row r="596">
          <cell r="B596" t="str">
            <v>이동천</v>
          </cell>
          <cell r="C596">
            <v>5508151696026</v>
          </cell>
          <cell r="D596" t="str">
            <v>개인</v>
          </cell>
        </row>
        <row r="597">
          <cell r="B597" t="str">
            <v>동선섬유㈜</v>
          </cell>
          <cell r="C597">
            <v>5138106926</v>
          </cell>
          <cell r="D597" t="str">
            <v>법인</v>
          </cell>
        </row>
        <row r="598">
          <cell r="B598" t="str">
            <v>동선섬유㈜</v>
          </cell>
          <cell r="C598">
            <v>5138106926</v>
          </cell>
          <cell r="D598" t="str">
            <v>법인</v>
          </cell>
        </row>
        <row r="599">
          <cell r="B599" t="str">
            <v>동선섬유㈜</v>
          </cell>
          <cell r="C599">
            <v>5138106926</v>
          </cell>
          <cell r="D599" t="str">
            <v>법인</v>
          </cell>
        </row>
        <row r="600">
          <cell r="B600" t="str">
            <v>동선섬유㈜</v>
          </cell>
          <cell r="C600">
            <v>5138106926</v>
          </cell>
          <cell r="D600" t="str">
            <v>법인</v>
          </cell>
        </row>
        <row r="601">
          <cell r="B601" t="str">
            <v>동선섬유㈜</v>
          </cell>
          <cell r="C601">
            <v>5138106926</v>
          </cell>
          <cell r="D601" t="str">
            <v>법인</v>
          </cell>
        </row>
        <row r="602">
          <cell r="B602" t="str">
            <v>동선섬유㈜</v>
          </cell>
          <cell r="C602">
            <v>5138106926</v>
          </cell>
          <cell r="D602" t="str">
            <v>법인</v>
          </cell>
        </row>
        <row r="603">
          <cell r="B603" t="str">
            <v>동선섬유㈜</v>
          </cell>
          <cell r="C603">
            <v>5138106926</v>
          </cell>
          <cell r="D603" t="str">
            <v>법인</v>
          </cell>
        </row>
        <row r="604">
          <cell r="B604" t="str">
            <v>동선섬유㈜</v>
          </cell>
          <cell r="C604">
            <v>5138106926</v>
          </cell>
          <cell r="D604" t="str">
            <v>법인</v>
          </cell>
        </row>
        <row r="605">
          <cell r="B605" t="str">
            <v>동선섬유㈜</v>
          </cell>
          <cell r="C605">
            <v>5138106926</v>
          </cell>
          <cell r="D605" t="str">
            <v>법인</v>
          </cell>
        </row>
        <row r="606">
          <cell r="B606" t="str">
            <v>동선섬유㈜</v>
          </cell>
          <cell r="C606">
            <v>5138106926</v>
          </cell>
          <cell r="D606" t="str">
            <v>법인</v>
          </cell>
        </row>
        <row r="607">
          <cell r="B607" t="str">
            <v>동선섬유㈜</v>
          </cell>
          <cell r="C607">
            <v>5138106926</v>
          </cell>
          <cell r="D607" t="str">
            <v>법인</v>
          </cell>
        </row>
        <row r="608">
          <cell r="B608" t="str">
            <v>동선섬유㈜</v>
          </cell>
          <cell r="C608">
            <v>5138106926</v>
          </cell>
          <cell r="D608" t="str">
            <v>법인</v>
          </cell>
        </row>
        <row r="609">
          <cell r="B609" t="str">
            <v>동선섬유㈜</v>
          </cell>
          <cell r="C609">
            <v>5138106926</v>
          </cell>
          <cell r="D609" t="str">
            <v>법인</v>
          </cell>
        </row>
        <row r="610">
          <cell r="B610" t="str">
            <v>동선섬유㈜</v>
          </cell>
          <cell r="C610">
            <v>5138106926</v>
          </cell>
          <cell r="D610" t="str">
            <v>법인</v>
          </cell>
        </row>
        <row r="611">
          <cell r="B611" t="str">
            <v>동선섬유㈜</v>
          </cell>
          <cell r="C611">
            <v>5138106926</v>
          </cell>
          <cell r="D611" t="str">
            <v>법인</v>
          </cell>
        </row>
        <row r="612">
          <cell r="B612" t="str">
            <v>동선섬유㈜</v>
          </cell>
          <cell r="C612">
            <v>5138106926</v>
          </cell>
          <cell r="D612" t="str">
            <v>법인</v>
          </cell>
        </row>
        <row r="613">
          <cell r="B613" t="str">
            <v>동선섬유㈜</v>
          </cell>
          <cell r="C613">
            <v>5138106926</v>
          </cell>
          <cell r="D613" t="str">
            <v>법인</v>
          </cell>
        </row>
        <row r="614">
          <cell r="B614" t="str">
            <v>동선섬유㈜</v>
          </cell>
          <cell r="C614">
            <v>5138106926</v>
          </cell>
          <cell r="D614" t="str">
            <v>법인</v>
          </cell>
        </row>
        <row r="615">
          <cell r="B615" t="str">
            <v>동선섬유㈜</v>
          </cell>
          <cell r="C615">
            <v>5138106926</v>
          </cell>
          <cell r="D615" t="str">
            <v>법인</v>
          </cell>
        </row>
        <row r="616">
          <cell r="B616" t="str">
            <v>동선섬유㈜</v>
          </cell>
          <cell r="C616">
            <v>5138106926</v>
          </cell>
          <cell r="D616" t="str">
            <v>법인</v>
          </cell>
        </row>
        <row r="617">
          <cell r="B617" t="str">
            <v>동선섬유㈜</v>
          </cell>
          <cell r="C617">
            <v>5138106926</v>
          </cell>
          <cell r="D617" t="str">
            <v>법인</v>
          </cell>
        </row>
        <row r="618">
          <cell r="B618" t="str">
            <v>동선섬유㈜</v>
          </cell>
          <cell r="C618">
            <v>5138106926</v>
          </cell>
          <cell r="D618" t="str">
            <v>법인</v>
          </cell>
        </row>
        <row r="619">
          <cell r="B619" t="str">
            <v>동선섬유㈜</v>
          </cell>
          <cell r="C619">
            <v>5138106926</v>
          </cell>
          <cell r="D619" t="str">
            <v>법인</v>
          </cell>
        </row>
        <row r="620">
          <cell r="B620" t="str">
            <v>동선섬유㈜</v>
          </cell>
          <cell r="C620">
            <v>5138106926</v>
          </cell>
          <cell r="D620" t="str">
            <v>법인</v>
          </cell>
        </row>
        <row r="621">
          <cell r="B621" t="str">
            <v>동선섬유㈜</v>
          </cell>
          <cell r="C621">
            <v>5138106926</v>
          </cell>
          <cell r="D621" t="str">
            <v>법인</v>
          </cell>
        </row>
        <row r="622">
          <cell r="B622" t="str">
            <v>에스아이㈜</v>
          </cell>
          <cell r="C622">
            <v>3158132626</v>
          </cell>
          <cell r="D622" t="str">
            <v>법인</v>
          </cell>
        </row>
        <row r="623">
          <cell r="B623" t="str">
            <v>에스아이㈜</v>
          </cell>
          <cell r="C623">
            <v>3158132626</v>
          </cell>
          <cell r="D623" t="str">
            <v>법인</v>
          </cell>
        </row>
        <row r="624">
          <cell r="B624" t="str">
            <v>김종성</v>
          </cell>
          <cell r="C624">
            <v>7210031405311</v>
          </cell>
          <cell r="D624" t="str">
            <v>개인</v>
          </cell>
        </row>
        <row r="625">
          <cell r="B625" t="str">
            <v>칠성기업㈜</v>
          </cell>
          <cell r="C625">
            <v>3108112659</v>
          </cell>
          <cell r="D625" t="str">
            <v>법인</v>
          </cell>
        </row>
        <row r="626">
          <cell r="B626" t="str">
            <v>㈜일신기전</v>
          </cell>
          <cell r="C626">
            <v>3118112934</v>
          </cell>
          <cell r="D626" t="str">
            <v>법인</v>
          </cell>
        </row>
        <row r="627">
          <cell r="B627" t="str">
            <v>김연규</v>
          </cell>
          <cell r="C627">
            <v>5101021470612</v>
          </cell>
          <cell r="D627" t="str">
            <v>개인</v>
          </cell>
        </row>
        <row r="628">
          <cell r="B628" t="str">
            <v>이경자</v>
          </cell>
          <cell r="C628">
            <v>4210082470622</v>
          </cell>
          <cell r="D628" t="str">
            <v>개인</v>
          </cell>
        </row>
        <row r="629">
          <cell r="B629" t="str">
            <v>이경자</v>
          </cell>
          <cell r="C629">
            <v>4210082470622</v>
          </cell>
          <cell r="D629" t="str">
            <v>개인</v>
          </cell>
        </row>
        <row r="630">
          <cell r="B630" t="str">
            <v>이근엽</v>
          </cell>
          <cell r="C630">
            <v>5501251066716</v>
          </cell>
          <cell r="D630" t="str">
            <v>개인</v>
          </cell>
        </row>
        <row r="631">
          <cell r="B631" t="str">
            <v>김문용</v>
          </cell>
          <cell r="C631">
            <v>5810301357613</v>
          </cell>
          <cell r="D631" t="str">
            <v>개인</v>
          </cell>
        </row>
        <row r="632">
          <cell r="B632" t="str">
            <v>김기섭</v>
          </cell>
          <cell r="C632">
            <v>6005141524318</v>
          </cell>
          <cell r="D632" t="str">
            <v>개인</v>
          </cell>
        </row>
        <row r="633">
          <cell r="B633" t="str">
            <v>㈜엠트론</v>
          </cell>
          <cell r="C633">
            <v>1068176791</v>
          </cell>
          <cell r="D633" t="str">
            <v>법인</v>
          </cell>
        </row>
        <row r="634">
          <cell r="B634" t="str">
            <v>㈜엠트론</v>
          </cell>
          <cell r="C634">
            <v>1068176791</v>
          </cell>
          <cell r="D634" t="str">
            <v>법인</v>
          </cell>
        </row>
        <row r="635">
          <cell r="B635" t="str">
            <v>오재옥</v>
          </cell>
          <cell r="C635">
            <v>5408202405211</v>
          </cell>
          <cell r="D635" t="str">
            <v>개인</v>
          </cell>
        </row>
        <row r="636">
          <cell r="B636" t="str">
            <v>㈜씨엠텍</v>
          </cell>
          <cell r="C636">
            <v>1318152494</v>
          </cell>
          <cell r="D636" t="str">
            <v>법인</v>
          </cell>
        </row>
        <row r="637">
          <cell r="B637" t="str">
            <v>홍준표</v>
          </cell>
          <cell r="C637">
            <v>6111101403011</v>
          </cell>
          <cell r="D637" t="str">
            <v>개인</v>
          </cell>
        </row>
        <row r="638">
          <cell r="B638" t="str">
            <v>홍준표</v>
          </cell>
          <cell r="C638">
            <v>6111101403011</v>
          </cell>
          <cell r="D638" t="str">
            <v>개인</v>
          </cell>
        </row>
        <row r="639">
          <cell r="B639" t="str">
            <v>대성산업기계㈜</v>
          </cell>
          <cell r="C639">
            <v>3028110325</v>
          </cell>
          <cell r="D639" t="str">
            <v>법인</v>
          </cell>
        </row>
        <row r="640">
          <cell r="B640" t="str">
            <v>대성산업기계㈜</v>
          </cell>
          <cell r="C640">
            <v>3028110325</v>
          </cell>
          <cell r="D640" t="str">
            <v>법인</v>
          </cell>
        </row>
        <row r="641">
          <cell r="B641" t="str">
            <v>대성산업기계㈜</v>
          </cell>
          <cell r="C641">
            <v>3028110325</v>
          </cell>
          <cell r="D641" t="str">
            <v>법인</v>
          </cell>
        </row>
        <row r="642">
          <cell r="B642" t="str">
            <v>우성개발㈜</v>
          </cell>
          <cell r="C642">
            <v>3068136313</v>
          </cell>
          <cell r="D642" t="str">
            <v>법인</v>
          </cell>
        </row>
        <row r="643">
          <cell r="B643" t="str">
            <v>우성개발㈜</v>
          </cell>
          <cell r="C643">
            <v>3068136313</v>
          </cell>
          <cell r="D643" t="str">
            <v>법인</v>
          </cell>
        </row>
        <row r="644">
          <cell r="B644" t="str">
            <v>김은주</v>
          </cell>
          <cell r="C644">
            <v>7312112659515</v>
          </cell>
          <cell r="D644" t="str">
            <v>개인</v>
          </cell>
        </row>
        <row r="645">
          <cell r="B645" t="str">
            <v>김종철</v>
          </cell>
          <cell r="C645">
            <v>3802031379919</v>
          </cell>
          <cell r="D645" t="str">
            <v>개인</v>
          </cell>
        </row>
        <row r="646">
          <cell r="B646" t="str">
            <v>정창호</v>
          </cell>
          <cell r="C646">
            <v>7212261462142</v>
          </cell>
          <cell r="D646" t="str">
            <v>개인</v>
          </cell>
        </row>
        <row r="647">
          <cell r="B647" t="str">
            <v>최금산</v>
          </cell>
          <cell r="C647">
            <v>4706171055626</v>
          </cell>
          <cell r="D647" t="str">
            <v>개인</v>
          </cell>
        </row>
        <row r="648">
          <cell r="B648" t="str">
            <v>최금산</v>
          </cell>
          <cell r="C648">
            <v>4706171055626</v>
          </cell>
          <cell r="D648" t="str">
            <v>개인</v>
          </cell>
        </row>
        <row r="649">
          <cell r="B649" t="str">
            <v>최금산</v>
          </cell>
          <cell r="C649">
            <v>4706171055626</v>
          </cell>
          <cell r="D649" t="str">
            <v>개인</v>
          </cell>
        </row>
        <row r="650">
          <cell r="B650" t="str">
            <v>양덕현</v>
          </cell>
          <cell r="C650">
            <v>5809131053111</v>
          </cell>
          <cell r="D650" t="str">
            <v>개인</v>
          </cell>
        </row>
        <row r="651">
          <cell r="B651" t="str">
            <v>양덕현</v>
          </cell>
          <cell r="C651">
            <v>5809131053111</v>
          </cell>
          <cell r="D651" t="str">
            <v>개인</v>
          </cell>
        </row>
        <row r="652">
          <cell r="B652" t="str">
            <v>양덕현</v>
          </cell>
          <cell r="C652">
            <v>5809131053111</v>
          </cell>
          <cell r="D652" t="str">
            <v>개인</v>
          </cell>
        </row>
        <row r="653">
          <cell r="B653" t="str">
            <v>양덕현</v>
          </cell>
          <cell r="C653">
            <v>5809131053111</v>
          </cell>
          <cell r="D653" t="str">
            <v>개인</v>
          </cell>
        </row>
        <row r="654">
          <cell r="B654" t="str">
            <v>양덕현</v>
          </cell>
          <cell r="C654">
            <v>5809131053111</v>
          </cell>
          <cell r="D654" t="str">
            <v>개인</v>
          </cell>
        </row>
        <row r="655">
          <cell r="B655" t="str">
            <v>㈜대원</v>
          </cell>
          <cell r="C655">
            <v>3118109953</v>
          </cell>
          <cell r="D655" t="str">
            <v>법인</v>
          </cell>
        </row>
        <row r="656">
          <cell r="B656" t="str">
            <v>㈜대원</v>
          </cell>
          <cell r="C656">
            <v>3118109953</v>
          </cell>
          <cell r="D656" t="str">
            <v>법인</v>
          </cell>
        </row>
        <row r="657">
          <cell r="B657" t="str">
            <v>신명철</v>
          </cell>
          <cell r="C657">
            <v>6202271470611</v>
          </cell>
          <cell r="D657" t="str">
            <v>개인</v>
          </cell>
        </row>
        <row r="658">
          <cell r="B658" t="str">
            <v>㈜하나정공</v>
          </cell>
          <cell r="C658">
            <v>3128122599</v>
          </cell>
          <cell r="D658" t="str">
            <v>법인</v>
          </cell>
        </row>
        <row r="659">
          <cell r="B659" t="str">
            <v>석도기</v>
          </cell>
          <cell r="C659">
            <v>4707171056912</v>
          </cell>
          <cell r="D659" t="str">
            <v>개인</v>
          </cell>
        </row>
        <row r="660">
          <cell r="B660" t="str">
            <v>석도기</v>
          </cell>
          <cell r="C660">
            <v>4707171056912</v>
          </cell>
          <cell r="D660" t="str">
            <v>개인</v>
          </cell>
        </row>
        <row r="661">
          <cell r="B661" t="str">
            <v>석도기</v>
          </cell>
          <cell r="C661">
            <v>4707171056912</v>
          </cell>
          <cell r="D661" t="str">
            <v>개인</v>
          </cell>
        </row>
        <row r="662">
          <cell r="B662" t="str">
            <v>석도기</v>
          </cell>
          <cell r="C662">
            <v>4707171056912</v>
          </cell>
          <cell r="D662" t="str">
            <v>개인</v>
          </cell>
        </row>
        <row r="663">
          <cell r="B663" t="str">
            <v>석도기</v>
          </cell>
          <cell r="C663">
            <v>4707171056912</v>
          </cell>
          <cell r="D663" t="str">
            <v>개인</v>
          </cell>
        </row>
        <row r="664">
          <cell r="B664" t="str">
            <v>㈜휘승산업</v>
          </cell>
          <cell r="C664">
            <v>3118112405</v>
          </cell>
          <cell r="D664" t="str">
            <v>법인</v>
          </cell>
        </row>
        <row r="665">
          <cell r="B665" t="str">
            <v>㈜휘승산업</v>
          </cell>
          <cell r="C665">
            <v>3118112405</v>
          </cell>
          <cell r="D665" t="str">
            <v>법인</v>
          </cell>
        </row>
        <row r="666">
          <cell r="B666" t="str">
            <v>정덕이</v>
          </cell>
          <cell r="C666">
            <v>5610242635211</v>
          </cell>
          <cell r="D666" t="str">
            <v>개인</v>
          </cell>
        </row>
        <row r="667">
          <cell r="B667" t="str">
            <v>김경순</v>
          </cell>
          <cell r="C667">
            <v>6209202010311</v>
          </cell>
          <cell r="D667" t="str">
            <v>개인</v>
          </cell>
        </row>
        <row r="668">
          <cell r="B668" t="str">
            <v>김경순</v>
          </cell>
          <cell r="C668">
            <v>6209202010311</v>
          </cell>
          <cell r="D668" t="str">
            <v>개인</v>
          </cell>
        </row>
        <row r="669">
          <cell r="B669" t="str">
            <v>광탄금속(주)</v>
          </cell>
          <cell r="C669">
            <v>1288147466</v>
          </cell>
          <cell r="D669" t="str">
            <v>법인</v>
          </cell>
        </row>
        <row r="670">
          <cell r="B670" t="str">
            <v>광탄금속(주)</v>
          </cell>
          <cell r="C670">
            <v>1288147466</v>
          </cell>
          <cell r="D670" t="str">
            <v>법인</v>
          </cell>
        </row>
        <row r="671">
          <cell r="B671" t="str">
            <v>광탄금속(주)</v>
          </cell>
          <cell r="C671">
            <v>1288147466</v>
          </cell>
          <cell r="D671" t="str">
            <v>법인</v>
          </cell>
        </row>
        <row r="672">
          <cell r="B672" t="str">
            <v>광탄금속(주)</v>
          </cell>
          <cell r="C672">
            <v>1288147466</v>
          </cell>
          <cell r="D672" t="str">
            <v>법인</v>
          </cell>
        </row>
        <row r="673">
          <cell r="B673" t="str">
            <v>광탄금속(주)</v>
          </cell>
          <cell r="C673">
            <v>1288147466</v>
          </cell>
          <cell r="D673" t="str">
            <v>법인</v>
          </cell>
        </row>
        <row r="674">
          <cell r="B674" t="str">
            <v>광탄금속(주)</v>
          </cell>
          <cell r="C674">
            <v>1288147466</v>
          </cell>
          <cell r="D674" t="str">
            <v>법인</v>
          </cell>
        </row>
        <row r="675">
          <cell r="B675" t="str">
            <v>광탄금속(주)</v>
          </cell>
          <cell r="C675">
            <v>1288147466</v>
          </cell>
          <cell r="D675" t="str">
            <v>법인</v>
          </cell>
        </row>
        <row r="676">
          <cell r="B676" t="str">
            <v>(주)라인Ｅ.Ｎ.Ｃ</v>
          </cell>
          <cell r="C676">
            <v>2068116486</v>
          </cell>
          <cell r="D676" t="str">
            <v>법인</v>
          </cell>
        </row>
        <row r="677">
          <cell r="B677" t="str">
            <v>(주)라인Ｅ.Ｎ.Ｃ</v>
          </cell>
          <cell r="C677">
            <v>2068116486</v>
          </cell>
          <cell r="D677" t="str">
            <v>법인</v>
          </cell>
        </row>
        <row r="678">
          <cell r="B678" t="str">
            <v>(주)라인Ｅ.Ｎ.Ｃ</v>
          </cell>
          <cell r="C678">
            <v>2068116486</v>
          </cell>
          <cell r="D678" t="str">
            <v>법인</v>
          </cell>
        </row>
        <row r="679">
          <cell r="B679" t="str">
            <v>(주)라인Ｅ.Ｎ.Ｃ</v>
          </cell>
          <cell r="C679">
            <v>2068116486</v>
          </cell>
          <cell r="D679" t="str">
            <v>법인</v>
          </cell>
        </row>
        <row r="680">
          <cell r="B680" t="str">
            <v>(주)보성케미칼</v>
          </cell>
          <cell r="C680">
            <v>3038127644</v>
          </cell>
          <cell r="D680" t="str">
            <v>법인</v>
          </cell>
        </row>
        <row r="681">
          <cell r="B681" t="str">
            <v>(주)보성케미칼</v>
          </cell>
          <cell r="C681">
            <v>3038127644</v>
          </cell>
          <cell r="D681" t="str">
            <v>법인</v>
          </cell>
        </row>
        <row r="682">
          <cell r="B682" t="str">
            <v>성진프라스틱공업(주)</v>
          </cell>
          <cell r="C682">
            <v>2048143084</v>
          </cell>
          <cell r="D682" t="str">
            <v>법인</v>
          </cell>
        </row>
        <row r="683">
          <cell r="B683" t="str">
            <v>성진프라스틱공업(주)</v>
          </cell>
          <cell r="C683">
            <v>2048143084</v>
          </cell>
          <cell r="D683" t="str">
            <v>법인</v>
          </cell>
        </row>
        <row r="684">
          <cell r="B684" t="str">
            <v>(주)영창산업</v>
          </cell>
          <cell r="C684">
            <v>3118102381</v>
          </cell>
          <cell r="D684" t="str">
            <v>법인</v>
          </cell>
        </row>
        <row r="685">
          <cell r="B685" t="str">
            <v>(주)영창산업</v>
          </cell>
          <cell r="C685">
            <v>3118102381</v>
          </cell>
          <cell r="D685" t="str">
            <v>법인</v>
          </cell>
        </row>
        <row r="686">
          <cell r="B686" t="str">
            <v>월드와이드기술(주)</v>
          </cell>
          <cell r="C686">
            <v>1288124046</v>
          </cell>
          <cell r="D686" t="str">
            <v>법인</v>
          </cell>
        </row>
        <row r="687">
          <cell r="B687" t="str">
            <v>월드와이드기술(주)</v>
          </cell>
          <cell r="C687">
            <v>1288124046</v>
          </cell>
          <cell r="D687" t="str">
            <v>법인</v>
          </cell>
        </row>
        <row r="688">
          <cell r="B688" t="str">
            <v>월드와이드기술(주)</v>
          </cell>
          <cell r="C688">
            <v>1288124046</v>
          </cell>
          <cell r="D688" t="str">
            <v>법인</v>
          </cell>
        </row>
        <row r="689">
          <cell r="B689" t="str">
            <v>월드와이드기술(주)</v>
          </cell>
          <cell r="C689">
            <v>1288124046</v>
          </cell>
          <cell r="D689" t="str">
            <v>법인</v>
          </cell>
        </row>
        <row r="690">
          <cell r="B690" t="str">
            <v>월드와이드기술(주)</v>
          </cell>
          <cell r="C690">
            <v>1288124046</v>
          </cell>
          <cell r="D690" t="str">
            <v>법인</v>
          </cell>
        </row>
        <row r="691">
          <cell r="B691" t="str">
            <v>월드와이드기술(주)</v>
          </cell>
          <cell r="C691">
            <v>1288124046</v>
          </cell>
          <cell r="D691" t="str">
            <v>법인</v>
          </cell>
        </row>
        <row r="692">
          <cell r="B692" t="str">
            <v>월드와이드기술(주)</v>
          </cell>
          <cell r="C692">
            <v>1288124046</v>
          </cell>
          <cell r="D692" t="str">
            <v>법인</v>
          </cell>
        </row>
        <row r="693">
          <cell r="B693" t="str">
            <v>월드와이드기술(주)</v>
          </cell>
          <cell r="C693">
            <v>1288124046</v>
          </cell>
          <cell r="D693" t="str">
            <v>법인</v>
          </cell>
        </row>
        <row r="694">
          <cell r="B694" t="str">
            <v>(주)이프리컴</v>
          </cell>
          <cell r="C694">
            <v>1068187395</v>
          </cell>
          <cell r="D694" t="str">
            <v>법인</v>
          </cell>
        </row>
        <row r="695">
          <cell r="B695" t="str">
            <v>(주)이프리컴</v>
          </cell>
          <cell r="C695">
            <v>1068187395</v>
          </cell>
          <cell r="D695" t="str">
            <v>법인</v>
          </cell>
        </row>
        <row r="696">
          <cell r="B696" t="str">
            <v>천하축산공사(주)</v>
          </cell>
          <cell r="C696">
            <v>1198135684</v>
          </cell>
          <cell r="D696" t="str">
            <v>법인</v>
          </cell>
        </row>
        <row r="697">
          <cell r="B697" t="str">
            <v>천하축산공사(주)</v>
          </cell>
          <cell r="C697">
            <v>1198135684</v>
          </cell>
          <cell r="D697" t="str">
            <v>법인</v>
          </cell>
        </row>
        <row r="698">
          <cell r="B698" t="str">
            <v>(주)파라다이스씨네마</v>
          </cell>
          <cell r="C698">
            <v>2098128851</v>
          </cell>
          <cell r="D698" t="str">
            <v>법인</v>
          </cell>
        </row>
        <row r="699">
          <cell r="B699" t="str">
            <v>(주)파라다이스씨네마</v>
          </cell>
          <cell r="C699">
            <v>2098128851</v>
          </cell>
          <cell r="D699" t="str">
            <v>법인</v>
          </cell>
        </row>
        <row r="700">
          <cell r="B700" t="str">
            <v>(주)파라다이스씨네마</v>
          </cell>
          <cell r="C700">
            <v>2098128851</v>
          </cell>
          <cell r="D700" t="str">
            <v>법인</v>
          </cell>
        </row>
        <row r="701">
          <cell r="B701" t="str">
            <v>권영이</v>
          </cell>
          <cell r="C701">
            <v>5002192057332</v>
          </cell>
          <cell r="D701" t="str">
            <v>개인</v>
          </cell>
        </row>
        <row r="702">
          <cell r="B702" t="str">
            <v>권영이</v>
          </cell>
          <cell r="C702">
            <v>5002192057332</v>
          </cell>
          <cell r="D702" t="str">
            <v>개인</v>
          </cell>
        </row>
        <row r="703">
          <cell r="B703" t="str">
            <v>김기중</v>
          </cell>
          <cell r="C703">
            <v>5205081030816</v>
          </cell>
          <cell r="D703" t="str">
            <v>개인</v>
          </cell>
        </row>
        <row r="704">
          <cell r="B704" t="str">
            <v>김기중</v>
          </cell>
          <cell r="C704">
            <v>5205081030816</v>
          </cell>
          <cell r="D704" t="str">
            <v>개인</v>
          </cell>
        </row>
        <row r="705">
          <cell r="B705" t="str">
            <v>김기중</v>
          </cell>
          <cell r="C705">
            <v>5205081030816</v>
          </cell>
          <cell r="D705" t="str">
            <v>개인</v>
          </cell>
        </row>
        <row r="706">
          <cell r="B706" t="str">
            <v>김기중</v>
          </cell>
          <cell r="C706">
            <v>5205081030816</v>
          </cell>
          <cell r="D706" t="str">
            <v>개인</v>
          </cell>
        </row>
        <row r="707">
          <cell r="B707" t="str">
            <v>김덕순</v>
          </cell>
          <cell r="C707">
            <v>4611292037129</v>
          </cell>
          <cell r="D707" t="str">
            <v>개인</v>
          </cell>
        </row>
        <row r="708">
          <cell r="B708" t="str">
            <v>김덕순</v>
          </cell>
          <cell r="C708">
            <v>4611292037129</v>
          </cell>
          <cell r="D708" t="str">
            <v>개인</v>
          </cell>
        </row>
        <row r="709">
          <cell r="B709" t="str">
            <v>김덕순</v>
          </cell>
          <cell r="C709">
            <v>4611292037129</v>
          </cell>
          <cell r="D709" t="str">
            <v>개인</v>
          </cell>
        </row>
        <row r="710">
          <cell r="B710" t="str">
            <v>김상도</v>
          </cell>
          <cell r="C710">
            <v>6211011221218</v>
          </cell>
          <cell r="D710" t="str">
            <v>개인</v>
          </cell>
        </row>
        <row r="711">
          <cell r="B711" t="str">
            <v>김상도</v>
          </cell>
          <cell r="C711">
            <v>6211011221218</v>
          </cell>
          <cell r="D711" t="str">
            <v>개인</v>
          </cell>
        </row>
        <row r="712">
          <cell r="B712" t="str">
            <v>김상도</v>
          </cell>
          <cell r="C712">
            <v>6211011221218</v>
          </cell>
          <cell r="D712" t="str">
            <v>개인</v>
          </cell>
        </row>
        <row r="713">
          <cell r="B713" t="str">
            <v>김성환</v>
          </cell>
          <cell r="C713">
            <v>6603021037117</v>
          </cell>
          <cell r="D713" t="str">
            <v>개인</v>
          </cell>
        </row>
        <row r="714">
          <cell r="B714" t="str">
            <v>김성환</v>
          </cell>
          <cell r="C714">
            <v>6603021037117</v>
          </cell>
          <cell r="D714" t="str">
            <v>개인</v>
          </cell>
        </row>
        <row r="715">
          <cell r="B715" t="str">
            <v>김성환</v>
          </cell>
          <cell r="C715">
            <v>6603021037117</v>
          </cell>
          <cell r="D715" t="str">
            <v>개인</v>
          </cell>
        </row>
        <row r="716">
          <cell r="B716" t="str">
            <v>김현수</v>
          </cell>
          <cell r="C716">
            <v>7401071524624</v>
          </cell>
          <cell r="D716" t="str">
            <v>개인</v>
          </cell>
        </row>
        <row r="717">
          <cell r="B717" t="str">
            <v>김현수</v>
          </cell>
          <cell r="C717">
            <v>7401071524624</v>
          </cell>
          <cell r="D717" t="str">
            <v>개인</v>
          </cell>
        </row>
        <row r="718">
          <cell r="B718" t="str">
            <v>김현수</v>
          </cell>
          <cell r="C718">
            <v>7401071524624</v>
          </cell>
          <cell r="D718" t="str">
            <v>개인</v>
          </cell>
        </row>
        <row r="719">
          <cell r="B719" t="str">
            <v>김현수</v>
          </cell>
          <cell r="C719">
            <v>7401071524624</v>
          </cell>
          <cell r="D719" t="str">
            <v>개인</v>
          </cell>
        </row>
        <row r="720">
          <cell r="B720" t="str">
            <v>박석순</v>
          </cell>
          <cell r="C720">
            <v>5702061183012</v>
          </cell>
          <cell r="D720" t="str">
            <v>개인</v>
          </cell>
        </row>
        <row r="721">
          <cell r="B721" t="str">
            <v>박석순</v>
          </cell>
          <cell r="C721">
            <v>5702061183012</v>
          </cell>
          <cell r="D721" t="str">
            <v>개인</v>
          </cell>
        </row>
        <row r="722">
          <cell r="B722" t="str">
            <v>박정례</v>
          </cell>
          <cell r="C722">
            <v>6607092235319</v>
          </cell>
          <cell r="D722" t="str">
            <v>개인</v>
          </cell>
        </row>
        <row r="723">
          <cell r="B723" t="str">
            <v>박정례</v>
          </cell>
          <cell r="C723">
            <v>6607092235319</v>
          </cell>
          <cell r="D723" t="str">
            <v>개인</v>
          </cell>
        </row>
        <row r="724">
          <cell r="B724" t="str">
            <v>박주신</v>
          </cell>
          <cell r="C724">
            <v>7111051668311</v>
          </cell>
          <cell r="D724" t="str">
            <v>개인</v>
          </cell>
        </row>
        <row r="725">
          <cell r="B725" t="str">
            <v>박주신</v>
          </cell>
          <cell r="C725">
            <v>7111051668311</v>
          </cell>
          <cell r="D725" t="str">
            <v>개인</v>
          </cell>
        </row>
        <row r="726">
          <cell r="B726" t="str">
            <v>손동기</v>
          </cell>
          <cell r="C726">
            <v>5802101347520</v>
          </cell>
          <cell r="D726" t="str">
            <v>개인</v>
          </cell>
        </row>
        <row r="727">
          <cell r="B727" t="str">
            <v>손동기</v>
          </cell>
          <cell r="C727">
            <v>5802101347520</v>
          </cell>
          <cell r="D727" t="str">
            <v>개인</v>
          </cell>
        </row>
        <row r="728">
          <cell r="B728" t="str">
            <v>송상철</v>
          </cell>
          <cell r="C728">
            <v>6304261668528</v>
          </cell>
          <cell r="D728" t="str">
            <v>개인</v>
          </cell>
        </row>
        <row r="729">
          <cell r="B729" t="str">
            <v>송상철</v>
          </cell>
          <cell r="C729">
            <v>6304261668528</v>
          </cell>
          <cell r="D729" t="str">
            <v>개인</v>
          </cell>
        </row>
        <row r="730">
          <cell r="B730" t="str">
            <v>송태화태형금속</v>
          </cell>
          <cell r="C730">
            <v>4901201056016</v>
          </cell>
          <cell r="D730" t="str">
            <v>개인</v>
          </cell>
        </row>
        <row r="731">
          <cell r="B731" t="str">
            <v>송태화태형금속</v>
          </cell>
          <cell r="C731">
            <v>4901201056016</v>
          </cell>
          <cell r="D731" t="str">
            <v>개인</v>
          </cell>
        </row>
        <row r="732">
          <cell r="B732" t="str">
            <v>신우식</v>
          </cell>
          <cell r="C732">
            <v>5504181068921</v>
          </cell>
          <cell r="D732" t="str">
            <v>개인</v>
          </cell>
        </row>
        <row r="733">
          <cell r="B733" t="str">
            <v>신희상</v>
          </cell>
          <cell r="C733">
            <v>3001101029522</v>
          </cell>
          <cell r="D733" t="str">
            <v>개인</v>
          </cell>
        </row>
        <row r="734">
          <cell r="B734" t="str">
            <v>신희상</v>
          </cell>
          <cell r="C734">
            <v>3001101029522</v>
          </cell>
          <cell r="D734" t="str">
            <v>개인</v>
          </cell>
        </row>
        <row r="735">
          <cell r="B735" t="str">
            <v>오달환　　　　　　　　　　　　</v>
          </cell>
          <cell r="C735">
            <v>4602201406411</v>
          </cell>
          <cell r="D735" t="str">
            <v>개인</v>
          </cell>
        </row>
        <row r="736">
          <cell r="B736" t="str">
            <v>오달환　　　　　　　　　　　　</v>
          </cell>
          <cell r="C736">
            <v>4602201406411</v>
          </cell>
          <cell r="D736" t="str">
            <v>개인</v>
          </cell>
        </row>
        <row r="737">
          <cell r="B737" t="str">
            <v>원봉재</v>
          </cell>
          <cell r="C737">
            <v>3611171000713</v>
          </cell>
          <cell r="D737" t="str">
            <v>개인</v>
          </cell>
        </row>
        <row r="738">
          <cell r="B738" t="str">
            <v>원봉재</v>
          </cell>
          <cell r="C738">
            <v>3611171000713</v>
          </cell>
          <cell r="D738" t="str">
            <v>개인</v>
          </cell>
        </row>
        <row r="739">
          <cell r="B739" t="str">
            <v>원봉재</v>
          </cell>
          <cell r="C739">
            <v>3611171000713</v>
          </cell>
          <cell r="D739" t="str">
            <v>개인</v>
          </cell>
        </row>
        <row r="740">
          <cell r="B740" t="str">
            <v>원칠남</v>
          </cell>
          <cell r="C740">
            <v>6508041548910</v>
          </cell>
          <cell r="D740" t="str">
            <v>개인</v>
          </cell>
        </row>
        <row r="741">
          <cell r="B741" t="str">
            <v>원칠남</v>
          </cell>
          <cell r="C741">
            <v>6508041548910</v>
          </cell>
          <cell r="D741" t="str">
            <v>개인</v>
          </cell>
        </row>
        <row r="742">
          <cell r="B742" t="str">
            <v>유동건</v>
          </cell>
          <cell r="C742">
            <v>6402261064017</v>
          </cell>
          <cell r="D742" t="str">
            <v>개인</v>
          </cell>
        </row>
        <row r="743">
          <cell r="B743" t="str">
            <v>유동건</v>
          </cell>
          <cell r="C743">
            <v>6402261064017</v>
          </cell>
          <cell r="D743" t="str">
            <v>개인</v>
          </cell>
        </row>
        <row r="744">
          <cell r="B744" t="str">
            <v>이금숙</v>
          </cell>
          <cell r="C744">
            <v>5404142235519</v>
          </cell>
          <cell r="D744" t="str">
            <v>개인</v>
          </cell>
        </row>
        <row r="745">
          <cell r="B745" t="str">
            <v>이범석</v>
          </cell>
          <cell r="C745">
            <v>6204291001911</v>
          </cell>
          <cell r="D745" t="str">
            <v>개인</v>
          </cell>
        </row>
        <row r="746">
          <cell r="B746" t="str">
            <v>이범석</v>
          </cell>
          <cell r="C746">
            <v>6204291001911</v>
          </cell>
          <cell r="D746" t="str">
            <v>개인</v>
          </cell>
        </row>
        <row r="747">
          <cell r="B747" t="str">
            <v>이옥진</v>
          </cell>
          <cell r="C747">
            <v>3409032030618</v>
          </cell>
          <cell r="D747" t="str">
            <v>개인</v>
          </cell>
        </row>
        <row r="748">
          <cell r="B748" t="str">
            <v>이옥진</v>
          </cell>
          <cell r="C748">
            <v>3409032030618</v>
          </cell>
          <cell r="D748" t="str">
            <v>개인</v>
          </cell>
        </row>
        <row r="749">
          <cell r="B749" t="str">
            <v>이희주</v>
          </cell>
          <cell r="C749">
            <v>4802282347624</v>
          </cell>
          <cell r="D749" t="str">
            <v>개인</v>
          </cell>
        </row>
        <row r="750">
          <cell r="B750" t="str">
            <v>이희주</v>
          </cell>
          <cell r="C750">
            <v>4802282347624</v>
          </cell>
          <cell r="D750" t="str">
            <v>개인</v>
          </cell>
        </row>
        <row r="751">
          <cell r="B751" t="str">
            <v>정기흥미래산업</v>
          </cell>
          <cell r="C751">
            <v>3403101011617</v>
          </cell>
          <cell r="D751" t="str">
            <v>개인</v>
          </cell>
        </row>
        <row r="752">
          <cell r="B752" t="str">
            <v>정기흥미래산업</v>
          </cell>
          <cell r="C752">
            <v>3403101011617</v>
          </cell>
          <cell r="D752" t="str">
            <v>개인</v>
          </cell>
        </row>
        <row r="753">
          <cell r="B753" t="str">
            <v>정기흥미래산업</v>
          </cell>
          <cell r="C753">
            <v>3403101011617</v>
          </cell>
          <cell r="D753" t="str">
            <v>개인</v>
          </cell>
        </row>
        <row r="754">
          <cell r="B754" t="str">
            <v>정기흥미래산업</v>
          </cell>
          <cell r="C754">
            <v>3403101011617</v>
          </cell>
          <cell r="D754" t="str">
            <v>개인</v>
          </cell>
        </row>
        <row r="755">
          <cell r="B755" t="str">
            <v>정기흥미래산업</v>
          </cell>
          <cell r="C755">
            <v>3403101011617</v>
          </cell>
          <cell r="D755" t="str">
            <v>개인</v>
          </cell>
        </row>
        <row r="756">
          <cell r="B756" t="str">
            <v>정기흥미래산업</v>
          </cell>
          <cell r="C756">
            <v>3403101011617</v>
          </cell>
          <cell r="D756" t="str">
            <v>개인</v>
          </cell>
        </row>
        <row r="757">
          <cell r="B757" t="str">
            <v>정기흥미래산업</v>
          </cell>
          <cell r="C757">
            <v>3403101011617</v>
          </cell>
          <cell r="D757" t="str">
            <v>개인</v>
          </cell>
        </row>
        <row r="758">
          <cell r="B758" t="str">
            <v>정기흥미래산업</v>
          </cell>
          <cell r="C758">
            <v>3403101011617</v>
          </cell>
          <cell r="D758" t="str">
            <v>개인</v>
          </cell>
        </row>
        <row r="759">
          <cell r="B759" t="str">
            <v>정기흥미래산업</v>
          </cell>
          <cell r="C759">
            <v>3403101011617</v>
          </cell>
          <cell r="D759" t="str">
            <v>개인</v>
          </cell>
        </row>
        <row r="760">
          <cell r="B760" t="str">
            <v>최경안</v>
          </cell>
          <cell r="C760">
            <v>5909221925415</v>
          </cell>
          <cell r="D760" t="str">
            <v>개인</v>
          </cell>
        </row>
        <row r="761">
          <cell r="B761" t="str">
            <v>최경안</v>
          </cell>
          <cell r="C761">
            <v>5909221925415</v>
          </cell>
          <cell r="D761" t="str">
            <v>개인</v>
          </cell>
        </row>
        <row r="762">
          <cell r="B762" t="str">
            <v>최범식</v>
          </cell>
          <cell r="C762">
            <v>5210201238913</v>
          </cell>
          <cell r="D762" t="str">
            <v>개인</v>
          </cell>
        </row>
        <row r="763">
          <cell r="B763" t="str">
            <v>최범식</v>
          </cell>
          <cell r="C763">
            <v>5210201238913</v>
          </cell>
          <cell r="D763" t="str">
            <v>개인</v>
          </cell>
        </row>
        <row r="764">
          <cell r="B764" t="str">
            <v>최범식</v>
          </cell>
          <cell r="C764">
            <v>5210201238913</v>
          </cell>
          <cell r="D764" t="str">
            <v>개인</v>
          </cell>
        </row>
        <row r="765">
          <cell r="B765" t="str">
            <v>최영수</v>
          </cell>
          <cell r="C765">
            <v>5202011233318</v>
          </cell>
          <cell r="D765" t="str">
            <v>개인</v>
          </cell>
        </row>
        <row r="766">
          <cell r="B766" t="str">
            <v>최영수</v>
          </cell>
          <cell r="C766">
            <v>5202011233318</v>
          </cell>
          <cell r="D766" t="str">
            <v>개인</v>
          </cell>
        </row>
        <row r="767">
          <cell r="B767" t="str">
            <v>한영숙</v>
          </cell>
          <cell r="C767">
            <v>6002122535723</v>
          </cell>
          <cell r="D767" t="str">
            <v>개인</v>
          </cell>
        </row>
        <row r="768">
          <cell r="B768" t="str">
            <v>한영숙</v>
          </cell>
          <cell r="C768">
            <v>6002122535723</v>
          </cell>
          <cell r="D768" t="str">
            <v>개인</v>
          </cell>
        </row>
        <row r="769">
          <cell r="B769" t="str">
            <v>한정심</v>
          </cell>
          <cell r="C769">
            <v>5002202639911</v>
          </cell>
          <cell r="D769" t="str">
            <v>개인</v>
          </cell>
        </row>
        <row r="770">
          <cell r="B770" t="str">
            <v>한정심</v>
          </cell>
          <cell r="C770">
            <v>5002202639911</v>
          </cell>
          <cell r="D770" t="str">
            <v>개인</v>
          </cell>
        </row>
        <row r="771">
          <cell r="B771" t="str">
            <v>황영덕</v>
          </cell>
          <cell r="C771">
            <v>6801111056111</v>
          </cell>
          <cell r="D771" t="str">
            <v>개인</v>
          </cell>
        </row>
        <row r="772">
          <cell r="B772" t="str">
            <v>황영덕</v>
          </cell>
          <cell r="C772">
            <v>6801111056111</v>
          </cell>
          <cell r="D772" t="str">
            <v>개인</v>
          </cell>
        </row>
        <row r="773">
          <cell r="B773" t="str">
            <v>황영덕</v>
          </cell>
          <cell r="C773">
            <v>6801111056111</v>
          </cell>
          <cell r="D773" t="str">
            <v>개인</v>
          </cell>
        </row>
        <row r="774">
          <cell r="B774" t="str">
            <v>최금주</v>
          </cell>
          <cell r="C774" t="str">
            <v>5909012702819</v>
          </cell>
          <cell r="D774" t="str">
            <v>개인</v>
          </cell>
        </row>
        <row r="775">
          <cell r="B775" t="str">
            <v>최금주</v>
          </cell>
          <cell r="C775" t="str">
            <v>5909012702819</v>
          </cell>
          <cell r="D775" t="str">
            <v>개인</v>
          </cell>
        </row>
        <row r="776">
          <cell r="B776" t="str">
            <v>㈜일영산업</v>
          </cell>
          <cell r="C776" t="str">
            <v>6228123587</v>
          </cell>
          <cell r="D776" t="str">
            <v>법인</v>
          </cell>
        </row>
        <row r="777">
          <cell r="B777" t="str">
            <v>㈜일영산업</v>
          </cell>
          <cell r="C777" t="str">
            <v>6228123587</v>
          </cell>
          <cell r="D777" t="str">
            <v>법인</v>
          </cell>
        </row>
        <row r="778">
          <cell r="B778" t="str">
            <v>㈜일영산업</v>
          </cell>
          <cell r="C778" t="str">
            <v>6228123587</v>
          </cell>
          <cell r="D778" t="str">
            <v>법인</v>
          </cell>
        </row>
        <row r="779">
          <cell r="B779" t="str">
            <v>양기영</v>
          </cell>
          <cell r="C779" t="str">
            <v>6406121836014</v>
          </cell>
          <cell r="D779" t="str">
            <v>개인</v>
          </cell>
        </row>
        <row r="780">
          <cell r="B780" t="str">
            <v>㈜일성수산</v>
          </cell>
          <cell r="C780" t="str">
            <v>6038124741</v>
          </cell>
          <cell r="D780" t="str">
            <v>법인</v>
          </cell>
        </row>
        <row r="781">
          <cell r="B781" t="str">
            <v>㈜일성수산</v>
          </cell>
          <cell r="C781" t="str">
            <v>6038124741</v>
          </cell>
          <cell r="D781" t="str">
            <v>법인</v>
          </cell>
        </row>
        <row r="782">
          <cell r="B782" t="str">
            <v>㈜일성수산</v>
          </cell>
          <cell r="C782" t="str">
            <v>6038124741</v>
          </cell>
          <cell r="D782" t="str">
            <v>법인</v>
          </cell>
        </row>
        <row r="783">
          <cell r="B783" t="str">
            <v>㈜일성수산</v>
          </cell>
          <cell r="C783" t="str">
            <v>6038124741</v>
          </cell>
          <cell r="D783" t="str">
            <v>법인</v>
          </cell>
        </row>
        <row r="784">
          <cell r="B784" t="str">
            <v>㈜일성수산</v>
          </cell>
          <cell r="C784" t="str">
            <v>6038124741</v>
          </cell>
          <cell r="D784" t="str">
            <v>법인</v>
          </cell>
        </row>
        <row r="785">
          <cell r="B785" t="str">
            <v>㈜일성수산</v>
          </cell>
          <cell r="C785" t="str">
            <v>6038124741</v>
          </cell>
          <cell r="D785" t="str">
            <v>법인</v>
          </cell>
        </row>
        <row r="786">
          <cell r="B786" t="str">
            <v>㈜세경테크</v>
          </cell>
          <cell r="C786" t="str">
            <v>6078149706</v>
          </cell>
          <cell r="D786" t="str">
            <v>법인</v>
          </cell>
        </row>
        <row r="787">
          <cell r="B787" t="str">
            <v>㈜세경테크</v>
          </cell>
          <cell r="C787" t="str">
            <v>6078149706</v>
          </cell>
          <cell r="D787" t="str">
            <v>법인</v>
          </cell>
        </row>
        <row r="788">
          <cell r="B788" t="str">
            <v>김희수</v>
          </cell>
          <cell r="C788" t="str">
            <v>6708221912510</v>
          </cell>
          <cell r="D788" t="str">
            <v>개인</v>
          </cell>
        </row>
        <row r="789">
          <cell r="B789" t="str">
            <v>서영옥</v>
          </cell>
          <cell r="C789" t="str">
            <v>5801252101813</v>
          </cell>
          <cell r="D789" t="str">
            <v>개인</v>
          </cell>
        </row>
        <row r="790">
          <cell r="B790" t="str">
            <v>유영숙</v>
          </cell>
          <cell r="C790" t="str">
            <v>4402022898824</v>
          </cell>
          <cell r="D790" t="str">
            <v>개인</v>
          </cell>
        </row>
        <row r="791">
          <cell r="B791" t="str">
            <v>신애숙</v>
          </cell>
          <cell r="C791" t="str">
            <v>6709082779015</v>
          </cell>
          <cell r="D791" t="str">
            <v>개인</v>
          </cell>
        </row>
        <row r="792">
          <cell r="B792" t="str">
            <v>노정묘</v>
          </cell>
          <cell r="C792" t="str">
            <v>5802022821818</v>
          </cell>
          <cell r="D792" t="str">
            <v>개인</v>
          </cell>
        </row>
        <row r="793">
          <cell r="B793" t="str">
            <v>노정묘</v>
          </cell>
          <cell r="C793" t="str">
            <v>5802022821818</v>
          </cell>
          <cell r="D793" t="str">
            <v>개인</v>
          </cell>
        </row>
        <row r="794">
          <cell r="B794" t="str">
            <v>길산섬유㈜</v>
          </cell>
          <cell r="C794" t="str">
            <v>6088129789</v>
          </cell>
          <cell r="D794" t="str">
            <v>법인</v>
          </cell>
        </row>
        <row r="795">
          <cell r="B795" t="str">
            <v>길산섬유㈜</v>
          </cell>
          <cell r="C795" t="str">
            <v>6088129789</v>
          </cell>
          <cell r="D795" t="str">
            <v>법인</v>
          </cell>
        </row>
        <row r="796">
          <cell r="B796" t="str">
            <v>길산섬유㈜</v>
          </cell>
          <cell r="C796" t="str">
            <v>6088129789</v>
          </cell>
          <cell r="D796" t="str">
            <v>법인</v>
          </cell>
        </row>
        <row r="797">
          <cell r="B797" t="str">
            <v>길산섬유㈜</v>
          </cell>
          <cell r="C797" t="str">
            <v>6088129789</v>
          </cell>
          <cell r="D797" t="str">
            <v>법인</v>
          </cell>
        </row>
        <row r="798">
          <cell r="B798" t="str">
            <v>길산섬유㈜</v>
          </cell>
          <cell r="C798" t="str">
            <v>6088129789</v>
          </cell>
          <cell r="D798" t="str">
            <v>법인</v>
          </cell>
        </row>
        <row r="799">
          <cell r="B799" t="str">
            <v>길산섬유㈜</v>
          </cell>
          <cell r="C799" t="str">
            <v>6088129789</v>
          </cell>
          <cell r="D799" t="str">
            <v>법인</v>
          </cell>
        </row>
        <row r="800">
          <cell r="B800" t="str">
            <v>길산섬유㈜</v>
          </cell>
          <cell r="C800" t="str">
            <v>6088129789</v>
          </cell>
          <cell r="D800" t="str">
            <v>법인</v>
          </cell>
        </row>
        <row r="801">
          <cell r="B801" t="str">
            <v>정상철</v>
          </cell>
          <cell r="C801" t="str">
            <v>5507151095022</v>
          </cell>
          <cell r="D801" t="str">
            <v>개인</v>
          </cell>
        </row>
        <row r="802">
          <cell r="B802" t="str">
            <v>정상철</v>
          </cell>
          <cell r="C802" t="str">
            <v>5507151095022</v>
          </cell>
          <cell r="D802" t="str">
            <v>개인</v>
          </cell>
        </row>
        <row r="803">
          <cell r="B803" t="str">
            <v>정상철</v>
          </cell>
          <cell r="C803" t="str">
            <v>5507151095022</v>
          </cell>
          <cell r="D803" t="str">
            <v>개인</v>
          </cell>
        </row>
        <row r="804">
          <cell r="B804" t="str">
            <v>구설자</v>
          </cell>
          <cell r="C804" t="str">
            <v>4503102090111</v>
          </cell>
          <cell r="D804" t="str">
            <v>개인</v>
          </cell>
        </row>
        <row r="805">
          <cell r="B805" t="str">
            <v>이현숙</v>
          </cell>
          <cell r="C805" t="str">
            <v>6403292120016</v>
          </cell>
          <cell r="D805" t="str">
            <v>개인</v>
          </cell>
        </row>
        <row r="806">
          <cell r="B806" t="str">
            <v>천영호</v>
          </cell>
          <cell r="C806" t="str">
            <v>7505021090458</v>
          </cell>
          <cell r="D806" t="str">
            <v>개인</v>
          </cell>
        </row>
        <row r="807">
          <cell r="B807" t="str">
            <v>천영호</v>
          </cell>
          <cell r="C807" t="str">
            <v>7505021090458</v>
          </cell>
          <cell r="D807" t="str">
            <v>개인</v>
          </cell>
        </row>
        <row r="808">
          <cell r="B808" t="str">
            <v>천영호</v>
          </cell>
          <cell r="C808" t="str">
            <v>7505021090458</v>
          </cell>
          <cell r="D808" t="str">
            <v>개인</v>
          </cell>
        </row>
        <row r="809">
          <cell r="B809" t="str">
            <v>문성숙</v>
          </cell>
          <cell r="C809" t="str">
            <v>6307082094119</v>
          </cell>
          <cell r="D809" t="str">
            <v>개인</v>
          </cell>
        </row>
        <row r="810">
          <cell r="B810" t="str">
            <v>김옥남</v>
          </cell>
          <cell r="C810" t="str">
            <v>5205172017216</v>
          </cell>
          <cell r="D810" t="str">
            <v>개인</v>
          </cell>
        </row>
        <row r="811">
          <cell r="B811" t="str">
            <v>㈜중경토건</v>
          </cell>
          <cell r="C811" t="str">
            <v>6078134391</v>
          </cell>
          <cell r="D811" t="str">
            <v>법인</v>
          </cell>
        </row>
        <row r="812">
          <cell r="B812" t="str">
            <v>김필옥</v>
          </cell>
          <cell r="C812" t="str">
            <v>6107062822125</v>
          </cell>
          <cell r="D812" t="str">
            <v>개인</v>
          </cell>
        </row>
        <row r="813">
          <cell r="B813" t="str">
            <v>최창도</v>
          </cell>
          <cell r="C813" t="str">
            <v>5602291918810</v>
          </cell>
          <cell r="D813" t="str">
            <v>개인</v>
          </cell>
        </row>
        <row r="814">
          <cell r="B814" t="str">
            <v>이한우</v>
          </cell>
          <cell r="C814" t="str">
            <v>6604171923712</v>
          </cell>
          <cell r="D814" t="str">
            <v>개인</v>
          </cell>
        </row>
        <row r="815">
          <cell r="B815" t="str">
            <v>㈜합동</v>
          </cell>
          <cell r="C815" t="str">
            <v>6038119520</v>
          </cell>
          <cell r="D815" t="str">
            <v>법인</v>
          </cell>
        </row>
        <row r="816">
          <cell r="B816" t="str">
            <v>㈜합동</v>
          </cell>
          <cell r="C816" t="str">
            <v>6038119520</v>
          </cell>
          <cell r="D816" t="str">
            <v>법인</v>
          </cell>
        </row>
        <row r="817">
          <cell r="B817" t="str">
            <v>㈜합동</v>
          </cell>
          <cell r="C817" t="str">
            <v>6038119520</v>
          </cell>
          <cell r="D817" t="str">
            <v>법인</v>
          </cell>
        </row>
        <row r="818">
          <cell r="B818" t="str">
            <v>㈜합동</v>
          </cell>
          <cell r="C818" t="str">
            <v>6038119520</v>
          </cell>
          <cell r="D818" t="str">
            <v>법인</v>
          </cell>
        </row>
        <row r="819">
          <cell r="B819" t="str">
            <v>㈜합동</v>
          </cell>
          <cell r="C819" t="str">
            <v>6038119520</v>
          </cell>
          <cell r="D819" t="str">
            <v>법인</v>
          </cell>
        </row>
        <row r="820">
          <cell r="B820" t="str">
            <v>㈜합동</v>
          </cell>
          <cell r="C820" t="str">
            <v>6038119520</v>
          </cell>
          <cell r="D820" t="str">
            <v>법인</v>
          </cell>
        </row>
        <row r="821">
          <cell r="B821" t="str">
            <v>㈜합동</v>
          </cell>
          <cell r="C821" t="str">
            <v>6038119520</v>
          </cell>
          <cell r="D821" t="str">
            <v>법인</v>
          </cell>
        </row>
        <row r="822">
          <cell r="B822" t="str">
            <v>㈜합동</v>
          </cell>
          <cell r="C822" t="str">
            <v>6038119520</v>
          </cell>
          <cell r="D822" t="str">
            <v>법인</v>
          </cell>
        </row>
        <row r="823">
          <cell r="B823" t="str">
            <v>㈜합동</v>
          </cell>
          <cell r="C823" t="str">
            <v>6038119520</v>
          </cell>
          <cell r="D823" t="str">
            <v>법인</v>
          </cell>
        </row>
        <row r="824">
          <cell r="B824" t="str">
            <v>㈜합동</v>
          </cell>
          <cell r="C824" t="str">
            <v>6038119520</v>
          </cell>
          <cell r="D824" t="str">
            <v>법인</v>
          </cell>
        </row>
        <row r="825">
          <cell r="B825" t="str">
            <v>㈜합동</v>
          </cell>
          <cell r="C825" t="str">
            <v>6038119520</v>
          </cell>
          <cell r="D825" t="str">
            <v>법인</v>
          </cell>
        </row>
        <row r="826">
          <cell r="B826" t="str">
            <v>㈜합동</v>
          </cell>
          <cell r="C826" t="str">
            <v>6038119520</v>
          </cell>
          <cell r="D826" t="str">
            <v>법인</v>
          </cell>
        </row>
        <row r="827">
          <cell r="B827" t="str">
            <v>㈜합동</v>
          </cell>
          <cell r="C827" t="str">
            <v>6038119520</v>
          </cell>
          <cell r="D827" t="str">
            <v>법인</v>
          </cell>
        </row>
        <row r="828">
          <cell r="B828" t="str">
            <v>㈜합동</v>
          </cell>
          <cell r="C828" t="str">
            <v>6038119520</v>
          </cell>
          <cell r="D828" t="str">
            <v>법인</v>
          </cell>
        </row>
        <row r="829">
          <cell r="B829" t="str">
            <v>㈜합동</v>
          </cell>
          <cell r="C829" t="str">
            <v>6038119520</v>
          </cell>
          <cell r="D829" t="str">
            <v>법인</v>
          </cell>
        </row>
        <row r="830">
          <cell r="B830" t="str">
            <v>㈜합동</v>
          </cell>
          <cell r="C830" t="str">
            <v>6038119520</v>
          </cell>
          <cell r="D830" t="str">
            <v>법인</v>
          </cell>
        </row>
        <row r="831">
          <cell r="B831" t="str">
            <v>㈜합동</v>
          </cell>
          <cell r="C831" t="str">
            <v>6038119520</v>
          </cell>
          <cell r="D831" t="str">
            <v>법인</v>
          </cell>
        </row>
        <row r="832">
          <cell r="B832" t="str">
            <v>㈜합동</v>
          </cell>
          <cell r="C832" t="str">
            <v>6038119520</v>
          </cell>
          <cell r="D832" t="str">
            <v>법인</v>
          </cell>
        </row>
        <row r="833">
          <cell r="B833" t="str">
            <v>㈜합동</v>
          </cell>
          <cell r="C833" t="str">
            <v>6038119520</v>
          </cell>
          <cell r="D833" t="str">
            <v>법인</v>
          </cell>
        </row>
        <row r="834">
          <cell r="B834" t="str">
            <v>㈜합동</v>
          </cell>
          <cell r="C834" t="str">
            <v>6038119520</v>
          </cell>
          <cell r="D834" t="str">
            <v>법인</v>
          </cell>
        </row>
        <row r="835">
          <cell r="B835" t="str">
            <v>㈜합동</v>
          </cell>
          <cell r="C835" t="str">
            <v>6038119520</v>
          </cell>
          <cell r="D835" t="str">
            <v>법인</v>
          </cell>
        </row>
        <row r="836">
          <cell r="B836" t="str">
            <v>㈜합동</v>
          </cell>
          <cell r="C836" t="str">
            <v>6038119520</v>
          </cell>
          <cell r="D836" t="str">
            <v>법인</v>
          </cell>
        </row>
        <row r="837">
          <cell r="B837" t="str">
            <v>㈜합동</v>
          </cell>
          <cell r="C837" t="str">
            <v>6038119520</v>
          </cell>
          <cell r="D837" t="str">
            <v>법인</v>
          </cell>
        </row>
        <row r="838">
          <cell r="B838" t="str">
            <v>㈜합동</v>
          </cell>
          <cell r="C838" t="str">
            <v>6038119520</v>
          </cell>
          <cell r="D838" t="str">
            <v>법인</v>
          </cell>
        </row>
        <row r="839">
          <cell r="B839" t="str">
            <v>㈜합동</v>
          </cell>
          <cell r="C839" t="str">
            <v>6038119520</v>
          </cell>
          <cell r="D839" t="str">
            <v>법인</v>
          </cell>
        </row>
        <row r="840">
          <cell r="B840" t="str">
            <v>㈜합동</v>
          </cell>
          <cell r="C840" t="str">
            <v>6038119520</v>
          </cell>
          <cell r="D840" t="str">
            <v>법인</v>
          </cell>
        </row>
        <row r="841">
          <cell r="B841" t="str">
            <v>㈜합동</v>
          </cell>
          <cell r="C841" t="str">
            <v>6038119520</v>
          </cell>
          <cell r="D841" t="str">
            <v>법인</v>
          </cell>
        </row>
        <row r="842">
          <cell r="B842" t="str">
            <v>㈜합동</v>
          </cell>
          <cell r="C842" t="str">
            <v>6038119520</v>
          </cell>
          <cell r="D842" t="str">
            <v>법인</v>
          </cell>
        </row>
        <row r="843">
          <cell r="B843" t="str">
            <v>㈜합동</v>
          </cell>
          <cell r="C843" t="str">
            <v>6038119520</v>
          </cell>
          <cell r="D843" t="str">
            <v>법인</v>
          </cell>
        </row>
        <row r="844">
          <cell r="B844" t="str">
            <v>㈜합동</v>
          </cell>
          <cell r="C844" t="str">
            <v>6038119520</v>
          </cell>
          <cell r="D844" t="str">
            <v>법인</v>
          </cell>
        </row>
        <row r="845">
          <cell r="B845" t="str">
            <v>㈜합동</v>
          </cell>
          <cell r="C845" t="str">
            <v>6038119520</v>
          </cell>
          <cell r="D845" t="str">
            <v>법인</v>
          </cell>
        </row>
        <row r="846">
          <cell r="B846" t="str">
            <v>㈜합동</v>
          </cell>
          <cell r="C846" t="str">
            <v>6038119520</v>
          </cell>
          <cell r="D846" t="str">
            <v>법인</v>
          </cell>
        </row>
        <row r="847">
          <cell r="B847" t="str">
            <v>㈜합동</v>
          </cell>
          <cell r="C847" t="str">
            <v>6038119520</v>
          </cell>
          <cell r="D847" t="str">
            <v>법인</v>
          </cell>
        </row>
        <row r="848">
          <cell r="B848" t="str">
            <v>㈜합동</v>
          </cell>
          <cell r="C848" t="str">
            <v>6038119520</v>
          </cell>
          <cell r="D848" t="str">
            <v>법인</v>
          </cell>
        </row>
        <row r="849">
          <cell r="B849" t="str">
            <v>㈜합동</v>
          </cell>
          <cell r="C849" t="str">
            <v>6038119520</v>
          </cell>
          <cell r="D849" t="str">
            <v>법인</v>
          </cell>
        </row>
        <row r="850">
          <cell r="B850" t="str">
            <v>㈜합동</v>
          </cell>
          <cell r="C850" t="str">
            <v>6038119520</v>
          </cell>
          <cell r="D850" t="str">
            <v>법인</v>
          </cell>
        </row>
        <row r="851">
          <cell r="B851" t="str">
            <v>김원호</v>
          </cell>
          <cell r="C851">
            <v>6301151105711</v>
          </cell>
          <cell r="D851" t="str">
            <v>개인</v>
          </cell>
        </row>
        <row r="852">
          <cell r="B852" t="str">
            <v>김윤정</v>
          </cell>
          <cell r="C852">
            <v>5603132100618</v>
          </cell>
          <cell r="D852" t="str">
            <v>개인</v>
          </cell>
        </row>
        <row r="853">
          <cell r="B853" t="str">
            <v>노희경</v>
          </cell>
          <cell r="C853">
            <v>4412121047814</v>
          </cell>
          <cell r="D853" t="str">
            <v>개인</v>
          </cell>
        </row>
        <row r="854">
          <cell r="B854" t="str">
            <v>노희경</v>
          </cell>
          <cell r="C854">
            <v>4412121047814</v>
          </cell>
          <cell r="D854" t="str">
            <v>개인</v>
          </cell>
        </row>
        <row r="855">
          <cell r="B855" t="str">
            <v>노희경</v>
          </cell>
          <cell r="C855">
            <v>4412121047814</v>
          </cell>
          <cell r="D855" t="str">
            <v>개인</v>
          </cell>
        </row>
        <row r="856">
          <cell r="B856" t="str">
            <v>노희경</v>
          </cell>
          <cell r="C856">
            <v>4412121047814</v>
          </cell>
          <cell r="D856" t="str">
            <v>개인</v>
          </cell>
        </row>
        <row r="857">
          <cell r="B857" t="str">
            <v>노희경</v>
          </cell>
          <cell r="C857">
            <v>4412121047814</v>
          </cell>
          <cell r="D857" t="str">
            <v>개인</v>
          </cell>
        </row>
        <row r="858">
          <cell r="B858" t="str">
            <v>노희경</v>
          </cell>
          <cell r="C858">
            <v>4412121047814</v>
          </cell>
          <cell r="D858" t="str">
            <v>개인</v>
          </cell>
        </row>
        <row r="859">
          <cell r="B859" t="str">
            <v>늘푸른산업개발㈜</v>
          </cell>
          <cell r="C859">
            <v>6178124212</v>
          </cell>
          <cell r="D859" t="str">
            <v>법인</v>
          </cell>
        </row>
        <row r="860">
          <cell r="B860" t="str">
            <v>늘푸른산업개발㈜</v>
          </cell>
          <cell r="C860">
            <v>6178124212</v>
          </cell>
          <cell r="D860" t="str">
            <v>법인</v>
          </cell>
        </row>
        <row r="861">
          <cell r="B861" t="str">
            <v>늘푸른산업개발㈜</v>
          </cell>
          <cell r="C861">
            <v>6178124212</v>
          </cell>
          <cell r="D861" t="str">
            <v>법인</v>
          </cell>
        </row>
        <row r="862">
          <cell r="B862" t="str">
            <v>문정룡</v>
          </cell>
          <cell r="C862">
            <v>7005231108718</v>
          </cell>
          <cell r="D862" t="str">
            <v>개인</v>
          </cell>
        </row>
        <row r="863">
          <cell r="B863" t="str">
            <v>석은수</v>
          </cell>
          <cell r="C863">
            <v>6111281815111</v>
          </cell>
          <cell r="D863" t="str">
            <v>개인</v>
          </cell>
        </row>
        <row r="864">
          <cell r="B864" t="str">
            <v>석은수</v>
          </cell>
          <cell r="C864">
            <v>6111281815111</v>
          </cell>
          <cell r="D864" t="str">
            <v>개인</v>
          </cell>
        </row>
        <row r="865">
          <cell r="B865" t="str">
            <v>석은수</v>
          </cell>
          <cell r="C865">
            <v>6111281815111</v>
          </cell>
          <cell r="D865" t="str">
            <v>개인</v>
          </cell>
        </row>
        <row r="866">
          <cell r="B866" t="str">
            <v>신경애</v>
          </cell>
          <cell r="C866">
            <v>6102202095211</v>
          </cell>
          <cell r="D866" t="str">
            <v>개인</v>
          </cell>
        </row>
        <row r="867">
          <cell r="B867" t="str">
            <v>신경애</v>
          </cell>
          <cell r="C867">
            <v>6102202095211</v>
          </cell>
          <cell r="D867" t="str">
            <v>개인</v>
          </cell>
        </row>
        <row r="868">
          <cell r="B868" t="str">
            <v>이종석</v>
          </cell>
          <cell r="C868">
            <v>6403271389911</v>
          </cell>
          <cell r="D868" t="str">
            <v>개인</v>
          </cell>
        </row>
        <row r="869">
          <cell r="B869" t="str">
            <v>이진섭</v>
          </cell>
          <cell r="C869">
            <v>7408231109315</v>
          </cell>
          <cell r="D869" t="str">
            <v>개인</v>
          </cell>
        </row>
        <row r="870">
          <cell r="B870" t="str">
            <v>㈜여명</v>
          </cell>
          <cell r="C870">
            <v>6218134081</v>
          </cell>
          <cell r="D870" t="str">
            <v>법인</v>
          </cell>
        </row>
        <row r="871">
          <cell r="B871" t="str">
            <v>㈜여명</v>
          </cell>
          <cell r="C871">
            <v>6218134081</v>
          </cell>
          <cell r="D871" t="str">
            <v>법인</v>
          </cell>
        </row>
        <row r="872">
          <cell r="B872" t="str">
            <v>㈜여명</v>
          </cell>
          <cell r="C872">
            <v>6218134081</v>
          </cell>
          <cell r="D872" t="str">
            <v>법인</v>
          </cell>
        </row>
        <row r="873">
          <cell r="B873" t="str">
            <v>㈜태일산업</v>
          </cell>
          <cell r="C873">
            <v>6158113024</v>
          </cell>
          <cell r="D873" t="str">
            <v>법인</v>
          </cell>
        </row>
        <row r="874">
          <cell r="B874" t="str">
            <v>㈜태일산업</v>
          </cell>
          <cell r="C874">
            <v>6158113024</v>
          </cell>
          <cell r="D874" t="str">
            <v>법인</v>
          </cell>
        </row>
        <row r="875">
          <cell r="B875" t="str">
            <v>흥도해운㈜</v>
          </cell>
          <cell r="C875">
            <v>6138122153</v>
          </cell>
          <cell r="D875" t="str">
            <v>법인</v>
          </cell>
        </row>
        <row r="876">
          <cell r="B876" t="str">
            <v>흥도해운㈜</v>
          </cell>
          <cell r="C876">
            <v>6138122153</v>
          </cell>
          <cell r="D876" t="str">
            <v>법인</v>
          </cell>
        </row>
        <row r="877">
          <cell r="B877" t="str">
            <v>㈜동립에프에이</v>
          </cell>
          <cell r="C877">
            <v>6058127201</v>
          </cell>
          <cell r="D877" t="str">
            <v>법인</v>
          </cell>
        </row>
        <row r="878">
          <cell r="B878" t="str">
            <v>㈜동립에프에이</v>
          </cell>
          <cell r="C878">
            <v>6058127201</v>
          </cell>
          <cell r="D878" t="str">
            <v>법인</v>
          </cell>
        </row>
        <row r="879">
          <cell r="B879" t="str">
            <v>㈜동립에프에이</v>
          </cell>
          <cell r="C879">
            <v>6058127201</v>
          </cell>
          <cell r="D879" t="str">
            <v>법인</v>
          </cell>
        </row>
        <row r="880">
          <cell r="B880" t="str">
            <v>㈜동립에프에이</v>
          </cell>
          <cell r="C880">
            <v>6058127201</v>
          </cell>
          <cell r="D880" t="str">
            <v>법인</v>
          </cell>
        </row>
        <row r="881">
          <cell r="B881" t="str">
            <v>㈜동립에프에이</v>
          </cell>
          <cell r="C881">
            <v>6058127201</v>
          </cell>
          <cell r="D881" t="str">
            <v>법인</v>
          </cell>
        </row>
        <row r="882">
          <cell r="B882" t="str">
            <v>김부생</v>
          </cell>
          <cell r="C882">
            <v>3306011123011</v>
          </cell>
          <cell r="D882" t="str">
            <v>개인</v>
          </cell>
        </row>
        <row r="883">
          <cell r="B883" t="str">
            <v>박재만</v>
          </cell>
          <cell r="C883">
            <v>4705031093518</v>
          </cell>
          <cell r="D883" t="str">
            <v>개인</v>
          </cell>
        </row>
        <row r="884">
          <cell r="B884" t="str">
            <v>유옥순</v>
          </cell>
          <cell r="C884">
            <v>5512192120919</v>
          </cell>
          <cell r="D884" t="str">
            <v>개인</v>
          </cell>
        </row>
        <row r="885">
          <cell r="B885" t="str">
            <v>박근철</v>
          </cell>
          <cell r="C885">
            <v>3712021101510</v>
          </cell>
          <cell r="D885" t="str">
            <v>개인</v>
          </cell>
        </row>
        <row r="886">
          <cell r="B886" t="str">
            <v>박근철</v>
          </cell>
          <cell r="C886">
            <v>3712021101510</v>
          </cell>
          <cell r="D886" t="str">
            <v>개인</v>
          </cell>
        </row>
        <row r="887">
          <cell r="B887" t="str">
            <v>빅건욱</v>
          </cell>
          <cell r="C887">
            <v>671202109020</v>
          </cell>
          <cell r="D887" t="str">
            <v>법인</v>
          </cell>
        </row>
        <row r="888">
          <cell r="B888" t="str">
            <v>김정호</v>
          </cell>
          <cell r="C888">
            <v>4801151903523</v>
          </cell>
          <cell r="D888" t="str">
            <v>개인</v>
          </cell>
        </row>
        <row r="889">
          <cell r="B889" t="str">
            <v>박문현</v>
          </cell>
          <cell r="C889">
            <v>6310051121010</v>
          </cell>
          <cell r="D889" t="str">
            <v>개인</v>
          </cell>
        </row>
        <row r="890">
          <cell r="B890" t="str">
            <v>이창섭</v>
          </cell>
          <cell r="C890">
            <v>6711261123118</v>
          </cell>
          <cell r="D890" t="str">
            <v>개인</v>
          </cell>
        </row>
        <row r="891">
          <cell r="B891" t="str">
            <v>해조개발㈜</v>
          </cell>
          <cell r="C891">
            <v>6178109486</v>
          </cell>
          <cell r="D891" t="str">
            <v>법인</v>
          </cell>
        </row>
        <row r="892">
          <cell r="B892" t="str">
            <v>해조개발㈜</v>
          </cell>
          <cell r="C892">
            <v>6178109486</v>
          </cell>
          <cell r="D892" t="str">
            <v>법인</v>
          </cell>
        </row>
        <row r="893">
          <cell r="B893" t="str">
            <v>해조개발㈜</v>
          </cell>
          <cell r="C893">
            <v>6178109486</v>
          </cell>
          <cell r="D893" t="str">
            <v>법인</v>
          </cell>
        </row>
        <row r="894">
          <cell r="B894" t="str">
            <v>해조개발㈜</v>
          </cell>
          <cell r="C894">
            <v>6178109486</v>
          </cell>
          <cell r="D894" t="str">
            <v>법인</v>
          </cell>
        </row>
        <row r="895">
          <cell r="B895" t="str">
            <v>해조개발㈜</v>
          </cell>
          <cell r="C895">
            <v>6178109486</v>
          </cell>
          <cell r="D895" t="str">
            <v>법인</v>
          </cell>
        </row>
        <row r="896">
          <cell r="B896" t="str">
            <v>해조개발㈜</v>
          </cell>
          <cell r="C896">
            <v>6178109486</v>
          </cell>
          <cell r="D896" t="str">
            <v>법인</v>
          </cell>
        </row>
        <row r="897">
          <cell r="B897" t="str">
            <v>박성호</v>
          </cell>
          <cell r="C897">
            <v>3702151057116</v>
          </cell>
          <cell r="D897" t="str">
            <v>개인</v>
          </cell>
        </row>
        <row r="898">
          <cell r="B898" t="str">
            <v>박성호</v>
          </cell>
          <cell r="C898">
            <v>3702151057116</v>
          </cell>
          <cell r="D898" t="str">
            <v>개인</v>
          </cell>
        </row>
        <row r="899">
          <cell r="B899" t="str">
            <v>박성호</v>
          </cell>
          <cell r="C899">
            <v>3702151057116</v>
          </cell>
          <cell r="D899" t="str">
            <v>개인</v>
          </cell>
        </row>
        <row r="900">
          <cell r="B900" t="str">
            <v>박성호</v>
          </cell>
          <cell r="C900">
            <v>3702151057116</v>
          </cell>
          <cell r="D900" t="str">
            <v>개인</v>
          </cell>
        </row>
        <row r="901">
          <cell r="B901" t="str">
            <v>박성호</v>
          </cell>
          <cell r="C901">
            <v>3702151057116</v>
          </cell>
          <cell r="D901" t="str">
            <v>개인</v>
          </cell>
        </row>
        <row r="902">
          <cell r="B902" t="str">
            <v>박성호</v>
          </cell>
          <cell r="C902">
            <v>3702151057116</v>
          </cell>
          <cell r="D902" t="str">
            <v>개인</v>
          </cell>
        </row>
        <row r="903">
          <cell r="B903" t="str">
            <v>박성호</v>
          </cell>
          <cell r="C903">
            <v>3702151057116</v>
          </cell>
          <cell r="D903" t="str">
            <v>개인</v>
          </cell>
        </row>
        <row r="904">
          <cell r="B904" t="str">
            <v>박성호</v>
          </cell>
          <cell r="C904">
            <v>3702151057116</v>
          </cell>
          <cell r="D904" t="str">
            <v>개인</v>
          </cell>
        </row>
        <row r="905">
          <cell r="B905" t="str">
            <v>박성호</v>
          </cell>
          <cell r="C905">
            <v>3702151057116</v>
          </cell>
          <cell r="D905" t="str">
            <v>개인</v>
          </cell>
        </row>
        <row r="906">
          <cell r="B906" t="str">
            <v>박성호</v>
          </cell>
          <cell r="C906">
            <v>3702151057116</v>
          </cell>
          <cell r="D906" t="str">
            <v>개인</v>
          </cell>
        </row>
        <row r="907">
          <cell r="B907" t="str">
            <v>정진태</v>
          </cell>
          <cell r="C907">
            <v>4803151106243</v>
          </cell>
          <cell r="D907" t="str">
            <v>개인</v>
          </cell>
        </row>
        <row r="908">
          <cell r="B908" t="str">
            <v>박미경</v>
          </cell>
          <cell r="C908">
            <v>6512052918933</v>
          </cell>
          <cell r="D908" t="str">
            <v>개인</v>
          </cell>
        </row>
        <row r="909">
          <cell r="B909" t="str">
            <v>박미경</v>
          </cell>
          <cell r="C909">
            <v>6512052918933</v>
          </cell>
          <cell r="D909" t="str">
            <v>개인</v>
          </cell>
        </row>
        <row r="910">
          <cell r="B910" t="str">
            <v>정준</v>
          </cell>
          <cell r="C910">
            <v>5511251094211</v>
          </cell>
          <cell r="D910" t="str">
            <v>개인</v>
          </cell>
        </row>
        <row r="911">
          <cell r="B911" t="str">
            <v>건영엘리베이터㈜</v>
          </cell>
          <cell r="C911">
            <v>1018122908</v>
          </cell>
          <cell r="D911" t="str">
            <v>법인</v>
          </cell>
        </row>
        <row r="912">
          <cell r="B912" t="str">
            <v>건영엘리베이터㈜</v>
          </cell>
          <cell r="C912">
            <v>1018122908</v>
          </cell>
          <cell r="D912" t="str">
            <v>법인</v>
          </cell>
        </row>
        <row r="913">
          <cell r="B913" t="str">
            <v>건영엘리베이터㈜</v>
          </cell>
          <cell r="C913">
            <v>1018122908</v>
          </cell>
          <cell r="D913" t="str">
            <v>법인</v>
          </cell>
        </row>
        <row r="914">
          <cell r="B914" t="str">
            <v>건영엘리베이터㈜</v>
          </cell>
          <cell r="C914">
            <v>1018122908</v>
          </cell>
          <cell r="D914" t="str">
            <v>법인</v>
          </cell>
        </row>
        <row r="915">
          <cell r="B915" t="str">
            <v>건영엘리베이터㈜</v>
          </cell>
          <cell r="C915">
            <v>1018122908</v>
          </cell>
          <cell r="D915" t="str">
            <v>법인</v>
          </cell>
        </row>
        <row r="916">
          <cell r="B916" t="str">
            <v>건영엘리베이터㈜</v>
          </cell>
          <cell r="C916">
            <v>1018122908</v>
          </cell>
          <cell r="D916" t="str">
            <v>법인</v>
          </cell>
        </row>
        <row r="917">
          <cell r="B917" t="str">
            <v>건영엘리베이터㈜</v>
          </cell>
          <cell r="C917">
            <v>1018122908</v>
          </cell>
          <cell r="D917" t="str">
            <v>법인</v>
          </cell>
        </row>
        <row r="918">
          <cell r="B918" t="str">
            <v>권수연　　　　　　　　　　　　</v>
          </cell>
          <cell r="C918">
            <v>3303211055919</v>
          </cell>
          <cell r="D918" t="str">
            <v>개인</v>
          </cell>
        </row>
        <row r="919">
          <cell r="B919" t="str">
            <v>권수연　　　　　　　　　　　　</v>
          </cell>
          <cell r="C919">
            <v>3303211055919</v>
          </cell>
          <cell r="D919" t="str">
            <v>개인</v>
          </cell>
        </row>
        <row r="920">
          <cell r="B920" t="str">
            <v>권채</v>
          </cell>
          <cell r="C920">
            <v>4909191122614</v>
          </cell>
          <cell r="D920" t="str">
            <v>개인</v>
          </cell>
        </row>
        <row r="921">
          <cell r="B921" t="str">
            <v>권채</v>
          </cell>
          <cell r="C921">
            <v>4909191122614</v>
          </cell>
          <cell r="D921" t="str">
            <v>개인</v>
          </cell>
        </row>
        <row r="922">
          <cell r="B922" t="str">
            <v>권경범</v>
          </cell>
          <cell r="C922">
            <v>1601241122611</v>
          </cell>
          <cell r="D922" t="str">
            <v>개인</v>
          </cell>
        </row>
        <row r="923">
          <cell r="B923" t="str">
            <v>김관식</v>
          </cell>
          <cell r="C923">
            <v>4105231002619</v>
          </cell>
          <cell r="D923" t="str">
            <v>개인</v>
          </cell>
        </row>
        <row r="924">
          <cell r="B924" t="str">
            <v>김관식</v>
          </cell>
          <cell r="C924">
            <v>4105231002619</v>
          </cell>
          <cell r="D924" t="str">
            <v>개인</v>
          </cell>
        </row>
        <row r="925">
          <cell r="B925" t="str">
            <v>김성용　　　　　　　　　　　　</v>
          </cell>
          <cell r="C925">
            <v>5904111279513</v>
          </cell>
          <cell r="D925" t="str">
            <v>개인</v>
          </cell>
        </row>
        <row r="926">
          <cell r="B926" t="str">
            <v>김성용　　　　　　　　　　　　</v>
          </cell>
          <cell r="C926">
            <v>5904111279513</v>
          </cell>
          <cell r="D926" t="str">
            <v>개인</v>
          </cell>
        </row>
        <row r="927">
          <cell r="B927" t="str">
            <v>김인덕　　　　　　　　　　　　</v>
          </cell>
          <cell r="C927">
            <v>4808261247417</v>
          </cell>
          <cell r="D927" t="str">
            <v>개인</v>
          </cell>
        </row>
        <row r="928">
          <cell r="B928" t="str">
            <v>김인덕　　　　　　　　　　　　</v>
          </cell>
          <cell r="C928">
            <v>4808261247417</v>
          </cell>
          <cell r="D928" t="str">
            <v>개인</v>
          </cell>
        </row>
        <row r="929">
          <cell r="B929" t="str">
            <v>김정란　　　　　　　　　　　　</v>
          </cell>
          <cell r="C929">
            <v>5602082482216</v>
          </cell>
          <cell r="D929" t="str">
            <v>개인</v>
          </cell>
        </row>
        <row r="930">
          <cell r="B930" t="str">
            <v>김정란　　　　　　　　　　　　</v>
          </cell>
          <cell r="C930">
            <v>5602082482216</v>
          </cell>
          <cell r="D930" t="str">
            <v>개인</v>
          </cell>
        </row>
        <row r="931">
          <cell r="B931" t="str">
            <v>김찬돈　　　　　　　　　　　　</v>
          </cell>
          <cell r="C931">
            <v>4610201056933</v>
          </cell>
          <cell r="D931" t="str">
            <v>개인</v>
          </cell>
        </row>
        <row r="932">
          <cell r="B932" t="str">
            <v>김찬돈　　　　　　　　　　　　</v>
          </cell>
          <cell r="C932">
            <v>4610201056933</v>
          </cell>
          <cell r="D932" t="str">
            <v>개인</v>
          </cell>
        </row>
        <row r="933">
          <cell r="B933" t="str">
            <v>김찬돈　　　　　　　　　　　　</v>
          </cell>
          <cell r="C933">
            <v>4610201056933</v>
          </cell>
          <cell r="D933" t="str">
            <v>개인</v>
          </cell>
        </row>
        <row r="934">
          <cell r="B934" t="str">
            <v>김찬돈　　　　　　　　　　　　</v>
          </cell>
          <cell r="C934">
            <v>4610201056933</v>
          </cell>
          <cell r="D934" t="str">
            <v>개인</v>
          </cell>
        </row>
        <row r="935">
          <cell r="B935" t="str">
            <v>김찬돈　　　　　　　　　　　　</v>
          </cell>
          <cell r="C935">
            <v>4610201056933</v>
          </cell>
          <cell r="D935" t="str">
            <v>개인</v>
          </cell>
        </row>
        <row r="936">
          <cell r="B936" t="str">
            <v>김찬돈　　　　　　　　　　　　</v>
          </cell>
          <cell r="C936">
            <v>4610201056933</v>
          </cell>
          <cell r="D936" t="str">
            <v>개인</v>
          </cell>
        </row>
        <row r="937">
          <cell r="B937" t="str">
            <v>김찬돈　　　　　　　　　　　　</v>
          </cell>
          <cell r="C937">
            <v>4610201056933</v>
          </cell>
          <cell r="D937" t="str">
            <v>개인</v>
          </cell>
        </row>
        <row r="938">
          <cell r="B938" t="str">
            <v>김찬돈　　　　　　　　　　　　</v>
          </cell>
          <cell r="C938">
            <v>4610201056933</v>
          </cell>
          <cell r="D938" t="str">
            <v>개인</v>
          </cell>
        </row>
        <row r="939">
          <cell r="B939" t="str">
            <v>김찬돈　　　　　　　　　　　　</v>
          </cell>
          <cell r="C939">
            <v>4610201056933</v>
          </cell>
          <cell r="D939" t="str">
            <v>개인</v>
          </cell>
        </row>
        <row r="940">
          <cell r="B940" t="str">
            <v>김찬돈　　　　　　　　　　　　</v>
          </cell>
          <cell r="C940">
            <v>4610201056933</v>
          </cell>
          <cell r="D940" t="str">
            <v>개인</v>
          </cell>
        </row>
        <row r="941">
          <cell r="B941" t="str">
            <v>김찬돈　　　　　　　　　　　　</v>
          </cell>
          <cell r="C941">
            <v>4610201056933</v>
          </cell>
          <cell r="D941" t="str">
            <v>개인</v>
          </cell>
        </row>
        <row r="942">
          <cell r="B942" t="str">
            <v>김찬돈　　　　　　　　　　　　</v>
          </cell>
          <cell r="C942">
            <v>4610201056933</v>
          </cell>
          <cell r="D942" t="str">
            <v>개인</v>
          </cell>
        </row>
        <row r="943">
          <cell r="B943" t="str">
            <v>김찬돈　　　　　　　　　　　　</v>
          </cell>
          <cell r="C943">
            <v>4610201056933</v>
          </cell>
          <cell r="D943" t="str">
            <v>개인</v>
          </cell>
        </row>
        <row r="944">
          <cell r="B944" t="str">
            <v>김찬돈　　　　　　　　　　　　</v>
          </cell>
          <cell r="C944">
            <v>4610201056933</v>
          </cell>
          <cell r="D944" t="str">
            <v>개인</v>
          </cell>
        </row>
        <row r="945">
          <cell r="B945" t="str">
            <v>김현동</v>
          </cell>
          <cell r="C945">
            <v>6310161815417</v>
          </cell>
          <cell r="D945" t="str">
            <v>개인</v>
          </cell>
        </row>
        <row r="946">
          <cell r="B946" t="str">
            <v>김현동</v>
          </cell>
          <cell r="C946">
            <v>6310161815417</v>
          </cell>
          <cell r="D946" t="str">
            <v>개인</v>
          </cell>
        </row>
        <row r="947">
          <cell r="B947" t="str">
            <v>김현동</v>
          </cell>
          <cell r="C947">
            <v>6310161815417</v>
          </cell>
          <cell r="D947" t="str">
            <v>개인</v>
          </cell>
        </row>
        <row r="948">
          <cell r="B948" t="str">
            <v>김현숙　　　　　　　　　　　　</v>
          </cell>
          <cell r="C948">
            <v>5801262906823</v>
          </cell>
          <cell r="D948" t="str">
            <v>개인</v>
          </cell>
        </row>
        <row r="949">
          <cell r="B949" t="str">
            <v>김현숙　　　　　　　　　　　　</v>
          </cell>
          <cell r="C949">
            <v>5801262906823</v>
          </cell>
          <cell r="D949" t="str">
            <v>개인</v>
          </cell>
        </row>
        <row r="950">
          <cell r="B950" t="str">
            <v>김현숙　　　　　　　　　　　　</v>
          </cell>
          <cell r="C950">
            <v>5801262906823</v>
          </cell>
          <cell r="D950" t="str">
            <v>개인</v>
          </cell>
        </row>
        <row r="951">
          <cell r="B951" t="str">
            <v>김현숙　　　　　　　　　　　　</v>
          </cell>
          <cell r="C951">
            <v>5801262906823</v>
          </cell>
          <cell r="D951" t="str">
            <v>개인</v>
          </cell>
        </row>
        <row r="952">
          <cell r="B952" t="str">
            <v>김현숙　　　　　　　　　　　　</v>
          </cell>
          <cell r="C952">
            <v>5801262906823</v>
          </cell>
          <cell r="D952" t="str">
            <v>개인</v>
          </cell>
        </row>
        <row r="953">
          <cell r="B953" t="str">
            <v>김현숙　　　　　　　　　　　　</v>
          </cell>
          <cell r="C953">
            <v>5801262906823</v>
          </cell>
          <cell r="D953" t="str">
            <v>개인</v>
          </cell>
        </row>
        <row r="954">
          <cell r="B954" t="str">
            <v>김현숙　　　　　　　　　　　　</v>
          </cell>
          <cell r="C954">
            <v>5801262906823</v>
          </cell>
          <cell r="D954" t="str">
            <v>개인</v>
          </cell>
        </row>
        <row r="955">
          <cell r="B955" t="str">
            <v>김현숙　　　　　　　　　　　　</v>
          </cell>
          <cell r="C955">
            <v>5801262906823</v>
          </cell>
          <cell r="D955" t="str">
            <v>개인</v>
          </cell>
        </row>
        <row r="956">
          <cell r="B956" t="str">
            <v>김현숙　　　　　　　　　　　　</v>
          </cell>
          <cell r="C956">
            <v>5801262906823</v>
          </cell>
          <cell r="D956" t="str">
            <v>개인</v>
          </cell>
        </row>
        <row r="957">
          <cell r="B957" t="str">
            <v>김현숙　　　　　　　　　　　　</v>
          </cell>
          <cell r="C957">
            <v>5801262906823</v>
          </cell>
          <cell r="D957" t="str">
            <v>개인</v>
          </cell>
        </row>
        <row r="958">
          <cell r="B958" t="str">
            <v>김현숙　　　　　　　　　　　　</v>
          </cell>
          <cell r="C958">
            <v>5801262906823</v>
          </cell>
          <cell r="D958" t="str">
            <v>개인</v>
          </cell>
        </row>
        <row r="959">
          <cell r="B959" t="str">
            <v>김현숙　　　　　　　　　　　　</v>
          </cell>
          <cell r="C959">
            <v>5801262906823</v>
          </cell>
          <cell r="D959" t="str">
            <v>개인</v>
          </cell>
        </row>
        <row r="960">
          <cell r="B960" t="str">
            <v>김현숙　　　　　　　　　　　　</v>
          </cell>
          <cell r="C960">
            <v>5801262906823</v>
          </cell>
          <cell r="D960" t="str">
            <v>개인</v>
          </cell>
        </row>
        <row r="961">
          <cell r="B961" t="str">
            <v>김현숙　　　　　　　　　　　　</v>
          </cell>
          <cell r="C961">
            <v>5801262906823</v>
          </cell>
          <cell r="D961" t="str">
            <v>개인</v>
          </cell>
        </row>
        <row r="962">
          <cell r="B962" t="str">
            <v>김현숙　　　　　　　　　　　　</v>
          </cell>
          <cell r="C962">
            <v>5801262906823</v>
          </cell>
          <cell r="D962" t="str">
            <v>개인</v>
          </cell>
        </row>
        <row r="963">
          <cell r="B963" t="str">
            <v>김휘　　　　　　　　　　　　　</v>
          </cell>
          <cell r="C963">
            <v>6201261017712</v>
          </cell>
          <cell r="D963" t="str">
            <v>개인</v>
          </cell>
        </row>
        <row r="964">
          <cell r="B964" t="str">
            <v>김휘　　　　　　　　　　　　　</v>
          </cell>
          <cell r="C964">
            <v>6201261017712</v>
          </cell>
          <cell r="D964" t="str">
            <v>개인</v>
          </cell>
        </row>
        <row r="965">
          <cell r="B965" t="str">
            <v>노선화　　　　　　　　　　　　</v>
          </cell>
          <cell r="C965">
            <v>6210102029510</v>
          </cell>
          <cell r="D965" t="str">
            <v>개인</v>
          </cell>
        </row>
        <row r="966">
          <cell r="B966" t="str">
            <v>노선화　　　　　　　　　　　　</v>
          </cell>
          <cell r="C966">
            <v>6210102029510</v>
          </cell>
          <cell r="D966" t="str">
            <v>개인</v>
          </cell>
        </row>
        <row r="967">
          <cell r="B967" t="str">
            <v>㈜뉴월드홈푸드</v>
          </cell>
          <cell r="C967">
            <v>1088122476</v>
          </cell>
          <cell r="D967" t="str">
            <v>법인</v>
          </cell>
        </row>
        <row r="968">
          <cell r="B968" t="str">
            <v>㈜뉴월드홈푸드</v>
          </cell>
          <cell r="C968">
            <v>1088122476</v>
          </cell>
          <cell r="D968" t="str">
            <v>법인</v>
          </cell>
        </row>
        <row r="969">
          <cell r="B969" t="str">
            <v>㈜뉴월드홈푸드</v>
          </cell>
          <cell r="C969">
            <v>1088122476</v>
          </cell>
          <cell r="D969" t="str">
            <v>법인</v>
          </cell>
        </row>
        <row r="970">
          <cell r="B970" t="str">
            <v>㈜다담온풍기</v>
          </cell>
          <cell r="C970">
            <v>1288147904</v>
          </cell>
          <cell r="D970" t="str">
            <v>법인</v>
          </cell>
        </row>
        <row r="971">
          <cell r="B971" t="str">
            <v>㈜다담온풍기</v>
          </cell>
          <cell r="C971">
            <v>1288147904</v>
          </cell>
          <cell r="D971" t="str">
            <v>법인</v>
          </cell>
        </row>
        <row r="972">
          <cell r="B972" t="str">
            <v>㈜다담온풍기</v>
          </cell>
          <cell r="C972">
            <v>1288147904</v>
          </cell>
          <cell r="D972" t="str">
            <v>법인</v>
          </cell>
        </row>
        <row r="973">
          <cell r="B973" t="str">
            <v>㈜다담온풍기</v>
          </cell>
          <cell r="C973">
            <v>1288147904</v>
          </cell>
          <cell r="D973" t="str">
            <v>법인</v>
          </cell>
        </row>
        <row r="974">
          <cell r="B974" t="str">
            <v>㈜다담온풍기</v>
          </cell>
          <cell r="C974">
            <v>1288147904</v>
          </cell>
          <cell r="D974" t="str">
            <v>법인</v>
          </cell>
        </row>
        <row r="975">
          <cell r="B975" t="str">
            <v>㈜다담온풍기</v>
          </cell>
          <cell r="C975">
            <v>1288147904</v>
          </cell>
          <cell r="D975" t="str">
            <v>법인</v>
          </cell>
        </row>
        <row r="976">
          <cell r="B976" t="str">
            <v>㈜다담온풍기</v>
          </cell>
          <cell r="C976">
            <v>1288147904</v>
          </cell>
          <cell r="D976" t="str">
            <v>법인</v>
          </cell>
        </row>
        <row r="977">
          <cell r="B977" t="str">
            <v>㈜다담온풍기</v>
          </cell>
          <cell r="C977">
            <v>1288147904</v>
          </cell>
          <cell r="D977" t="str">
            <v>법인</v>
          </cell>
        </row>
        <row r="978">
          <cell r="B978" t="str">
            <v>㈜다담온풍기</v>
          </cell>
          <cell r="C978">
            <v>1288147904</v>
          </cell>
          <cell r="D978" t="str">
            <v>법인</v>
          </cell>
        </row>
        <row r="979">
          <cell r="B979" t="str">
            <v>㈜다담온풍기</v>
          </cell>
          <cell r="C979">
            <v>1288147904</v>
          </cell>
          <cell r="D979" t="str">
            <v>법인</v>
          </cell>
        </row>
        <row r="980">
          <cell r="B980" t="str">
            <v>㈜다담온풍기</v>
          </cell>
          <cell r="C980">
            <v>1288147904</v>
          </cell>
          <cell r="D980" t="str">
            <v>법인</v>
          </cell>
        </row>
        <row r="981">
          <cell r="B981" t="str">
            <v>㈜다담온풍기</v>
          </cell>
          <cell r="C981">
            <v>1288147904</v>
          </cell>
          <cell r="D981" t="str">
            <v>법인</v>
          </cell>
        </row>
        <row r="982">
          <cell r="B982" t="str">
            <v>㈜다담온풍기</v>
          </cell>
          <cell r="C982">
            <v>1288147904</v>
          </cell>
          <cell r="D982" t="str">
            <v>법인</v>
          </cell>
        </row>
        <row r="983">
          <cell r="B983" t="str">
            <v>㈜다담온풍기</v>
          </cell>
          <cell r="C983">
            <v>1288147904</v>
          </cell>
          <cell r="D983" t="str">
            <v>법인</v>
          </cell>
        </row>
        <row r="984">
          <cell r="B984" t="str">
            <v>㈜다리와날개</v>
          </cell>
          <cell r="C984">
            <v>1288157718</v>
          </cell>
          <cell r="D984" t="str">
            <v>법인</v>
          </cell>
        </row>
        <row r="985">
          <cell r="B985" t="str">
            <v>㈜다리와날개</v>
          </cell>
          <cell r="C985">
            <v>1288157718</v>
          </cell>
          <cell r="D985" t="str">
            <v>법인</v>
          </cell>
        </row>
        <row r="986">
          <cell r="B986" t="str">
            <v>㈜다리와날개</v>
          </cell>
          <cell r="C986">
            <v>1288157718</v>
          </cell>
          <cell r="D986" t="str">
            <v>법인</v>
          </cell>
        </row>
        <row r="987">
          <cell r="B987" t="str">
            <v>㈜다리와날개</v>
          </cell>
          <cell r="C987">
            <v>1288157718</v>
          </cell>
          <cell r="D987" t="str">
            <v>법인</v>
          </cell>
        </row>
        <row r="988">
          <cell r="B988" t="str">
            <v>㈜다리와날개</v>
          </cell>
          <cell r="C988">
            <v>1288157718</v>
          </cell>
          <cell r="D988" t="str">
            <v>법인</v>
          </cell>
        </row>
        <row r="989">
          <cell r="B989" t="str">
            <v>㈜다리와날개</v>
          </cell>
          <cell r="C989">
            <v>1288157718</v>
          </cell>
          <cell r="D989" t="str">
            <v>법인</v>
          </cell>
        </row>
        <row r="990">
          <cell r="B990" t="str">
            <v>㈜다리와날개</v>
          </cell>
          <cell r="C990">
            <v>1288157718</v>
          </cell>
          <cell r="D990" t="str">
            <v>법인</v>
          </cell>
        </row>
        <row r="991">
          <cell r="B991" t="str">
            <v>㈜다리와날개</v>
          </cell>
          <cell r="C991">
            <v>1288157718</v>
          </cell>
          <cell r="D991" t="str">
            <v>법인</v>
          </cell>
        </row>
        <row r="992">
          <cell r="B992" t="str">
            <v>㈜다리와날개</v>
          </cell>
          <cell r="C992">
            <v>1288157718</v>
          </cell>
          <cell r="D992" t="str">
            <v>법인</v>
          </cell>
        </row>
        <row r="993">
          <cell r="B993" t="str">
            <v>㈜다리와날개</v>
          </cell>
          <cell r="C993">
            <v>1288157718</v>
          </cell>
          <cell r="D993" t="str">
            <v>법인</v>
          </cell>
        </row>
        <row r="994">
          <cell r="B994" t="str">
            <v>㈜다리와날개</v>
          </cell>
          <cell r="C994">
            <v>1288157718</v>
          </cell>
          <cell r="D994" t="str">
            <v>법인</v>
          </cell>
        </row>
        <row r="995">
          <cell r="B995" t="str">
            <v>㈜다리와날개</v>
          </cell>
          <cell r="C995">
            <v>1288157718</v>
          </cell>
          <cell r="D995" t="str">
            <v>법인</v>
          </cell>
        </row>
        <row r="996">
          <cell r="B996" t="str">
            <v>㈜다리와날개</v>
          </cell>
          <cell r="C996">
            <v>1288157718</v>
          </cell>
          <cell r="D996" t="str">
            <v>법인</v>
          </cell>
        </row>
        <row r="997">
          <cell r="B997" t="str">
            <v>㈜다리와날개</v>
          </cell>
          <cell r="C997">
            <v>1288157718</v>
          </cell>
          <cell r="D997" t="str">
            <v>법인</v>
          </cell>
        </row>
        <row r="998">
          <cell r="B998" t="str">
            <v>㈜다리와날개</v>
          </cell>
          <cell r="C998">
            <v>1288157718</v>
          </cell>
          <cell r="D998" t="str">
            <v>법인</v>
          </cell>
        </row>
        <row r="999">
          <cell r="B999" t="str">
            <v>㈜다리와날개</v>
          </cell>
          <cell r="C999">
            <v>1288157718</v>
          </cell>
          <cell r="D999" t="str">
            <v>법인</v>
          </cell>
        </row>
        <row r="1000">
          <cell r="B1000" t="str">
            <v>㈜다리와날개</v>
          </cell>
          <cell r="C1000">
            <v>1288157718</v>
          </cell>
          <cell r="D1000" t="str">
            <v>법인</v>
          </cell>
        </row>
        <row r="1001">
          <cell r="B1001" t="str">
            <v>㈜마이다스상사</v>
          </cell>
          <cell r="C1001">
            <v>2088124231</v>
          </cell>
          <cell r="D1001" t="str">
            <v>법인</v>
          </cell>
        </row>
        <row r="1002">
          <cell r="B1002" t="str">
            <v>㈜마이다스상사</v>
          </cell>
          <cell r="C1002">
            <v>2088124231</v>
          </cell>
          <cell r="D1002" t="str">
            <v>법인</v>
          </cell>
        </row>
        <row r="1003">
          <cell r="B1003" t="str">
            <v>㈜마이다스상사</v>
          </cell>
          <cell r="C1003">
            <v>2088124231</v>
          </cell>
          <cell r="D1003" t="str">
            <v>법인</v>
          </cell>
        </row>
        <row r="1004">
          <cell r="B1004" t="str">
            <v>문병진　　　　　　　　　　　　</v>
          </cell>
          <cell r="C1004">
            <v>5612111550825</v>
          </cell>
          <cell r="D1004" t="str">
            <v>개인</v>
          </cell>
        </row>
        <row r="1005">
          <cell r="B1005" t="str">
            <v>문병진　　　　　　　　　　　　</v>
          </cell>
          <cell r="C1005">
            <v>5612111550825</v>
          </cell>
          <cell r="D1005" t="str">
            <v>개인</v>
          </cell>
        </row>
        <row r="1006">
          <cell r="B1006" t="str">
            <v>문병진　　　　　　　　　　　　</v>
          </cell>
          <cell r="C1006">
            <v>5612111550825</v>
          </cell>
          <cell r="D1006" t="str">
            <v>개인</v>
          </cell>
        </row>
        <row r="1007">
          <cell r="B1007" t="str">
            <v>박봉선</v>
          </cell>
          <cell r="C1007">
            <v>6110051519925</v>
          </cell>
          <cell r="D1007" t="str">
            <v>개인</v>
          </cell>
        </row>
        <row r="1008">
          <cell r="B1008" t="str">
            <v>박봉선</v>
          </cell>
          <cell r="C1008">
            <v>6110051519925</v>
          </cell>
          <cell r="D1008" t="str">
            <v>개인</v>
          </cell>
        </row>
        <row r="1009">
          <cell r="B1009" t="str">
            <v>박성채　　　　　　　　　　　　</v>
          </cell>
          <cell r="C1009">
            <v>5405231639321</v>
          </cell>
          <cell r="D1009" t="str">
            <v>개인</v>
          </cell>
        </row>
        <row r="1010">
          <cell r="B1010" t="str">
            <v>박성채　　　　　　　　　　　　</v>
          </cell>
          <cell r="C1010">
            <v>5405231639321</v>
          </cell>
          <cell r="D1010" t="str">
            <v>개인</v>
          </cell>
        </row>
        <row r="1011">
          <cell r="B1011" t="str">
            <v>박점남　　　　　　　　　　　　</v>
          </cell>
          <cell r="C1011">
            <v>6711112580913</v>
          </cell>
          <cell r="D1011" t="str">
            <v>개인</v>
          </cell>
        </row>
        <row r="1012">
          <cell r="B1012" t="str">
            <v>박점남　　　　　　　　　　　　</v>
          </cell>
          <cell r="C1012">
            <v>6711112580913</v>
          </cell>
          <cell r="D1012" t="str">
            <v>개인</v>
          </cell>
        </row>
        <row r="1013">
          <cell r="B1013" t="str">
            <v>박정기　　　　　　　　　　　　</v>
          </cell>
          <cell r="C1013">
            <v>4702181074312</v>
          </cell>
          <cell r="D1013" t="str">
            <v>개인</v>
          </cell>
        </row>
        <row r="1014">
          <cell r="B1014" t="str">
            <v>박정기　　　　　　　　　　　　</v>
          </cell>
          <cell r="C1014">
            <v>4702181074312</v>
          </cell>
          <cell r="D1014" t="str">
            <v>개인</v>
          </cell>
        </row>
        <row r="1015">
          <cell r="B1015" t="str">
            <v>박정호　　　　　　　　　　　　</v>
          </cell>
          <cell r="C1015">
            <v>4902012182427</v>
          </cell>
          <cell r="D1015" t="str">
            <v>개인</v>
          </cell>
        </row>
        <row r="1016">
          <cell r="B1016" t="str">
            <v>박정호　　　　　　　　　　　　</v>
          </cell>
          <cell r="C1016">
            <v>4902012182427</v>
          </cell>
          <cell r="D1016" t="str">
            <v>개인</v>
          </cell>
        </row>
        <row r="1017">
          <cell r="B1017" t="str">
            <v>박채규　　　　　　　　　　　　</v>
          </cell>
          <cell r="C1017">
            <v>5005041006218</v>
          </cell>
          <cell r="D1017" t="str">
            <v>개인</v>
          </cell>
        </row>
        <row r="1018">
          <cell r="B1018" t="str">
            <v>박채규　　　　　　　　　　　　</v>
          </cell>
          <cell r="C1018">
            <v>5005041006218</v>
          </cell>
          <cell r="D1018" t="str">
            <v>개인</v>
          </cell>
        </row>
        <row r="1019">
          <cell r="B1019" t="str">
            <v>박채규　　　　　　　　　　　　</v>
          </cell>
          <cell r="C1019">
            <v>5005041006218</v>
          </cell>
          <cell r="D1019" t="str">
            <v>개인</v>
          </cell>
        </row>
        <row r="1020">
          <cell r="B1020" t="str">
            <v>백세웅　　　　　　　　　　　　</v>
          </cell>
          <cell r="C1020">
            <v>7108201067929</v>
          </cell>
          <cell r="D1020" t="str">
            <v>개인</v>
          </cell>
        </row>
        <row r="1021">
          <cell r="B1021" t="str">
            <v>백세웅　　　　　　　　　　　　</v>
          </cell>
          <cell r="C1021">
            <v>7108201067929</v>
          </cell>
          <cell r="D1021" t="str">
            <v>개인</v>
          </cell>
        </row>
        <row r="1022">
          <cell r="B1022" t="str">
            <v>㈜성아합성</v>
          </cell>
          <cell r="C1022">
            <v>1288114932</v>
          </cell>
          <cell r="D1022" t="str">
            <v>법인</v>
          </cell>
        </row>
        <row r="1023">
          <cell r="B1023" t="str">
            <v>㈜성아합성</v>
          </cell>
          <cell r="C1023">
            <v>1288114932</v>
          </cell>
          <cell r="D1023" t="str">
            <v>법인</v>
          </cell>
        </row>
        <row r="1024">
          <cell r="B1024" t="str">
            <v>㈜성아합성</v>
          </cell>
          <cell r="C1024">
            <v>1288114932</v>
          </cell>
          <cell r="D1024" t="str">
            <v>법인</v>
          </cell>
        </row>
        <row r="1025">
          <cell r="B1025" t="str">
            <v>㈜성아합성</v>
          </cell>
          <cell r="C1025">
            <v>1288114932</v>
          </cell>
          <cell r="D1025" t="str">
            <v>법인</v>
          </cell>
        </row>
        <row r="1026">
          <cell r="B1026" t="str">
            <v>㈜성아합성</v>
          </cell>
          <cell r="C1026">
            <v>1288114932</v>
          </cell>
          <cell r="D1026" t="str">
            <v>법인</v>
          </cell>
        </row>
        <row r="1027">
          <cell r="B1027" t="str">
            <v>㈜성아합성</v>
          </cell>
          <cell r="C1027">
            <v>1288114932</v>
          </cell>
          <cell r="D1027" t="str">
            <v>법인</v>
          </cell>
        </row>
        <row r="1028">
          <cell r="B1028" t="str">
            <v>㈜성아합성</v>
          </cell>
          <cell r="C1028">
            <v>1288114932</v>
          </cell>
          <cell r="D1028" t="str">
            <v>법인</v>
          </cell>
        </row>
        <row r="1029">
          <cell r="B1029" t="str">
            <v>㈜성아합성</v>
          </cell>
          <cell r="C1029">
            <v>1288114932</v>
          </cell>
          <cell r="D1029" t="str">
            <v>법인</v>
          </cell>
        </row>
        <row r="1030">
          <cell r="B1030" t="str">
            <v>㈜성아합성</v>
          </cell>
          <cell r="C1030">
            <v>1288114932</v>
          </cell>
          <cell r="D1030" t="str">
            <v>법인</v>
          </cell>
        </row>
        <row r="1031">
          <cell r="B1031" t="str">
            <v>㈜성아합성</v>
          </cell>
          <cell r="C1031">
            <v>1288114932</v>
          </cell>
          <cell r="D1031" t="str">
            <v>법인</v>
          </cell>
        </row>
        <row r="1032">
          <cell r="B1032" t="str">
            <v>㈜성아합성</v>
          </cell>
          <cell r="C1032">
            <v>1288114932</v>
          </cell>
          <cell r="D1032" t="str">
            <v>법인</v>
          </cell>
        </row>
        <row r="1033">
          <cell r="B1033" t="str">
            <v>㈜성아합성</v>
          </cell>
          <cell r="C1033">
            <v>1288114932</v>
          </cell>
          <cell r="D1033" t="str">
            <v>법인</v>
          </cell>
        </row>
        <row r="1034">
          <cell r="B1034" t="str">
            <v>㈜성아합성</v>
          </cell>
          <cell r="C1034">
            <v>1288114932</v>
          </cell>
          <cell r="D1034" t="str">
            <v>법인</v>
          </cell>
        </row>
        <row r="1035">
          <cell r="B1035" t="str">
            <v>㈜성아합성</v>
          </cell>
          <cell r="C1035">
            <v>1288114932</v>
          </cell>
          <cell r="D1035" t="str">
            <v>법인</v>
          </cell>
        </row>
        <row r="1036">
          <cell r="B1036" t="str">
            <v>㈜성아합성</v>
          </cell>
          <cell r="C1036">
            <v>1288114932</v>
          </cell>
          <cell r="D1036" t="str">
            <v>법인</v>
          </cell>
        </row>
        <row r="1037">
          <cell r="B1037" t="str">
            <v>㈜성아합성</v>
          </cell>
          <cell r="C1037">
            <v>1288114932</v>
          </cell>
          <cell r="D1037" t="str">
            <v>법인</v>
          </cell>
        </row>
        <row r="1038">
          <cell r="B1038" t="str">
            <v>㈜세진중기</v>
          </cell>
          <cell r="C1038">
            <v>1268128518</v>
          </cell>
          <cell r="D1038" t="str">
            <v>법인</v>
          </cell>
        </row>
        <row r="1039">
          <cell r="B1039" t="str">
            <v>㈜세진중기</v>
          </cell>
          <cell r="C1039">
            <v>1268128518</v>
          </cell>
          <cell r="D1039" t="str">
            <v>법인</v>
          </cell>
        </row>
        <row r="1040">
          <cell r="B1040" t="str">
            <v>㈜세진중기</v>
          </cell>
          <cell r="C1040">
            <v>1268128518</v>
          </cell>
          <cell r="D1040" t="str">
            <v>법인</v>
          </cell>
        </row>
        <row r="1041">
          <cell r="B1041" t="str">
            <v>㈜세진중기</v>
          </cell>
          <cell r="C1041">
            <v>1268128518</v>
          </cell>
          <cell r="D1041" t="str">
            <v>법인</v>
          </cell>
        </row>
        <row r="1042">
          <cell r="B1042" t="str">
            <v>㈜세진중기</v>
          </cell>
          <cell r="C1042">
            <v>1268128518</v>
          </cell>
          <cell r="D1042" t="str">
            <v>법인</v>
          </cell>
        </row>
        <row r="1043">
          <cell r="B1043" t="str">
            <v>㈜쌍떼마루</v>
          </cell>
          <cell r="C1043">
            <v>3038126475</v>
          </cell>
          <cell r="D1043" t="str">
            <v>법인</v>
          </cell>
        </row>
        <row r="1044">
          <cell r="B1044" t="str">
            <v>㈜쌍떼마루</v>
          </cell>
          <cell r="C1044">
            <v>3038126475</v>
          </cell>
          <cell r="D1044" t="str">
            <v>법인</v>
          </cell>
        </row>
        <row r="1045">
          <cell r="B1045" t="str">
            <v>㈜쌍떼마루</v>
          </cell>
          <cell r="C1045">
            <v>3038126475</v>
          </cell>
          <cell r="D1045" t="str">
            <v>법인</v>
          </cell>
        </row>
        <row r="1046">
          <cell r="B1046" t="str">
            <v>㈜쌍떼마루</v>
          </cell>
          <cell r="C1046">
            <v>3038126475</v>
          </cell>
          <cell r="D1046" t="str">
            <v>법인</v>
          </cell>
        </row>
        <row r="1047">
          <cell r="B1047" t="str">
            <v>㈜쌍떼마루</v>
          </cell>
          <cell r="C1047">
            <v>3038126475</v>
          </cell>
          <cell r="D1047" t="str">
            <v>법인</v>
          </cell>
        </row>
        <row r="1048">
          <cell r="B1048" t="str">
            <v>㈜쌍떼마루</v>
          </cell>
          <cell r="C1048">
            <v>3038126475</v>
          </cell>
          <cell r="D1048" t="str">
            <v>법인</v>
          </cell>
        </row>
        <row r="1049">
          <cell r="B1049" t="str">
            <v>㈜쌍떼마루</v>
          </cell>
          <cell r="C1049">
            <v>3038126475</v>
          </cell>
          <cell r="D1049" t="str">
            <v>법인</v>
          </cell>
        </row>
        <row r="1050">
          <cell r="B1050" t="str">
            <v>㈜쌍떼마루</v>
          </cell>
          <cell r="C1050">
            <v>3038126475</v>
          </cell>
          <cell r="D1050" t="str">
            <v>법인</v>
          </cell>
        </row>
        <row r="1051">
          <cell r="B1051" t="str">
            <v>㈜쌍떼마루</v>
          </cell>
          <cell r="C1051">
            <v>3038126475</v>
          </cell>
          <cell r="D1051" t="str">
            <v>법인</v>
          </cell>
        </row>
        <row r="1052">
          <cell r="B1052" t="str">
            <v>㈜쌍떼마루</v>
          </cell>
          <cell r="C1052">
            <v>3038126475</v>
          </cell>
          <cell r="D1052" t="str">
            <v>법인</v>
          </cell>
        </row>
        <row r="1053">
          <cell r="B1053" t="str">
            <v>㈜쌍떼마루</v>
          </cell>
          <cell r="C1053">
            <v>3038126475</v>
          </cell>
          <cell r="D1053" t="str">
            <v>법인</v>
          </cell>
        </row>
        <row r="1054">
          <cell r="B1054" t="str">
            <v>㈜쌍떼마루</v>
          </cell>
          <cell r="C1054">
            <v>3038126475</v>
          </cell>
          <cell r="D1054" t="str">
            <v>법인</v>
          </cell>
        </row>
        <row r="1055">
          <cell r="B1055" t="str">
            <v>㈜쌍떼마루</v>
          </cell>
          <cell r="C1055">
            <v>3038126475</v>
          </cell>
          <cell r="D1055" t="str">
            <v>법인</v>
          </cell>
        </row>
        <row r="1056">
          <cell r="B1056" t="str">
            <v>㈜쌍떼마루</v>
          </cell>
          <cell r="C1056">
            <v>3038126475</v>
          </cell>
          <cell r="D1056" t="str">
            <v>법인</v>
          </cell>
        </row>
        <row r="1057">
          <cell r="B1057" t="str">
            <v>㈜쌍떼마루</v>
          </cell>
          <cell r="C1057">
            <v>3038126475</v>
          </cell>
          <cell r="D1057" t="str">
            <v>법인</v>
          </cell>
        </row>
        <row r="1058">
          <cell r="B1058" t="str">
            <v>㈜쌍떼마루</v>
          </cell>
          <cell r="C1058">
            <v>3038126475</v>
          </cell>
          <cell r="D1058" t="str">
            <v>법인</v>
          </cell>
        </row>
        <row r="1059">
          <cell r="B1059" t="str">
            <v>㈜쌍떼마루</v>
          </cell>
          <cell r="C1059">
            <v>3038126475</v>
          </cell>
          <cell r="D1059" t="str">
            <v>법인</v>
          </cell>
        </row>
        <row r="1060">
          <cell r="B1060" t="str">
            <v>㈜쌍떼마루</v>
          </cell>
          <cell r="C1060">
            <v>3038126475</v>
          </cell>
          <cell r="D1060" t="str">
            <v>법인</v>
          </cell>
        </row>
        <row r="1061">
          <cell r="B1061" t="str">
            <v>㈜쌍떼마루</v>
          </cell>
          <cell r="C1061">
            <v>3038126475</v>
          </cell>
          <cell r="D1061" t="str">
            <v>법인</v>
          </cell>
        </row>
        <row r="1062">
          <cell r="B1062" t="str">
            <v>㈜쌍떼마루</v>
          </cell>
          <cell r="C1062">
            <v>3038126475</v>
          </cell>
          <cell r="D1062" t="str">
            <v>법인</v>
          </cell>
        </row>
        <row r="1063">
          <cell r="B1063" t="str">
            <v>㈜쌍떼마루</v>
          </cell>
          <cell r="C1063">
            <v>3038126475</v>
          </cell>
          <cell r="D1063" t="str">
            <v>법인</v>
          </cell>
        </row>
        <row r="1064">
          <cell r="B1064" t="str">
            <v>신연수　　　　　　　　　　　　</v>
          </cell>
          <cell r="C1064">
            <v>5612301019429</v>
          </cell>
          <cell r="D1064" t="str">
            <v>개인</v>
          </cell>
        </row>
        <row r="1065">
          <cell r="B1065" t="str">
            <v>신연수　　　　　　　　　　　　</v>
          </cell>
          <cell r="C1065">
            <v>5612301019429</v>
          </cell>
          <cell r="D1065" t="str">
            <v>개인</v>
          </cell>
        </row>
        <row r="1066">
          <cell r="B1066" t="str">
            <v>신옥지　　　　　　　　　　　　</v>
          </cell>
          <cell r="C1066">
            <v>4104052010650</v>
          </cell>
          <cell r="D1066" t="str">
            <v>개인</v>
          </cell>
        </row>
        <row r="1067">
          <cell r="B1067" t="str">
            <v>심경식　　　　　　　　　　　　</v>
          </cell>
          <cell r="C1067">
            <v>5806241018213</v>
          </cell>
          <cell r="D1067" t="str">
            <v>개인</v>
          </cell>
        </row>
        <row r="1068">
          <cell r="B1068" t="str">
            <v>심경식　　　　　　　　　　　　</v>
          </cell>
          <cell r="C1068">
            <v>5806241018213</v>
          </cell>
          <cell r="D1068" t="str">
            <v>개인</v>
          </cell>
        </row>
        <row r="1069">
          <cell r="B1069" t="str">
            <v>에스.피.엔제약㈜</v>
          </cell>
          <cell r="C1069">
            <v>1348169034</v>
          </cell>
          <cell r="D1069" t="str">
            <v>법인</v>
          </cell>
        </row>
        <row r="1070">
          <cell r="B1070" t="str">
            <v>에스.피.엔제약㈜</v>
          </cell>
          <cell r="C1070">
            <v>1348169034</v>
          </cell>
          <cell r="D1070" t="str">
            <v>법인</v>
          </cell>
        </row>
        <row r="1071">
          <cell r="B1071" t="str">
            <v>에스.피.엔제약㈜</v>
          </cell>
          <cell r="C1071">
            <v>1348169034</v>
          </cell>
          <cell r="D1071" t="str">
            <v>법인</v>
          </cell>
        </row>
        <row r="1072">
          <cell r="B1072" t="str">
            <v>오두필　　　　　　　　　　　　</v>
          </cell>
          <cell r="C1072">
            <v>5503281786418</v>
          </cell>
          <cell r="D1072" t="str">
            <v>개인</v>
          </cell>
        </row>
        <row r="1073">
          <cell r="B1073" t="str">
            <v>오두필　　　　　　　　　　　　</v>
          </cell>
          <cell r="C1073">
            <v>5503281786418</v>
          </cell>
          <cell r="D1073" t="str">
            <v>개인</v>
          </cell>
        </row>
        <row r="1074">
          <cell r="B1074" t="str">
            <v>이광훈　　　　　　　　　　　　</v>
          </cell>
          <cell r="C1074">
            <v>4708031019624</v>
          </cell>
          <cell r="D1074" t="str">
            <v>개인</v>
          </cell>
        </row>
        <row r="1075">
          <cell r="B1075" t="str">
            <v>이광훈　　　　　　　　　　　　</v>
          </cell>
          <cell r="C1075">
            <v>4708031019624</v>
          </cell>
          <cell r="D1075" t="str">
            <v>개인</v>
          </cell>
        </row>
        <row r="1076">
          <cell r="B1076" t="str">
            <v>이두희　　　　　　　　　　　　</v>
          </cell>
          <cell r="C1076">
            <v>6001021144238</v>
          </cell>
          <cell r="D1076" t="str">
            <v>개인</v>
          </cell>
        </row>
        <row r="1077">
          <cell r="B1077" t="str">
            <v>이두희　　　　　　　　　　　　</v>
          </cell>
          <cell r="C1077">
            <v>6001021144238</v>
          </cell>
          <cell r="D1077" t="str">
            <v>개인</v>
          </cell>
        </row>
        <row r="1078">
          <cell r="B1078" t="str">
            <v>이두희　　　　　　　　　　　　</v>
          </cell>
          <cell r="C1078">
            <v>6001021144238</v>
          </cell>
          <cell r="D1078" t="str">
            <v>개인</v>
          </cell>
        </row>
        <row r="1079">
          <cell r="B1079" t="str">
            <v>이미경　　　　　　　　　　　　</v>
          </cell>
          <cell r="C1079">
            <v>6604152143725</v>
          </cell>
          <cell r="D1079" t="str">
            <v>개인</v>
          </cell>
        </row>
        <row r="1080">
          <cell r="B1080" t="str">
            <v>이미경　　　　　　　　　　　　</v>
          </cell>
          <cell r="C1080">
            <v>6604152143725</v>
          </cell>
          <cell r="D1080" t="str">
            <v>개인</v>
          </cell>
        </row>
        <row r="1081">
          <cell r="B1081" t="str">
            <v>이미경　　　　　　　　　　　　</v>
          </cell>
          <cell r="C1081">
            <v>6604152143725</v>
          </cell>
          <cell r="D1081" t="str">
            <v>개인</v>
          </cell>
        </row>
        <row r="1082">
          <cell r="B1082" t="str">
            <v>이미경　　　　　　　　　　　　</v>
          </cell>
          <cell r="C1082">
            <v>6604152143725</v>
          </cell>
          <cell r="D1082" t="str">
            <v>개인</v>
          </cell>
        </row>
        <row r="1083">
          <cell r="B1083" t="str">
            <v>이상빈　　　　　　　　　　　　</v>
          </cell>
          <cell r="C1083">
            <v>7108011666131</v>
          </cell>
          <cell r="D1083" t="str">
            <v>개인</v>
          </cell>
        </row>
        <row r="1084">
          <cell r="B1084" t="str">
            <v>이상빈　　　　　　　　　　　　</v>
          </cell>
          <cell r="C1084">
            <v>7108011666131</v>
          </cell>
          <cell r="D1084" t="str">
            <v>개인</v>
          </cell>
        </row>
        <row r="1085">
          <cell r="B1085" t="str">
            <v>이상빈　　　　　　　　　　　　</v>
          </cell>
          <cell r="C1085">
            <v>7108011666131</v>
          </cell>
          <cell r="D1085" t="str">
            <v>개인</v>
          </cell>
        </row>
        <row r="1086">
          <cell r="B1086" t="str">
            <v>이순자　　　　　　　　　　　　</v>
          </cell>
          <cell r="C1086">
            <v>3707282392818</v>
          </cell>
          <cell r="D1086" t="str">
            <v>개인</v>
          </cell>
        </row>
        <row r="1087">
          <cell r="B1087" t="str">
            <v>이순자　　　　　　　　　　　　</v>
          </cell>
          <cell r="C1087">
            <v>3707282392818</v>
          </cell>
          <cell r="D1087" t="str">
            <v>개인</v>
          </cell>
        </row>
        <row r="1088">
          <cell r="B1088" t="str">
            <v>이순찬　　　　　　　　　　　　</v>
          </cell>
          <cell r="C1088">
            <v>4701142002313</v>
          </cell>
          <cell r="D1088" t="str">
            <v>개인</v>
          </cell>
        </row>
        <row r="1089">
          <cell r="B1089" t="str">
            <v>이순찬　　　　　　　　　　　　</v>
          </cell>
          <cell r="C1089">
            <v>4701142002313</v>
          </cell>
          <cell r="D1089" t="str">
            <v>개인</v>
          </cell>
        </row>
        <row r="1090">
          <cell r="B1090" t="str">
            <v>정경섭</v>
          </cell>
          <cell r="C1090">
            <v>3501131002223</v>
          </cell>
          <cell r="D1090" t="str">
            <v>개인</v>
          </cell>
        </row>
        <row r="1091">
          <cell r="B1091" t="str">
            <v>이원환</v>
          </cell>
          <cell r="C1091">
            <v>4104031056614</v>
          </cell>
          <cell r="D1091" t="str">
            <v>개인</v>
          </cell>
        </row>
        <row r="1092">
          <cell r="B1092" t="str">
            <v>이원환</v>
          </cell>
          <cell r="C1092">
            <v>4104031056614</v>
          </cell>
          <cell r="D1092" t="str">
            <v>개인</v>
          </cell>
        </row>
        <row r="1093">
          <cell r="B1093" t="str">
            <v>이원환</v>
          </cell>
          <cell r="C1093">
            <v>4104031056614</v>
          </cell>
          <cell r="D1093" t="str">
            <v>개인</v>
          </cell>
        </row>
        <row r="1094">
          <cell r="B1094" t="str">
            <v>이원환</v>
          </cell>
          <cell r="C1094">
            <v>4104031056614</v>
          </cell>
          <cell r="D1094" t="str">
            <v>개인</v>
          </cell>
        </row>
        <row r="1095">
          <cell r="B1095" t="str">
            <v>이원환</v>
          </cell>
          <cell r="C1095">
            <v>4104031056614</v>
          </cell>
          <cell r="D1095" t="str">
            <v>개인</v>
          </cell>
        </row>
        <row r="1096">
          <cell r="B1096" t="str">
            <v>이원환</v>
          </cell>
          <cell r="C1096">
            <v>4104031056614</v>
          </cell>
          <cell r="D1096" t="str">
            <v>개인</v>
          </cell>
        </row>
        <row r="1097">
          <cell r="B1097" t="str">
            <v>이원환</v>
          </cell>
          <cell r="C1097">
            <v>4104031056614</v>
          </cell>
          <cell r="D1097" t="str">
            <v>개인</v>
          </cell>
        </row>
        <row r="1098">
          <cell r="B1098" t="str">
            <v>이원환</v>
          </cell>
          <cell r="C1098">
            <v>4104031056614</v>
          </cell>
          <cell r="D1098" t="str">
            <v>개인</v>
          </cell>
        </row>
        <row r="1099">
          <cell r="B1099" t="str">
            <v>이재윤　　　　　　　　　　　　</v>
          </cell>
          <cell r="C1099">
            <v>5710121636413</v>
          </cell>
          <cell r="D1099" t="str">
            <v>개인</v>
          </cell>
        </row>
        <row r="1100">
          <cell r="B1100" t="str">
            <v>이재윤　　　　　　　　　　　　</v>
          </cell>
          <cell r="C1100">
            <v>5710121636413</v>
          </cell>
          <cell r="D1100" t="str">
            <v>개인</v>
          </cell>
        </row>
        <row r="1101">
          <cell r="B1101" t="str">
            <v>이종섭　　　　　　　　　　　　</v>
          </cell>
          <cell r="C1101">
            <v>3902241025614</v>
          </cell>
          <cell r="D1101" t="str">
            <v>개인</v>
          </cell>
        </row>
        <row r="1102">
          <cell r="B1102" t="str">
            <v>이종섭　　　　　　　　　　　　</v>
          </cell>
          <cell r="C1102">
            <v>3902241025614</v>
          </cell>
          <cell r="D1102" t="str">
            <v>개인</v>
          </cell>
        </row>
        <row r="1103">
          <cell r="B1103" t="str">
            <v>이종화　　　　　　　　　　　　</v>
          </cell>
          <cell r="C1103">
            <v>6502011001219</v>
          </cell>
          <cell r="D1103" t="str">
            <v>개인</v>
          </cell>
        </row>
        <row r="1104">
          <cell r="B1104" t="str">
            <v>이종화　　　　　　　　　　　　</v>
          </cell>
          <cell r="C1104">
            <v>6502011001219</v>
          </cell>
          <cell r="D1104" t="str">
            <v>개인</v>
          </cell>
        </row>
        <row r="1105">
          <cell r="B1105" t="str">
            <v>장명수　　　　　　　　　　　　</v>
          </cell>
          <cell r="C1105">
            <v>3908231029815</v>
          </cell>
          <cell r="D1105" t="str">
            <v>개인</v>
          </cell>
        </row>
        <row r="1106">
          <cell r="B1106" t="str">
            <v>장명수　　　　　　　　　　　　</v>
          </cell>
          <cell r="C1106">
            <v>3908231029815</v>
          </cell>
          <cell r="D1106" t="str">
            <v>개인</v>
          </cell>
        </row>
        <row r="1107">
          <cell r="B1107" t="str">
            <v>장영숙　　　　　　　　　　　　</v>
          </cell>
          <cell r="C1107">
            <v>4209012019314</v>
          </cell>
          <cell r="D1107" t="str">
            <v>개인</v>
          </cell>
        </row>
        <row r="1108">
          <cell r="B1108" t="str">
            <v>장영숙　　　　　　　　　　　　</v>
          </cell>
          <cell r="C1108">
            <v>4209012019314</v>
          </cell>
          <cell r="D1108" t="str">
            <v>개인</v>
          </cell>
        </row>
        <row r="1109">
          <cell r="B1109" t="str">
            <v>장종성</v>
          </cell>
          <cell r="C1109">
            <v>3701121055227</v>
          </cell>
          <cell r="D1109" t="str">
            <v>개인</v>
          </cell>
        </row>
        <row r="1110">
          <cell r="B1110" t="str">
            <v>장종성</v>
          </cell>
          <cell r="C1110">
            <v>3701121055227</v>
          </cell>
          <cell r="D1110" t="str">
            <v>개인</v>
          </cell>
        </row>
        <row r="1111">
          <cell r="B1111" t="str">
            <v>장종성</v>
          </cell>
          <cell r="C1111">
            <v>3701121055227</v>
          </cell>
          <cell r="D1111" t="str">
            <v>개인</v>
          </cell>
        </row>
        <row r="1112">
          <cell r="B1112" t="str">
            <v>장종성</v>
          </cell>
          <cell r="C1112">
            <v>3701121055227</v>
          </cell>
          <cell r="D1112" t="str">
            <v>개인</v>
          </cell>
        </row>
        <row r="1113">
          <cell r="B1113" t="str">
            <v>전병환　　　　　　　　　　　　</v>
          </cell>
          <cell r="C1113">
            <v>4607201057126</v>
          </cell>
          <cell r="D1113" t="str">
            <v>개인</v>
          </cell>
        </row>
        <row r="1114">
          <cell r="B1114" t="str">
            <v>전병환　　　　　　　　　　　　</v>
          </cell>
          <cell r="C1114">
            <v>4607201057126</v>
          </cell>
          <cell r="D1114" t="str">
            <v>개인</v>
          </cell>
        </row>
        <row r="1115">
          <cell r="B1115" t="str">
            <v>전병환　　　　　　　　　　　　</v>
          </cell>
          <cell r="C1115">
            <v>4607201057126</v>
          </cell>
          <cell r="D1115" t="str">
            <v>개인</v>
          </cell>
        </row>
        <row r="1116">
          <cell r="B1116" t="str">
            <v>전종근　　　　　　　　　　　　</v>
          </cell>
          <cell r="C1116">
            <v>6409131466513</v>
          </cell>
          <cell r="D1116" t="str">
            <v>개인</v>
          </cell>
        </row>
        <row r="1117">
          <cell r="B1117" t="str">
            <v>전종근　　　　　　　　　　　　</v>
          </cell>
          <cell r="C1117">
            <v>6409131466513</v>
          </cell>
          <cell r="D1117" t="str">
            <v>개인</v>
          </cell>
        </row>
        <row r="1118">
          <cell r="B1118" t="str">
            <v>전종근　　　　　　　　　　　　</v>
          </cell>
          <cell r="C1118">
            <v>6409131466513</v>
          </cell>
          <cell r="D1118" t="str">
            <v>개인</v>
          </cell>
        </row>
        <row r="1119">
          <cell r="B1119" t="str">
            <v>정난영　　　　　　　　　　　　</v>
          </cell>
          <cell r="C1119">
            <v>4512262047012</v>
          </cell>
          <cell r="D1119" t="str">
            <v>개인</v>
          </cell>
        </row>
        <row r="1120">
          <cell r="B1120" t="str">
            <v>정난영　　　　　　　　　　　　</v>
          </cell>
          <cell r="C1120">
            <v>4512262047012</v>
          </cell>
          <cell r="D1120" t="str">
            <v>개인</v>
          </cell>
        </row>
        <row r="1121">
          <cell r="B1121" t="str">
            <v>정선영　　　　　　　　　　　　</v>
          </cell>
          <cell r="C1121">
            <v>7009011056333</v>
          </cell>
          <cell r="D1121" t="str">
            <v>개인</v>
          </cell>
        </row>
        <row r="1122">
          <cell r="B1122" t="str">
            <v>정선영　　　　　　　　　　　　</v>
          </cell>
          <cell r="C1122">
            <v>7009011056333</v>
          </cell>
          <cell r="D1122" t="str">
            <v>개인</v>
          </cell>
        </row>
        <row r="1123">
          <cell r="B1123" t="str">
            <v>정하욱　　　　　　　　　　　　</v>
          </cell>
          <cell r="C1123">
            <v>6712171953710</v>
          </cell>
          <cell r="D1123" t="str">
            <v>개인</v>
          </cell>
        </row>
        <row r="1124">
          <cell r="B1124" t="str">
            <v>정하욱　　　　　　　　　　　　</v>
          </cell>
          <cell r="C1124">
            <v>6712171953710</v>
          </cell>
          <cell r="D1124" t="str">
            <v>개인</v>
          </cell>
        </row>
        <row r="1125">
          <cell r="B1125" t="str">
            <v>정하욱　　　　　　　　　　　　</v>
          </cell>
          <cell r="C1125">
            <v>6712171953710</v>
          </cell>
          <cell r="D1125" t="str">
            <v>개인</v>
          </cell>
        </row>
        <row r="1126">
          <cell r="B1126" t="str">
            <v>조문래　　　　　　　　　　　　</v>
          </cell>
          <cell r="C1126">
            <v>5403211906322</v>
          </cell>
          <cell r="D1126" t="str">
            <v>개인</v>
          </cell>
        </row>
        <row r="1127">
          <cell r="B1127" t="str">
            <v>조문래　　　　　　　　　　　　</v>
          </cell>
          <cell r="C1127">
            <v>5403211906322</v>
          </cell>
          <cell r="D1127" t="str">
            <v>개인</v>
          </cell>
        </row>
        <row r="1128">
          <cell r="B1128" t="str">
            <v>조영만</v>
          </cell>
          <cell r="C1128">
            <v>5502111011117</v>
          </cell>
          <cell r="D1128" t="str">
            <v>개인</v>
          </cell>
        </row>
        <row r="1129">
          <cell r="B1129" t="str">
            <v>조영만</v>
          </cell>
          <cell r="C1129">
            <v>5502111011117</v>
          </cell>
          <cell r="D1129" t="str">
            <v>개인</v>
          </cell>
        </row>
        <row r="1130">
          <cell r="B1130" t="str">
            <v>조태곤　　　　　　　　　　　　</v>
          </cell>
          <cell r="C1130">
            <v>4211271029313</v>
          </cell>
          <cell r="D1130" t="str">
            <v>개인</v>
          </cell>
        </row>
        <row r="1131">
          <cell r="B1131" t="str">
            <v>조태곤　　　　　　　　　　　　</v>
          </cell>
          <cell r="C1131">
            <v>4211271029313</v>
          </cell>
          <cell r="D1131" t="str">
            <v>개인</v>
          </cell>
        </row>
        <row r="1132">
          <cell r="B1132" t="str">
            <v>㈜제이엔엘</v>
          </cell>
          <cell r="C1132">
            <v>2138630517</v>
          </cell>
          <cell r="D1132" t="str">
            <v>법인</v>
          </cell>
        </row>
        <row r="1133">
          <cell r="B1133" t="str">
            <v>㈜제이엔엘</v>
          </cell>
          <cell r="C1133">
            <v>2138630517</v>
          </cell>
          <cell r="D1133" t="str">
            <v>법인</v>
          </cell>
        </row>
        <row r="1134">
          <cell r="B1134" t="str">
            <v>㈜제이엔엘</v>
          </cell>
          <cell r="C1134">
            <v>2138630517</v>
          </cell>
          <cell r="D1134" t="str">
            <v>법인</v>
          </cell>
        </row>
        <row r="1135">
          <cell r="B1135" t="str">
            <v>㈜제이엔엘</v>
          </cell>
          <cell r="C1135">
            <v>2138630517</v>
          </cell>
          <cell r="D1135" t="str">
            <v>법인</v>
          </cell>
        </row>
        <row r="1136">
          <cell r="B1136" t="str">
            <v>㈜제이엔엘</v>
          </cell>
          <cell r="C1136">
            <v>2138630517</v>
          </cell>
          <cell r="D1136" t="str">
            <v>법인</v>
          </cell>
        </row>
        <row r="1137">
          <cell r="B1137" t="str">
            <v>㈜제이엔엘</v>
          </cell>
          <cell r="C1137">
            <v>2138630517</v>
          </cell>
          <cell r="D1137" t="str">
            <v>법인</v>
          </cell>
        </row>
        <row r="1138">
          <cell r="B1138" t="str">
            <v>㈜제이엔엘</v>
          </cell>
          <cell r="C1138">
            <v>2138630517</v>
          </cell>
          <cell r="D1138" t="str">
            <v>법인</v>
          </cell>
        </row>
        <row r="1139">
          <cell r="B1139" t="str">
            <v>㈜제이엔엘</v>
          </cell>
          <cell r="C1139">
            <v>2138630517</v>
          </cell>
          <cell r="D1139" t="str">
            <v>법인</v>
          </cell>
        </row>
        <row r="1140">
          <cell r="B1140" t="str">
            <v>㈜제이엔엘</v>
          </cell>
          <cell r="C1140">
            <v>2138630517</v>
          </cell>
          <cell r="D1140" t="str">
            <v>법인</v>
          </cell>
        </row>
        <row r="1141">
          <cell r="B1141" t="str">
            <v>㈜제이엔엘</v>
          </cell>
          <cell r="C1141">
            <v>2138630517</v>
          </cell>
          <cell r="D1141" t="str">
            <v>법인</v>
          </cell>
        </row>
        <row r="1142">
          <cell r="B1142" t="str">
            <v>㈜제이엔엘</v>
          </cell>
          <cell r="C1142">
            <v>2138630517</v>
          </cell>
          <cell r="D1142" t="str">
            <v>법인</v>
          </cell>
        </row>
        <row r="1143">
          <cell r="B1143" t="str">
            <v>㈜제이엔엘</v>
          </cell>
          <cell r="C1143">
            <v>2138630517</v>
          </cell>
          <cell r="D1143" t="str">
            <v>법인</v>
          </cell>
        </row>
        <row r="1144">
          <cell r="B1144" t="str">
            <v>㈜제이엔엘</v>
          </cell>
          <cell r="C1144">
            <v>2138630517</v>
          </cell>
          <cell r="D1144" t="str">
            <v>법인</v>
          </cell>
        </row>
        <row r="1145">
          <cell r="B1145" t="str">
            <v>㈜제이엔엘</v>
          </cell>
          <cell r="C1145">
            <v>2138630517</v>
          </cell>
          <cell r="D1145" t="str">
            <v>법인</v>
          </cell>
        </row>
        <row r="1146">
          <cell r="B1146" t="str">
            <v>㈜제이엔엘</v>
          </cell>
          <cell r="C1146">
            <v>2138630517</v>
          </cell>
          <cell r="D1146" t="str">
            <v>법인</v>
          </cell>
        </row>
        <row r="1147">
          <cell r="B1147" t="str">
            <v>㈜제이엔엘</v>
          </cell>
          <cell r="C1147">
            <v>2138630517</v>
          </cell>
          <cell r="D1147" t="str">
            <v>법인</v>
          </cell>
        </row>
        <row r="1148">
          <cell r="B1148" t="str">
            <v>㈜제이엔엘</v>
          </cell>
          <cell r="C1148">
            <v>2138630517</v>
          </cell>
          <cell r="D1148" t="str">
            <v>법인</v>
          </cell>
        </row>
        <row r="1149">
          <cell r="B1149" t="str">
            <v>㈜제이엔엘</v>
          </cell>
          <cell r="C1149">
            <v>2138630517</v>
          </cell>
          <cell r="D1149" t="str">
            <v>법인</v>
          </cell>
        </row>
        <row r="1150">
          <cell r="B1150" t="str">
            <v>㈜제이엔엘</v>
          </cell>
          <cell r="C1150">
            <v>2138630517</v>
          </cell>
          <cell r="D1150" t="str">
            <v>법인</v>
          </cell>
        </row>
        <row r="1151">
          <cell r="B1151" t="str">
            <v>㈜종로맥센터</v>
          </cell>
          <cell r="C1151">
            <v>1018125899</v>
          </cell>
          <cell r="D1151" t="str">
            <v>법인</v>
          </cell>
        </row>
        <row r="1152">
          <cell r="B1152" t="str">
            <v>㈜종로맥센터</v>
          </cell>
          <cell r="C1152">
            <v>1018125899</v>
          </cell>
          <cell r="D1152" t="str">
            <v>법인</v>
          </cell>
        </row>
        <row r="1153">
          <cell r="B1153" t="str">
            <v>㈜종로맥센터</v>
          </cell>
          <cell r="C1153">
            <v>1018125899</v>
          </cell>
          <cell r="D1153" t="str">
            <v>법인</v>
          </cell>
        </row>
        <row r="1154">
          <cell r="B1154" t="str">
            <v>주형주　　　　　　　　　　　　</v>
          </cell>
          <cell r="C1154">
            <v>6108281558111</v>
          </cell>
          <cell r="D1154" t="str">
            <v>개인</v>
          </cell>
        </row>
        <row r="1155">
          <cell r="B1155" t="str">
            <v>주형주　　　　　　　　　　　　</v>
          </cell>
          <cell r="C1155">
            <v>6108281558111</v>
          </cell>
          <cell r="D1155" t="str">
            <v>개인</v>
          </cell>
        </row>
        <row r="1156">
          <cell r="B1156" t="str">
            <v>㈜청명전자</v>
          </cell>
          <cell r="C1156">
            <v>1068172378</v>
          </cell>
          <cell r="D1156" t="str">
            <v>법인</v>
          </cell>
        </row>
        <row r="1157">
          <cell r="B1157" t="str">
            <v>㈜청명전자</v>
          </cell>
          <cell r="C1157">
            <v>1068172378</v>
          </cell>
          <cell r="D1157" t="str">
            <v>법인</v>
          </cell>
        </row>
        <row r="1158">
          <cell r="B1158" t="str">
            <v>㈜청명전자</v>
          </cell>
          <cell r="C1158">
            <v>1068172378</v>
          </cell>
          <cell r="D1158" t="str">
            <v>법인</v>
          </cell>
        </row>
        <row r="1159">
          <cell r="B1159" t="str">
            <v>㈜청명전자</v>
          </cell>
          <cell r="C1159">
            <v>1068172378</v>
          </cell>
          <cell r="D1159" t="str">
            <v>법인</v>
          </cell>
        </row>
        <row r="1160">
          <cell r="B1160" t="str">
            <v>㈜쿠운소프트</v>
          </cell>
          <cell r="C1160">
            <v>1168168769</v>
          </cell>
          <cell r="D1160" t="str">
            <v>법인</v>
          </cell>
        </row>
        <row r="1161">
          <cell r="B1161" t="str">
            <v>㈜쿠운소프트</v>
          </cell>
          <cell r="C1161">
            <v>1168168769</v>
          </cell>
          <cell r="D1161" t="str">
            <v>법인</v>
          </cell>
        </row>
        <row r="1162">
          <cell r="B1162" t="str">
            <v>㈜쿠운소프트</v>
          </cell>
          <cell r="C1162">
            <v>1168168769</v>
          </cell>
          <cell r="D1162" t="str">
            <v>법인</v>
          </cell>
        </row>
        <row r="1163">
          <cell r="B1163" t="str">
            <v>㈜테마아이리스</v>
          </cell>
          <cell r="C1163">
            <v>2208131329</v>
          </cell>
          <cell r="D1163" t="str">
            <v>법인</v>
          </cell>
        </row>
        <row r="1164">
          <cell r="B1164" t="str">
            <v>㈜테마아이리스</v>
          </cell>
          <cell r="C1164">
            <v>2208131329</v>
          </cell>
          <cell r="D1164" t="str">
            <v>법인</v>
          </cell>
        </row>
        <row r="1165">
          <cell r="B1165" t="str">
            <v>㈜토탈엔지니어링</v>
          </cell>
          <cell r="C1165">
            <v>1288133851</v>
          </cell>
          <cell r="D1165" t="str">
            <v>법인</v>
          </cell>
        </row>
        <row r="1166">
          <cell r="B1166" t="str">
            <v>㈜토탈엔지니어링</v>
          </cell>
          <cell r="C1166">
            <v>1288133851</v>
          </cell>
          <cell r="D1166" t="str">
            <v>법인</v>
          </cell>
        </row>
        <row r="1167">
          <cell r="B1167" t="str">
            <v>㈜토탈엔지니어링</v>
          </cell>
          <cell r="C1167">
            <v>1288133851</v>
          </cell>
          <cell r="D1167" t="str">
            <v>법인</v>
          </cell>
        </row>
        <row r="1168">
          <cell r="B1168" t="str">
            <v>㈜토탈엔지니어링</v>
          </cell>
          <cell r="C1168">
            <v>1288133851</v>
          </cell>
          <cell r="D1168" t="str">
            <v>법인</v>
          </cell>
        </row>
        <row r="1169">
          <cell r="B1169" t="str">
            <v>㈜토탈엔지니어링</v>
          </cell>
          <cell r="C1169">
            <v>1288133851</v>
          </cell>
          <cell r="D1169" t="str">
            <v>법인</v>
          </cell>
        </row>
        <row r="1170">
          <cell r="B1170" t="str">
            <v>㈜토탈엔지니어링</v>
          </cell>
          <cell r="C1170">
            <v>1288133851</v>
          </cell>
          <cell r="D1170" t="str">
            <v>법인</v>
          </cell>
        </row>
        <row r="1171">
          <cell r="B1171" t="str">
            <v>㈜토탈엔지니어링</v>
          </cell>
          <cell r="C1171">
            <v>1288133851</v>
          </cell>
          <cell r="D1171" t="str">
            <v>법인</v>
          </cell>
        </row>
        <row r="1172">
          <cell r="B1172" t="str">
            <v>㈜토탈엔지니어링</v>
          </cell>
          <cell r="C1172">
            <v>1288133851</v>
          </cell>
          <cell r="D1172" t="str">
            <v>법인</v>
          </cell>
        </row>
        <row r="1173">
          <cell r="B1173" t="str">
            <v>㈜포르테</v>
          </cell>
          <cell r="C1173">
            <v>2208148193</v>
          </cell>
          <cell r="D1173" t="str">
            <v>법인</v>
          </cell>
        </row>
        <row r="1174">
          <cell r="B1174" t="str">
            <v>㈜포르테</v>
          </cell>
          <cell r="C1174">
            <v>2208148193</v>
          </cell>
          <cell r="D1174" t="str">
            <v>법인</v>
          </cell>
        </row>
        <row r="1175">
          <cell r="B1175" t="str">
            <v>㈜포르테</v>
          </cell>
          <cell r="C1175">
            <v>2208148193</v>
          </cell>
          <cell r="D1175" t="str">
            <v>법인</v>
          </cell>
        </row>
        <row r="1176">
          <cell r="B1176" t="str">
            <v>㈜포르테</v>
          </cell>
          <cell r="C1176">
            <v>2208148193</v>
          </cell>
          <cell r="D1176" t="str">
            <v>법인</v>
          </cell>
        </row>
        <row r="1177">
          <cell r="B1177" t="str">
            <v>㈜포르테</v>
          </cell>
          <cell r="C1177">
            <v>2208148193</v>
          </cell>
          <cell r="D1177" t="str">
            <v>법인</v>
          </cell>
        </row>
        <row r="1178">
          <cell r="B1178" t="str">
            <v>㈜포르테</v>
          </cell>
          <cell r="C1178">
            <v>2208148193</v>
          </cell>
          <cell r="D1178" t="str">
            <v>법인</v>
          </cell>
        </row>
        <row r="1179">
          <cell r="B1179" t="str">
            <v>㈜포르테</v>
          </cell>
          <cell r="C1179">
            <v>2208148193</v>
          </cell>
          <cell r="D1179" t="str">
            <v>법인</v>
          </cell>
        </row>
        <row r="1180">
          <cell r="B1180" t="str">
            <v>㈜포르테</v>
          </cell>
          <cell r="C1180">
            <v>2208148193</v>
          </cell>
          <cell r="D1180" t="str">
            <v>법인</v>
          </cell>
        </row>
        <row r="1181">
          <cell r="B1181" t="str">
            <v>㈜포르테</v>
          </cell>
          <cell r="C1181">
            <v>2208148193</v>
          </cell>
          <cell r="D1181" t="str">
            <v>법인</v>
          </cell>
        </row>
        <row r="1182">
          <cell r="B1182" t="str">
            <v>㈜포르테</v>
          </cell>
          <cell r="C1182">
            <v>2208148193</v>
          </cell>
          <cell r="D1182" t="str">
            <v>법인</v>
          </cell>
        </row>
        <row r="1183">
          <cell r="B1183" t="str">
            <v>채윤남　　　　　　　　　　　　</v>
          </cell>
          <cell r="C1183">
            <v>4410151042615</v>
          </cell>
          <cell r="D1183" t="str">
            <v>개인</v>
          </cell>
        </row>
        <row r="1184">
          <cell r="B1184" t="str">
            <v>채윤남　　　　　　　　　　　　</v>
          </cell>
          <cell r="C1184">
            <v>4410151042615</v>
          </cell>
          <cell r="D1184" t="str">
            <v>개인</v>
          </cell>
        </row>
        <row r="1185">
          <cell r="B1185" t="str">
            <v>채윤남　　　　　　　　　　　　</v>
          </cell>
          <cell r="C1185">
            <v>4410151042615</v>
          </cell>
          <cell r="D1185" t="str">
            <v>개인</v>
          </cell>
        </row>
        <row r="1186">
          <cell r="B1186" t="str">
            <v>채윤남　　　　　　　　　　　　</v>
          </cell>
          <cell r="C1186">
            <v>4410151042615</v>
          </cell>
          <cell r="D1186" t="str">
            <v>개인</v>
          </cell>
        </row>
        <row r="1187">
          <cell r="B1187" t="str">
            <v>채윤남　　　　　　　　　　　　</v>
          </cell>
          <cell r="C1187">
            <v>4410151042615</v>
          </cell>
          <cell r="D1187" t="str">
            <v>개인</v>
          </cell>
        </row>
        <row r="1188">
          <cell r="B1188" t="str">
            <v>채윤남　　　　　　　　　　　　</v>
          </cell>
          <cell r="C1188">
            <v>4410151042615</v>
          </cell>
          <cell r="D1188" t="str">
            <v>개인</v>
          </cell>
        </row>
        <row r="1189">
          <cell r="B1189" t="str">
            <v>채윤남　　　　　　　　　　　　</v>
          </cell>
          <cell r="C1189">
            <v>4410151042615</v>
          </cell>
          <cell r="D1189" t="str">
            <v>개인</v>
          </cell>
        </row>
        <row r="1190">
          <cell r="B1190" t="str">
            <v>채윤남　　　　　　　　　　　　</v>
          </cell>
          <cell r="C1190">
            <v>4410151042615</v>
          </cell>
          <cell r="D1190" t="str">
            <v>개인</v>
          </cell>
        </row>
        <row r="1191">
          <cell r="B1191" t="str">
            <v>채윤남　　　　　　　　　　　　</v>
          </cell>
          <cell r="C1191">
            <v>4410151042615</v>
          </cell>
          <cell r="D1191" t="str">
            <v>개인</v>
          </cell>
        </row>
        <row r="1192">
          <cell r="B1192" t="str">
            <v>채윤남　　　　　　　　　　　　</v>
          </cell>
          <cell r="C1192">
            <v>4410151042615</v>
          </cell>
          <cell r="D1192" t="str">
            <v>개인</v>
          </cell>
        </row>
        <row r="1193">
          <cell r="B1193" t="str">
            <v>채윤남　　　　　　　　　　　　</v>
          </cell>
          <cell r="C1193">
            <v>4410151042615</v>
          </cell>
          <cell r="D1193" t="str">
            <v>개인</v>
          </cell>
        </row>
        <row r="1194">
          <cell r="B1194" t="str">
            <v>채윤남　　　　　　　　　　　　</v>
          </cell>
          <cell r="C1194">
            <v>4410151042615</v>
          </cell>
          <cell r="D1194" t="str">
            <v>개인</v>
          </cell>
        </row>
        <row r="1195">
          <cell r="B1195" t="str">
            <v>채윤남　　　　　　　　　　　　</v>
          </cell>
          <cell r="C1195">
            <v>4410151042615</v>
          </cell>
          <cell r="D1195" t="str">
            <v>개인</v>
          </cell>
        </row>
        <row r="1196">
          <cell r="B1196" t="str">
            <v>채윤남　　　　　　　　　　　　</v>
          </cell>
          <cell r="C1196">
            <v>4410151042615</v>
          </cell>
          <cell r="D1196" t="str">
            <v>개인</v>
          </cell>
        </row>
        <row r="1197">
          <cell r="B1197" t="str">
            <v>채윤남　　　　　　　　　　　　</v>
          </cell>
          <cell r="C1197">
            <v>4410151042615</v>
          </cell>
          <cell r="D1197" t="str">
            <v>개인</v>
          </cell>
        </row>
        <row r="1198">
          <cell r="B1198" t="str">
            <v>채윤남　　　　　　　　　　　　</v>
          </cell>
          <cell r="C1198">
            <v>4410151042615</v>
          </cell>
          <cell r="D1198" t="str">
            <v>개인</v>
          </cell>
        </row>
        <row r="1199">
          <cell r="B1199" t="str">
            <v>최영철　　　　　　　　　　　　</v>
          </cell>
          <cell r="C1199">
            <v>6102021543914</v>
          </cell>
          <cell r="D1199" t="str">
            <v>개인</v>
          </cell>
        </row>
        <row r="1200">
          <cell r="B1200" t="str">
            <v>최영철　　　　　　　　　　　　</v>
          </cell>
          <cell r="C1200">
            <v>6102021543914</v>
          </cell>
          <cell r="D1200" t="str">
            <v>개인</v>
          </cell>
        </row>
        <row r="1201">
          <cell r="B1201" t="str">
            <v>㈜한국하베스트케미칼</v>
          </cell>
          <cell r="C1201">
            <v>4088132802</v>
          </cell>
          <cell r="D1201" t="str">
            <v>법인</v>
          </cell>
        </row>
        <row r="1202">
          <cell r="B1202" t="str">
            <v>㈜한국하베스트케미칼</v>
          </cell>
          <cell r="C1202">
            <v>4088132802</v>
          </cell>
          <cell r="D1202" t="str">
            <v>법인</v>
          </cell>
        </row>
        <row r="1203">
          <cell r="B1203" t="str">
            <v>홍원이．엔．티．에스　　</v>
          </cell>
          <cell r="C1203">
            <v>2168108270</v>
          </cell>
          <cell r="D1203" t="str">
            <v>법인</v>
          </cell>
        </row>
        <row r="1204">
          <cell r="B1204" t="str">
            <v>홍원이．엔．티．에스　　</v>
          </cell>
          <cell r="C1204">
            <v>2168108270</v>
          </cell>
          <cell r="D1204" t="str">
            <v>법인</v>
          </cell>
        </row>
        <row r="1205">
          <cell r="B1205" t="str">
            <v>홍원이．엔．티．에스　　</v>
          </cell>
          <cell r="C1205">
            <v>2168108270</v>
          </cell>
          <cell r="D1205" t="str">
            <v>법인</v>
          </cell>
        </row>
        <row r="1206">
          <cell r="B1206" t="str">
            <v>홍원이．엔．티．에스　　</v>
          </cell>
          <cell r="C1206">
            <v>2168108270</v>
          </cell>
          <cell r="D1206" t="str">
            <v>법인</v>
          </cell>
        </row>
        <row r="1207">
          <cell r="B1207" t="str">
            <v>홍원이．엔．티．에스　　</v>
          </cell>
          <cell r="C1207">
            <v>2168108270</v>
          </cell>
          <cell r="D1207" t="str">
            <v>법인</v>
          </cell>
        </row>
        <row r="1208">
          <cell r="B1208" t="str">
            <v>천진영　　　　　　　　　　　　</v>
          </cell>
          <cell r="C1208">
            <v>6507161018710</v>
          </cell>
          <cell r="D1208" t="str">
            <v>개인</v>
          </cell>
        </row>
        <row r="1209">
          <cell r="B1209" t="str">
            <v>김형구　　　　　　　　　　　　</v>
          </cell>
          <cell r="C1209">
            <v>6705151807815</v>
          </cell>
          <cell r="D1209" t="str">
            <v>개인</v>
          </cell>
        </row>
        <row r="1210">
          <cell r="B1210" t="str">
            <v>조은텔레컴　　　　　　　</v>
          </cell>
          <cell r="C1210">
            <v>1208197623</v>
          </cell>
          <cell r="D1210" t="str">
            <v>법인</v>
          </cell>
        </row>
        <row r="1211">
          <cell r="B1211" t="str">
            <v>이대엔지니어링（주）　　　　　</v>
          </cell>
          <cell r="C1211">
            <v>1148126536</v>
          </cell>
          <cell r="D1211" t="str">
            <v>법인</v>
          </cell>
        </row>
        <row r="1212">
          <cell r="B1212" t="str">
            <v>이대엔지니어링（주）　　　　　</v>
          </cell>
          <cell r="C1212">
            <v>1148126536</v>
          </cell>
          <cell r="D1212" t="str">
            <v>법인</v>
          </cell>
        </row>
        <row r="1213">
          <cell r="B1213" t="str">
            <v>이대엔지니어링（주）　　　　　</v>
          </cell>
          <cell r="C1213">
            <v>1148126536</v>
          </cell>
          <cell r="D1213" t="str">
            <v>법인</v>
          </cell>
        </row>
        <row r="1214">
          <cell r="B1214" t="str">
            <v>주）제이탑대표이사박재련　　　</v>
          </cell>
          <cell r="C1214">
            <v>2148671355</v>
          </cell>
          <cell r="D1214" t="str">
            <v>법인</v>
          </cell>
        </row>
        <row r="1215">
          <cell r="B1215" t="str">
            <v>주）제이탑대표이사박재련　　　</v>
          </cell>
          <cell r="C1215">
            <v>2148671355</v>
          </cell>
          <cell r="D1215" t="str">
            <v>법인</v>
          </cell>
        </row>
        <row r="1216">
          <cell r="B1216" t="str">
            <v>주）제이탑대표이사박재련　　　</v>
          </cell>
          <cell r="C1216">
            <v>2148671355</v>
          </cell>
          <cell r="D1216" t="str">
            <v>법인</v>
          </cell>
        </row>
        <row r="1217">
          <cell r="B1217" t="str">
            <v>주）제이탑대표이사박재련　　　</v>
          </cell>
          <cell r="C1217">
            <v>2148671355</v>
          </cell>
          <cell r="D1217" t="str">
            <v>법인</v>
          </cell>
        </row>
        <row r="1218">
          <cell r="B1218" t="str">
            <v>욱성무역（주）　　　　　　　　</v>
          </cell>
          <cell r="C1218">
            <v>2118624998</v>
          </cell>
          <cell r="D1218" t="str">
            <v>법인</v>
          </cell>
        </row>
        <row r="1219">
          <cell r="B1219" t="str">
            <v>이채널시스템　　　　　　</v>
          </cell>
          <cell r="C1219">
            <v>2068135654</v>
          </cell>
          <cell r="D1219" t="str">
            <v>법인</v>
          </cell>
        </row>
        <row r="1220">
          <cell r="B1220" t="str">
            <v>권혁태　　　　　　　　　　　　</v>
          </cell>
          <cell r="C1220">
            <v>3706051055119</v>
          </cell>
          <cell r="D1220" t="str">
            <v>개인</v>
          </cell>
        </row>
        <row r="1221">
          <cell r="B1221" t="str">
            <v>박병운-현무역　　　　　　　　　　　　</v>
          </cell>
          <cell r="C1221">
            <v>6005031046215</v>
          </cell>
          <cell r="D1221" t="str">
            <v>개인</v>
          </cell>
        </row>
        <row r="1222">
          <cell r="B1222" t="str">
            <v>박병운-현무역　　　　　　　　　　　　</v>
          </cell>
          <cell r="C1222">
            <v>6005031046215</v>
          </cell>
          <cell r="D1222" t="str">
            <v>개인</v>
          </cell>
        </row>
        <row r="1223">
          <cell r="B1223" t="str">
            <v>박병운-현무역　　　　　　　　　　　　</v>
          </cell>
          <cell r="C1223">
            <v>6005031046215</v>
          </cell>
          <cell r="D1223" t="str">
            <v>개인</v>
          </cell>
        </row>
        <row r="1224">
          <cell r="B1224" t="str">
            <v>박병운-현무역　　　　　　　　　　　　</v>
          </cell>
          <cell r="C1224">
            <v>6005031046215</v>
          </cell>
          <cell r="D1224" t="str">
            <v>개인</v>
          </cell>
        </row>
        <row r="1225">
          <cell r="B1225" t="str">
            <v>박병운-현무역　　　　　　　　　　　　</v>
          </cell>
          <cell r="C1225">
            <v>6005031046215</v>
          </cell>
          <cell r="D1225" t="str">
            <v>개인</v>
          </cell>
        </row>
        <row r="1226">
          <cell r="B1226" t="str">
            <v>박병운-현무역　　　　　　　　　　　　</v>
          </cell>
          <cell r="C1226">
            <v>6005031046215</v>
          </cell>
          <cell r="D1226" t="str">
            <v>개인</v>
          </cell>
        </row>
        <row r="1227">
          <cell r="B1227" t="str">
            <v>박병운-현무역　　　　　　　　　　　　</v>
          </cell>
          <cell r="C1227">
            <v>6005031046215</v>
          </cell>
          <cell r="D1227" t="str">
            <v>개인</v>
          </cell>
        </row>
        <row r="1228">
          <cell r="B1228" t="str">
            <v>박병운-현무역　　　　　　　　　　　　</v>
          </cell>
          <cell r="C1228">
            <v>6005031046215</v>
          </cell>
          <cell r="D1228" t="str">
            <v>개인</v>
          </cell>
        </row>
        <row r="1229">
          <cell r="B1229" t="str">
            <v>박병운-현무역　　　　　　　　　　　　</v>
          </cell>
          <cell r="C1229">
            <v>6005031046215</v>
          </cell>
          <cell r="D1229" t="str">
            <v>개인</v>
          </cell>
        </row>
        <row r="1230">
          <cell r="B1230" t="str">
            <v>박병운-현무역　　　　　　　　　　　　</v>
          </cell>
          <cell r="C1230">
            <v>6005031046215</v>
          </cell>
          <cell r="D1230" t="str">
            <v>개인</v>
          </cell>
        </row>
        <row r="1231">
          <cell r="B1231" t="str">
            <v>청경원양　　　　　　　　</v>
          </cell>
          <cell r="C1231">
            <v>1208611974</v>
          </cell>
          <cell r="D1231" t="str">
            <v>법인</v>
          </cell>
        </row>
        <row r="1232">
          <cell r="B1232" t="str">
            <v>청경원양　　　　　　　　</v>
          </cell>
          <cell r="C1232">
            <v>1208611974</v>
          </cell>
          <cell r="D1232" t="str">
            <v>법인</v>
          </cell>
        </row>
        <row r="1233">
          <cell r="B1233" t="str">
            <v>김경일-대산유통　　　　　　　　　　　</v>
          </cell>
          <cell r="C1233">
            <v>6108081667617</v>
          </cell>
          <cell r="D1233" t="str">
            <v>개인</v>
          </cell>
        </row>
        <row r="1234">
          <cell r="B1234" t="str">
            <v>김경일-대산유통　　　　　　　　　　　</v>
          </cell>
          <cell r="C1234">
            <v>6108081667617</v>
          </cell>
          <cell r="D1234" t="str">
            <v>개인</v>
          </cell>
        </row>
        <row r="1235">
          <cell r="B1235" t="str">
            <v>구성하-에스아이상사　　　　　　</v>
          </cell>
          <cell r="C1235">
            <v>6206201659513</v>
          </cell>
          <cell r="D1235" t="str">
            <v>개인</v>
          </cell>
        </row>
        <row r="1236">
          <cell r="B1236" t="str">
            <v>한성판넬공업（주）　　　　　　</v>
          </cell>
          <cell r="C1236">
            <v>3038105989</v>
          </cell>
          <cell r="D1236" t="str">
            <v>법인</v>
          </cell>
        </row>
        <row r="1237">
          <cell r="B1237" t="str">
            <v>한성판넬공업（주）　　　　　　</v>
          </cell>
          <cell r="C1237">
            <v>3038105989</v>
          </cell>
          <cell r="D1237" t="str">
            <v>법인</v>
          </cell>
        </row>
        <row r="1238">
          <cell r="B1238" t="str">
            <v>한성판넬공업（주）　　　　　　</v>
          </cell>
          <cell r="C1238">
            <v>3038105989</v>
          </cell>
          <cell r="D1238" t="str">
            <v>법인</v>
          </cell>
        </row>
        <row r="1239">
          <cell r="B1239" t="str">
            <v>한성판넬공업（주）　　　　　　</v>
          </cell>
          <cell r="C1239">
            <v>3038105989</v>
          </cell>
          <cell r="D1239" t="str">
            <v>법인</v>
          </cell>
        </row>
        <row r="1240">
          <cell r="B1240" t="str">
            <v>한성판넬공업（주）　　　　　　</v>
          </cell>
          <cell r="C1240">
            <v>3038105989</v>
          </cell>
          <cell r="D1240" t="str">
            <v>법인</v>
          </cell>
        </row>
        <row r="1241">
          <cell r="B1241" t="str">
            <v>한성판넬공업（주）　　　　　　</v>
          </cell>
          <cell r="C1241">
            <v>3038105989</v>
          </cell>
          <cell r="D1241" t="str">
            <v>법인</v>
          </cell>
        </row>
        <row r="1242">
          <cell r="B1242" t="str">
            <v>한성판넬공업（주）　　　　　　</v>
          </cell>
          <cell r="C1242">
            <v>3038105989</v>
          </cell>
          <cell r="D1242" t="str">
            <v>법인</v>
          </cell>
        </row>
        <row r="1243">
          <cell r="B1243" t="str">
            <v>한성판넬공업（주）　　　　　　</v>
          </cell>
          <cell r="C1243">
            <v>3038105989</v>
          </cell>
          <cell r="D1243" t="str">
            <v>법인</v>
          </cell>
        </row>
        <row r="1244">
          <cell r="B1244" t="str">
            <v>도현규　　　　　　　　　　　　</v>
          </cell>
          <cell r="C1244">
            <v>4410011041619</v>
          </cell>
          <cell r="D1244" t="str">
            <v>개인</v>
          </cell>
        </row>
        <row r="1245">
          <cell r="B1245" t="str">
            <v>최도화-효성나래분식　　　　　　</v>
          </cell>
          <cell r="C1245">
            <v>6312192338634</v>
          </cell>
          <cell r="D1245" t="str">
            <v>개인</v>
          </cell>
        </row>
        <row r="1246">
          <cell r="B1246" t="str">
            <v>경보건업　　　　　　　　</v>
          </cell>
          <cell r="C1246">
            <v>2158152278</v>
          </cell>
          <cell r="D1246" t="str">
            <v>법인</v>
          </cell>
        </row>
        <row r="1247">
          <cell r="B1247" t="str">
            <v>경보건업　　　　　　　　</v>
          </cell>
          <cell r="C1247">
            <v>2158152278</v>
          </cell>
          <cell r="D1247" t="str">
            <v>법인</v>
          </cell>
        </row>
        <row r="1248">
          <cell r="B1248" t="str">
            <v>경보건업　　　　　　　　</v>
          </cell>
          <cell r="C1248">
            <v>2158152278</v>
          </cell>
          <cell r="D1248" t="str">
            <v>법인</v>
          </cell>
        </row>
        <row r="1249">
          <cell r="B1249" t="str">
            <v>경보건업　　　　　　　　</v>
          </cell>
          <cell r="C1249">
            <v>2158152278</v>
          </cell>
          <cell r="D1249" t="str">
            <v>법인</v>
          </cell>
        </row>
        <row r="1250">
          <cell r="B1250" t="str">
            <v>경보건업　　　　　　　　</v>
          </cell>
          <cell r="C1250">
            <v>2158152278</v>
          </cell>
          <cell r="D1250" t="str">
            <v>법인</v>
          </cell>
        </row>
        <row r="1251">
          <cell r="B1251" t="str">
            <v>미리언－조덕제　　　　　</v>
          </cell>
          <cell r="C1251">
            <v>2118146551</v>
          </cell>
          <cell r="D1251" t="str">
            <v>법인</v>
          </cell>
        </row>
        <row r="1252">
          <cell r="B1252" t="str">
            <v>미리언－조덕제　　　　　</v>
          </cell>
          <cell r="C1252">
            <v>2118146551</v>
          </cell>
          <cell r="D1252" t="str">
            <v>법인</v>
          </cell>
        </row>
        <row r="1253">
          <cell r="B1253" t="str">
            <v>미리언－조덕제　　　　　</v>
          </cell>
          <cell r="C1253">
            <v>2118146551</v>
          </cell>
          <cell r="D1253" t="str">
            <v>법인</v>
          </cell>
        </row>
        <row r="1254">
          <cell r="B1254" t="str">
            <v>조명수　　　　　　　　　　　　</v>
          </cell>
          <cell r="C1254">
            <v>5211091772814</v>
          </cell>
          <cell r="D1254" t="str">
            <v>개인</v>
          </cell>
        </row>
        <row r="1255">
          <cell r="B1255" t="str">
            <v>조명수　　　　　　　　　　　　</v>
          </cell>
          <cell r="C1255">
            <v>5211091772814</v>
          </cell>
          <cell r="D1255" t="str">
            <v>개인</v>
          </cell>
        </row>
        <row r="1256">
          <cell r="B1256" t="str">
            <v>장귀선　　　　　　　　　　　　</v>
          </cell>
          <cell r="C1256">
            <v>6706222057910</v>
          </cell>
          <cell r="D1256" t="str">
            <v>개인</v>
          </cell>
        </row>
        <row r="1257">
          <cell r="B1257" t="str">
            <v>장귀선　　　　　　　　　　　　</v>
          </cell>
          <cell r="C1257">
            <v>6706222057910</v>
          </cell>
          <cell r="D1257" t="str">
            <v>개인</v>
          </cell>
        </row>
        <row r="1258">
          <cell r="B1258" t="str">
            <v>임효순　　　　　　　　　　　　</v>
          </cell>
          <cell r="C1258">
            <v>5402141231313</v>
          </cell>
          <cell r="D1258" t="str">
            <v>개인</v>
          </cell>
        </row>
        <row r="1259">
          <cell r="B1259" t="str">
            <v>임효순　　　　　　　　　　　　</v>
          </cell>
          <cell r="C1259">
            <v>5402141231313</v>
          </cell>
          <cell r="D1259" t="str">
            <v>개인</v>
          </cell>
        </row>
        <row r="1260">
          <cell r="B1260" t="str">
            <v>김선순　　　　　　　　　　　　</v>
          </cell>
          <cell r="C1260">
            <v>4502202017527</v>
          </cell>
          <cell r="D1260" t="str">
            <v>개인</v>
          </cell>
        </row>
        <row r="1261">
          <cell r="B1261" t="str">
            <v>최동호　　　　　　　　　　　　</v>
          </cell>
          <cell r="C1261">
            <v>5202071221114</v>
          </cell>
          <cell r="D1261" t="str">
            <v>개인</v>
          </cell>
        </row>
        <row r="1262">
          <cell r="B1262" t="str">
            <v>명우통산（주）　　　　　　　　</v>
          </cell>
          <cell r="C1262">
            <v>2048125242</v>
          </cell>
          <cell r="D1262" t="str">
            <v>법인</v>
          </cell>
        </row>
        <row r="1263">
          <cell r="B1263" t="str">
            <v>명우통산（주）　　　　　　　　</v>
          </cell>
          <cell r="C1263">
            <v>2048125242</v>
          </cell>
          <cell r="D1263" t="str">
            <v>법인</v>
          </cell>
        </row>
        <row r="1264">
          <cell r="B1264" t="str">
            <v>명우통산（주）　　　　　　　　</v>
          </cell>
          <cell r="C1264">
            <v>2048125242</v>
          </cell>
          <cell r="D1264" t="str">
            <v>법인</v>
          </cell>
        </row>
        <row r="1265">
          <cell r="B1265" t="str">
            <v>명우통산（주）　　　　　　　　</v>
          </cell>
          <cell r="C1265">
            <v>2048125242</v>
          </cell>
          <cell r="D1265" t="str">
            <v>법인</v>
          </cell>
        </row>
        <row r="1266">
          <cell r="B1266" t="str">
            <v>조한익　　　　　　　　　　　　</v>
          </cell>
          <cell r="C1266">
            <v>5802281155411</v>
          </cell>
          <cell r="D1266" t="str">
            <v>개인</v>
          </cell>
        </row>
        <row r="1267">
          <cell r="B1267" t="str">
            <v>조한익　　　　　　　　　　　　</v>
          </cell>
          <cell r="C1267">
            <v>5802281155411</v>
          </cell>
          <cell r="D1267" t="str">
            <v>개인</v>
          </cell>
        </row>
        <row r="1268">
          <cell r="B1268" t="str">
            <v>윤혜자　　　　　　　　　　　　</v>
          </cell>
          <cell r="C1268">
            <v>6701192661118</v>
          </cell>
          <cell r="D1268" t="str">
            <v>개인</v>
          </cell>
        </row>
        <row r="1269">
          <cell r="B1269" t="str">
            <v>김수진－아트박스　　　　　　　</v>
          </cell>
          <cell r="C1269">
            <v>4309202000313</v>
          </cell>
          <cell r="D1269" t="str">
            <v>개인</v>
          </cell>
        </row>
        <row r="1270">
          <cell r="B1270" t="str">
            <v>김수진－아트박스　　　　　　　</v>
          </cell>
          <cell r="C1270">
            <v>4309202000313</v>
          </cell>
          <cell r="D1270" t="str">
            <v>개인</v>
          </cell>
        </row>
        <row r="1271">
          <cell r="B1271" t="str">
            <v>김덕중-대화상사</v>
          </cell>
          <cell r="C1271">
            <v>4802171323719</v>
          </cell>
          <cell r="D1271" t="str">
            <v>개인</v>
          </cell>
        </row>
        <row r="1272">
          <cell r="B1272" t="str">
            <v>김덕중-대화상사</v>
          </cell>
          <cell r="C1272">
            <v>4802171323719</v>
          </cell>
          <cell r="D1272" t="str">
            <v>개인</v>
          </cell>
        </row>
        <row r="1273">
          <cell r="B1273" t="str">
            <v>박영주　　　　　　　　　　　　</v>
          </cell>
          <cell r="C1273">
            <v>6902032024328</v>
          </cell>
          <cell r="D1273" t="str">
            <v>개인</v>
          </cell>
        </row>
        <row r="1274">
          <cell r="B1274" t="str">
            <v>조금현　　　　　　　　　　　　</v>
          </cell>
          <cell r="C1274">
            <v>7111181241829</v>
          </cell>
          <cell r="D1274" t="str">
            <v>개인</v>
          </cell>
        </row>
        <row r="1275">
          <cell r="B1275" t="str">
            <v>조금현　　　　　　　　　　　　</v>
          </cell>
          <cell r="C1275">
            <v>7111181241829</v>
          </cell>
          <cell r="D1275" t="str">
            <v>개인</v>
          </cell>
        </row>
        <row r="1276">
          <cell r="B1276" t="str">
            <v>효정상사　　　　　　　　　　　</v>
          </cell>
          <cell r="C1276">
            <v>4911131332713</v>
          </cell>
          <cell r="D1276" t="str">
            <v>개인</v>
          </cell>
        </row>
        <row r="1277">
          <cell r="B1277" t="str">
            <v>비엘통상　　　　　　　　</v>
          </cell>
          <cell r="C1277">
            <v>2048143202</v>
          </cell>
          <cell r="D1277" t="str">
            <v>법인</v>
          </cell>
        </row>
        <row r="1278">
          <cell r="B1278" t="str">
            <v>비엘통상　　　　　　　　</v>
          </cell>
          <cell r="C1278">
            <v>2048143202</v>
          </cell>
          <cell r="D1278" t="str">
            <v>법인</v>
          </cell>
        </row>
        <row r="1279">
          <cell r="B1279" t="str">
            <v>하성전기（주）　　　　　　　　</v>
          </cell>
          <cell r="C1279">
            <v>1348136232</v>
          </cell>
          <cell r="D1279" t="str">
            <v>법인</v>
          </cell>
        </row>
        <row r="1280">
          <cell r="B1280" t="str">
            <v>박광종　　　　　　　　　　　　</v>
          </cell>
          <cell r="C1280">
            <v>5309111648310</v>
          </cell>
          <cell r="D1280" t="str">
            <v>개인</v>
          </cell>
        </row>
        <row r="1281">
          <cell r="B1281" t="str">
            <v>정승환　　　　　　　　　　　　</v>
          </cell>
          <cell r="C1281">
            <v>5906211932913</v>
          </cell>
          <cell r="D1281" t="str">
            <v>개인</v>
          </cell>
        </row>
        <row r="1282">
          <cell r="B1282" t="str">
            <v>정승환　　　　　　　　　　　　</v>
          </cell>
          <cell r="C1282">
            <v>5906211932913</v>
          </cell>
          <cell r="D1282" t="str">
            <v>개인</v>
          </cell>
        </row>
        <row r="1283">
          <cell r="B1283" t="str">
            <v>차승　　　　　　　　　　</v>
          </cell>
          <cell r="C1283">
            <v>1338138203</v>
          </cell>
          <cell r="D1283" t="str">
            <v>법인</v>
          </cell>
        </row>
        <row r="1284">
          <cell r="B1284" t="str">
            <v>차승　　　　　　　　　　</v>
          </cell>
          <cell r="C1284">
            <v>1338138203</v>
          </cell>
          <cell r="D1284" t="str">
            <v>법인</v>
          </cell>
        </row>
        <row r="1285">
          <cell r="B1285" t="str">
            <v>차승　　　　　　　　　　</v>
          </cell>
          <cell r="C1285">
            <v>1338138203</v>
          </cell>
          <cell r="D1285" t="str">
            <v>법인</v>
          </cell>
        </row>
        <row r="1286">
          <cell r="B1286" t="str">
            <v>차승　　　　　　　　　　</v>
          </cell>
          <cell r="C1286">
            <v>1338138203</v>
          </cell>
          <cell r="D1286" t="str">
            <v>법인</v>
          </cell>
        </row>
        <row r="1287">
          <cell r="B1287" t="str">
            <v>차승　　　　　　　　　　</v>
          </cell>
          <cell r="C1287">
            <v>1338138203</v>
          </cell>
          <cell r="D1287" t="str">
            <v>법인</v>
          </cell>
        </row>
        <row r="1288">
          <cell r="B1288" t="str">
            <v>차승　　　　　　　　　　</v>
          </cell>
          <cell r="C1288">
            <v>1338138203</v>
          </cell>
          <cell r="D1288" t="str">
            <v>법인</v>
          </cell>
        </row>
        <row r="1289">
          <cell r="B1289" t="str">
            <v>차승　　　　　　　　　　</v>
          </cell>
          <cell r="C1289">
            <v>1338138203</v>
          </cell>
          <cell r="D1289" t="str">
            <v>법인</v>
          </cell>
        </row>
        <row r="1290">
          <cell r="B1290" t="str">
            <v>차승　　　　　　　　　　</v>
          </cell>
          <cell r="C1290">
            <v>1338138203</v>
          </cell>
          <cell r="D1290" t="str">
            <v>법인</v>
          </cell>
        </row>
        <row r="1291">
          <cell r="B1291" t="str">
            <v>차승　　　　　　　　　　</v>
          </cell>
          <cell r="C1291">
            <v>1338138203</v>
          </cell>
          <cell r="D1291" t="str">
            <v>법인</v>
          </cell>
        </row>
        <row r="1292">
          <cell r="B1292" t="str">
            <v>차승　　　　　　　　　　</v>
          </cell>
          <cell r="C1292">
            <v>1338138203</v>
          </cell>
          <cell r="D1292" t="str">
            <v>법인</v>
          </cell>
        </row>
        <row r="1293">
          <cell r="B1293" t="str">
            <v>차승　　　　　　　　　　</v>
          </cell>
          <cell r="C1293">
            <v>1338138203</v>
          </cell>
          <cell r="D1293" t="str">
            <v>법인</v>
          </cell>
        </row>
        <row r="1294">
          <cell r="B1294" t="str">
            <v>김수강　　　　　　　　　　　　</v>
          </cell>
          <cell r="C1294">
            <v>5404221036111</v>
          </cell>
          <cell r="D1294" t="str">
            <v>개인</v>
          </cell>
        </row>
        <row r="1295">
          <cell r="B1295" t="str">
            <v>이정무　　　　　　　　　　　　</v>
          </cell>
          <cell r="C1295">
            <v>4105031520124</v>
          </cell>
          <cell r="D1295" t="str">
            <v>개인</v>
          </cell>
        </row>
        <row r="1296">
          <cell r="B1296" t="str">
            <v>테크파워　　　　　　　　</v>
          </cell>
          <cell r="C1296">
            <v>1068173061</v>
          </cell>
          <cell r="D1296" t="str">
            <v>법인</v>
          </cell>
        </row>
        <row r="1297">
          <cell r="B1297" t="str">
            <v>테크파워　　　　　　　　</v>
          </cell>
          <cell r="C1297">
            <v>1068173061</v>
          </cell>
          <cell r="D1297" t="str">
            <v>법인</v>
          </cell>
        </row>
        <row r="1298">
          <cell r="B1298" t="str">
            <v>테크파워　　　　　　　　</v>
          </cell>
          <cell r="C1298">
            <v>1068173061</v>
          </cell>
          <cell r="D1298" t="str">
            <v>법인</v>
          </cell>
        </row>
        <row r="1299">
          <cell r="B1299" t="str">
            <v>테크파워　　　　　　　　</v>
          </cell>
          <cell r="C1299">
            <v>1068173061</v>
          </cell>
          <cell r="D1299" t="str">
            <v>법인</v>
          </cell>
        </row>
        <row r="1300">
          <cell r="B1300" t="str">
            <v>선주종합건설　　　　　　</v>
          </cell>
          <cell r="C1300">
            <v>2158603807</v>
          </cell>
          <cell r="D1300" t="str">
            <v>법인</v>
          </cell>
        </row>
        <row r="1301">
          <cell r="B1301" t="str">
            <v>선주종합건설　　　　　　</v>
          </cell>
          <cell r="C1301">
            <v>2158603807</v>
          </cell>
          <cell r="D1301" t="str">
            <v>법인</v>
          </cell>
        </row>
        <row r="1302">
          <cell r="B1302" t="str">
            <v>티앤티라인코리아　　　　</v>
          </cell>
          <cell r="C1302">
            <v>2128149866</v>
          </cell>
          <cell r="D1302" t="str">
            <v>법인</v>
          </cell>
        </row>
        <row r="1303">
          <cell r="B1303" t="str">
            <v>김계근　　　　　　　　　　　　</v>
          </cell>
          <cell r="C1303">
            <v>4704151798027</v>
          </cell>
          <cell r="D1303" t="str">
            <v>개인</v>
          </cell>
        </row>
        <row r="1304">
          <cell r="B1304" t="str">
            <v>고윤림-원우산업　　　　　　　　　　　</v>
          </cell>
          <cell r="C1304">
            <v>5902011177548</v>
          </cell>
          <cell r="D1304" t="str">
            <v>개인</v>
          </cell>
        </row>
        <row r="1305">
          <cell r="B1305" t="str">
            <v>고윤림-원우산업　　　　　　　　　　　</v>
          </cell>
          <cell r="C1305">
            <v>5902011177548</v>
          </cell>
          <cell r="D1305" t="str">
            <v>개인</v>
          </cell>
        </row>
        <row r="1306">
          <cell r="B1306" t="str">
            <v>이범수　　　　　　　　　　　　</v>
          </cell>
          <cell r="C1306">
            <v>4704211018125</v>
          </cell>
          <cell r="D1306" t="str">
            <v>개인</v>
          </cell>
        </row>
        <row r="1307">
          <cell r="B1307" t="str">
            <v>이범수　　　　　　　　　　　　</v>
          </cell>
          <cell r="C1307">
            <v>4704211018125</v>
          </cell>
          <cell r="D1307" t="str">
            <v>개인</v>
          </cell>
        </row>
        <row r="1308">
          <cell r="B1308" t="str">
            <v>안경모　　　　　　　　　　　　</v>
          </cell>
          <cell r="C1308">
            <v>5402271473619</v>
          </cell>
          <cell r="D1308" t="str">
            <v>개인</v>
          </cell>
        </row>
        <row r="1309">
          <cell r="B1309" t="str">
            <v>안경모　　　　　　　　　　　　</v>
          </cell>
          <cell r="C1309">
            <v>5402271473619</v>
          </cell>
          <cell r="D1309" t="str">
            <v>개인</v>
          </cell>
        </row>
        <row r="1310">
          <cell r="B1310" t="str">
            <v>프라임어패럴　　　　　　</v>
          </cell>
          <cell r="C1310">
            <v>2038125991</v>
          </cell>
          <cell r="D1310" t="str">
            <v>법인</v>
          </cell>
        </row>
        <row r="1311">
          <cell r="B1311" t="str">
            <v>프라임어패럴　　　　　　</v>
          </cell>
          <cell r="C1311">
            <v>2038125991</v>
          </cell>
          <cell r="D1311" t="str">
            <v>법인</v>
          </cell>
        </row>
        <row r="1312">
          <cell r="B1312" t="str">
            <v>프라임어패럴　　　　　　</v>
          </cell>
          <cell r="C1312">
            <v>2038125991</v>
          </cell>
          <cell r="D1312" t="str">
            <v>법인</v>
          </cell>
        </row>
        <row r="1313">
          <cell r="B1313" t="str">
            <v>프라임어패럴　　　　　　</v>
          </cell>
          <cell r="C1313">
            <v>2038125991</v>
          </cell>
          <cell r="D1313" t="str">
            <v>법인</v>
          </cell>
        </row>
        <row r="1314">
          <cell r="B1314" t="str">
            <v>프라임어패럴　　　　　　</v>
          </cell>
          <cell r="C1314">
            <v>2038125991</v>
          </cell>
          <cell r="D1314" t="str">
            <v>법인</v>
          </cell>
        </row>
        <row r="1315">
          <cell r="B1315" t="str">
            <v>프라임어패럴　　　　　　</v>
          </cell>
          <cell r="C1315">
            <v>2038125991</v>
          </cell>
          <cell r="D1315" t="str">
            <v>법인</v>
          </cell>
        </row>
        <row r="1316">
          <cell r="B1316" t="str">
            <v>케이디엠아쿠라　　　　　</v>
          </cell>
          <cell r="C1316">
            <v>1138158170</v>
          </cell>
          <cell r="D1316" t="str">
            <v>법인</v>
          </cell>
        </row>
        <row r="1317">
          <cell r="B1317" t="str">
            <v>케이디엠아쿠라　　　　　</v>
          </cell>
          <cell r="C1317">
            <v>1138158170</v>
          </cell>
          <cell r="D1317" t="str">
            <v>법인</v>
          </cell>
        </row>
        <row r="1318">
          <cell r="B1318" t="str">
            <v>케이디엠아쿠라　　　　　</v>
          </cell>
          <cell r="C1318">
            <v>1138158170</v>
          </cell>
          <cell r="D1318" t="str">
            <v>법인</v>
          </cell>
        </row>
        <row r="1319">
          <cell r="B1319" t="str">
            <v>케이디엠아쿠라　　　　　</v>
          </cell>
          <cell r="C1319">
            <v>1138158170</v>
          </cell>
          <cell r="D1319" t="str">
            <v>법인</v>
          </cell>
        </row>
        <row r="1320">
          <cell r="B1320" t="str">
            <v>케이디엠아쿠라　　　　　</v>
          </cell>
          <cell r="C1320">
            <v>1138158170</v>
          </cell>
          <cell r="D1320" t="str">
            <v>법인</v>
          </cell>
        </row>
        <row r="1321">
          <cell r="B1321" t="str">
            <v>케이디엠아쿠라　　　　　</v>
          </cell>
          <cell r="C1321">
            <v>1138158170</v>
          </cell>
          <cell r="D1321" t="str">
            <v>법인</v>
          </cell>
        </row>
        <row r="1322">
          <cell r="B1322" t="str">
            <v>케이디엠아쿠라　　　　　</v>
          </cell>
          <cell r="C1322">
            <v>1138158170</v>
          </cell>
          <cell r="D1322" t="str">
            <v>법인</v>
          </cell>
        </row>
        <row r="1323">
          <cell r="B1323" t="str">
            <v>케이디엠아쿠라　　　　　</v>
          </cell>
          <cell r="C1323">
            <v>1138158170</v>
          </cell>
          <cell r="D1323" t="str">
            <v>법인</v>
          </cell>
        </row>
        <row r="1324">
          <cell r="B1324" t="str">
            <v>케이디엠아쿠라　　　　　</v>
          </cell>
          <cell r="C1324">
            <v>1138158170</v>
          </cell>
          <cell r="D1324" t="str">
            <v>법인</v>
          </cell>
        </row>
        <row r="1325">
          <cell r="B1325" t="str">
            <v>김신남　　　　　　　　　　　　</v>
          </cell>
          <cell r="C1325">
            <v>5302221646518</v>
          </cell>
          <cell r="D1325" t="str">
            <v>개인</v>
          </cell>
        </row>
        <row r="1326">
          <cell r="B1326" t="str">
            <v>임금중　　　　　　　　　　　　</v>
          </cell>
          <cell r="C1326">
            <v>5807172816629</v>
          </cell>
          <cell r="D1326" t="str">
            <v>개인</v>
          </cell>
        </row>
        <row r="1327">
          <cell r="B1327" t="str">
            <v>임금중　　　　　　　　　　　　</v>
          </cell>
          <cell r="C1327">
            <v>5807172816629</v>
          </cell>
          <cell r="D1327" t="str">
            <v>개인</v>
          </cell>
        </row>
        <row r="1328">
          <cell r="B1328" t="str">
            <v>임호균</v>
          </cell>
          <cell r="C1328">
            <v>5207201659511</v>
          </cell>
          <cell r="D1328" t="str">
            <v>개인</v>
          </cell>
        </row>
        <row r="1329">
          <cell r="B1329" t="str">
            <v>임호균</v>
          </cell>
          <cell r="C1329">
            <v>5207201659511</v>
          </cell>
          <cell r="D1329" t="str">
            <v>개인</v>
          </cell>
        </row>
        <row r="1330">
          <cell r="B1330" t="str">
            <v>임호균</v>
          </cell>
          <cell r="C1330">
            <v>5207201659511</v>
          </cell>
          <cell r="D1330" t="str">
            <v>개인</v>
          </cell>
        </row>
        <row r="1331">
          <cell r="B1331" t="str">
            <v>권향숙</v>
          </cell>
          <cell r="C1331">
            <v>5311102701715</v>
          </cell>
          <cell r="D1331" t="str">
            <v>개인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배당율"/>
      <sheetName val="한도관리2"/>
      <sheetName val="합동별편출입"/>
      <sheetName val="개인법인구분"/>
      <sheetName val="가정"/>
      <sheetName val="주요 가정"/>
      <sheetName val="LIST"/>
      <sheetName val="회사정보"/>
    </sheetNames>
    <sheetDataSet>
      <sheetData sheetId="0" refreshError="1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.03"/>
      <sheetName val="FY00~01누계"/>
      <sheetName val="2001.04"/>
      <sheetName val="2001.05"/>
      <sheetName val="2001.06"/>
      <sheetName val="2001.07"/>
      <sheetName val="2001.08"/>
      <sheetName val="2001.09"/>
      <sheetName val="2001.상반기"/>
      <sheetName val="2001.10"/>
      <sheetName val="2001.11"/>
      <sheetName val="2001.12"/>
      <sheetName val="2002.01"/>
      <sheetName val="2002.02"/>
      <sheetName val="2002.03"/>
      <sheetName val="비용"/>
      <sheetName val="000000"/>
      <sheetName val="누계"/>
      <sheetName val="CM"/>
      <sheetName val="Sheet1 (2)"/>
      <sheetName val="Sheet2"/>
      <sheetName val="Sheet3"/>
      <sheetName val="Sheet1"/>
      <sheetName val="보증어음분류"/>
      <sheetName val="사모사채분류"/>
      <sheetName val="기준"/>
      <sheetName val="data"/>
      <sheetName val="00.08계정"/>
      <sheetName val="분당임차변경"/>
      <sheetName val="basic_info"/>
      <sheetName val="담보물건평가"/>
      <sheetName val="수정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363">
          <cell r="B1363" t="str">
            <v>지    점</v>
          </cell>
          <cell r="C1363">
            <v>219.25785799999997</v>
          </cell>
          <cell r="D1363">
            <v>3172.9162106683521</v>
          </cell>
          <cell r="E1363">
            <v>380.12806199999989</v>
          </cell>
          <cell r="F1363">
            <v>293.26244949999989</v>
          </cell>
          <cell r="G1363">
            <v>1290.6055999189862</v>
          </cell>
          <cell r="H1363">
            <v>5356.170180087337</v>
          </cell>
          <cell r="I1363">
            <v>2034.1656699999996</v>
          </cell>
          <cell r="J1363">
            <v>1050.7087185939506</v>
          </cell>
          <cell r="K1363">
            <v>2653.8977939646747</v>
          </cell>
          <cell r="L1363">
            <v>9060.7766926459608</v>
          </cell>
        </row>
        <row r="1364">
          <cell r="B1364" t="str">
            <v>콜센타</v>
          </cell>
          <cell r="C1364">
            <v>13.85557</v>
          </cell>
          <cell r="D1364">
            <v>346.20033518121136</v>
          </cell>
          <cell r="E1364">
            <v>71.629221999999999</v>
          </cell>
          <cell r="F1364">
            <v>12.955295</v>
          </cell>
          <cell r="G1364">
            <v>186.6974075</v>
          </cell>
          <cell r="H1364">
            <v>631.33782968121136</v>
          </cell>
          <cell r="I1364">
            <v>0</v>
          </cell>
          <cell r="K1364">
            <v>0</v>
          </cell>
          <cell r="L1364">
            <v>0</v>
          </cell>
        </row>
        <row r="1365">
          <cell r="B1365" t="str">
            <v>선물옵션부</v>
          </cell>
          <cell r="C1365">
            <v>11.186902999999999</v>
          </cell>
          <cell r="D1365">
            <v>35.003423563662764</v>
          </cell>
          <cell r="E1365">
            <v>9.0123879999999996</v>
          </cell>
          <cell r="F1365">
            <v>2.4109950000000002</v>
          </cell>
          <cell r="G1365">
            <v>3.5410314547036776</v>
          </cell>
          <cell r="H1365">
            <v>61.154741018366444</v>
          </cell>
          <cell r="I1365">
            <v>44.453707000000001</v>
          </cell>
          <cell r="J1365">
            <v>24.607371217454126</v>
          </cell>
          <cell r="K1365">
            <v>54.767855997330813</v>
          </cell>
          <cell r="L1365">
            <v>140.52996823315138</v>
          </cell>
        </row>
        <row r="1366">
          <cell r="B1366" t="str">
            <v>법인부</v>
          </cell>
          <cell r="C1366">
            <v>28.092552000000001</v>
          </cell>
          <cell r="D1366">
            <v>46.594292667170805</v>
          </cell>
          <cell r="E1366">
            <v>15.039092</v>
          </cell>
          <cell r="F1366">
            <v>6.9842959999999996</v>
          </cell>
          <cell r="G1366">
            <v>3.162918939658113</v>
          </cell>
          <cell r="H1366">
            <v>99.873151606828927</v>
          </cell>
          <cell r="I1366">
            <v>-10.483445</v>
          </cell>
          <cell r="J1366">
            <v>206.74215894126067</v>
          </cell>
          <cell r="K1366">
            <v>121.59261205071034</v>
          </cell>
          <cell r="L1366">
            <v>428.20792259879994</v>
          </cell>
        </row>
        <row r="1367">
          <cell r="B1367" t="str">
            <v>국제부</v>
          </cell>
          <cell r="C1367">
            <v>35.611156000000001</v>
          </cell>
          <cell r="D1367">
            <v>134.01170453718785</v>
          </cell>
          <cell r="E1367">
            <v>12.656454999999999</v>
          </cell>
          <cell r="F1367">
            <v>12.465976</v>
          </cell>
          <cell r="G1367">
            <v>4.5684820590345474</v>
          </cell>
          <cell r="H1367">
            <v>199.3137735962224</v>
          </cell>
          <cell r="I1367">
            <v>32.892935999999999</v>
          </cell>
          <cell r="J1367">
            <v>244.93303215101699</v>
          </cell>
          <cell r="K1367">
            <v>101.19561648197866</v>
          </cell>
          <cell r="L1367">
            <v>545.44242222921798</v>
          </cell>
        </row>
        <row r="1368">
          <cell r="B1368" t="str">
            <v>법금영1부</v>
          </cell>
          <cell r="C1368">
            <v>45.751375000000003</v>
          </cell>
          <cell r="D1368">
            <v>108.30063011962237</v>
          </cell>
          <cell r="E1368">
            <v>1.7703439999999999</v>
          </cell>
          <cell r="F1368">
            <v>10.003978500000001</v>
          </cell>
          <cell r="G1368">
            <v>7.5908579228377695</v>
          </cell>
          <cell r="H1368">
            <v>173.41718554246012</v>
          </cell>
          <cell r="I1368">
            <v>94.034347999999994</v>
          </cell>
          <cell r="J1368">
            <v>55.361502410601823</v>
          </cell>
          <cell r="K1368">
            <v>166.33012194403091</v>
          </cell>
          <cell r="L1368">
            <v>395.10880989709284</v>
          </cell>
        </row>
        <row r="1369">
          <cell r="B1369" t="str">
            <v>법금영2부</v>
          </cell>
        </row>
        <row r="1370">
          <cell r="B1370" t="str">
            <v>기금부</v>
          </cell>
          <cell r="C1370">
            <v>62.344374999999999</v>
          </cell>
          <cell r="D1370">
            <v>91.592548867349478</v>
          </cell>
          <cell r="E1370">
            <v>2.3354569999999999</v>
          </cell>
          <cell r="F1370">
            <v>15.483537</v>
          </cell>
          <cell r="G1370">
            <v>7.0225392686843762</v>
          </cell>
          <cell r="H1370">
            <v>178.77845713603386</v>
          </cell>
          <cell r="I1370">
            <v>123.33760100000001</v>
          </cell>
          <cell r="J1370">
            <v>57.862383690972628</v>
          </cell>
          <cell r="K1370">
            <v>196.07967506427883</v>
          </cell>
          <cell r="L1370">
            <v>432.72051589128529</v>
          </cell>
        </row>
        <row r="1371">
          <cell r="B1371" t="str">
            <v>채권영업팀</v>
          </cell>
          <cell r="C1371">
            <v>15.009465000000001</v>
          </cell>
          <cell r="D1371">
            <v>63.705993882956534</v>
          </cell>
          <cell r="E1371">
            <v>5.4513699999999998</v>
          </cell>
          <cell r="F1371">
            <v>7.4354389999999997</v>
          </cell>
          <cell r="G1371">
            <v>5.6401625417999766</v>
          </cell>
          <cell r="H1371">
            <v>97.242430424756506</v>
          </cell>
          <cell r="I1371">
            <v>-60.728548000000004</v>
          </cell>
          <cell r="J1371">
            <v>46.869008921663387</v>
          </cell>
          <cell r="K1371">
            <v>145.50845079910744</v>
          </cell>
          <cell r="L1371">
            <v>289.61989014552734</v>
          </cell>
        </row>
        <row r="1372">
          <cell r="B1372" t="str">
            <v>CP 팀</v>
          </cell>
          <cell r="C1372">
            <v>5.7838000000000003</v>
          </cell>
          <cell r="D1372">
            <v>14.092837631377407</v>
          </cell>
          <cell r="E1372">
            <v>0.96810600000000002</v>
          </cell>
          <cell r="F1372">
            <v>1.5991439999999999</v>
          </cell>
          <cell r="G1372">
            <v>4.0858037796711804</v>
          </cell>
          <cell r="H1372">
            <v>26.529691411048589</v>
          </cell>
          <cell r="I1372">
            <v>43.706327999999999</v>
          </cell>
          <cell r="J1372">
            <v>0</v>
          </cell>
          <cell r="K1372">
            <v>0</v>
          </cell>
          <cell r="L1372">
            <v>26.529691411048589</v>
          </cell>
        </row>
        <row r="1373">
          <cell r="B1373" t="str">
            <v>T   C</v>
          </cell>
          <cell r="C1373">
            <v>2.1379999999999999</v>
          </cell>
          <cell r="D1373">
            <v>39.744992567864351</v>
          </cell>
          <cell r="E1373">
            <v>9.2484040000000007</v>
          </cell>
          <cell r="F1373">
            <v>1.297255</v>
          </cell>
          <cell r="G1373">
            <v>9.8327271326472232</v>
          </cell>
          <cell r="H1373">
            <v>62.261378700511578</v>
          </cell>
          <cell r="I1373">
            <v>60</v>
          </cell>
          <cell r="J1373">
            <v>46.231072599865144</v>
          </cell>
          <cell r="K1373">
            <v>121.01443824514047</v>
          </cell>
          <cell r="L1373">
            <v>229.50688954551717</v>
          </cell>
        </row>
        <row r="1374">
          <cell r="B1374" t="str">
            <v>M&amp;A</v>
          </cell>
          <cell r="C1374">
            <v>15.013450000000001</v>
          </cell>
          <cell r="D1374">
            <v>73.278187286505997</v>
          </cell>
          <cell r="E1374">
            <v>1.0875950000000001</v>
          </cell>
          <cell r="F1374">
            <v>7.5893569999999997</v>
          </cell>
          <cell r="G1374">
            <v>7.8784591294701301</v>
          </cell>
          <cell r="H1374">
            <v>104.84704841597612</v>
          </cell>
          <cell r="I1374">
            <v>0</v>
          </cell>
          <cell r="J1374">
            <v>29.788797033268171</v>
          </cell>
          <cell r="K1374">
            <v>98.519529590050993</v>
          </cell>
          <cell r="L1374">
            <v>233.15537503929528</v>
          </cell>
        </row>
        <row r="1375">
          <cell r="B1375" t="str">
            <v>goodi</v>
          </cell>
          <cell r="C1375">
            <v>4.7596189999999998</v>
          </cell>
          <cell r="D1375">
            <v>59.823381909661727</v>
          </cell>
          <cell r="E1375">
            <v>231.634232</v>
          </cell>
          <cell r="F1375">
            <v>322.341049</v>
          </cell>
          <cell r="G1375">
            <v>5.6323961140635443</v>
          </cell>
          <cell r="H1375">
            <v>624.19067802372524</v>
          </cell>
          <cell r="I1375">
            <v>0</v>
          </cell>
          <cell r="J1375">
            <v>446.08178701981689</v>
          </cell>
          <cell r="K1375">
            <v>425.20502024544902</v>
          </cell>
          <cell r="L1375">
            <v>1495.4774852889911</v>
          </cell>
        </row>
        <row r="1376">
          <cell r="B1376" t="str">
            <v>pre kosdaq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B1377" t="str">
            <v>본 부</v>
          </cell>
          <cell r="C1377">
            <v>1514.2662070000001</v>
          </cell>
          <cell r="D1377">
            <v>2778.4737291170732</v>
          </cell>
          <cell r="E1377">
            <v>69.117159000000129</v>
          </cell>
          <cell r="F1377">
            <v>257.77696000000003</v>
          </cell>
          <cell r="G1377">
            <v>1103.3801459765655</v>
          </cell>
          <cell r="H1377">
            <v>5723.0142010936452</v>
          </cell>
          <cell r="I1377">
            <v>-38.163811000000351</v>
          </cell>
          <cell r="J1377">
            <v>-2209.1858325798707</v>
          </cell>
          <cell r="K1377">
            <v>-4084.1111143827529</v>
          </cell>
          <cell r="L1377">
            <v>61.055083812236262</v>
          </cell>
        </row>
        <row r="1378">
          <cell r="B1378" t="str">
            <v>회사전체</v>
          </cell>
          <cell r="C1378">
            <v>1973.07033</v>
          </cell>
          <cell r="D1378">
            <v>6963.7382679999955</v>
          </cell>
          <cell r="E1378">
            <v>810.07788600000003</v>
          </cell>
          <cell r="F1378">
            <v>951.60573099999999</v>
          </cell>
          <cell r="G1378">
            <v>2639.6385317381223</v>
          </cell>
          <cell r="H1378">
            <v>13338.130746738123</v>
          </cell>
          <cell r="I1378">
            <v>2323.214786</v>
          </cell>
          <cell r="J1378">
            <v>-3.1664967536926272E-13</v>
          </cell>
          <cell r="K1378">
            <v>-9.5367431640624996E-13</v>
          </cell>
          <cell r="L1378">
            <v>13338.130746738127</v>
          </cell>
        </row>
        <row r="1561">
          <cell r="B1561" t="str">
            <v>지    점</v>
          </cell>
          <cell r="C1561">
            <v>237.43485799999999</v>
          </cell>
          <cell r="D1561">
            <v>4508.9306438925405</v>
          </cell>
          <cell r="E1561">
            <v>456.36525400000005</v>
          </cell>
          <cell r="F1561">
            <v>315.42845949999997</v>
          </cell>
          <cell r="G1561">
            <v>1234.8578691796665</v>
          </cell>
          <cell r="H1561">
            <v>6753.0170845722068</v>
          </cell>
          <cell r="I1561">
            <v>4401.6978449999997</v>
          </cell>
          <cell r="J1561">
            <v>1248.5604460330758</v>
          </cell>
          <cell r="K1561">
            <v>3176.5623342476219</v>
          </cell>
          <cell r="L1561">
            <v>11178.139864852899</v>
          </cell>
        </row>
        <row r="1562">
          <cell r="B1562" t="str">
            <v>콜센타</v>
          </cell>
          <cell r="C1562">
            <v>9.6896400000000007</v>
          </cell>
          <cell r="D1562">
            <v>408.6432441661558</v>
          </cell>
          <cell r="E1562">
            <v>43.289081999999993</v>
          </cell>
          <cell r="F1562">
            <v>30.767972</v>
          </cell>
          <cell r="G1562">
            <v>189.29439150000002</v>
          </cell>
          <cell r="H1562">
            <v>681.68432966615592</v>
          </cell>
          <cell r="I1562">
            <v>0.965171</v>
          </cell>
          <cell r="K1562">
            <v>0</v>
          </cell>
          <cell r="L1562">
            <v>0</v>
          </cell>
        </row>
        <row r="1563">
          <cell r="B1563" t="str">
            <v>선물옵션부</v>
          </cell>
          <cell r="C1563">
            <v>6.4609399999999999</v>
          </cell>
          <cell r="D1563">
            <v>42.785056761731703</v>
          </cell>
          <cell r="E1563">
            <v>8.1899909999999991</v>
          </cell>
          <cell r="F1563">
            <v>1.40679</v>
          </cell>
          <cell r="G1563">
            <v>6.976739656986287</v>
          </cell>
          <cell r="H1563">
            <v>65.819517418717993</v>
          </cell>
          <cell r="I1563">
            <v>43.864220000000003</v>
          </cell>
          <cell r="J1563">
            <v>29.391457863182865</v>
          </cell>
          <cell r="K1563">
            <v>56.131372751727007</v>
          </cell>
          <cell r="L1563">
            <v>151.34234803362787</v>
          </cell>
        </row>
        <row r="1564">
          <cell r="B1564" t="str">
            <v>법인부</v>
          </cell>
          <cell r="C1564">
            <v>9.5809239999999996</v>
          </cell>
          <cell r="D1564">
            <v>53.953002039268327</v>
          </cell>
          <cell r="E1564">
            <v>4.3355550000000003</v>
          </cell>
          <cell r="F1564">
            <v>12.857856</v>
          </cell>
          <cell r="G1564">
            <v>3.3138548487147865</v>
          </cell>
          <cell r="H1564">
            <v>84.041191887983118</v>
          </cell>
          <cell r="I1564">
            <v>92.242159000000001</v>
          </cell>
          <cell r="J1564">
            <v>203.80682132923198</v>
          </cell>
          <cell r="K1564">
            <v>133.82002555479534</v>
          </cell>
          <cell r="L1564">
            <v>421.66803877201045</v>
          </cell>
        </row>
        <row r="1565">
          <cell r="B1565" t="str">
            <v>국제부</v>
          </cell>
          <cell r="C1565">
            <v>26.496047999999998</v>
          </cell>
          <cell r="D1565">
            <v>138.02415411023077</v>
          </cell>
          <cell r="E1565">
            <v>49.456995999999997</v>
          </cell>
          <cell r="F1565">
            <v>24.611968999999998</v>
          </cell>
          <cell r="G1565">
            <v>4.6789373372057517</v>
          </cell>
          <cell r="H1565">
            <v>243.26810444743651</v>
          </cell>
          <cell r="I1565">
            <v>268.366603</v>
          </cell>
          <cell r="J1565">
            <v>241.39284869163265</v>
          </cell>
          <cell r="K1565">
            <v>105.58477435416802</v>
          </cell>
          <cell r="L1565">
            <v>590.24572749323727</v>
          </cell>
        </row>
        <row r="1566">
          <cell r="B1566" t="str">
            <v>법금영1부</v>
          </cell>
          <cell r="C1566">
            <v>21.331610000000001</v>
          </cell>
          <cell r="D1566">
            <v>92.428511463282888</v>
          </cell>
          <cell r="E1566">
            <v>2.1244399999999999</v>
          </cell>
          <cell r="F1566">
            <v>8.5679424999999991</v>
          </cell>
          <cell r="G1566">
            <v>7.9129730572231747</v>
          </cell>
          <cell r="H1566">
            <v>132.36547702050606</v>
          </cell>
          <cell r="I1566">
            <v>65.561310000000006</v>
          </cell>
          <cell r="J1566">
            <v>57.747921642698735</v>
          </cell>
          <cell r="K1566">
            <v>247.71170237895493</v>
          </cell>
          <cell r="L1566">
            <v>437.8251010421597</v>
          </cell>
        </row>
        <row r="1567">
          <cell r="B1567" t="str">
            <v>법금영2부</v>
          </cell>
        </row>
        <row r="1568">
          <cell r="B1568" t="str">
            <v>기금부</v>
          </cell>
          <cell r="C1568">
            <v>95.534679999999994</v>
          </cell>
          <cell r="D1568">
            <v>112.4948794361713</v>
          </cell>
          <cell r="E1568">
            <v>2.782654</v>
          </cell>
          <cell r="F1568">
            <v>5.2754729999999999</v>
          </cell>
          <cell r="G1568">
            <v>7.2458776753257217</v>
          </cell>
          <cell r="H1568">
            <v>223.33356411149703</v>
          </cell>
          <cell r="I1568">
            <v>342.09949599999999</v>
          </cell>
          <cell r="J1568">
            <v>57.016799966124097</v>
          </cell>
          <cell r="K1568">
            <v>198.28048242454753</v>
          </cell>
          <cell r="L1568">
            <v>478.63084650216865</v>
          </cell>
        </row>
        <row r="1569">
          <cell r="B1569" t="str">
            <v>채권영업팀</v>
          </cell>
          <cell r="C1569">
            <v>8.0129800000000007</v>
          </cell>
          <cell r="D1569">
            <v>81.794408291399833</v>
          </cell>
          <cell r="E1569">
            <v>11.111526</v>
          </cell>
          <cell r="F1569">
            <v>4.3119310000000004</v>
          </cell>
          <cell r="G1569">
            <v>5.9325210159732267</v>
          </cell>
          <cell r="H1569">
            <v>111.16336630737307</v>
          </cell>
          <cell r="I1569">
            <v>377.61837400000002</v>
          </cell>
          <cell r="J1569">
            <v>52.709315349575895</v>
          </cell>
          <cell r="K1569">
            <v>135.0467710056601</v>
          </cell>
          <cell r="L1569">
            <v>298.91945266260905</v>
          </cell>
        </row>
        <row r="1570">
          <cell r="B1570" t="str">
            <v>CP 팀</v>
          </cell>
          <cell r="C1570">
            <v>8.0455000000000005</v>
          </cell>
          <cell r="D1570">
            <v>9.7366113304217041</v>
          </cell>
          <cell r="E1570">
            <v>1.0556859999999999</v>
          </cell>
          <cell r="F1570">
            <v>0.58333100000000004</v>
          </cell>
          <cell r="G1570">
            <v>4.2526732940735954</v>
          </cell>
          <cell r="H1570">
            <v>23.673801624495301</v>
          </cell>
          <cell r="I1570">
            <v>64.700985000000003</v>
          </cell>
          <cell r="J1570">
            <v>0</v>
          </cell>
          <cell r="K1570">
            <v>0</v>
          </cell>
          <cell r="L1570">
            <v>23.673801624495301</v>
          </cell>
        </row>
        <row r="1571">
          <cell r="B1571" t="str">
            <v>T   C</v>
          </cell>
          <cell r="C1571">
            <v>1.6928399999999999</v>
          </cell>
          <cell r="D1571">
            <v>49.255840521506656</v>
          </cell>
          <cell r="E1571">
            <v>19.261755000000001</v>
          </cell>
          <cell r="F1571">
            <v>0.95442899999999997</v>
          </cell>
          <cell r="G1571">
            <v>10.123225313542354</v>
          </cell>
          <cell r="H1571">
            <v>81.288089835049007</v>
          </cell>
          <cell r="I1571">
            <v>8.9159869999999994</v>
          </cell>
          <cell r="J1571">
            <v>51.023958863761735</v>
          </cell>
          <cell r="K1571">
            <v>104.93727938818427</v>
          </cell>
          <cell r="L1571">
            <v>237.24932808699501</v>
          </cell>
        </row>
        <row r="1572">
          <cell r="B1572" t="str">
            <v>M&amp;A</v>
          </cell>
          <cell r="C1572">
            <v>17.214285</v>
          </cell>
          <cell r="D1572">
            <v>83.771879917963034</v>
          </cell>
          <cell r="E1572">
            <v>1.263117</v>
          </cell>
          <cell r="F1572">
            <v>5.9536170000000004</v>
          </cell>
          <cell r="G1572">
            <v>8.2682338229002923</v>
          </cell>
          <cell r="H1572">
            <v>116.47113274086333</v>
          </cell>
          <cell r="I1572">
            <v>24.933675999999998</v>
          </cell>
          <cell r="J1572">
            <v>28.545837336593625</v>
          </cell>
          <cell r="K1572">
            <v>103.15779610620885</v>
          </cell>
          <cell r="L1572">
            <v>248.17476618366581</v>
          </cell>
        </row>
        <row r="1573">
          <cell r="B1573" t="str">
            <v>goodi</v>
          </cell>
          <cell r="C1573">
            <v>3.1522990000000002</v>
          </cell>
          <cell r="D1573">
            <v>60.618334856961248</v>
          </cell>
          <cell r="E1573">
            <v>378.61020500000001</v>
          </cell>
          <cell r="F1573">
            <v>274.98564900000002</v>
          </cell>
          <cell r="G1573">
            <v>5.8262161242876154</v>
          </cell>
          <cell r="H1573">
            <v>723.19270398124888</v>
          </cell>
          <cell r="I1573">
            <v>0.18031</v>
          </cell>
          <cell r="J1573">
            <v>481.12050308190811</v>
          </cell>
          <cell r="K1573">
            <v>499.02247159145867</v>
          </cell>
          <cell r="L1573">
            <v>1703.3356786546155</v>
          </cell>
        </row>
        <row r="1574">
          <cell r="B1574" t="str">
            <v>pre kosdaq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</row>
        <row r="1575">
          <cell r="B1575" t="str">
            <v>본 부</v>
          </cell>
          <cell r="C1575">
            <v>1738.1238170000001</v>
          </cell>
          <cell r="D1575">
            <v>3196.0527012123639</v>
          </cell>
          <cell r="E1575">
            <v>74.865676999999778</v>
          </cell>
          <cell r="F1575">
            <v>584.07905799999992</v>
          </cell>
          <cell r="G1575">
            <v>1019.0651935322235</v>
          </cell>
          <cell r="H1575">
            <v>6612.1864467445994</v>
          </cell>
          <cell r="I1575">
            <v>-35.847043000000667</v>
          </cell>
          <cell r="J1575">
            <v>-2451.3159101577862</v>
          </cell>
          <cell r="K1575">
            <v>-4760.2550098033262</v>
          </cell>
          <cell r="L1575">
            <v>82.299856449644722</v>
          </cell>
        </row>
        <row r="1576">
          <cell r="B1576" t="str">
            <v>회사전체</v>
          </cell>
          <cell r="C1576">
            <v>2182.7704210000002</v>
          </cell>
          <cell r="D1576">
            <v>8838.4892679999975</v>
          </cell>
          <cell r="E1576">
            <v>1052.7119379999999</v>
          </cell>
          <cell r="F1576">
            <v>1269.7844769999999</v>
          </cell>
          <cell r="G1576">
            <v>2507.7487063581229</v>
          </cell>
          <cell r="H1576">
            <v>15851.504810358132</v>
          </cell>
          <cell r="I1576">
            <v>5655.2990929999996</v>
          </cell>
          <cell r="J1576">
            <v>-3.6880373954772947E-13</v>
          </cell>
          <cell r="K1576">
            <v>2.0116567611694335E-13</v>
          </cell>
          <cell r="L1576">
            <v>15851.504810358125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누계"/>
      <sheetName val="2002.04"/>
      <sheetName val="2002.05"/>
      <sheetName val="2002.06"/>
      <sheetName val="2002.07"/>
      <sheetName val="2002.08"/>
      <sheetName val="2002.09"/>
      <sheetName val="2002.10"/>
      <sheetName val="2002.11"/>
      <sheetName val="2002.12"/>
      <sheetName val="2003.01"/>
      <sheetName val="2003.02"/>
      <sheetName val="2003.03"/>
      <sheetName val="기누계"/>
      <sheetName val="비용"/>
      <sheetName val="CM"/>
      <sheetName val="배당율"/>
      <sheetName val="한도관리2"/>
      <sheetName val="합동별편출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80">
          <cell r="B180" t="str">
            <v>지    점</v>
          </cell>
          <cell r="C180">
            <v>200.51829599999996</v>
          </cell>
          <cell r="D180">
            <v>2706.7370761820248</v>
          </cell>
          <cell r="E180">
            <v>916.83011799999997</v>
          </cell>
          <cell r="F180">
            <v>108.16208300000001</v>
          </cell>
          <cell r="G180">
            <v>1208.5612092887759</v>
          </cell>
          <cell r="H180">
            <v>5140.8087824708027</v>
          </cell>
          <cell r="I180">
            <v>3727.4313910000001</v>
          </cell>
          <cell r="J180">
            <v>1087.0131865814255</v>
          </cell>
          <cell r="K180">
            <v>1813.7223287395632</v>
          </cell>
          <cell r="L180">
            <v>8041.544297791791</v>
          </cell>
        </row>
        <row r="181">
          <cell r="B181" t="str">
            <v>콜센타</v>
          </cell>
          <cell r="C181">
            <v>5.3157800000000002</v>
          </cell>
          <cell r="D181">
            <v>334.56919402305715</v>
          </cell>
          <cell r="E181">
            <v>24.890925000000003</v>
          </cell>
          <cell r="F181">
            <v>10.400888</v>
          </cell>
          <cell r="G181">
            <v>207.05675425000001</v>
          </cell>
          <cell r="H181">
            <v>582.2335412730572</v>
          </cell>
          <cell r="I181">
            <v>3.6579820000000001</v>
          </cell>
          <cell r="L181">
            <v>0</v>
          </cell>
        </row>
        <row r="182">
          <cell r="B182" t="str">
            <v>선물옵션부</v>
          </cell>
          <cell r="C182">
            <v>7.2894170000000003</v>
          </cell>
          <cell r="D182">
            <v>35.850356206454585</v>
          </cell>
          <cell r="E182">
            <v>18.839500999999998</v>
          </cell>
          <cell r="F182">
            <v>1.574373</v>
          </cell>
          <cell r="G182">
            <v>9.5096733239034954</v>
          </cell>
          <cell r="H182">
            <v>73.06332053035807</v>
          </cell>
          <cell r="I182">
            <v>38.159903999999997</v>
          </cell>
          <cell r="J182">
            <v>36.64531282592587</v>
          </cell>
          <cell r="K182">
            <v>78.919168216207552</v>
          </cell>
          <cell r="L182">
            <v>188.62780157249151</v>
          </cell>
        </row>
        <row r="183">
          <cell r="B183" t="str">
            <v>법인부</v>
          </cell>
          <cell r="C183">
            <v>14.689392</v>
          </cell>
          <cell r="D183">
            <v>37.94704458124675</v>
          </cell>
          <cell r="E183">
            <v>7.7755510000000001</v>
          </cell>
          <cell r="F183">
            <v>7.1238549999999998</v>
          </cell>
          <cell r="G183">
            <v>3.6159066888832534</v>
          </cell>
          <cell r="H183">
            <v>71.151749270130011</v>
          </cell>
          <cell r="I183">
            <v>92.467436000000006</v>
          </cell>
          <cell r="J183">
            <v>203.48186836117227</v>
          </cell>
          <cell r="K183">
            <v>75.980023217416814</v>
          </cell>
          <cell r="L183">
            <v>350.61364084871911</v>
          </cell>
        </row>
        <row r="184">
          <cell r="B184" t="str">
            <v>국제부</v>
          </cell>
          <cell r="C184">
            <v>13.400423999999999</v>
          </cell>
          <cell r="D184">
            <v>173.27463474514258</v>
          </cell>
          <cell r="E184">
            <v>17.028157</v>
          </cell>
          <cell r="F184">
            <v>23.840411</v>
          </cell>
          <cell r="G184">
            <v>5.112966273023611</v>
          </cell>
          <cell r="H184">
            <v>232.65659301816618</v>
          </cell>
          <cell r="I184">
            <v>248.05369899999999</v>
          </cell>
          <cell r="J184">
            <v>314.96638828638635</v>
          </cell>
          <cell r="K184">
            <v>85.699368024675621</v>
          </cell>
          <cell r="L184">
            <v>633.32234932922813</v>
          </cell>
        </row>
        <row r="185">
          <cell r="B185" t="str">
            <v>법금영1부</v>
          </cell>
          <cell r="C185">
            <v>13.627979</v>
          </cell>
          <cell r="D185">
            <v>71.038512480275017</v>
          </cell>
          <cell r="E185">
            <v>2.737905</v>
          </cell>
          <cell r="F185">
            <v>3.6088110000000002</v>
          </cell>
          <cell r="G185">
            <v>8.7560384820321016</v>
          </cell>
          <cell r="H185">
            <v>99.769245962307124</v>
          </cell>
          <cell r="I185">
            <v>98.723560000000006</v>
          </cell>
          <cell r="J185">
            <v>65.168508875512572</v>
          </cell>
          <cell r="K185">
            <v>100.9917072547326</v>
          </cell>
          <cell r="L185">
            <v>265.92946209255228</v>
          </cell>
        </row>
        <row r="187">
          <cell r="B187" t="str">
            <v>기금부</v>
          </cell>
          <cell r="C187">
            <v>61.104080000000003</v>
          </cell>
          <cell r="D187">
            <v>68.041268281117738</v>
          </cell>
          <cell r="E187">
            <v>2.962046</v>
          </cell>
          <cell r="F187">
            <v>2.9727380000000001</v>
          </cell>
          <cell r="G187">
            <v>7.9718820470614844</v>
          </cell>
          <cell r="H187">
            <v>143.05201432817921</v>
          </cell>
          <cell r="I187">
            <v>142.61980500000001</v>
          </cell>
          <cell r="J187">
            <v>69.494267221930357</v>
          </cell>
          <cell r="K187">
            <v>97.667130529288784</v>
          </cell>
          <cell r="L187">
            <v>310.21341207939838</v>
          </cell>
        </row>
        <row r="188">
          <cell r="B188" t="str">
            <v>채권팀</v>
          </cell>
          <cell r="C188">
            <v>11.494362000000001</v>
          </cell>
          <cell r="D188">
            <v>68.243373338719209</v>
          </cell>
          <cell r="E188">
            <v>6.4268340000000004</v>
          </cell>
          <cell r="F188">
            <v>2.5560814000000001</v>
          </cell>
          <cell r="G188">
            <v>6.563406473311888</v>
          </cell>
          <cell r="H188">
            <v>95.284057212031101</v>
          </cell>
          <cell r="I188">
            <v>25.060099999999998</v>
          </cell>
          <cell r="J188">
            <v>47.152110913307567</v>
          </cell>
          <cell r="K188">
            <v>99.774586489710259</v>
          </cell>
          <cell r="L188">
            <v>242.21075461504893</v>
          </cell>
        </row>
        <row r="189">
          <cell r="B189" t="str">
            <v>CP 팀</v>
          </cell>
          <cell r="C189">
            <v>5.2274700000000003</v>
          </cell>
          <cell r="D189">
            <v>8.9042523282453132</v>
          </cell>
          <cell r="E189">
            <v>0.87195500000000004</v>
          </cell>
          <cell r="F189">
            <v>5.8068000000000002E-2</v>
          </cell>
          <cell r="G189">
            <v>2.0896150192302994</v>
          </cell>
          <cell r="H189">
            <v>17.151360347475613</v>
          </cell>
          <cell r="I189">
            <v>46</v>
          </cell>
          <cell r="J189">
            <v>0</v>
          </cell>
          <cell r="K189">
            <v>0</v>
          </cell>
          <cell r="L189">
            <v>17.151360347475613</v>
          </cell>
        </row>
        <row r="190">
          <cell r="B190" t="str">
            <v>T   C</v>
          </cell>
          <cell r="C190">
            <v>2.5342169999999999</v>
          </cell>
          <cell r="D190">
            <v>40.712149863414645</v>
          </cell>
          <cell r="E190">
            <v>17.614106</v>
          </cell>
          <cell r="F190">
            <v>0.42227300000000001</v>
          </cell>
          <cell r="G190">
            <v>10.838677440588377</v>
          </cell>
          <cell r="H190">
            <v>72.121423304003031</v>
          </cell>
          <cell r="I190">
            <v>542.49547700000005</v>
          </cell>
          <cell r="J190">
            <v>41.513977224376269</v>
          </cell>
          <cell r="K190">
            <v>91.724735941634904</v>
          </cell>
          <cell r="L190">
            <v>205.36013647001423</v>
          </cell>
        </row>
        <row r="191">
          <cell r="B191" t="str">
            <v>M&amp;A</v>
          </cell>
          <cell r="C191">
            <v>3.475457</v>
          </cell>
          <cell r="D191">
            <v>61.810647091765084</v>
          </cell>
          <cell r="E191">
            <v>1.4504589999999999</v>
          </cell>
          <cell r="F191">
            <v>2.8835890000000002</v>
          </cell>
          <cell r="G191">
            <v>9.1793158540615174</v>
          </cell>
          <cell r="H191">
            <v>78.799467945826592</v>
          </cell>
          <cell r="I191">
            <v>33.081037999999999</v>
          </cell>
          <cell r="J191">
            <v>29.38215202611801</v>
          </cell>
          <cell r="K191">
            <v>70.111902672827469</v>
          </cell>
          <cell r="L191">
            <v>178.29352264477205</v>
          </cell>
        </row>
        <row r="192">
          <cell r="B192" t="str">
            <v>goodi</v>
          </cell>
          <cell r="C192">
            <v>3.0024989999999998</v>
          </cell>
          <cell r="D192">
            <v>56.051826675308014</v>
          </cell>
          <cell r="E192">
            <v>1043.0481219999999</v>
          </cell>
          <cell r="F192">
            <v>5.4134674</v>
          </cell>
          <cell r="G192">
            <v>7.0565789742068254</v>
          </cell>
          <cell r="H192">
            <v>1114.5724940495149</v>
          </cell>
          <cell r="I192">
            <v>0.20852299999999999</v>
          </cell>
          <cell r="J192">
            <v>478.31814582279895</v>
          </cell>
          <cell r="K192">
            <v>300.17877622101872</v>
          </cell>
          <cell r="L192">
            <v>1893.0694160933328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 t="str">
            <v>본 부</v>
          </cell>
          <cell r="C194">
            <v>380.51118600000007</v>
          </cell>
          <cell r="D194">
            <v>2677.3086802032267</v>
          </cell>
          <cell r="E194">
            <v>410.13552900000013</v>
          </cell>
          <cell r="F194">
            <v>149.93538400000003</v>
          </cell>
          <cell r="G194">
            <v>1032.6478048641491</v>
          </cell>
          <cell r="H194">
            <v>4650.5385840673771</v>
          </cell>
          <cell r="I194">
            <v>84.375922999998693</v>
          </cell>
          <cell r="J194">
            <v>-2373.1359181389539</v>
          </cell>
          <cell r="K194">
            <v>-2814.7697273070762</v>
          </cell>
          <cell r="L194">
            <v>44.866479894406439</v>
          </cell>
        </row>
        <row r="195">
          <cell r="B195" t="str">
            <v>회사전체</v>
          </cell>
          <cell r="C195">
            <v>722.19055900000001</v>
          </cell>
          <cell r="D195">
            <v>6340.4890159999977</v>
          </cell>
          <cell r="E195">
            <v>2470.6112079999998</v>
          </cell>
          <cell r="F195">
            <v>318.95202180000001</v>
          </cell>
          <cell r="G195">
            <v>2518.959828979228</v>
          </cell>
          <cell r="H195">
            <v>12371.202633779229</v>
          </cell>
          <cell r="I195">
            <v>5082.3348379999998</v>
          </cell>
          <cell r="J195">
            <v>1.0803341865539551E-13</v>
          </cell>
          <cell r="K195">
            <v>2.9802322387695311E-14</v>
          </cell>
          <cell r="L195">
            <v>12371.20263377923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누계"/>
      <sheetName val="2002.04"/>
      <sheetName val="2002.05"/>
      <sheetName val="2002.06"/>
      <sheetName val="2002.07"/>
      <sheetName val="2002.08"/>
      <sheetName val="2002.08 통합"/>
      <sheetName val="2002.08 GMS"/>
      <sheetName val="2002.08 신한"/>
      <sheetName val="2002.09"/>
      <sheetName val="2002.10"/>
      <sheetName val="2002.11"/>
      <sheetName val="2002.12"/>
      <sheetName val="2003.01"/>
      <sheetName val="2003.02"/>
      <sheetName val="2003.03"/>
      <sheetName val="4~7"/>
      <sheetName val="기누계"/>
      <sheetName val="비용"/>
      <sheetName val="CM"/>
      <sheetName val="신한revised"/>
      <sheetName val="장외on2"/>
      <sheetName val="보증어음분류"/>
      <sheetName val="사모사채분류"/>
      <sheetName val="계정과목"/>
      <sheetName val="환율시트"/>
      <sheetName val="분당임차변경"/>
      <sheetName val="현황요약"/>
      <sheetName val="00'미수"/>
      <sheetName val="2002_04"/>
      <sheetName val="2002_05"/>
      <sheetName val="2002_06"/>
      <sheetName val="2002_07"/>
      <sheetName val="2002_08"/>
      <sheetName val="2002_08_통합"/>
      <sheetName val="2002_08_GMS"/>
      <sheetName val="2002_08_신한"/>
      <sheetName val="2002_09"/>
      <sheetName val="2002_10"/>
      <sheetName val="2002_11"/>
      <sheetName val="2002_12"/>
      <sheetName val="2003_01"/>
      <sheetName val="2003_02"/>
      <sheetName val="2003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776">
          <cell r="B776" t="str">
            <v>지    점</v>
          </cell>
          <cell r="C776">
            <v>205.93248200000002</v>
          </cell>
          <cell r="D776">
            <v>19508.023114430678</v>
          </cell>
          <cell r="E776">
            <v>610.32972599999994</v>
          </cell>
          <cell r="F776">
            <v>97.207576000000003</v>
          </cell>
          <cell r="G776">
            <v>1263.1654127769757</v>
          </cell>
          <cell r="H776">
            <v>21684.658311207655</v>
          </cell>
          <cell r="I776">
            <v>2229.7002499999999</v>
          </cell>
          <cell r="J776">
            <v>2826.8776417093991</v>
          </cell>
          <cell r="K776">
            <v>5852.241865531284</v>
          </cell>
          <cell r="L776">
            <v>30363.777818448343</v>
          </cell>
        </row>
        <row r="777">
          <cell r="B777" t="str">
            <v>콜센타</v>
          </cell>
          <cell r="C777">
            <v>7.2864990000000009</v>
          </cell>
          <cell r="D777">
            <v>1269.269609869084</v>
          </cell>
          <cell r="E777">
            <v>81.058919000000003</v>
          </cell>
          <cell r="F777">
            <v>12.712978999999999</v>
          </cell>
          <cell r="G777">
            <v>223.60434955166667</v>
          </cell>
          <cell r="H777">
            <v>1593.9323564207507</v>
          </cell>
          <cell r="I777">
            <v>2.4802600000000004</v>
          </cell>
          <cell r="L777">
            <v>0</v>
          </cell>
        </row>
        <row r="778">
          <cell r="B778" t="str">
            <v>선물옵션부</v>
          </cell>
          <cell r="C778">
            <v>5.2448110000000003</v>
          </cell>
          <cell r="D778">
            <v>286.72394761923607</v>
          </cell>
          <cell r="E778">
            <v>41.916851000000001</v>
          </cell>
          <cell r="F778">
            <v>5.8145490000000004</v>
          </cell>
          <cell r="G778">
            <v>9.9285955150238987</v>
          </cell>
          <cell r="H778">
            <v>349.62875413425996</v>
          </cell>
          <cell r="I778">
            <v>12.414355812003501</v>
          </cell>
          <cell r="J778">
            <v>120.61246260555345</v>
          </cell>
          <cell r="K778">
            <v>258.78774898040007</v>
          </cell>
          <cell r="L778">
            <v>729.02896572021336</v>
          </cell>
        </row>
        <row r="779">
          <cell r="B779" t="str">
            <v>법인부</v>
          </cell>
          <cell r="C779">
            <v>14.907954999999999</v>
          </cell>
          <cell r="D779">
            <v>272.86113823809575</v>
          </cell>
          <cell r="E779">
            <v>5.1372049999999998</v>
          </cell>
          <cell r="F779">
            <v>5.1223000000000001</v>
          </cell>
          <cell r="G779">
            <v>3.3397186876686225</v>
          </cell>
          <cell r="H779">
            <v>301.36831692576436</v>
          </cell>
          <cell r="I779">
            <v>26.704966907910972</v>
          </cell>
          <cell r="J779">
            <v>389.89272802447039</v>
          </cell>
          <cell r="K779">
            <v>246.30942028286097</v>
          </cell>
          <cell r="L779">
            <v>937.57046523309566</v>
          </cell>
        </row>
        <row r="780">
          <cell r="B780" t="str">
            <v>국제부</v>
          </cell>
          <cell r="C780">
            <v>20.521369</v>
          </cell>
          <cell r="D780">
            <v>271.6384810993826</v>
          </cell>
          <cell r="E780">
            <v>49.495429999999999</v>
          </cell>
          <cell r="F780">
            <v>21.989723999999999</v>
          </cell>
          <cell r="G780">
            <v>5.0214239149203426</v>
          </cell>
          <cell r="H780">
            <v>368.66642801430294</v>
          </cell>
          <cell r="I780">
            <v>96.38755656212598</v>
          </cell>
          <cell r="J780">
            <v>727.67659143513845</v>
          </cell>
          <cell r="K780">
            <v>281.79886550853888</v>
          </cell>
          <cell r="L780">
            <v>1378.1418849579804</v>
          </cell>
        </row>
        <row r="781">
          <cell r="B781" t="str">
            <v>법금영1부</v>
          </cell>
          <cell r="C781">
            <v>8.1244560000000003</v>
          </cell>
          <cell r="D781">
            <v>433.41114325428191</v>
          </cell>
          <cell r="E781">
            <v>2.530484</v>
          </cell>
          <cell r="F781">
            <v>3.956588</v>
          </cell>
          <cell r="G781">
            <v>8.7222656286403417</v>
          </cell>
          <cell r="H781">
            <v>456.74493688292227</v>
          </cell>
          <cell r="I781">
            <v>189.413748</v>
          </cell>
          <cell r="J781">
            <v>139.89205487648198</v>
          </cell>
          <cell r="K781">
            <v>374.75878282355751</v>
          </cell>
          <cell r="L781">
            <v>971.39577458296185</v>
          </cell>
        </row>
        <row r="783">
          <cell r="B783" t="str">
            <v>기금부</v>
          </cell>
          <cell r="C783">
            <v>11.931824000000001</v>
          </cell>
          <cell r="D783">
            <v>550.60890803577956</v>
          </cell>
          <cell r="E783">
            <v>3.1541039999999998</v>
          </cell>
          <cell r="F783">
            <v>1.7879210000000001</v>
          </cell>
          <cell r="G783">
            <v>8.0806865624704205</v>
          </cell>
          <cell r="H783">
            <v>575.56344359825005</v>
          </cell>
          <cell r="I783">
            <v>-2.2958340000000002</v>
          </cell>
          <cell r="J783">
            <v>133.15957350629455</v>
          </cell>
          <cell r="K783">
            <v>342.26320082624221</v>
          </cell>
          <cell r="L783">
            <v>1050.9862179307868</v>
          </cell>
        </row>
        <row r="784">
          <cell r="B784" t="str">
            <v>채권팀</v>
          </cell>
          <cell r="C784">
            <v>13.308729</v>
          </cell>
          <cell r="D784">
            <v>400.73221775766064</v>
          </cell>
          <cell r="E784">
            <v>13.345464</v>
          </cell>
          <cell r="F784">
            <v>2.0262850000000001</v>
          </cell>
          <cell r="G784">
            <v>6.6759606096109767</v>
          </cell>
          <cell r="H784">
            <v>436.0886563672716</v>
          </cell>
          <cell r="I784">
            <v>21.883441999999999</v>
          </cell>
          <cell r="J784">
            <v>135.89933074730266</v>
          </cell>
          <cell r="K784">
            <v>324.48587119962417</v>
          </cell>
          <cell r="L784">
            <v>896.47385831419854</v>
          </cell>
        </row>
        <row r="785">
          <cell r="B785" t="str">
            <v>CP 팀</v>
          </cell>
          <cell r="C785">
            <v>2.0587550000000001</v>
          </cell>
          <cell r="D785">
            <v>10.520185570288126</v>
          </cell>
          <cell r="E785">
            <v>0.70684100000000005</v>
          </cell>
          <cell r="F785">
            <v>4.0300000000000002E-2</v>
          </cell>
          <cell r="G785">
            <v>2.0825215901226586</v>
          </cell>
          <cell r="H785">
            <v>15.408603160410784</v>
          </cell>
          <cell r="I785">
            <v>28.154243000000001</v>
          </cell>
          <cell r="J785">
            <v>0</v>
          </cell>
          <cell r="K785">
            <v>0</v>
          </cell>
          <cell r="L785">
            <v>15.408603160410784</v>
          </cell>
        </row>
        <row r="786">
          <cell r="B786" t="str">
            <v>T   C</v>
          </cell>
          <cell r="C786">
            <v>3.27874</v>
          </cell>
          <cell r="D786">
            <v>277.90876811874051</v>
          </cell>
          <cell r="E786">
            <v>25.642064000000001</v>
          </cell>
          <cell r="F786">
            <v>0.639463</v>
          </cell>
          <cell r="G786">
            <v>10.763821528288478</v>
          </cell>
          <cell r="H786">
            <v>318.232856647029</v>
          </cell>
          <cell r="I786">
            <v>-67.112279000000001</v>
          </cell>
          <cell r="J786">
            <v>103.18583152990993</v>
          </cell>
          <cell r="K786">
            <v>294.23885687182258</v>
          </cell>
          <cell r="L786">
            <v>715.65754504876156</v>
          </cell>
        </row>
        <row r="787">
          <cell r="B787" t="str">
            <v>M&amp;A</v>
          </cell>
          <cell r="C787">
            <v>43.583196999999998</v>
          </cell>
          <cell r="D787">
            <v>351.88830317270242</v>
          </cell>
          <cell r="E787">
            <v>1.896657</v>
          </cell>
          <cell r="F787">
            <v>7.9690200000000004</v>
          </cell>
          <cell r="G787">
            <v>9.2181429050547656</v>
          </cell>
          <cell r="H787">
            <v>414.55532007775719</v>
          </cell>
          <cell r="I787">
            <v>-28.228337</v>
          </cell>
          <cell r="J787">
            <v>59.819888266634997</v>
          </cell>
          <cell r="K787">
            <v>258.1770541666163</v>
          </cell>
          <cell r="L787">
            <v>732.55226251100851</v>
          </cell>
        </row>
        <row r="788">
          <cell r="B788" t="str">
            <v>goodi</v>
          </cell>
          <cell r="C788">
            <v>1.8575950000000001</v>
          </cell>
          <cell r="D788">
            <v>235.20158341522469</v>
          </cell>
          <cell r="E788">
            <v>525.86796000000004</v>
          </cell>
          <cell r="F788">
            <v>499.39708400000001</v>
          </cell>
          <cell r="G788">
            <v>7.1388953856429405</v>
          </cell>
          <cell r="H788">
            <v>1269.4631178008676</v>
          </cell>
          <cell r="I788">
            <v>1.9758000000000001E-2</v>
          </cell>
          <cell r="J788">
            <v>1248.6519693842843</v>
          </cell>
          <cell r="K788">
            <v>784.92145786605784</v>
          </cell>
          <cell r="L788">
            <v>3303.0365450512095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</row>
        <row r="790">
          <cell r="B790" t="str">
            <v>본 부</v>
          </cell>
          <cell r="C790">
            <v>1840.9110228630138</v>
          </cell>
          <cell r="D790">
            <v>10264.884746418837</v>
          </cell>
          <cell r="E790">
            <v>88.344769000000042</v>
          </cell>
          <cell r="F790">
            <v>194.3436089999999</v>
          </cell>
          <cell r="G790">
            <v>1053.6339119561799</v>
          </cell>
          <cell r="H790">
            <v>13442.118059238033</v>
          </cell>
          <cell r="I790">
            <v>81.012007000000722</v>
          </cell>
          <cell r="J790">
            <v>-5885.6680720854683</v>
          </cell>
          <cell r="K790">
            <v>-9017.9831240570038</v>
          </cell>
          <cell r="L790">
            <v>132.39921951633005</v>
          </cell>
        </row>
        <row r="791">
          <cell r="B791" t="str">
            <v>회사전체</v>
          </cell>
          <cell r="C791">
            <v>2178.9474348630138</v>
          </cell>
          <cell r="D791">
            <v>34133.67214699999</v>
          </cell>
          <cell r="E791">
            <v>1449.4264740000001</v>
          </cell>
          <cell r="F791">
            <v>853.00739799999997</v>
          </cell>
          <cell r="G791">
            <v>2611.3757066122657</v>
          </cell>
          <cell r="H791">
            <v>41226.429160475273</v>
          </cell>
          <cell r="I791">
            <v>2590.5341372820408</v>
          </cell>
          <cell r="J791">
            <v>7.1525573730468752E-13</v>
          </cell>
          <cell r="K791">
            <v>5.3644180297851564E-13</v>
          </cell>
          <cell r="L791">
            <v>41226.429160475294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련번호"/>
      <sheetName val="여신명세"/>
      <sheetName val="담보명세"/>
      <sheetName val="제외명세"/>
      <sheetName val="비용"/>
    </sheetNames>
    <sheetDataSet>
      <sheetData sheetId="0" refreshError="1"/>
      <sheetData sheetId="1" refreshError="1"/>
      <sheetData sheetId="2">
        <row r="1">
          <cell r="B1" t="str">
            <v xml:space="preserve">       매각채권 담보명세</v>
          </cell>
        </row>
        <row r="2">
          <cell r="D2" t="str">
            <v>사업자(주민)</v>
          </cell>
          <cell r="E2" t="str">
            <v>담보소재지(지번까지)</v>
          </cell>
          <cell r="G2" t="str">
            <v>담보</v>
          </cell>
          <cell r="H2" t="str">
            <v>토지</v>
          </cell>
          <cell r="I2" t="str">
            <v>건물(㎡)</v>
          </cell>
          <cell r="O2" t="str">
            <v>당행설정</v>
          </cell>
          <cell r="P2" t="str">
            <v>당행설정</v>
          </cell>
          <cell r="Q2" t="str">
            <v>공담</v>
          </cell>
          <cell r="R2" t="str">
            <v>타행설정</v>
          </cell>
          <cell r="S2" t="str">
            <v>타행설정</v>
          </cell>
          <cell r="T2" t="str">
            <v>개  시  결  정</v>
          </cell>
          <cell r="W2" t="str">
            <v>경매진행사항</v>
          </cell>
        </row>
        <row r="3">
          <cell r="B3" t="str">
            <v>담당자</v>
          </cell>
          <cell r="C3" t="str">
            <v>채 무 자 명</v>
          </cell>
          <cell r="D3" t="str">
            <v>등 록  번 호</v>
          </cell>
          <cell r="E3" t="str">
            <v>시.도</v>
          </cell>
          <cell r="F3" t="str">
            <v>상 세  주 소</v>
          </cell>
          <cell r="G3" t="str">
            <v>종류</v>
          </cell>
          <cell r="H3" t="str">
            <v>(㎡)</v>
          </cell>
          <cell r="I3" t="str">
            <v>매  수</v>
          </cell>
          <cell r="J3" t="str">
            <v>기계</v>
          </cell>
          <cell r="K3" t="str">
            <v>소유자</v>
          </cell>
          <cell r="L3" t="str">
            <v>감정일자</v>
          </cell>
          <cell r="M3" t="str">
            <v>감정가격</v>
          </cell>
          <cell r="N3" t="str">
            <v>감정기관</v>
          </cell>
          <cell r="O3" t="str">
            <v>순    위</v>
          </cell>
          <cell r="P3" t="str">
            <v>금    액</v>
          </cell>
          <cell r="Q3" t="str">
            <v>여부</v>
          </cell>
          <cell r="R3" t="str">
            <v>순    위</v>
          </cell>
          <cell r="S3" t="str">
            <v>금    액</v>
          </cell>
          <cell r="T3" t="str">
            <v>일자</v>
          </cell>
          <cell r="U3" t="str">
            <v>사건번호</v>
          </cell>
          <cell r="V3" t="str">
            <v>법원명</v>
          </cell>
          <cell r="W3" t="str">
            <v>최초법사가</v>
          </cell>
          <cell r="X3" t="str">
            <v>회차</v>
          </cell>
          <cell r="Y3" t="str">
            <v>입찰기일</v>
          </cell>
          <cell r="Z3" t="str">
            <v>법사가</v>
          </cell>
          <cell r="AA3" t="str">
            <v>낙찰금액</v>
          </cell>
          <cell r="AB3" t="str">
            <v>배당금액</v>
          </cell>
          <cell r="AC3" t="str">
            <v>항고</v>
          </cell>
          <cell r="AD3" t="str">
            <v>비    고</v>
          </cell>
        </row>
        <row r="4">
          <cell r="B4" t="str">
            <v>박호원</v>
          </cell>
          <cell r="C4" t="str">
            <v>송영애</v>
          </cell>
          <cell r="D4" t="str">
            <v>5811112109621</v>
          </cell>
          <cell r="E4" t="str">
            <v>부산</v>
          </cell>
          <cell r="F4" t="str">
            <v>동래구 안락동15-26현대아파트105동1305호</v>
          </cell>
          <cell r="G4" t="str">
            <v>아파트</v>
          </cell>
          <cell r="H4">
            <v>28</v>
          </cell>
          <cell r="I4">
            <v>59</v>
          </cell>
          <cell r="J4">
            <v>0</v>
          </cell>
          <cell r="K4" t="str">
            <v>송영애</v>
          </cell>
          <cell r="L4" t="str">
            <v>0001-01-01</v>
          </cell>
          <cell r="M4">
            <v>87000000</v>
          </cell>
          <cell r="O4">
            <v>12</v>
          </cell>
          <cell r="P4">
            <v>84000000</v>
          </cell>
          <cell r="T4">
            <v>38062</v>
          </cell>
          <cell r="U4" t="str">
            <v>2004타경13969</v>
          </cell>
          <cell r="V4" t="str">
            <v>부산</v>
          </cell>
          <cell r="W4">
            <v>0</v>
          </cell>
          <cell r="X4">
            <v>0</v>
          </cell>
          <cell r="Z4">
            <v>0</v>
          </cell>
          <cell r="AA4">
            <v>0</v>
          </cell>
          <cell r="AB4">
            <v>0</v>
          </cell>
        </row>
      </sheetData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회전율"/>
      <sheetName val="총괄표"/>
      <sheetName val="8100"/>
      <sheetName val="별첨1"/>
      <sheetName val="별첨2"/>
      <sheetName val="제출용BS(한일+할부)"/>
      <sheetName val="반기_유가증권"/>
      <sheetName val="회사개황최종"/>
      <sheetName val="TEMP"/>
      <sheetName val="JA"/>
      <sheetName val="금융"/>
      <sheetName val="Master"/>
      <sheetName val="경락률"/>
      <sheetName val="법원비용"/>
      <sheetName val="LoanList"/>
      <sheetName val="잔존년수"/>
      <sheetName val="항고구분"/>
      <sheetName val="경매회차하락률"/>
      <sheetName val="표준CoA"/>
      <sheetName val="은행"/>
      <sheetName val="리스"/>
      <sheetName val="보험"/>
      <sheetName val="갑지"/>
      <sheetName val="실행"/>
      <sheetName val="95하"/>
      <sheetName val="이자"/>
      <sheetName val="변제"/>
      <sheetName val="상환대상"/>
      <sheetName val="25.보증금(임차보증금외)"/>
      <sheetName val="매각대상(전체)"/>
      <sheetName val="회사정보"/>
      <sheetName val="대출채권"/>
      <sheetName val="재료비"/>
      <sheetName val="BS"/>
      <sheetName val="IS"/>
      <sheetName val="매출.물동명세"/>
      <sheetName val="계수원본(99.2.28)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급여테이블"/>
      <sheetName val="의료보험표준보수액"/>
      <sheetName val="17(L)_원가배부(규격)"/>
      <sheetName val="TB"/>
      <sheetName val="연체대출"/>
      <sheetName val="2담당0113"/>
      <sheetName val="매입매출(입력)"/>
      <sheetName val="Tranche"/>
      <sheetName val="97년추정손익계산서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대환취급"/>
      <sheetName val="상품입력"/>
      <sheetName val="CODE"/>
      <sheetName val="INSTRUMENT"/>
      <sheetName val="급여명세표(정규직)"/>
      <sheetName val="관리별정촉탁-기초data"/>
      <sheetName val="총괄집계"/>
      <sheetName val="1담당0113"/>
      <sheetName val="생산판매재고"/>
      <sheetName val="지점장"/>
      <sheetName val="손익합산"/>
      <sheetName val="수정시산표"/>
      <sheetName val="공통"/>
      <sheetName val="기초자료입력"/>
      <sheetName val="인건비"/>
      <sheetName val="업체개요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24.보증금(전신전화가입권)"/>
      <sheetName val="계정code"/>
      <sheetName val="Main"/>
      <sheetName val="basic_info"/>
      <sheetName val="利息収支比較表簡略型"/>
      <sheetName val="１月見込比比較表"/>
      <sheetName val="ZY100"/>
      <sheetName val="공통속성"/>
      <sheetName val="sap`04.7.14"/>
      <sheetName val="초회계획"/>
      <sheetName val="현금"/>
      <sheetName val="원시데이타"/>
      <sheetName val="근로영수증"/>
      <sheetName val="작성자"/>
      <sheetName val="비용"/>
      <sheetName val="조견표"/>
      <sheetName val="본부별실적"/>
      <sheetName val="전월포함실적(0101-0110)"/>
      <sheetName val="부서별손익 (부)"/>
      <sheetName val="금리보조"/>
      <sheetName val="기본가정"/>
      <sheetName val="도급비정산"/>
      <sheetName val="APT"/>
      <sheetName val="3.판관비명세서"/>
      <sheetName val="국산화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ROOT 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cfanal"/>
      <sheetName val="TRW원가"/>
      <sheetName val="25_보증금(임차보증금외)"/>
      <sheetName val="매출_물동명세"/>
      <sheetName val="profit"/>
      <sheetName val="2003SaleHC"/>
      <sheetName val="OtherKPI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hmsim"/>
      <sheetName val="출납"/>
      <sheetName val="국가코드"/>
      <sheetName val="세무서코드(2004.4.1이후)"/>
      <sheetName val="상각율표"/>
      <sheetName val="00퇴직급여충당금"/>
      <sheetName val="CC_Mfg"/>
      <sheetName val="주요기준"/>
      <sheetName val="임차보증금현황04.6.30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보정전BS(세분류)"/>
      <sheetName val="Lists"/>
      <sheetName val="US Codes"/>
      <sheetName val="국외감가상각내역0103"/>
      <sheetName val="txt(손익)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인스탄스 정의"/>
      <sheetName val="영업점(4)"/>
      <sheetName val="연부97-1"/>
      <sheetName val="갑지1"/>
      <sheetName val="이익처분"/>
      <sheetName val="Ctrl"/>
      <sheetName val="주석 Interface(BS)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총괄_(계획대_x0009__x000b__x0007_"/>
      <sheetName val="_x0000__x0006__x0000__x0006__x0000__x0006__x0000_"/>
      <sheetName val="଀܀ࠀ਀଀ࠀ"/>
      <sheetName val="코드상세"/>
      <sheetName val="기초자료"/>
      <sheetName val="국민년금전환금"/>
      <sheetName val="년월차수당"/>
      <sheetName val="상여금"/>
      <sheetName val="원부자재비"/>
      <sheetName val="실적관리"/>
      <sheetName val="pre-anal대차대조표"/>
      <sheetName val="기본사항"/>
      <sheetName val="총괄_(계획대 _x000b__x0007_"/>
      <sheetName val="9월"/>
      <sheetName val="6월"/>
      <sheetName val="7월"/>
      <sheetName val="8월"/>
      <sheetName val="99생산계획 (1,300)"/>
      <sheetName val="고호석"/>
      <sheetName val="controll"/>
      <sheetName val="월별"/>
      <sheetName val="수익성분석"/>
      <sheetName val="이익잉여금처분계산서"/>
      <sheetName val="제조원가명세서"/>
      <sheetName val="현금흐름표"/>
      <sheetName val="f_BS"/>
      <sheetName val="f_IS"/>
      <sheetName val="3백이하"/>
      <sheetName val="상환여부"/>
      <sheetName val="순자본(증권+운용사)"/>
      <sheetName val="계정과목"/>
      <sheetName val="round"/>
      <sheetName val="count"/>
      <sheetName val="96상입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담보명세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/>
      <sheetData sheetId="20">
        <row r="2">
          <cell r="A2" t="str">
            <v>100001</v>
          </cell>
        </row>
      </sheetData>
      <sheetData sheetId="21">
        <row r="2">
          <cell r="A2" t="str">
            <v>100001</v>
          </cell>
        </row>
      </sheetData>
      <sheetData sheetId="22"/>
      <sheetData sheetId="23">
        <row r="2">
          <cell r="A2" t="str">
            <v>100001</v>
          </cell>
        </row>
      </sheetData>
      <sheetData sheetId="24">
        <row r="2">
          <cell r="A2" t="str">
            <v>100001</v>
          </cell>
        </row>
      </sheetData>
      <sheetData sheetId="25">
        <row r="2">
          <cell r="A2" t="str">
            <v>100001</v>
          </cell>
        </row>
      </sheetData>
      <sheetData sheetId="26">
        <row r="2">
          <cell r="A2" t="str">
            <v>100001</v>
          </cell>
        </row>
      </sheetData>
      <sheetData sheetId="27">
        <row r="2">
          <cell r="A2" t="str">
            <v>100001</v>
          </cell>
        </row>
      </sheetData>
      <sheetData sheetId="28">
        <row r="2">
          <cell r="A2" t="str">
            <v>100001</v>
          </cell>
        </row>
      </sheetData>
      <sheetData sheetId="29"/>
      <sheetData sheetId="30">
        <row r="2">
          <cell r="A2" t="str">
            <v>100001</v>
          </cell>
        </row>
      </sheetData>
      <sheetData sheetId="31">
        <row r="2">
          <cell r="A2" t="str">
            <v>100001</v>
          </cell>
        </row>
      </sheetData>
      <sheetData sheetId="32"/>
      <sheetData sheetId="33">
        <row r="2">
          <cell r="A2" t="str">
            <v>100001</v>
          </cell>
        </row>
      </sheetData>
      <sheetData sheetId="34">
        <row r="2">
          <cell r="A2" t="str">
            <v>100001</v>
          </cell>
        </row>
      </sheetData>
      <sheetData sheetId="35">
        <row r="2">
          <cell r="A2" t="str">
            <v>100001</v>
          </cell>
        </row>
      </sheetData>
      <sheetData sheetId="36">
        <row r="2">
          <cell r="A2" t="str">
            <v>100001</v>
          </cell>
        </row>
      </sheetData>
      <sheetData sheetId="37">
        <row r="2">
          <cell r="A2" t="str">
            <v>100001</v>
          </cell>
        </row>
      </sheetData>
      <sheetData sheetId="38">
        <row r="2">
          <cell r="A2" t="str">
            <v>100001</v>
          </cell>
        </row>
      </sheetData>
      <sheetData sheetId="39"/>
      <sheetData sheetId="40">
        <row r="2">
          <cell r="A2" t="str">
            <v>100001</v>
          </cell>
        </row>
      </sheetData>
      <sheetData sheetId="41">
        <row r="2">
          <cell r="A2" t="str">
            <v>100001</v>
          </cell>
        </row>
      </sheetData>
      <sheetData sheetId="42"/>
      <sheetData sheetId="43">
        <row r="2">
          <cell r="A2" t="str">
            <v>100001</v>
          </cell>
        </row>
      </sheetData>
      <sheetData sheetId="44">
        <row r="2">
          <cell r="A2" t="str">
            <v>100001</v>
          </cell>
        </row>
      </sheetData>
      <sheetData sheetId="45">
        <row r="2">
          <cell r="A2" t="str">
            <v>100001</v>
          </cell>
        </row>
      </sheetData>
      <sheetData sheetId="46">
        <row r="2">
          <cell r="A2" t="str">
            <v>100001</v>
          </cell>
        </row>
      </sheetData>
      <sheetData sheetId="47">
        <row r="2">
          <cell r="A2" t="str">
            <v>100001</v>
          </cell>
        </row>
      </sheetData>
      <sheetData sheetId="48">
        <row r="2">
          <cell r="A2" t="str">
            <v>100001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2">
          <cell r="F2">
            <v>100001</v>
          </cell>
        </row>
      </sheetData>
      <sheetData sheetId="135"/>
      <sheetData sheetId="136"/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F2">
            <v>100001</v>
          </cell>
        </row>
      </sheetData>
      <sheetData sheetId="141"/>
      <sheetData sheetId="142"/>
      <sheetData sheetId="143"/>
      <sheetData sheetId="144"/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F2">
            <v>100001</v>
          </cell>
        </row>
      </sheetData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F2">
            <v>100001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>
        <row r="2">
          <cell r="A2" t="str">
            <v>100001</v>
          </cell>
        </row>
      </sheetData>
      <sheetData sheetId="367">
        <row r="2">
          <cell r="A2" t="str">
            <v>100001</v>
          </cell>
        </row>
      </sheetData>
      <sheetData sheetId="368">
        <row r="2">
          <cell r="A2" t="str">
            <v>100001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>
        <row r="2">
          <cell r="F2">
            <v>100001</v>
          </cell>
        </row>
      </sheetData>
      <sheetData sheetId="402"/>
      <sheetData sheetId="403"/>
      <sheetData sheetId="404"/>
      <sheetData sheetId="405">
        <row r="2">
          <cell r="A2" t="str">
            <v>100001</v>
          </cell>
        </row>
      </sheetData>
      <sheetData sheetId="406">
        <row r="2">
          <cell r="F2">
            <v>100001</v>
          </cell>
        </row>
      </sheetData>
      <sheetData sheetId="407"/>
      <sheetData sheetId="408"/>
      <sheetData sheetId="409"/>
      <sheetData sheetId="410">
        <row r="2">
          <cell r="A2" t="str">
            <v>100001</v>
          </cell>
        </row>
      </sheetData>
      <sheetData sheetId="411"/>
      <sheetData sheetId="412"/>
      <sheetData sheetId="413"/>
      <sheetData sheetId="414"/>
      <sheetData sheetId="415">
        <row r="2">
          <cell r="A2" t="str">
            <v>100001</v>
          </cell>
        </row>
      </sheetData>
      <sheetData sheetId="416">
        <row r="2">
          <cell r="F2">
            <v>100001</v>
          </cell>
        </row>
      </sheetData>
      <sheetData sheetId="417"/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>
        <row r="2">
          <cell r="A2" t="str">
            <v>100001</v>
          </cell>
        </row>
      </sheetData>
      <sheetData sheetId="640">
        <row r="2">
          <cell r="A2" t="str">
            <v>100001</v>
          </cell>
        </row>
      </sheetData>
      <sheetData sheetId="641" refreshError="1"/>
      <sheetData sheetId="642" refreshError="1"/>
      <sheetData sheetId="643" refreshError="1"/>
      <sheetData sheetId="644">
        <row r="2">
          <cell r="A2" t="str">
            <v>100001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기본사항"/>
      <sheetName val="조정CF 및 평가"/>
      <sheetName val="재무제표"/>
      <sheetName val="Assumption"/>
      <sheetName val="BP비교"/>
      <sheetName val="수정BP"/>
      <sheetName val="청산가치"/>
      <sheetName val="수정 BP 추정사항 (-Master)"/>
      <sheetName val="2001년 1분기 매출구조변화"/>
      <sheetName val="외환은행 총 차입금스케줄"/>
      <sheetName val="차입금종합"/>
      <sheetName val="여신현황"/>
      <sheetName val="담보평가"/>
      <sheetName val="총원화Schedule"/>
      <sheetName val="총외화Schedule"/>
      <sheetName val="Schedule합계"/>
      <sheetName val="원화Schedule"/>
      <sheetName val="외화Schedule"/>
      <sheetName val="Schedule집계"/>
      <sheetName val="Updated 담보"/>
      <sheetName val="Simulation"/>
      <sheetName val="할인율"/>
      <sheetName val="담보명세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Analysis"/>
      <sheetName val="Assumptions"/>
      <sheetName val="Summary"/>
      <sheetName val="CashFlow_1"/>
      <sheetName val="CashFlow_2"/>
      <sheetName val="CashFlow_3"/>
      <sheetName val="BackData_1"/>
      <sheetName val="BackData_2"/>
      <sheetName val="BackData_3"/>
      <sheetName val="BackData_3 (2)"/>
      <sheetName val="BackData_4"/>
      <sheetName val="BackData_5"/>
      <sheetName val="외화Schedule"/>
    </sheetNames>
    <sheetDataSet>
      <sheetData sheetId="0" refreshError="1"/>
      <sheetData sheetId="1" refreshError="1"/>
      <sheetData sheetId="2">
        <row r="57">
          <cell r="C57">
            <v>2</v>
          </cell>
        </row>
        <row r="62">
          <cell r="E62">
            <v>16000000</v>
          </cell>
          <cell r="F62">
            <v>13500000</v>
          </cell>
        </row>
        <row r="63">
          <cell r="E63">
            <v>16000000</v>
          </cell>
          <cell r="F63">
            <v>11700000</v>
          </cell>
        </row>
        <row r="64">
          <cell r="E64">
            <v>14000000</v>
          </cell>
          <cell r="F64">
            <v>9000000</v>
          </cell>
        </row>
        <row r="65">
          <cell r="E65">
            <v>12000000</v>
          </cell>
          <cell r="F65">
            <v>7500000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(자99,2000)"/>
      <sheetName val="소접수기존파일모음"/>
      <sheetName val="소진행"/>
      <sheetName val="이효기"/>
      <sheetName val="소취하"/>
      <sheetName val="종결(자)"/>
      <sheetName val="98소송현황"/>
      <sheetName val="진행(변)"/>
      <sheetName val="종결(변)"/>
      <sheetName val="판결"/>
      <sheetName val="값"/>
      <sheetName val="경매계의뢰"/>
      <sheetName val="리드14"/>
      <sheetName val="Assumptions"/>
      <sheetName val="담보명세"/>
      <sheetName val="대환취급"/>
      <sheetName val="추심사번(신)"/>
      <sheetName val="기준봉급표"/>
      <sheetName val="개인법인구분"/>
      <sheetName val="6층"/>
      <sheetName val="CashFlow(중간집계)"/>
      <sheetName val="법원비용"/>
      <sheetName val="당월실적"/>
      <sheetName val="권리분석"/>
      <sheetName val="MatchCode"/>
      <sheetName val="Ⅱ1-0타"/>
      <sheetName val="행정반"/>
      <sheetName val="회사정보"/>
      <sheetName val="가정"/>
      <sheetName val="99급여표"/>
      <sheetName val="국민연금"/>
      <sheetName val="업무2000"/>
      <sheetName val="기본데이터"/>
    </sheetNames>
    <sheetDataSet>
      <sheetData sheetId="0" refreshError="1">
        <row r="1">
          <cell r="B1" t="str">
            <v>배영옥</v>
          </cell>
        </row>
        <row r="1238">
          <cell r="B1238" t="str">
            <v>김명애</v>
          </cell>
          <cell r="C1238" t="str">
            <v>2000가소1009838</v>
          </cell>
          <cell r="E1238" t="str">
            <v>서정숙 원의경 원애경 윤종현 이용운</v>
          </cell>
          <cell r="F1238">
            <v>11759580</v>
          </cell>
          <cell r="K1238">
            <v>9588</v>
          </cell>
          <cell r="L1238">
            <v>9588</v>
          </cell>
        </row>
        <row r="1239">
          <cell r="B1239" t="str">
            <v>박용건(박재만)</v>
          </cell>
          <cell r="E1239">
            <v>3639597</v>
          </cell>
          <cell r="F1239">
            <v>3639597</v>
          </cell>
          <cell r="K1239">
            <v>12198</v>
          </cell>
          <cell r="L1239">
            <v>12198</v>
          </cell>
        </row>
        <row r="1240">
          <cell r="B1240" t="str">
            <v>한동필</v>
          </cell>
          <cell r="E1240" t="str">
            <v>한동필 정선옥 유정자 한혜옥 조정하 조은하</v>
          </cell>
          <cell r="F1240">
            <v>30007317</v>
          </cell>
          <cell r="K1240">
            <v>4898</v>
          </cell>
          <cell r="L1240">
            <v>4898</v>
          </cell>
        </row>
        <row r="1241">
          <cell r="B1241" t="str">
            <v>동양제화</v>
          </cell>
          <cell r="D1241" t="str">
            <v>한국신발공업</v>
          </cell>
          <cell r="E1241" t="str">
            <v>한국신발공업</v>
          </cell>
          <cell r="F1241">
            <v>399946010</v>
          </cell>
          <cell r="K1241">
            <v>8285</v>
          </cell>
          <cell r="L1241">
            <v>8285</v>
          </cell>
        </row>
        <row r="1242">
          <cell r="B1242" t="str">
            <v>㈜상원</v>
          </cell>
          <cell r="D1242" t="str">
            <v>한국신발공업</v>
          </cell>
          <cell r="E1242" t="str">
            <v>한국신발공업</v>
          </cell>
          <cell r="F1242">
            <v>163539537</v>
          </cell>
          <cell r="L1242">
            <v>36647</v>
          </cell>
        </row>
        <row r="1243">
          <cell r="B1243" t="str">
            <v>김재진</v>
          </cell>
          <cell r="C1243" t="str">
            <v>2000가단618</v>
          </cell>
          <cell r="D1243" t="str">
            <v>한국신발공업</v>
          </cell>
          <cell r="E1243" t="str">
            <v>한국신발공업</v>
          </cell>
          <cell r="F1243">
            <v>73048800</v>
          </cell>
          <cell r="K1243">
            <v>8305</v>
          </cell>
          <cell r="L1243">
            <v>8305</v>
          </cell>
        </row>
        <row r="1244">
          <cell r="B1244" t="str">
            <v>김영숙</v>
          </cell>
          <cell r="C1244" t="str">
            <v>99가단298703</v>
          </cell>
          <cell r="D1244" t="str">
            <v>김은종</v>
          </cell>
          <cell r="E1244" t="str">
            <v>김은종</v>
          </cell>
          <cell r="F1244">
            <v>12000000</v>
          </cell>
          <cell r="K1244" t="str">
            <v>이성복</v>
          </cell>
          <cell r="L1244" t="str">
            <v>이성복</v>
          </cell>
        </row>
        <row r="1245">
          <cell r="B1245" t="str">
            <v>제갈정란</v>
          </cell>
          <cell r="C1245" t="str">
            <v>2000가소1035264</v>
          </cell>
          <cell r="E1245" t="str">
            <v>제갈정란 강석윤</v>
          </cell>
          <cell r="F1245">
            <v>9060186</v>
          </cell>
          <cell r="K1245">
            <v>34188</v>
          </cell>
          <cell r="L1245">
            <v>34188</v>
          </cell>
        </row>
        <row r="1246">
          <cell r="B1246" t="str">
            <v>방순옥</v>
          </cell>
          <cell r="C1246" t="str">
            <v>2000가소1035271</v>
          </cell>
          <cell r="E1246" t="str">
            <v>방순옥</v>
          </cell>
          <cell r="F1246">
            <v>4984611</v>
          </cell>
          <cell r="K1246">
            <v>31670</v>
          </cell>
          <cell r="L1246">
            <v>31670</v>
          </cell>
        </row>
        <row r="1247">
          <cell r="B1247" t="str">
            <v>심창한</v>
          </cell>
          <cell r="C1247" t="str">
            <v>2000가소1035288</v>
          </cell>
          <cell r="E1247" t="str">
            <v>심창한 김삼복</v>
          </cell>
          <cell r="F1247">
            <v>9875952</v>
          </cell>
          <cell r="K1247">
            <v>28436</v>
          </cell>
          <cell r="L1247">
            <v>28436</v>
          </cell>
        </row>
        <row r="1248">
          <cell r="B1248" t="str">
            <v>한영환</v>
          </cell>
          <cell r="C1248" t="str">
            <v>2000가소1035295</v>
          </cell>
          <cell r="E1248" t="str">
            <v>한영환</v>
          </cell>
          <cell r="F1248">
            <v>13828650</v>
          </cell>
          <cell r="K1248">
            <v>31602</v>
          </cell>
          <cell r="L1248">
            <v>31602</v>
          </cell>
        </row>
        <row r="1249">
          <cell r="B1249" t="str">
            <v>최성만</v>
          </cell>
          <cell r="C1249" t="str">
            <v>2000가소1035301</v>
          </cell>
          <cell r="E1249" t="str">
            <v>최성만</v>
          </cell>
          <cell r="F1249">
            <v>12006810</v>
          </cell>
          <cell r="K1249">
            <v>32418</v>
          </cell>
          <cell r="L1249">
            <v>32418</v>
          </cell>
        </row>
        <row r="1250">
          <cell r="B1250" t="str">
            <v>이정순</v>
          </cell>
          <cell r="C1250" t="str">
            <v>2000가소1035318</v>
          </cell>
          <cell r="E1250" t="str">
            <v>이정순 김광수</v>
          </cell>
          <cell r="F1250">
            <v>15853291</v>
          </cell>
          <cell r="K1250">
            <v>28000</v>
          </cell>
          <cell r="L1250">
            <v>28000</v>
          </cell>
        </row>
        <row r="1251">
          <cell r="B1251" t="str">
            <v>장기임</v>
          </cell>
          <cell r="C1251" t="str">
            <v>2000가소1035325</v>
          </cell>
          <cell r="E1251" t="str">
            <v>장기임</v>
          </cell>
          <cell r="F1251">
            <v>10464904</v>
          </cell>
          <cell r="K1251">
            <v>26451</v>
          </cell>
          <cell r="L1251">
            <v>26451</v>
          </cell>
        </row>
        <row r="1252">
          <cell r="B1252" t="str">
            <v>박진식</v>
          </cell>
          <cell r="C1252" t="str">
            <v>2000가소1035332</v>
          </cell>
          <cell r="E1252" t="str">
            <v>박지식</v>
          </cell>
          <cell r="F1252">
            <v>6536608</v>
          </cell>
          <cell r="K1252">
            <v>30492</v>
          </cell>
          <cell r="L1252">
            <v>30492</v>
          </cell>
        </row>
        <row r="1253">
          <cell r="B1253" t="str">
            <v>염병삼</v>
          </cell>
          <cell r="C1253" t="str">
            <v>2000가소1035349</v>
          </cell>
          <cell r="E1253" t="str">
            <v>염병삼</v>
          </cell>
          <cell r="F1253">
            <v>12997106</v>
          </cell>
          <cell r="K1253">
            <v>30622</v>
          </cell>
          <cell r="L1253">
            <v>30622</v>
          </cell>
        </row>
        <row r="1254">
          <cell r="B1254" t="str">
            <v>정이순</v>
          </cell>
          <cell r="C1254" t="str">
            <v>2000가소1035356</v>
          </cell>
          <cell r="E1254" t="str">
            <v>정이순 김천환</v>
          </cell>
          <cell r="F1254">
            <v>5300779</v>
          </cell>
          <cell r="K1254">
            <v>33994</v>
          </cell>
          <cell r="L1254">
            <v>33994</v>
          </cell>
        </row>
        <row r="1255">
          <cell r="B1255" t="str">
            <v>김점용</v>
          </cell>
          <cell r="C1255" t="str">
            <v>2000가소1035363</v>
          </cell>
          <cell r="E1255" t="str">
            <v>김점용 하경필</v>
          </cell>
          <cell r="F1255">
            <v>2550823</v>
          </cell>
          <cell r="K1255">
            <v>26041</v>
          </cell>
          <cell r="L1255">
            <v>26041</v>
          </cell>
        </row>
        <row r="1256">
          <cell r="B1256" t="str">
            <v>송미란</v>
          </cell>
          <cell r="C1256" t="str">
            <v>2000가소1035189</v>
          </cell>
          <cell r="E1256" t="str">
            <v>송미란 김진안 곽명애</v>
          </cell>
          <cell r="F1256">
            <v>6041703</v>
          </cell>
          <cell r="K1256">
            <v>1847</v>
          </cell>
          <cell r="L1256">
            <v>1847</v>
          </cell>
        </row>
        <row r="1257">
          <cell r="B1257" t="str">
            <v>이종만</v>
          </cell>
          <cell r="C1257" t="str">
            <v>2000가소1035196</v>
          </cell>
          <cell r="E1257" t="str">
            <v>이종만 이윤미</v>
          </cell>
          <cell r="F1257">
            <v>6693300</v>
          </cell>
          <cell r="K1257">
            <v>26130</v>
          </cell>
          <cell r="L1257">
            <v>26130</v>
          </cell>
        </row>
        <row r="1258">
          <cell r="B1258" t="str">
            <v>최병태</v>
          </cell>
          <cell r="C1258" t="str">
            <v>2000가소1035202</v>
          </cell>
          <cell r="E1258" t="str">
            <v>최병태 이의선</v>
          </cell>
          <cell r="F1258">
            <v>18070974</v>
          </cell>
          <cell r="K1258">
            <v>29453</v>
          </cell>
          <cell r="L1258">
            <v>29453</v>
          </cell>
        </row>
        <row r="1259">
          <cell r="B1259" t="str">
            <v>조명관</v>
          </cell>
          <cell r="C1259" t="str">
            <v>2000가소1035219</v>
          </cell>
          <cell r="E1259" t="str">
            <v>조명관 김규진</v>
          </cell>
          <cell r="F1259">
            <v>7934036</v>
          </cell>
          <cell r="K1259">
            <v>33745</v>
          </cell>
          <cell r="L1259">
            <v>33745</v>
          </cell>
        </row>
        <row r="1260">
          <cell r="B1260" t="str">
            <v>김재윤</v>
          </cell>
          <cell r="C1260" t="str">
            <v>2000가소1035226</v>
          </cell>
          <cell r="E1260" t="str">
            <v>김재윤</v>
          </cell>
          <cell r="F1260">
            <v>11899775</v>
          </cell>
          <cell r="K1260">
            <v>32880</v>
          </cell>
          <cell r="L1260">
            <v>32880</v>
          </cell>
        </row>
        <row r="1261">
          <cell r="B1261" t="str">
            <v>박영옥</v>
          </cell>
          <cell r="C1261" t="str">
            <v>2000가소1035233</v>
          </cell>
          <cell r="E1261" t="str">
            <v>박영옥</v>
          </cell>
          <cell r="F1261">
            <v>9745806</v>
          </cell>
          <cell r="K1261">
            <v>29223</v>
          </cell>
          <cell r="L1261">
            <v>29223</v>
          </cell>
        </row>
        <row r="1262">
          <cell r="B1262" t="str">
            <v>고숙희</v>
          </cell>
          <cell r="C1262" t="str">
            <v>2000가소1035240</v>
          </cell>
          <cell r="E1262" t="str">
            <v>고숙희 김인철</v>
          </cell>
          <cell r="F1262">
            <v>11198199</v>
          </cell>
          <cell r="K1262">
            <v>31106</v>
          </cell>
          <cell r="L1262">
            <v>31106</v>
          </cell>
        </row>
        <row r="1263">
          <cell r="B1263" t="str">
            <v>이윤신</v>
          </cell>
          <cell r="C1263" t="str">
            <v>2000가단12349</v>
          </cell>
          <cell r="D1263">
            <v>36628</v>
          </cell>
          <cell r="E1263" t="str">
            <v>이윤신 이영희 김용배 주영경</v>
          </cell>
          <cell r="F1263">
            <v>20260634</v>
          </cell>
          <cell r="K1263">
            <v>28873</v>
          </cell>
          <cell r="L1263">
            <v>28873</v>
          </cell>
        </row>
        <row r="1264">
          <cell r="B1264" t="str">
            <v>㈜보성종합상사</v>
          </cell>
          <cell r="E1264" t="str">
            <v>(주)보성종합상사 이창의 허병희</v>
          </cell>
          <cell r="F1264">
            <v>280894483</v>
          </cell>
          <cell r="K1264">
            <v>25340</v>
          </cell>
          <cell r="L1264">
            <v>25340</v>
          </cell>
        </row>
        <row r="1265">
          <cell r="B1265" t="str">
            <v>정규철</v>
          </cell>
          <cell r="C1265" t="str">
            <v>2000가단12325</v>
          </cell>
          <cell r="D1265" t="str">
            <v>한국신발공업</v>
          </cell>
          <cell r="E1265" t="str">
            <v>한국신발공업</v>
          </cell>
          <cell r="F1265">
            <v>200000000</v>
          </cell>
          <cell r="K1265">
            <v>8301</v>
          </cell>
          <cell r="L1265">
            <v>8301</v>
          </cell>
        </row>
        <row r="1266">
          <cell r="B1266" t="str">
            <v>신의용</v>
          </cell>
          <cell r="C1266" t="str">
            <v>2000가단12332</v>
          </cell>
          <cell r="D1266" t="str">
            <v>한국신발공업</v>
          </cell>
          <cell r="E1266" t="str">
            <v>한국신발공업</v>
          </cell>
          <cell r="F1266">
            <v>167371017</v>
          </cell>
          <cell r="K1266">
            <v>8708</v>
          </cell>
          <cell r="L1266">
            <v>8308</v>
          </cell>
        </row>
        <row r="1267">
          <cell r="B1267" t="str">
            <v>김응수</v>
          </cell>
          <cell r="C1267" t="str">
            <v>2000가소1042750</v>
          </cell>
          <cell r="E1267" t="str">
            <v>김응수 김춘월</v>
          </cell>
          <cell r="F1267">
            <v>8617404</v>
          </cell>
          <cell r="L1267">
            <v>1819</v>
          </cell>
        </row>
        <row r="1268">
          <cell r="B1268" t="str">
            <v>최준호</v>
          </cell>
          <cell r="C1268" t="str">
            <v>2000가소1042767</v>
          </cell>
          <cell r="D1268">
            <v>36628</v>
          </cell>
          <cell r="E1268" t="str">
            <v>최준호 이만기 곽태섭</v>
          </cell>
          <cell r="F1268">
            <v>1775367</v>
          </cell>
          <cell r="L1268">
            <v>4565</v>
          </cell>
        </row>
        <row r="1269">
          <cell r="B1269" t="str">
            <v>조영현</v>
          </cell>
          <cell r="C1269" t="str">
            <v>2000가소1042774</v>
          </cell>
          <cell r="D1269">
            <v>36628</v>
          </cell>
          <cell r="E1269">
            <v>11631016</v>
          </cell>
          <cell r="F1269">
            <v>11631016</v>
          </cell>
          <cell r="L1269">
            <v>1691</v>
          </cell>
        </row>
        <row r="1270">
          <cell r="B1270" t="str">
            <v>김봉호</v>
          </cell>
          <cell r="C1270" t="str">
            <v>2000가소1042743</v>
          </cell>
          <cell r="D1270">
            <v>36628</v>
          </cell>
          <cell r="E1270" t="str">
            <v>김봉호 이원화</v>
          </cell>
          <cell r="F1270">
            <v>4330080</v>
          </cell>
          <cell r="L1270">
            <v>3526</v>
          </cell>
        </row>
        <row r="1271">
          <cell r="B1271" t="str">
            <v>홍귀숙</v>
          </cell>
          <cell r="C1271" t="str">
            <v>2000가소1042781</v>
          </cell>
          <cell r="E1271" t="str">
            <v>홍귀숙 최삼호</v>
          </cell>
          <cell r="F1271">
            <v>14380279</v>
          </cell>
          <cell r="L1271">
            <v>8816</v>
          </cell>
        </row>
        <row r="1272">
          <cell r="B1272" t="str">
            <v>유길녀</v>
          </cell>
          <cell r="C1272" t="str">
            <v>2000가소1042729</v>
          </cell>
          <cell r="D1272">
            <v>36631</v>
          </cell>
          <cell r="E1272">
            <v>16929611</v>
          </cell>
          <cell r="F1272">
            <v>16929611</v>
          </cell>
          <cell r="L1272">
            <v>245</v>
          </cell>
        </row>
        <row r="1273">
          <cell r="B1273" t="str">
            <v>안종열</v>
          </cell>
          <cell r="C1273" t="str">
            <v>2000가소1035257</v>
          </cell>
          <cell r="E1273" t="str">
            <v>안종열</v>
          </cell>
          <cell r="F1273">
            <v>8694829</v>
          </cell>
          <cell r="K1273">
            <v>21371</v>
          </cell>
          <cell r="L1273">
            <v>21371</v>
          </cell>
        </row>
        <row r="1274">
          <cell r="B1274" t="str">
            <v>㈜성진산기</v>
          </cell>
          <cell r="D1274" t="str">
            <v>다림교역㈜</v>
          </cell>
          <cell r="E1274" t="str">
            <v>다림교역㈜ (주)송일티씨 (주)성산전기</v>
          </cell>
          <cell r="F1274">
            <v>67000000</v>
          </cell>
          <cell r="K1274" t="str">
            <v>민주홍</v>
          </cell>
          <cell r="L1274" t="str">
            <v>민주홍</v>
          </cell>
        </row>
        <row r="1275">
          <cell r="B1275" t="str">
            <v>고찬범</v>
          </cell>
          <cell r="D1275" t="str">
            <v>최정민</v>
          </cell>
          <cell r="E1275" t="str">
            <v>최정민</v>
          </cell>
          <cell r="F1275">
            <v>7080813</v>
          </cell>
          <cell r="K1275" t="str">
            <v>장덕훈</v>
          </cell>
          <cell r="L1275" t="str">
            <v>장덕훈</v>
          </cell>
        </row>
        <row r="1276">
          <cell r="B1276" t="str">
            <v>안창무 김주상</v>
          </cell>
          <cell r="E1276" t="str">
            <v>안창무 김남대 김주상</v>
          </cell>
          <cell r="F1276">
            <v>125105945</v>
          </cell>
          <cell r="K1276" t="str">
            <v>한경식</v>
          </cell>
          <cell r="L1276" t="str">
            <v>한경식</v>
          </cell>
        </row>
        <row r="1277">
          <cell r="B1277" t="str">
            <v>엔케이텔레콤</v>
          </cell>
          <cell r="C1277" t="str">
            <v>2000가소17361어음금 대구지방법원</v>
          </cell>
          <cell r="D1277" t="str">
            <v>정동종합상사</v>
          </cell>
          <cell r="E1277" t="str">
            <v>정동종합상사</v>
          </cell>
          <cell r="F1277">
            <v>16470030</v>
          </cell>
          <cell r="K1277" t="str">
            <v>장덕훈</v>
          </cell>
          <cell r="L1277" t="str">
            <v>장덕훈</v>
          </cell>
        </row>
        <row r="1278">
          <cell r="B1278" t="str">
            <v>김명철</v>
          </cell>
          <cell r="C1278" t="str">
            <v>2000가소1045971</v>
          </cell>
          <cell r="E1278" t="str">
            <v>김명철</v>
          </cell>
          <cell r="F1278">
            <v>9706814</v>
          </cell>
          <cell r="K1278">
            <v>23230</v>
          </cell>
          <cell r="L1278">
            <v>23230</v>
          </cell>
        </row>
        <row r="1279">
          <cell r="B1279" t="str">
            <v>이인숙</v>
          </cell>
          <cell r="C1279" t="str">
            <v>2000가소1045964</v>
          </cell>
          <cell r="E1279" t="str">
            <v>이인숙</v>
          </cell>
          <cell r="F1279">
            <v>3411618</v>
          </cell>
          <cell r="K1279">
            <v>6095</v>
          </cell>
          <cell r="L1279">
            <v>6095</v>
          </cell>
        </row>
        <row r="1280">
          <cell r="B1280" t="str">
            <v>성청자</v>
          </cell>
          <cell r="C1280" t="str">
            <v>2000가소1045957</v>
          </cell>
          <cell r="E1280" t="str">
            <v>성청자 김종성</v>
          </cell>
          <cell r="F1280">
            <v>9834115</v>
          </cell>
          <cell r="K1280">
            <v>12089</v>
          </cell>
          <cell r="L1280">
            <v>12089</v>
          </cell>
        </row>
        <row r="1281">
          <cell r="B1281" t="str">
            <v>문정열</v>
          </cell>
          <cell r="C1281" t="str">
            <v>2000가소1045940</v>
          </cell>
          <cell r="E1281" t="str">
            <v>문정열 양회남</v>
          </cell>
          <cell r="F1281">
            <v>12164521</v>
          </cell>
          <cell r="K1281">
            <v>4712</v>
          </cell>
          <cell r="L1281">
            <v>4712</v>
          </cell>
        </row>
        <row r="1282">
          <cell r="B1282" t="str">
            <v>박종호</v>
          </cell>
          <cell r="D1282" t="str">
            <v>소취하</v>
          </cell>
          <cell r="E1282">
            <v>4254923</v>
          </cell>
          <cell r="F1282">
            <v>4254923</v>
          </cell>
          <cell r="K1282">
            <v>19887</v>
          </cell>
          <cell r="L1282">
            <v>19887</v>
          </cell>
        </row>
        <row r="1283">
          <cell r="B1283" t="str">
            <v>임창희</v>
          </cell>
          <cell r="E1283" t="str">
            <v>임창희 윤갑준 곽명숙</v>
          </cell>
          <cell r="F1283">
            <v>23969333</v>
          </cell>
          <cell r="K1283">
            <v>14319</v>
          </cell>
          <cell r="L1283">
            <v>14319</v>
          </cell>
        </row>
        <row r="1284">
          <cell r="B1284" t="str">
            <v>나덕하</v>
          </cell>
          <cell r="E1284" t="str">
            <v>나덕하 조심열</v>
          </cell>
          <cell r="F1284">
            <v>25318092</v>
          </cell>
          <cell r="K1284">
            <v>4684</v>
          </cell>
          <cell r="L1284">
            <v>4684</v>
          </cell>
        </row>
        <row r="1285">
          <cell r="B1285" t="str">
            <v>강길득</v>
          </cell>
          <cell r="C1285" t="str">
            <v>2000가단18002</v>
          </cell>
          <cell r="E1285" t="str">
            <v>강길득 임정자</v>
          </cell>
          <cell r="F1285">
            <v>22004400</v>
          </cell>
          <cell r="K1285" t="str">
            <v>6145/28905</v>
          </cell>
          <cell r="L1285" t="str">
            <v>6145/28905</v>
          </cell>
        </row>
        <row r="1286">
          <cell r="B1286" t="str">
            <v>이재숙(신동욱)</v>
          </cell>
          <cell r="C1286" t="str">
            <v>2000가단18033</v>
          </cell>
          <cell r="E1286" t="str">
            <v>이재숙 신성아 신윤섭</v>
          </cell>
          <cell r="F1286">
            <v>31376868</v>
          </cell>
          <cell r="K1286">
            <v>5129</v>
          </cell>
          <cell r="L1286">
            <v>5129</v>
          </cell>
        </row>
        <row r="1287">
          <cell r="B1287" t="str">
            <v>태광전자㈜</v>
          </cell>
          <cell r="E1287" t="str">
            <v>태광전자 남궁영례 남궁영신 김상호 안현우</v>
          </cell>
          <cell r="F1287">
            <v>52161571</v>
          </cell>
          <cell r="K1287">
            <v>14786</v>
          </cell>
          <cell r="L1287">
            <v>14786</v>
          </cell>
        </row>
        <row r="1288">
          <cell r="B1288" t="str">
            <v>금산석재㈜</v>
          </cell>
          <cell r="E1288" t="str">
            <v>금산석재(주) 김순산 정을선</v>
          </cell>
          <cell r="F1288">
            <v>253832970</v>
          </cell>
          <cell r="K1288">
            <v>5904</v>
          </cell>
          <cell r="L1288">
            <v>5904</v>
          </cell>
        </row>
        <row r="1289">
          <cell r="B1289" t="str">
            <v>한경화</v>
          </cell>
          <cell r="C1289" t="str">
            <v>2000가단34387</v>
          </cell>
          <cell r="E1289" t="str">
            <v>한경화</v>
          </cell>
          <cell r="F1289">
            <v>20774047</v>
          </cell>
          <cell r="L1289" t="str">
            <v>2000-52</v>
          </cell>
        </row>
        <row r="1290">
          <cell r="B1290" t="str">
            <v>김상문</v>
          </cell>
          <cell r="C1290" t="str">
            <v>2000가소1083959</v>
          </cell>
          <cell r="E1290" t="str">
            <v>김상문 김기임</v>
          </cell>
          <cell r="F1290">
            <v>13694100</v>
          </cell>
          <cell r="L1290" t="str">
            <v>2000-53</v>
          </cell>
        </row>
        <row r="1291">
          <cell r="B1291" t="str">
            <v>윤정자</v>
          </cell>
          <cell r="C1291" t="str">
            <v>2000가소1083966</v>
          </cell>
          <cell r="E1291" t="str">
            <v>윤정자 윤종보</v>
          </cell>
          <cell r="F1291">
            <v>1191188</v>
          </cell>
          <cell r="L1291" t="str">
            <v>2000-54</v>
          </cell>
        </row>
        <row r="1292">
          <cell r="B1292" t="str">
            <v>이화진</v>
          </cell>
          <cell r="E1292" t="str">
            <v>이화진 신성근</v>
          </cell>
          <cell r="F1292">
            <v>21256617</v>
          </cell>
          <cell r="L1292" t="str">
            <v>2000-55</v>
          </cell>
        </row>
        <row r="1293">
          <cell r="B1293" t="str">
            <v>윤봉환</v>
          </cell>
          <cell r="C1293" t="str">
            <v>2000가소1083973</v>
          </cell>
          <cell r="E1293" t="str">
            <v>윤봉환 윤성한</v>
          </cell>
          <cell r="F1293">
            <v>5667532</v>
          </cell>
          <cell r="L1293" t="str">
            <v>2000-56</v>
          </cell>
        </row>
        <row r="1294">
          <cell r="B1294" t="str">
            <v>박은이</v>
          </cell>
          <cell r="C1294" t="str">
            <v>2000가소1084082</v>
          </cell>
          <cell r="E1294" t="str">
            <v>박은이 조인자</v>
          </cell>
          <cell r="F1294">
            <v>11576672</v>
          </cell>
          <cell r="L1294" t="str">
            <v>2000-57</v>
          </cell>
        </row>
        <row r="1295">
          <cell r="B1295" t="str">
            <v>박수경</v>
          </cell>
          <cell r="C1295" t="str">
            <v>2000가소1083690</v>
          </cell>
          <cell r="E1295" t="str">
            <v>박수경 엄수영</v>
          </cell>
          <cell r="F1295">
            <v>3972143</v>
          </cell>
          <cell r="L1295" t="str">
            <v>2000-58</v>
          </cell>
        </row>
        <row r="1296">
          <cell r="B1296" t="str">
            <v>박승구</v>
          </cell>
          <cell r="C1296" t="str">
            <v>2000가소1083706</v>
          </cell>
          <cell r="E1296" t="str">
            <v>박승구 송윤상</v>
          </cell>
          <cell r="F1296">
            <v>17494058</v>
          </cell>
          <cell r="L1296" t="str">
            <v>2000-59</v>
          </cell>
        </row>
        <row r="1297">
          <cell r="B1297" t="str">
            <v>이은애</v>
          </cell>
          <cell r="C1297" t="str">
            <v>2000가소1083713</v>
          </cell>
          <cell r="E1297" t="str">
            <v>이은애 조규한</v>
          </cell>
          <cell r="F1297">
            <v>6306261</v>
          </cell>
          <cell r="L1297" t="str">
            <v>2000-60</v>
          </cell>
        </row>
        <row r="1298">
          <cell r="B1298" t="str">
            <v>박수영</v>
          </cell>
          <cell r="C1298" t="str">
            <v>2000가소1083720</v>
          </cell>
          <cell r="E1298" t="str">
            <v>박수영</v>
          </cell>
          <cell r="F1298">
            <v>10750919</v>
          </cell>
          <cell r="L1298" t="str">
            <v>2000-61</v>
          </cell>
        </row>
        <row r="1299">
          <cell r="B1299" t="str">
            <v>장병국</v>
          </cell>
          <cell r="C1299" t="str">
            <v>2000가소1083737</v>
          </cell>
          <cell r="E1299" t="str">
            <v>장병국 장병일</v>
          </cell>
          <cell r="F1299">
            <v>7420050</v>
          </cell>
          <cell r="L1299" t="str">
            <v>2000-62</v>
          </cell>
        </row>
        <row r="1300">
          <cell r="B1300" t="str">
            <v>정귀례</v>
          </cell>
          <cell r="C1300" t="str">
            <v>2000가소1083744</v>
          </cell>
          <cell r="E1300" t="str">
            <v>정귀례 김현철</v>
          </cell>
          <cell r="F1300">
            <v>7382784</v>
          </cell>
          <cell r="L1300" t="str">
            <v>2000-63</v>
          </cell>
        </row>
        <row r="1301">
          <cell r="B1301" t="str">
            <v>김대영</v>
          </cell>
          <cell r="C1301" t="str">
            <v>2000가소1083751</v>
          </cell>
          <cell r="E1301" t="str">
            <v>김대영 문춘례</v>
          </cell>
          <cell r="F1301">
            <v>4030707</v>
          </cell>
          <cell r="L1301" t="str">
            <v>2000-64</v>
          </cell>
        </row>
        <row r="1302">
          <cell r="B1302" t="str">
            <v>조세준</v>
          </cell>
          <cell r="C1302" t="str">
            <v>2000가소1083768</v>
          </cell>
          <cell r="E1302" t="str">
            <v>조세준 강대아</v>
          </cell>
          <cell r="F1302">
            <v>14780943</v>
          </cell>
          <cell r="L1302" t="str">
            <v>2000-65</v>
          </cell>
        </row>
        <row r="1303">
          <cell r="B1303" t="str">
            <v>박경순</v>
          </cell>
          <cell r="C1303" t="str">
            <v>2000가소1083775</v>
          </cell>
          <cell r="E1303" t="str">
            <v>박경순 송영희</v>
          </cell>
          <cell r="F1303">
            <v>13264072</v>
          </cell>
          <cell r="L1303" t="str">
            <v>2000-66</v>
          </cell>
        </row>
        <row r="1304">
          <cell r="B1304" t="str">
            <v>박영희</v>
          </cell>
          <cell r="C1304" t="str">
            <v>2000가소1083782</v>
          </cell>
          <cell r="E1304" t="str">
            <v>박영희 정광옥</v>
          </cell>
          <cell r="F1304">
            <v>13331233</v>
          </cell>
          <cell r="L1304" t="str">
            <v>2000-67</v>
          </cell>
        </row>
        <row r="1305">
          <cell r="B1305" t="str">
            <v>최정원</v>
          </cell>
          <cell r="C1305" t="str">
            <v>2000가소1083799</v>
          </cell>
          <cell r="E1305" t="str">
            <v>최정원 김부웅</v>
          </cell>
          <cell r="F1305">
            <v>12949181</v>
          </cell>
          <cell r="L1305" t="str">
            <v>2000-68</v>
          </cell>
        </row>
        <row r="1306">
          <cell r="B1306" t="str">
            <v>홍석권</v>
          </cell>
          <cell r="D1306" t="str">
            <v>소취하</v>
          </cell>
          <cell r="E1306">
            <v>10168115</v>
          </cell>
          <cell r="F1306">
            <v>10168115</v>
          </cell>
          <cell r="L1306" t="str">
            <v>2000-69</v>
          </cell>
        </row>
        <row r="1307">
          <cell r="B1307" t="str">
            <v>양선선</v>
          </cell>
          <cell r="C1307" t="str">
            <v>2000가소1083812</v>
          </cell>
          <cell r="E1307" t="str">
            <v>양선선</v>
          </cell>
          <cell r="F1307">
            <v>1993730</v>
          </cell>
          <cell r="L1307" t="str">
            <v>2000-70</v>
          </cell>
        </row>
        <row r="1308">
          <cell r="B1308" t="str">
            <v>박병승</v>
          </cell>
          <cell r="C1308" t="str">
            <v>2000가소1083829</v>
          </cell>
          <cell r="E1308" t="str">
            <v>박병승 김장길 김달금 이원문</v>
          </cell>
          <cell r="F1308">
            <v>20000000</v>
          </cell>
          <cell r="L1308" t="str">
            <v>2000-71</v>
          </cell>
        </row>
        <row r="1309">
          <cell r="B1309" t="str">
            <v>강영숙</v>
          </cell>
          <cell r="C1309" t="str">
            <v>99가소967898</v>
          </cell>
          <cell r="D1309" t="str">
            <v>강영숙</v>
          </cell>
          <cell r="E1309" t="str">
            <v>강영숙</v>
          </cell>
          <cell r="F1309">
            <v>17938042</v>
          </cell>
          <cell r="L1309" t="str">
            <v>2000-72</v>
          </cell>
        </row>
        <row r="1310">
          <cell r="B1310" t="str">
            <v>윤종례</v>
          </cell>
          <cell r="C1310" t="str">
            <v>2000가단2164</v>
          </cell>
          <cell r="D1310" t="str">
            <v>도남이</v>
          </cell>
          <cell r="E1310" t="str">
            <v>도남이</v>
          </cell>
          <cell r="F1310">
            <v>3000000</v>
          </cell>
          <cell r="K1310" t="str">
            <v>심익중</v>
          </cell>
          <cell r="L1310" t="str">
            <v>심익중</v>
          </cell>
        </row>
        <row r="1311">
          <cell r="B1311" t="str">
            <v>이백철</v>
          </cell>
          <cell r="C1311" t="str">
            <v>2000가소1042736</v>
          </cell>
          <cell r="D1311">
            <v>36631</v>
          </cell>
          <cell r="E1311" t="str">
            <v>주병기 박찬옥 이신향 이복용 이정</v>
          </cell>
          <cell r="F1311">
            <v>12280505</v>
          </cell>
          <cell r="K1311">
            <v>28012</v>
          </cell>
          <cell r="L1311">
            <v>28012</v>
          </cell>
        </row>
        <row r="1312">
          <cell r="B1312" t="str">
            <v>문옥임</v>
          </cell>
          <cell r="C1312" t="str">
            <v>2000가소1045926</v>
          </cell>
          <cell r="E1312" t="str">
            <v>문옥임 황민수</v>
          </cell>
          <cell r="F1312">
            <v>16875553</v>
          </cell>
          <cell r="K1312">
            <v>28354</v>
          </cell>
          <cell r="L1312">
            <v>28354</v>
          </cell>
        </row>
        <row r="1313">
          <cell r="B1313" t="str">
            <v>최희순</v>
          </cell>
          <cell r="C1313" t="str">
            <v>2000가소1045919</v>
          </cell>
          <cell r="E1313" t="str">
            <v>최희순 이흥우</v>
          </cell>
          <cell r="F1313">
            <v>7516847</v>
          </cell>
          <cell r="K1313">
            <v>26294</v>
          </cell>
          <cell r="L1313">
            <v>26294</v>
          </cell>
        </row>
        <row r="1314">
          <cell r="B1314" t="str">
            <v>홍영식</v>
          </cell>
          <cell r="C1314" t="str">
            <v>2000가소1046141</v>
          </cell>
          <cell r="E1314" t="str">
            <v>홍영식 강정미</v>
          </cell>
          <cell r="F1314">
            <v>3851643</v>
          </cell>
          <cell r="K1314">
            <v>28364</v>
          </cell>
          <cell r="L1314">
            <v>28364</v>
          </cell>
        </row>
        <row r="1315">
          <cell r="B1315" t="str">
            <v>이혜선</v>
          </cell>
          <cell r="C1315" t="str">
            <v>2000가소1046134</v>
          </cell>
          <cell r="E1315" t="str">
            <v>이혜선 박종광</v>
          </cell>
          <cell r="F1315">
            <v>16203141</v>
          </cell>
          <cell r="K1315">
            <v>35331</v>
          </cell>
          <cell r="L1315">
            <v>35331</v>
          </cell>
        </row>
        <row r="1316">
          <cell r="B1316" t="str">
            <v>안길자</v>
          </cell>
          <cell r="C1316" t="str">
            <v>2000가소1046127</v>
          </cell>
          <cell r="E1316" t="str">
            <v>안길자 유안희</v>
          </cell>
          <cell r="F1316">
            <v>1023187</v>
          </cell>
          <cell r="K1316">
            <v>27810</v>
          </cell>
          <cell r="L1316">
            <v>27810</v>
          </cell>
        </row>
        <row r="1317">
          <cell r="B1317" t="str">
            <v>이선화</v>
          </cell>
          <cell r="C1317" t="str">
            <v>2000가소1046110</v>
          </cell>
          <cell r="E1317" t="str">
            <v>이선화 양원남</v>
          </cell>
          <cell r="F1317">
            <v>12959406</v>
          </cell>
          <cell r="K1317">
            <v>29288</v>
          </cell>
          <cell r="L1317">
            <v>29288</v>
          </cell>
        </row>
        <row r="1318">
          <cell r="B1318" t="str">
            <v>안경석</v>
          </cell>
          <cell r="C1318" t="str">
            <v>2000가소1046103</v>
          </cell>
          <cell r="E1318" t="str">
            <v>안경식 김애순</v>
          </cell>
          <cell r="F1318">
            <v>15569788</v>
          </cell>
          <cell r="K1318">
            <v>29524</v>
          </cell>
          <cell r="L1318">
            <v>29524</v>
          </cell>
        </row>
        <row r="1319">
          <cell r="B1319" t="str">
            <v>송계순</v>
          </cell>
          <cell r="C1319" t="str">
            <v>2000가소1046097</v>
          </cell>
          <cell r="E1319" t="str">
            <v>송계순 조중철</v>
          </cell>
          <cell r="F1319">
            <v>13619085</v>
          </cell>
          <cell r="K1319">
            <v>29731</v>
          </cell>
          <cell r="L1319">
            <v>29731</v>
          </cell>
        </row>
        <row r="1320">
          <cell r="B1320" t="str">
            <v>김성무</v>
          </cell>
          <cell r="C1320" t="str">
            <v>2000가소1046080</v>
          </cell>
          <cell r="E1320" t="str">
            <v>김성무</v>
          </cell>
          <cell r="F1320">
            <v>1746316</v>
          </cell>
          <cell r="K1320">
            <v>30429</v>
          </cell>
          <cell r="L1320">
            <v>30429</v>
          </cell>
        </row>
        <row r="1321">
          <cell r="B1321" t="str">
            <v>조명정</v>
          </cell>
          <cell r="C1321" t="str">
            <v>2000가소1046073</v>
          </cell>
          <cell r="E1321" t="str">
            <v>조명정 임재주 유명희</v>
          </cell>
          <cell r="F1321">
            <v>17735017</v>
          </cell>
          <cell r="K1321">
            <v>27331</v>
          </cell>
          <cell r="L1321">
            <v>27331</v>
          </cell>
        </row>
        <row r="1322">
          <cell r="B1322" t="str">
            <v>장정임</v>
          </cell>
          <cell r="C1322" t="str">
            <v>2000가소1046042</v>
          </cell>
          <cell r="E1322" t="str">
            <v>장정임 양해경 김지웅 김시원</v>
          </cell>
          <cell r="F1322">
            <v>12298733</v>
          </cell>
          <cell r="K1322">
            <v>28052</v>
          </cell>
          <cell r="L1322">
            <v>28052</v>
          </cell>
        </row>
        <row r="1323">
          <cell r="B1323" t="str">
            <v>㈜에바스샴바드</v>
          </cell>
          <cell r="E1323">
            <v>52027168</v>
          </cell>
          <cell r="F1323">
            <v>52027168</v>
          </cell>
          <cell r="L1323" t="str">
            <v>2000-86</v>
          </cell>
        </row>
        <row r="1324">
          <cell r="B1324" t="str">
            <v>안병채</v>
          </cell>
          <cell r="C1324" t="str">
            <v>2000가소1083836</v>
          </cell>
          <cell r="E1324" t="str">
            <v>안병채 최순희</v>
          </cell>
          <cell r="F1324">
            <v>17163011</v>
          </cell>
          <cell r="L1324" t="str">
            <v>2000-87</v>
          </cell>
        </row>
        <row r="1325">
          <cell r="B1325" t="str">
            <v>안철규</v>
          </cell>
          <cell r="C1325" t="str">
            <v>2000가소1083843</v>
          </cell>
          <cell r="E1325" t="str">
            <v>안철규</v>
          </cell>
          <cell r="F1325">
            <v>11906102</v>
          </cell>
          <cell r="L1325" t="str">
            <v>2000-88</v>
          </cell>
        </row>
        <row r="1326">
          <cell r="B1326" t="str">
            <v>이진식</v>
          </cell>
          <cell r="C1326" t="str">
            <v>2000가소1083850</v>
          </cell>
          <cell r="E1326" t="str">
            <v>이진식 전구배</v>
          </cell>
          <cell r="F1326">
            <v>3463531</v>
          </cell>
          <cell r="L1326" t="str">
            <v>2000-89</v>
          </cell>
        </row>
        <row r="1327">
          <cell r="B1327" t="str">
            <v>김영숙</v>
          </cell>
          <cell r="C1327" t="str">
            <v>2000가소1083867</v>
          </cell>
          <cell r="E1327" t="str">
            <v>김영숙 안정준</v>
          </cell>
          <cell r="F1327">
            <v>6917953</v>
          </cell>
          <cell r="L1327" t="str">
            <v>2000-90</v>
          </cell>
        </row>
        <row r="1328">
          <cell r="B1328" t="str">
            <v>한영희</v>
          </cell>
          <cell r="C1328" t="str">
            <v>2000가소1083874</v>
          </cell>
          <cell r="E1328" t="str">
            <v>한영희 정완기</v>
          </cell>
          <cell r="F1328">
            <v>6858646</v>
          </cell>
          <cell r="L1328" t="str">
            <v>2000-91</v>
          </cell>
        </row>
        <row r="1329">
          <cell r="B1329" t="str">
            <v>이경례</v>
          </cell>
          <cell r="C1329" t="str">
            <v>2000가소1083881</v>
          </cell>
          <cell r="E1329" t="str">
            <v>이경례 이주만 허중권</v>
          </cell>
          <cell r="F1329">
            <v>14228293</v>
          </cell>
          <cell r="L1329" t="str">
            <v>2000-92</v>
          </cell>
        </row>
        <row r="1330">
          <cell r="B1330" t="str">
            <v>안홍규</v>
          </cell>
          <cell r="C1330" t="str">
            <v>2000가소1083980</v>
          </cell>
          <cell r="E1330" t="str">
            <v>안홍규</v>
          </cell>
          <cell r="F1330">
            <v>2910158</v>
          </cell>
          <cell r="L1330" t="str">
            <v>2000-93</v>
          </cell>
        </row>
        <row r="1331">
          <cell r="B1331" t="str">
            <v>㈜대동대리석</v>
          </cell>
          <cell r="C1331" t="str">
            <v>2000가소1083997</v>
          </cell>
          <cell r="E1331" t="str">
            <v>대동대리석 심광섭</v>
          </cell>
          <cell r="F1331">
            <v>8008949</v>
          </cell>
          <cell r="L1331" t="str">
            <v>2000-94</v>
          </cell>
        </row>
        <row r="1332">
          <cell r="B1332" t="str">
            <v>소계영</v>
          </cell>
          <cell r="C1332" t="str">
            <v>2000가소1084006</v>
          </cell>
          <cell r="E1332" t="str">
            <v>소계영 백봉기</v>
          </cell>
          <cell r="F1332">
            <v>16603248</v>
          </cell>
          <cell r="L1332" t="str">
            <v>2000-95</v>
          </cell>
        </row>
        <row r="1333">
          <cell r="B1333" t="str">
            <v>정승완</v>
          </cell>
          <cell r="C1333" t="str">
            <v>2000가소1072072</v>
          </cell>
          <cell r="E1333" t="str">
            <v>정승환 정옥자</v>
          </cell>
          <cell r="F1333">
            <v>6904047</v>
          </cell>
          <cell r="K1333">
            <v>5553</v>
          </cell>
          <cell r="L1333">
            <v>5553</v>
          </cell>
        </row>
        <row r="1334">
          <cell r="B1334" t="str">
            <v>이정희</v>
          </cell>
          <cell r="C1334" t="str">
            <v>2000가소1072089</v>
          </cell>
          <cell r="E1334" t="str">
            <v>이정희 송영순</v>
          </cell>
          <cell r="F1334">
            <v>12198306</v>
          </cell>
          <cell r="K1334">
            <v>4781</v>
          </cell>
          <cell r="L1334">
            <v>4781</v>
          </cell>
        </row>
        <row r="1335">
          <cell r="B1335" t="str">
            <v>서선주</v>
          </cell>
          <cell r="C1335" t="str">
            <v>2000가소1072096</v>
          </cell>
          <cell r="E1335" t="str">
            <v>서선주 이정호 양재완</v>
          </cell>
          <cell r="F1335">
            <v>14553827</v>
          </cell>
          <cell r="K1335">
            <v>23111</v>
          </cell>
          <cell r="L1335">
            <v>23111</v>
          </cell>
        </row>
        <row r="1336">
          <cell r="B1336" t="str">
            <v>남일석</v>
          </cell>
          <cell r="E1336" t="str">
            <v>남일석 양미숙 김영순</v>
          </cell>
          <cell r="F1336">
            <v>21050907</v>
          </cell>
          <cell r="K1336">
            <v>12995</v>
          </cell>
          <cell r="L1336">
            <v>12995</v>
          </cell>
        </row>
        <row r="1337">
          <cell r="B1337" t="str">
            <v>유정임</v>
          </cell>
          <cell r="E1337" t="str">
            <v>유정임</v>
          </cell>
          <cell r="F1337">
            <v>23450354</v>
          </cell>
          <cell r="K1337">
            <v>7328</v>
          </cell>
          <cell r="L1337">
            <v>7328</v>
          </cell>
        </row>
        <row r="1338">
          <cell r="B1338" t="str">
            <v>강진하</v>
          </cell>
          <cell r="C1338" t="str">
            <v>2000가소1072102</v>
          </cell>
          <cell r="E1338" t="str">
            <v>강진하 양화석</v>
          </cell>
          <cell r="F1338">
            <v>13235746</v>
          </cell>
          <cell r="K1338">
            <v>5068</v>
          </cell>
          <cell r="L1338">
            <v>5068</v>
          </cell>
        </row>
        <row r="1339">
          <cell r="B1339" t="str">
            <v>이영희</v>
          </cell>
          <cell r="C1339" t="str">
            <v>2000가소1072119</v>
          </cell>
          <cell r="E1339" t="str">
            <v>이영희 한동수 이희재</v>
          </cell>
          <cell r="F1339">
            <v>3797760</v>
          </cell>
          <cell r="K1339">
            <v>6669</v>
          </cell>
          <cell r="L1339">
            <v>6669</v>
          </cell>
        </row>
        <row r="1340">
          <cell r="B1340" t="str">
            <v>진운장</v>
          </cell>
          <cell r="C1340" t="str">
            <v>2000가소1072126</v>
          </cell>
          <cell r="E1340" t="str">
            <v>진운장 김원영</v>
          </cell>
          <cell r="F1340">
            <v>10468435</v>
          </cell>
          <cell r="K1340">
            <v>7844</v>
          </cell>
          <cell r="L1340">
            <v>7844</v>
          </cell>
        </row>
        <row r="1341">
          <cell r="B1341" t="str">
            <v>양동표</v>
          </cell>
          <cell r="C1341" t="str">
            <v>2000가소1072133</v>
          </cell>
          <cell r="E1341" t="str">
            <v>양동표 오옥자</v>
          </cell>
          <cell r="F1341">
            <v>7195597</v>
          </cell>
          <cell r="K1341">
            <v>7713</v>
          </cell>
          <cell r="L1341">
            <v>7713</v>
          </cell>
        </row>
        <row r="1342">
          <cell r="B1342" t="str">
            <v>김정순</v>
          </cell>
          <cell r="C1342" t="str">
            <v>2000가소1084013</v>
          </cell>
          <cell r="E1342" t="str">
            <v>김정순 김남수</v>
          </cell>
          <cell r="F1342">
            <v>15091079</v>
          </cell>
          <cell r="L1342">
            <v>7256</v>
          </cell>
        </row>
        <row r="1343">
          <cell r="B1343" t="str">
            <v>하진철</v>
          </cell>
          <cell r="C1343" t="str">
            <v>2000가소1084020</v>
          </cell>
          <cell r="E1343">
            <v>13817028</v>
          </cell>
          <cell r="F1343">
            <v>13817028</v>
          </cell>
          <cell r="L1343">
            <v>9868</v>
          </cell>
        </row>
        <row r="1344">
          <cell r="B1344" t="str">
            <v>손정희</v>
          </cell>
          <cell r="C1344" t="str">
            <v>2000가소1084037</v>
          </cell>
          <cell r="E1344" t="str">
            <v>손정희 하진철</v>
          </cell>
          <cell r="F1344">
            <v>13643984</v>
          </cell>
          <cell r="L1344">
            <v>728</v>
          </cell>
        </row>
        <row r="1345">
          <cell r="B1345" t="str">
            <v>최동미</v>
          </cell>
          <cell r="C1345" t="str">
            <v>2000가소1084044</v>
          </cell>
          <cell r="E1345" t="str">
            <v>최동미 박성순</v>
          </cell>
          <cell r="F1345">
            <v>3141644</v>
          </cell>
          <cell r="L1345">
            <v>810</v>
          </cell>
        </row>
        <row r="1346">
          <cell r="B1346" t="str">
            <v>김향란</v>
          </cell>
          <cell r="C1346" t="str">
            <v>2000가소1084051</v>
          </cell>
          <cell r="E1346" t="str">
            <v>김향란 박동순</v>
          </cell>
          <cell r="F1346">
            <v>5788089</v>
          </cell>
          <cell r="L1346">
            <v>9250</v>
          </cell>
        </row>
        <row r="1347">
          <cell r="B1347" t="str">
            <v>장경님</v>
          </cell>
          <cell r="C1347" t="str">
            <v>2000가소1084068</v>
          </cell>
          <cell r="E1347">
            <v>4143128</v>
          </cell>
          <cell r="F1347">
            <v>4143128</v>
          </cell>
          <cell r="L1347">
            <v>8830</v>
          </cell>
        </row>
        <row r="1348">
          <cell r="B1348" t="str">
            <v>이만영</v>
          </cell>
          <cell r="C1348" t="str">
            <v>2000가소1084075</v>
          </cell>
          <cell r="E1348" t="str">
            <v>이만영 김정순</v>
          </cell>
          <cell r="F1348">
            <v>4351996</v>
          </cell>
          <cell r="L1348">
            <v>7909</v>
          </cell>
        </row>
        <row r="1349">
          <cell r="B1349" t="str">
            <v>이미숙</v>
          </cell>
          <cell r="C1349" t="str">
            <v>2000가소1084921</v>
          </cell>
          <cell r="E1349">
            <v>4008654</v>
          </cell>
          <cell r="F1349">
            <v>4008654</v>
          </cell>
          <cell r="L1349">
            <v>6186</v>
          </cell>
        </row>
        <row r="1350">
          <cell r="B1350" t="str">
            <v>안영희</v>
          </cell>
          <cell r="C1350" t="str">
            <v>2000가소1084938</v>
          </cell>
          <cell r="E1350" t="str">
            <v>안영희 정진호</v>
          </cell>
          <cell r="F1350">
            <v>4285760</v>
          </cell>
          <cell r="L1350">
            <v>5435</v>
          </cell>
        </row>
        <row r="1351">
          <cell r="B1351" t="str">
            <v>정영생</v>
          </cell>
          <cell r="C1351" t="str">
            <v>2000가소1084945</v>
          </cell>
          <cell r="E1351" t="str">
            <v>정영생 유명자</v>
          </cell>
          <cell r="F1351">
            <v>9205943</v>
          </cell>
          <cell r="L1351">
            <v>6871</v>
          </cell>
        </row>
        <row r="1352">
          <cell r="B1352" t="str">
            <v>김미선</v>
          </cell>
          <cell r="C1352" t="str">
            <v>2000가소1072065</v>
          </cell>
          <cell r="E1352" t="str">
            <v>김미선 항맥수</v>
          </cell>
          <cell r="F1352">
            <v>9644701</v>
          </cell>
          <cell r="L1352">
            <v>7259</v>
          </cell>
        </row>
        <row r="1353">
          <cell r="B1353" t="str">
            <v>전은배</v>
          </cell>
          <cell r="C1353" t="str">
            <v>2000가단25451</v>
          </cell>
          <cell r="E1353" t="str">
            <v>전은배</v>
          </cell>
          <cell r="F1353">
            <v>30603978</v>
          </cell>
          <cell r="L1353">
            <v>2003</v>
          </cell>
        </row>
        <row r="1354">
          <cell r="B1354" t="str">
            <v>이항규</v>
          </cell>
          <cell r="C1354" t="str">
            <v>2000가소1071864</v>
          </cell>
          <cell r="E1354" t="str">
            <v>이항규</v>
          </cell>
          <cell r="F1354">
            <v>7396891</v>
          </cell>
          <cell r="L1354" t="str">
            <v>2000-117</v>
          </cell>
        </row>
        <row r="1355">
          <cell r="B1355" t="str">
            <v>김충환</v>
          </cell>
          <cell r="C1355" t="str">
            <v>2000가소1071857</v>
          </cell>
          <cell r="E1355" t="str">
            <v>김충환 김하경</v>
          </cell>
          <cell r="F1355">
            <v>9113861</v>
          </cell>
          <cell r="L1355" t="str">
            <v>2000-118</v>
          </cell>
        </row>
        <row r="1356">
          <cell r="B1356" t="str">
            <v>정혜영</v>
          </cell>
          <cell r="C1356" t="str">
            <v>2000가소1071871</v>
          </cell>
          <cell r="E1356" t="str">
            <v>정혜영 양정열</v>
          </cell>
          <cell r="F1356">
            <v>2878246</v>
          </cell>
          <cell r="L1356" t="str">
            <v>2000-119</v>
          </cell>
        </row>
        <row r="1357">
          <cell r="B1357" t="str">
            <v>김형자</v>
          </cell>
          <cell r="C1357" t="str">
            <v>2000가소1071888</v>
          </cell>
          <cell r="E1357" t="str">
            <v>김형자 류기웅</v>
          </cell>
          <cell r="F1357">
            <v>3253428</v>
          </cell>
          <cell r="L1357" t="str">
            <v>2000-120</v>
          </cell>
        </row>
        <row r="1358">
          <cell r="B1358" t="str">
            <v>이진숙</v>
          </cell>
          <cell r="C1358" t="str">
            <v>2000가소1071895</v>
          </cell>
          <cell r="E1358" t="str">
            <v>이진숙 한순례</v>
          </cell>
          <cell r="F1358">
            <v>1973665</v>
          </cell>
          <cell r="L1358" t="str">
            <v>2000-121</v>
          </cell>
        </row>
        <row r="1359">
          <cell r="B1359" t="str">
            <v>이길녀</v>
          </cell>
          <cell r="C1359" t="str">
            <v>2000가소1071901</v>
          </cell>
          <cell r="E1359" t="str">
            <v>이길녀 이숙자</v>
          </cell>
          <cell r="F1359">
            <v>5761188</v>
          </cell>
          <cell r="L1359" t="str">
            <v>2000-122</v>
          </cell>
        </row>
        <row r="1360">
          <cell r="B1360" t="str">
            <v>최준주</v>
          </cell>
          <cell r="C1360" t="str">
            <v>2000가소1071918</v>
          </cell>
          <cell r="E1360" t="str">
            <v>최준주 남훈환 최광오</v>
          </cell>
          <cell r="F1360">
            <v>4378477</v>
          </cell>
          <cell r="L1360" t="str">
            <v>2000-123</v>
          </cell>
        </row>
        <row r="1361">
          <cell r="B1361" t="str">
            <v>정금혜</v>
          </cell>
          <cell r="C1361" t="str">
            <v>2000가소1072140</v>
          </cell>
          <cell r="E1361" t="str">
            <v>정금혜 강문재 손윤자 손명호</v>
          </cell>
          <cell r="F1361">
            <v>33769835</v>
          </cell>
          <cell r="L1361" t="str">
            <v>2000-124</v>
          </cell>
        </row>
        <row r="1362">
          <cell r="B1362" t="str">
            <v>유삼순</v>
          </cell>
          <cell r="C1362" t="str">
            <v>2000가소1071925</v>
          </cell>
          <cell r="E1362" t="str">
            <v>유삼순 구지숙 유민자 임춘재 임연희 임성재 임연숙</v>
          </cell>
          <cell r="F1362">
            <v>17519587</v>
          </cell>
          <cell r="L1362" t="str">
            <v>2000-125</v>
          </cell>
        </row>
        <row r="1363">
          <cell r="B1363" t="str">
            <v>천기환</v>
          </cell>
          <cell r="C1363" t="str">
            <v>2000가소1071932</v>
          </cell>
          <cell r="E1363" t="str">
            <v>천기환 신순자 김지연 김만수</v>
          </cell>
          <cell r="F1363">
            <v>8835981</v>
          </cell>
          <cell r="L1363" t="str">
            <v>2000-126</v>
          </cell>
        </row>
        <row r="1364">
          <cell r="B1364" t="str">
            <v>김정옥</v>
          </cell>
          <cell r="C1364" t="str">
            <v>2000가소1071291</v>
          </cell>
          <cell r="E1364" t="str">
            <v>박범규 홍성희</v>
          </cell>
          <cell r="F1364">
            <v>130000000</v>
          </cell>
          <cell r="L1364">
            <v>26960</v>
          </cell>
        </row>
        <row r="1365">
          <cell r="B1365" t="str">
            <v>박범규</v>
          </cell>
          <cell r="C1365" t="str">
            <v>2000가소1071284</v>
          </cell>
          <cell r="E1365" t="str">
            <v>박춘석</v>
          </cell>
          <cell r="F1365">
            <v>3755499</v>
          </cell>
          <cell r="L1365">
            <v>32435</v>
          </cell>
        </row>
        <row r="1366">
          <cell r="B1366" t="str">
            <v>박춘석</v>
          </cell>
          <cell r="C1366" t="str">
            <v>2000가소1071277</v>
          </cell>
          <cell r="E1366" t="str">
            <v>김선민 조대현</v>
          </cell>
          <cell r="F1366">
            <v>14931290</v>
          </cell>
          <cell r="L1366">
            <v>32843</v>
          </cell>
        </row>
        <row r="1367">
          <cell r="B1367" t="str">
            <v>김선민</v>
          </cell>
          <cell r="C1367" t="str">
            <v>2000가소1071260</v>
          </cell>
          <cell r="E1367" t="str">
            <v>이화중 성한표</v>
          </cell>
          <cell r="F1367">
            <v>5240953</v>
          </cell>
          <cell r="L1367">
            <v>33264</v>
          </cell>
        </row>
        <row r="1368">
          <cell r="B1368" t="str">
            <v>이화중</v>
          </cell>
          <cell r="E1368">
            <v>13976238</v>
          </cell>
          <cell r="F1368">
            <v>13976238</v>
          </cell>
          <cell r="L1368" t="str">
            <v>2000-131</v>
          </cell>
        </row>
        <row r="1369">
          <cell r="B1369" t="str">
            <v>이남희</v>
          </cell>
          <cell r="C1369" t="str">
            <v>2000가소1071253</v>
          </cell>
          <cell r="E1369" t="str">
            <v>이남희</v>
          </cell>
          <cell r="F1369">
            <v>3666350</v>
          </cell>
          <cell r="L1369">
            <v>26723</v>
          </cell>
        </row>
        <row r="1370">
          <cell r="B1370" t="str">
            <v>전성기</v>
          </cell>
          <cell r="C1370" t="str">
            <v>2000가소1071000</v>
          </cell>
          <cell r="E1370" t="str">
            <v>전성기 박석윤</v>
          </cell>
          <cell r="F1370">
            <v>6118549</v>
          </cell>
          <cell r="L1370">
            <v>33800</v>
          </cell>
        </row>
        <row r="1371">
          <cell r="B1371" t="str">
            <v>정종진</v>
          </cell>
          <cell r="C1371" t="str">
            <v>2000가소1070991</v>
          </cell>
          <cell r="E1371" t="str">
            <v>정종진</v>
          </cell>
          <cell r="F1371">
            <v>1359728</v>
          </cell>
          <cell r="L1371">
            <v>29253</v>
          </cell>
        </row>
        <row r="1372">
          <cell r="B1372" t="str">
            <v>한충심</v>
          </cell>
          <cell r="C1372" t="str">
            <v>2000가소1071024</v>
          </cell>
          <cell r="E1372" t="str">
            <v>한충심 황병하</v>
          </cell>
          <cell r="F1372">
            <v>15530570</v>
          </cell>
          <cell r="L1372">
            <v>29787</v>
          </cell>
        </row>
        <row r="1373">
          <cell r="B1373" t="str">
            <v>방난선</v>
          </cell>
          <cell r="C1373" t="str">
            <v>2000가소1071017</v>
          </cell>
          <cell r="E1373" t="str">
            <v>방난선 이동수</v>
          </cell>
          <cell r="F1373">
            <v>17919968</v>
          </cell>
          <cell r="L1373">
            <v>30993</v>
          </cell>
        </row>
        <row r="1374">
          <cell r="B1374" t="str">
            <v>김충배</v>
          </cell>
          <cell r="C1374" t="str">
            <v>2000가소1070984</v>
          </cell>
          <cell r="E1374" t="str">
            <v>김충배 김금렬</v>
          </cell>
          <cell r="F1374">
            <v>2639941</v>
          </cell>
          <cell r="L1374">
            <v>28231</v>
          </cell>
        </row>
        <row r="1375">
          <cell r="B1375" t="str">
            <v>이원철</v>
          </cell>
          <cell r="C1375" t="str">
            <v>2000가소1070977</v>
          </cell>
          <cell r="E1375" t="str">
            <v>이원철</v>
          </cell>
          <cell r="F1375">
            <v>8800906</v>
          </cell>
          <cell r="L1375">
            <v>31093</v>
          </cell>
        </row>
        <row r="1376">
          <cell r="B1376" t="str">
            <v>배동근</v>
          </cell>
          <cell r="C1376" t="str">
            <v>2000가소1070960</v>
          </cell>
          <cell r="E1376" t="str">
            <v>배동근</v>
          </cell>
          <cell r="F1376">
            <v>6493500</v>
          </cell>
          <cell r="L1376">
            <v>34577</v>
          </cell>
        </row>
        <row r="1377">
          <cell r="B1377" t="str">
            <v>장묘화</v>
          </cell>
          <cell r="D1377" t="str">
            <v>소취하</v>
          </cell>
          <cell r="E1377">
            <v>4479580</v>
          </cell>
          <cell r="F1377">
            <v>4479580</v>
          </cell>
          <cell r="L1377" t="str">
            <v>2000-140</v>
          </cell>
        </row>
        <row r="1378">
          <cell r="B1378" t="str">
            <v>이득현</v>
          </cell>
          <cell r="E1378" t="str">
            <v>이득현 김명수 이교현</v>
          </cell>
          <cell r="F1378">
            <v>24923075</v>
          </cell>
          <cell r="L1378">
            <v>30906</v>
          </cell>
        </row>
        <row r="1379">
          <cell r="B1379" t="str">
            <v>㈜영신전자</v>
          </cell>
          <cell r="C1379" t="str">
            <v>2000가단25475</v>
          </cell>
          <cell r="E1379" t="str">
            <v>영신전자 강대성 이은숙 장대기</v>
          </cell>
          <cell r="F1379">
            <v>603370281</v>
          </cell>
          <cell r="K1379">
            <v>28778</v>
          </cell>
          <cell r="L1379">
            <v>28778</v>
          </cell>
        </row>
        <row r="1380">
          <cell r="B1380" t="str">
            <v>김윤숙</v>
          </cell>
          <cell r="C1380" t="str">
            <v>2000가소1071963</v>
          </cell>
          <cell r="E1380" t="str">
            <v>김윤숙 이종환</v>
          </cell>
          <cell r="F1380">
            <v>11659406</v>
          </cell>
          <cell r="L1380">
            <v>33123</v>
          </cell>
        </row>
        <row r="1381">
          <cell r="B1381" t="str">
            <v>허성무</v>
          </cell>
          <cell r="C1381" t="str">
            <v>2000가소1071970</v>
          </cell>
          <cell r="E1381" t="str">
            <v>허성무 박성원</v>
          </cell>
          <cell r="F1381">
            <v>3330689</v>
          </cell>
          <cell r="L1381">
            <v>28456</v>
          </cell>
        </row>
        <row r="1382">
          <cell r="B1382" t="str">
            <v>최경현</v>
          </cell>
          <cell r="C1382" t="str">
            <v>2000가소1071987</v>
          </cell>
          <cell r="E1382" t="str">
            <v>최경현</v>
          </cell>
          <cell r="F1382">
            <v>2376563</v>
          </cell>
          <cell r="L1382">
            <v>30119</v>
          </cell>
        </row>
        <row r="1383">
          <cell r="B1383" t="str">
            <v>김용호</v>
          </cell>
          <cell r="C1383" t="str">
            <v>2000가소1071994</v>
          </cell>
          <cell r="E1383" t="str">
            <v>김용호</v>
          </cell>
          <cell r="F1383">
            <v>8226274</v>
          </cell>
          <cell r="L1383">
            <v>27634</v>
          </cell>
        </row>
        <row r="1384">
          <cell r="B1384" t="str">
            <v>성백요</v>
          </cell>
          <cell r="C1384" t="str">
            <v>2000가소1072003</v>
          </cell>
          <cell r="E1384" t="str">
            <v>성백요 조병관</v>
          </cell>
          <cell r="F1384">
            <v>3046454</v>
          </cell>
          <cell r="L1384">
            <v>31521</v>
          </cell>
        </row>
        <row r="1385">
          <cell r="B1385" t="str">
            <v>조문제</v>
          </cell>
          <cell r="C1385" t="str">
            <v>2000가소1072010</v>
          </cell>
          <cell r="E1385" t="str">
            <v>조문제</v>
          </cell>
          <cell r="F1385">
            <v>15456324</v>
          </cell>
          <cell r="L1385">
            <v>27328</v>
          </cell>
        </row>
        <row r="1386">
          <cell r="B1386" t="str">
            <v>박수춘</v>
          </cell>
          <cell r="C1386" t="str">
            <v>2000가소1072027</v>
          </cell>
          <cell r="E1386" t="str">
            <v>박수춘</v>
          </cell>
          <cell r="F1386">
            <v>10850925</v>
          </cell>
          <cell r="L1386">
            <v>27936</v>
          </cell>
        </row>
        <row r="1387">
          <cell r="B1387" t="str">
            <v>박갑순</v>
          </cell>
          <cell r="C1387" t="str">
            <v>2000가소1072034</v>
          </cell>
          <cell r="E1387" t="str">
            <v>박갑순</v>
          </cell>
          <cell r="F1387">
            <v>5915601</v>
          </cell>
          <cell r="L1387">
            <v>27038</v>
          </cell>
        </row>
        <row r="1388">
          <cell r="B1388" t="str">
            <v>김철현</v>
          </cell>
          <cell r="C1388" t="str">
            <v>2000가소1072041</v>
          </cell>
          <cell r="E1388" t="str">
            <v>김철현</v>
          </cell>
          <cell r="F1388">
            <v>9115603</v>
          </cell>
          <cell r="L1388">
            <v>31925</v>
          </cell>
        </row>
        <row r="1389">
          <cell r="B1389" t="str">
            <v>김소예</v>
          </cell>
          <cell r="C1389" t="str">
            <v>2000가소1072058</v>
          </cell>
          <cell r="E1389" t="str">
            <v>김소예 함영재</v>
          </cell>
          <cell r="F1389">
            <v>4568965</v>
          </cell>
          <cell r="L1389">
            <v>26045</v>
          </cell>
        </row>
        <row r="1390">
          <cell r="B1390" t="str">
            <v>김석순</v>
          </cell>
          <cell r="C1390" t="str">
            <v>2000가소1071345</v>
          </cell>
          <cell r="E1390" t="str">
            <v>김석순 조남열</v>
          </cell>
          <cell r="F1390">
            <v>3561334</v>
          </cell>
          <cell r="L1390">
            <v>8181</v>
          </cell>
        </row>
        <row r="1391">
          <cell r="B1391" t="str">
            <v>광미피혁</v>
          </cell>
          <cell r="E1391">
            <v>71518966</v>
          </cell>
          <cell r="F1391">
            <v>71518966</v>
          </cell>
          <cell r="L1391" t="str">
            <v>2000-154</v>
          </cell>
        </row>
        <row r="1392">
          <cell r="B1392" t="str">
            <v>이동효</v>
          </cell>
          <cell r="C1392" t="str">
            <v>2000가소1084952</v>
          </cell>
          <cell r="E1392" t="str">
            <v>이동호 권흥군</v>
          </cell>
          <cell r="F1392">
            <v>15156510</v>
          </cell>
          <cell r="L1392">
            <v>3970</v>
          </cell>
        </row>
        <row r="1393">
          <cell r="B1393" t="str">
            <v>방정모</v>
          </cell>
          <cell r="C1393" t="str">
            <v>2000가소1084969</v>
          </cell>
          <cell r="E1393" t="str">
            <v>방정모 심명옥</v>
          </cell>
          <cell r="F1393">
            <v>17699998</v>
          </cell>
          <cell r="L1393">
            <v>5440</v>
          </cell>
        </row>
        <row r="1394">
          <cell r="B1394" t="str">
            <v>정규준</v>
          </cell>
          <cell r="C1394" t="str">
            <v>2000가소1084976</v>
          </cell>
          <cell r="E1394">
            <v>4552774</v>
          </cell>
          <cell r="F1394">
            <v>4552774</v>
          </cell>
          <cell r="L1394">
            <v>9370</v>
          </cell>
        </row>
        <row r="1395">
          <cell r="B1395" t="str">
            <v>박기조</v>
          </cell>
          <cell r="C1395" t="str">
            <v>2000가소1084983</v>
          </cell>
          <cell r="E1395" t="str">
            <v>박기조 이수길</v>
          </cell>
          <cell r="F1395">
            <v>16522532</v>
          </cell>
          <cell r="L1395">
            <v>8837</v>
          </cell>
        </row>
        <row r="1396">
          <cell r="B1396" t="str">
            <v>박순옥</v>
          </cell>
          <cell r="C1396" t="str">
            <v>2000가소1084990</v>
          </cell>
          <cell r="E1396">
            <v>13014474</v>
          </cell>
          <cell r="F1396">
            <v>13014474</v>
          </cell>
          <cell r="L1396">
            <v>8405</v>
          </cell>
        </row>
        <row r="1397">
          <cell r="B1397" t="str">
            <v>박정애</v>
          </cell>
          <cell r="C1397" t="str">
            <v>2000가소1085009</v>
          </cell>
          <cell r="E1397" t="str">
            <v>박</v>
          </cell>
          <cell r="F1397">
            <v>16480829</v>
          </cell>
          <cell r="L1397" t="str">
            <v>2000-160</v>
          </cell>
        </row>
        <row r="1398">
          <cell r="B1398" t="str">
            <v>김정원</v>
          </cell>
          <cell r="C1398" t="str">
            <v>2000가소1085016</v>
          </cell>
          <cell r="E1398" t="str">
            <v>김정원 이성대</v>
          </cell>
          <cell r="F1398">
            <v>17537316</v>
          </cell>
          <cell r="L1398">
            <v>6322</v>
          </cell>
        </row>
        <row r="1399">
          <cell r="B1399" t="str">
            <v>김경훈</v>
          </cell>
          <cell r="E1399" t="str">
            <v>김경훈 박철호</v>
          </cell>
          <cell r="F1399">
            <v>29986089</v>
          </cell>
          <cell r="L1399">
            <v>6799</v>
          </cell>
        </row>
        <row r="1400">
          <cell r="B1400" t="str">
            <v>㈜세정식품</v>
          </cell>
          <cell r="E1400">
            <v>122204086</v>
          </cell>
          <cell r="F1400">
            <v>122204086</v>
          </cell>
          <cell r="L1400" t="str">
            <v>2000-163</v>
          </cell>
        </row>
        <row r="1401">
          <cell r="B1401" t="str">
            <v>조상호</v>
          </cell>
          <cell r="E1401">
            <v>20368455</v>
          </cell>
          <cell r="F1401">
            <v>20368455</v>
          </cell>
          <cell r="L1401" t="str">
            <v>2000-164</v>
          </cell>
        </row>
        <row r="1402">
          <cell r="B1402" t="str">
            <v>김용준</v>
          </cell>
          <cell r="C1402" t="str">
            <v>2000가소1083898</v>
          </cell>
          <cell r="E1402" t="str">
            <v>김용준 조영래 염정례 이세영</v>
          </cell>
          <cell r="F1402">
            <v>14804095</v>
          </cell>
          <cell r="L1402" t="str">
            <v>2000-165</v>
          </cell>
        </row>
        <row r="1403">
          <cell r="B1403" t="str">
            <v>백승호</v>
          </cell>
          <cell r="C1403" t="str">
            <v>2000가소1083904</v>
          </cell>
          <cell r="E1403" t="str">
            <v>백승호 김한수</v>
          </cell>
          <cell r="F1403">
            <v>15841963</v>
          </cell>
          <cell r="L1403" t="str">
            <v>2000-166</v>
          </cell>
        </row>
        <row r="1404">
          <cell r="B1404" t="str">
            <v>명성전자공업</v>
          </cell>
          <cell r="E1404">
            <v>85865524</v>
          </cell>
          <cell r="F1404">
            <v>85865524</v>
          </cell>
          <cell r="L1404" t="str">
            <v>2000-167</v>
          </cell>
        </row>
        <row r="1405">
          <cell r="B1405" t="str">
            <v>㈜보금산업</v>
          </cell>
          <cell r="E1405" t="str">
            <v>보금산업 이경수 오순복 이상언</v>
          </cell>
          <cell r="F1405">
            <v>65271177</v>
          </cell>
          <cell r="L1405" t="str">
            <v>2000-168</v>
          </cell>
        </row>
        <row r="1406">
          <cell r="B1406" t="str">
            <v>최현숙</v>
          </cell>
          <cell r="C1406" t="str">
            <v>2000가소1083911</v>
          </cell>
          <cell r="E1406" t="str">
            <v>최현숙 황선례</v>
          </cell>
          <cell r="F1406">
            <v>6003087</v>
          </cell>
          <cell r="L1406" t="str">
            <v>2000-169</v>
          </cell>
        </row>
        <row r="1407">
          <cell r="B1407" t="str">
            <v>박영순</v>
          </cell>
          <cell r="C1407" t="str">
            <v>2000가소1083928</v>
          </cell>
          <cell r="E1407" t="str">
            <v>박영순</v>
          </cell>
          <cell r="F1407">
            <v>8839120</v>
          </cell>
          <cell r="L1407" t="str">
            <v>2000-170</v>
          </cell>
        </row>
        <row r="1408">
          <cell r="B1408" t="str">
            <v>임경윤</v>
          </cell>
          <cell r="D1408" t="str">
            <v>소취하</v>
          </cell>
          <cell r="E1408">
            <v>12255966</v>
          </cell>
          <cell r="F1408">
            <v>12255966</v>
          </cell>
          <cell r="L1408" t="str">
            <v>2000-171</v>
          </cell>
        </row>
        <row r="1409">
          <cell r="B1409" t="str">
            <v>장영자</v>
          </cell>
          <cell r="C1409" t="str">
            <v>2000가소1083942</v>
          </cell>
          <cell r="E1409" t="str">
            <v>장영자 이정임 송은형 송영일 송영 송해예나 송숙형</v>
          </cell>
          <cell r="F1409">
            <v>15561802</v>
          </cell>
          <cell r="L1409" t="str">
            <v>2000-172</v>
          </cell>
        </row>
        <row r="1410">
          <cell r="B1410" t="str">
            <v>임식</v>
          </cell>
          <cell r="C1410" t="str">
            <v>2000가소1100915</v>
          </cell>
          <cell r="E1410" t="str">
            <v>임식 이정숙 박재홍 박배영 박재현</v>
          </cell>
          <cell r="F1410">
            <v>17819565</v>
          </cell>
          <cell r="L1410" t="str">
            <v>2000-173</v>
          </cell>
        </row>
        <row r="1411">
          <cell r="B1411" t="str">
            <v>차신자</v>
          </cell>
          <cell r="C1411" t="str">
            <v>2000가소1100922</v>
          </cell>
          <cell r="E1411" t="str">
            <v>차신자 김일동 김효동 김정동</v>
          </cell>
          <cell r="F1411">
            <v>10369010</v>
          </cell>
          <cell r="L1411" t="str">
            <v>2000-174</v>
          </cell>
        </row>
        <row r="1412">
          <cell r="B1412" t="str">
            <v>박찬근</v>
          </cell>
          <cell r="C1412" t="str">
            <v>2000가소1100854</v>
          </cell>
          <cell r="E1412" t="str">
            <v>박찬근</v>
          </cell>
          <cell r="F1412">
            <v>2337799</v>
          </cell>
          <cell r="L1412" t="str">
            <v>2000-175</v>
          </cell>
        </row>
        <row r="1413">
          <cell r="B1413" t="str">
            <v>백연자</v>
          </cell>
          <cell r="C1413" t="str">
            <v>2000가소1100892</v>
          </cell>
          <cell r="E1413" t="str">
            <v>백연자 박정식 박성식</v>
          </cell>
          <cell r="F1413">
            <v>3702580</v>
          </cell>
          <cell r="L1413" t="str">
            <v>2000-176</v>
          </cell>
        </row>
        <row r="1414">
          <cell r="B1414" t="str">
            <v>유민자</v>
          </cell>
          <cell r="C1414" t="str">
            <v>2000가소1100885</v>
          </cell>
          <cell r="E1414" t="str">
            <v>유민자 이위례 전정자</v>
          </cell>
          <cell r="F1414">
            <v>14786657</v>
          </cell>
          <cell r="L1414" t="str">
            <v>2000-177</v>
          </cell>
        </row>
        <row r="1415">
          <cell r="B1415" t="str">
            <v>김희수</v>
          </cell>
          <cell r="C1415" t="str">
            <v>2000가소1100878</v>
          </cell>
          <cell r="E1415" t="str">
            <v>김희수 이길우 배영술</v>
          </cell>
          <cell r="F1415">
            <v>10209997</v>
          </cell>
          <cell r="L1415" t="str">
            <v>2000-178</v>
          </cell>
        </row>
        <row r="1416">
          <cell r="B1416" t="str">
            <v>박미임</v>
          </cell>
          <cell r="C1416" t="str">
            <v>2000가소1100939</v>
          </cell>
          <cell r="E1416" t="str">
            <v>박미임 박복연</v>
          </cell>
          <cell r="F1416">
            <v>3869164</v>
          </cell>
          <cell r="L1416" t="str">
            <v>2000-179</v>
          </cell>
        </row>
        <row r="1417">
          <cell r="B1417" t="str">
            <v>김계자</v>
          </cell>
          <cell r="C1417" t="str">
            <v>2000가소1100946</v>
          </cell>
          <cell r="E1417" t="str">
            <v>김계자 박이건 황종선</v>
          </cell>
          <cell r="F1417">
            <v>6120720</v>
          </cell>
          <cell r="L1417" t="str">
            <v>2000-180</v>
          </cell>
        </row>
        <row r="1418">
          <cell r="B1418" t="str">
            <v>박미애</v>
          </cell>
          <cell r="C1418" t="str">
            <v>2000가소1100953</v>
          </cell>
          <cell r="E1418" t="str">
            <v>박미애 임양순</v>
          </cell>
          <cell r="F1418">
            <v>1022392</v>
          </cell>
          <cell r="L1418" t="str">
            <v>2000-181</v>
          </cell>
        </row>
        <row r="1419">
          <cell r="B1419" t="str">
            <v>정승수</v>
          </cell>
          <cell r="C1419" t="str">
            <v>2000가소1100960</v>
          </cell>
          <cell r="E1419" t="str">
            <v>정승수 이경주</v>
          </cell>
          <cell r="F1419">
            <v>3936374</v>
          </cell>
          <cell r="L1419" t="str">
            <v>2000-182</v>
          </cell>
        </row>
        <row r="1420">
          <cell r="B1420" t="str">
            <v>심재웅</v>
          </cell>
          <cell r="E1420" t="str">
            <v>심재웅 고재긴 장우덕</v>
          </cell>
          <cell r="F1420">
            <v>24320276</v>
          </cell>
          <cell r="L1420" t="str">
            <v>2000-183</v>
          </cell>
        </row>
        <row r="1421">
          <cell r="B1421" t="str">
            <v>최경욱</v>
          </cell>
          <cell r="C1421" t="str">
            <v>2000가소1100977</v>
          </cell>
          <cell r="E1421" t="str">
            <v>최경욱 김동희</v>
          </cell>
          <cell r="F1421">
            <v>11828448</v>
          </cell>
          <cell r="L1421" t="str">
            <v>2000-184</v>
          </cell>
        </row>
        <row r="1422">
          <cell r="B1422" t="str">
            <v>곽말순</v>
          </cell>
          <cell r="C1422" t="str">
            <v>2000가소1100847</v>
          </cell>
          <cell r="E1422" t="str">
            <v>곽말순 조윤순 박덕현 박수현 박성현</v>
          </cell>
          <cell r="F1422">
            <v>17437825</v>
          </cell>
          <cell r="L1422" t="str">
            <v>2000-185</v>
          </cell>
        </row>
        <row r="1423">
          <cell r="B1423" t="str">
            <v>길용태</v>
          </cell>
          <cell r="E1423">
            <v>15000000</v>
          </cell>
          <cell r="F1423">
            <v>15000000</v>
          </cell>
          <cell r="L1423" t="str">
            <v>2000-186</v>
          </cell>
        </row>
        <row r="1424">
          <cell r="B1424" t="str">
            <v>이은경</v>
          </cell>
          <cell r="C1424" t="str">
            <v>2000가소1100861</v>
          </cell>
          <cell r="E1424" t="str">
            <v>이은경 서상순</v>
          </cell>
          <cell r="F1424">
            <v>11284830</v>
          </cell>
          <cell r="L1424" t="str">
            <v>2000-187</v>
          </cell>
        </row>
        <row r="1425">
          <cell r="B1425" t="str">
            <v>신세기건설산업</v>
          </cell>
          <cell r="E1425" t="str">
            <v>신세기건설산업 정종민 정신송</v>
          </cell>
          <cell r="F1425">
            <v>128469422</v>
          </cell>
          <cell r="L1425" t="str">
            <v>2000-188</v>
          </cell>
        </row>
        <row r="1426">
          <cell r="B1426" t="str">
            <v>정명순</v>
          </cell>
          <cell r="C1426" t="str">
            <v>2000가소1100908</v>
          </cell>
          <cell r="E1426" t="str">
            <v>정명순</v>
          </cell>
          <cell r="F1426">
            <v>9397160</v>
          </cell>
          <cell r="L1426" t="str">
            <v>2000-189</v>
          </cell>
        </row>
        <row r="1427">
          <cell r="B1427" t="str">
            <v>백광현</v>
          </cell>
          <cell r="E1427" t="str">
            <v>유근성</v>
          </cell>
          <cell r="F1427">
            <v>7479664</v>
          </cell>
          <cell r="K1427" t="str">
            <v>경매</v>
          </cell>
          <cell r="L1427" t="str">
            <v>경매</v>
          </cell>
        </row>
        <row r="1428">
          <cell r="B1428" t="str">
            <v>(주)디지인원택 김필봉</v>
          </cell>
          <cell r="C1428" t="str">
            <v>99가단299072</v>
          </cell>
          <cell r="E1428" t="str">
            <v>남승익</v>
          </cell>
          <cell r="F1428">
            <v>12000000</v>
          </cell>
          <cell r="K1428" t="str">
            <v>경매</v>
          </cell>
          <cell r="L1428" t="str">
            <v>경매</v>
          </cell>
        </row>
        <row r="1429">
          <cell r="B1429" t="str">
            <v>송교호</v>
          </cell>
          <cell r="C1429" t="str">
            <v>99가단299089</v>
          </cell>
          <cell r="E1429" t="str">
            <v>송교호</v>
          </cell>
          <cell r="F1429">
            <v>12000000</v>
          </cell>
          <cell r="K1429" t="str">
            <v>경매</v>
          </cell>
          <cell r="L1429" t="str">
            <v>경매</v>
          </cell>
        </row>
        <row r="1430">
          <cell r="B1430" t="str">
            <v>김우평</v>
          </cell>
          <cell r="D1430" t="str">
            <v>소취하</v>
          </cell>
          <cell r="E1430">
            <v>1206139</v>
          </cell>
          <cell r="F1430">
            <v>1206139</v>
          </cell>
          <cell r="L1430" t="str">
            <v>2000-193</v>
          </cell>
        </row>
        <row r="1431">
          <cell r="B1431" t="str">
            <v>유병수</v>
          </cell>
          <cell r="E1431">
            <v>39922714</v>
          </cell>
          <cell r="F1431">
            <v>39922714</v>
          </cell>
          <cell r="K1431" t="str">
            <v>경매</v>
          </cell>
          <cell r="L1431" t="str">
            <v>경매</v>
          </cell>
        </row>
        <row r="1432">
          <cell r="B1432" t="str">
            <v>이명희</v>
          </cell>
          <cell r="C1432" t="str">
            <v>2000가소1071338</v>
          </cell>
          <cell r="E1432" t="str">
            <v>이명희 이영희</v>
          </cell>
          <cell r="F1432">
            <v>11516623</v>
          </cell>
          <cell r="L1432">
            <v>6514</v>
          </cell>
        </row>
        <row r="1433">
          <cell r="B1433" t="str">
            <v>임경옥</v>
          </cell>
          <cell r="C1433" t="str">
            <v>2000가소1071321</v>
          </cell>
          <cell r="E1433" t="str">
            <v>임경옥 이창유 이지선</v>
          </cell>
          <cell r="F1433">
            <v>12562531</v>
          </cell>
          <cell r="L1433">
            <v>6342</v>
          </cell>
        </row>
        <row r="1434">
          <cell r="B1434" t="str">
            <v>김종성</v>
          </cell>
          <cell r="C1434" t="str">
            <v>2000가소1071314</v>
          </cell>
          <cell r="E1434" t="str">
            <v>김종성</v>
          </cell>
          <cell r="F1434">
            <v>2380339</v>
          </cell>
          <cell r="L1434">
            <v>6561</v>
          </cell>
        </row>
        <row r="1435">
          <cell r="B1435" t="str">
            <v>정평모</v>
          </cell>
          <cell r="C1435" t="str">
            <v>2000가소1071307</v>
          </cell>
          <cell r="E1435" t="str">
            <v>정평모</v>
          </cell>
          <cell r="F1435">
            <v>14965050</v>
          </cell>
          <cell r="L1435">
            <v>6607</v>
          </cell>
        </row>
        <row r="1436">
          <cell r="B1436" t="str">
            <v>리만전자공업㈜</v>
          </cell>
          <cell r="E1436" t="str">
            <v>리만전자공업 양명석</v>
          </cell>
          <cell r="F1436">
            <v>546665962</v>
          </cell>
          <cell r="L1436">
            <v>25867</v>
          </cell>
        </row>
        <row r="1437">
          <cell r="B1437" t="str">
            <v>하기찬</v>
          </cell>
          <cell r="C1437" t="str">
            <v>2000가단28399</v>
          </cell>
          <cell r="E1437" t="str">
            <v>하기찬 이상혁</v>
          </cell>
          <cell r="F1437">
            <v>131841150</v>
          </cell>
          <cell r="L1437">
            <v>4046</v>
          </cell>
        </row>
        <row r="1438">
          <cell r="B1438" t="str">
            <v>임유성</v>
          </cell>
          <cell r="C1438" t="str">
            <v>2000가소1070946</v>
          </cell>
          <cell r="E1438" t="str">
            <v>임유성 홍성인</v>
          </cell>
          <cell r="F1438">
            <v>5819860</v>
          </cell>
          <cell r="L1438">
            <v>4293</v>
          </cell>
        </row>
        <row r="1439">
          <cell r="B1439" t="str">
            <v>이상우</v>
          </cell>
          <cell r="C1439" t="str">
            <v>2000가소1070939</v>
          </cell>
          <cell r="E1439" t="str">
            <v>이상우</v>
          </cell>
          <cell r="F1439">
            <v>8793983</v>
          </cell>
          <cell r="L1439">
            <v>4013</v>
          </cell>
        </row>
        <row r="1440">
          <cell r="B1440" t="str">
            <v>이금철</v>
          </cell>
          <cell r="C1440" t="str">
            <v>2000가소1072157</v>
          </cell>
          <cell r="E1440" t="str">
            <v>이금철</v>
          </cell>
          <cell r="F1440">
            <v>15286436</v>
          </cell>
          <cell r="L1440">
            <v>9657</v>
          </cell>
        </row>
        <row r="1441">
          <cell r="B1441" t="str">
            <v>오세일</v>
          </cell>
          <cell r="C1441" t="str">
            <v>2000가소1072140</v>
          </cell>
          <cell r="E1441" t="str">
            <v>오세일 유재근 윤수향</v>
          </cell>
          <cell r="F1441">
            <v>12450825</v>
          </cell>
          <cell r="L1441" t="str">
            <v>19513, 33122</v>
          </cell>
        </row>
        <row r="1442">
          <cell r="B1442" t="str">
            <v>태광전자(주)</v>
          </cell>
          <cell r="E1442" t="str">
            <v>윤주일 조규헌</v>
          </cell>
          <cell r="F1442">
            <v>59776000</v>
          </cell>
          <cell r="L1442" t="str">
            <v>2000-205</v>
          </cell>
        </row>
        <row r="1443">
          <cell r="B1443" t="str">
            <v>김세종</v>
          </cell>
          <cell r="C1443" t="str">
            <v>99가단24883</v>
          </cell>
          <cell r="E1443" t="str">
            <v>유수옥</v>
          </cell>
          <cell r="F1443">
            <v>5000000</v>
          </cell>
          <cell r="K1443" t="str">
            <v>경매</v>
          </cell>
          <cell r="L1443" t="str">
            <v>경매(중앙)</v>
          </cell>
        </row>
        <row r="1444">
          <cell r="B1444" t="str">
            <v>(주)진우명성</v>
          </cell>
          <cell r="E1444" t="str">
            <v>이정옥 김상철</v>
          </cell>
          <cell r="F1444">
            <v>16000000</v>
          </cell>
          <cell r="K1444" t="str">
            <v>경매</v>
          </cell>
          <cell r="L1444" t="str">
            <v>경매</v>
          </cell>
        </row>
        <row r="1445">
          <cell r="B1445" t="str">
            <v>윤인자</v>
          </cell>
          <cell r="C1445" t="str">
            <v>2000가소1100955</v>
          </cell>
          <cell r="E1445" t="str">
            <v>윤인자 김유한</v>
          </cell>
          <cell r="F1445">
            <v>9756414</v>
          </cell>
          <cell r="L1445">
            <v>1949</v>
          </cell>
        </row>
        <row r="1446">
          <cell r="B1446" t="str">
            <v>김원영</v>
          </cell>
          <cell r="C1446" t="str">
            <v>2000가소1100748</v>
          </cell>
          <cell r="E1446" t="str">
            <v>김원영</v>
          </cell>
          <cell r="F1446">
            <v>8600841</v>
          </cell>
          <cell r="L1446">
            <v>9753</v>
          </cell>
        </row>
        <row r="1447">
          <cell r="B1447" t="str">
            <v>서영철</v>
          </cell>
          <cell r="C1447" t="str">
            <v>2000가단37010</v>
          </cell>
          <cell r="E1447" t="str">
            <v>서영철</v>
          </cell>
          <cell r="F1447">
            <v>27362003</v>
          </cell>
          <cell r="L1447">
            <v>1890</v>
          </cell>
        </row>
        <row r="1448">
          <cell r="B1448" t="str">
            <v>김윤경</v>
          </cell>
          <cell r="C1448" t="str">
            <v>2000가소1100731</v>
          </cell>
          <cell r="E1448" t="str">
            <v>김윤경 임순자</v>
          </cell>
          <cell r="F1448">
            <v>17208628</v>
          </cell>
          <cell r="L1448">
            <v>2178</v>
          </cell>
        </row>
        <row r="1449">
          <cell r="B1449" t="str">
            <v>정성관</v>
          </cell>
          <cell r="C1449" t="str">
            <v>2000가소1100724</v>
          </cell>
          <cell r="E1449" t="str">
            <v>정성관</v>
          </cell>
          <cell r="F1449">
            <v>2707916</v>
          </cell>
          <cell r="L1449">
            <v>13780</v>
          </cell>
        </row>
        <row r="1450">
          <cell r="B1450" t="str">
            <v>김종천</v>
          </cell>
          <cell r="C1450" t="str">
            <v>2000가소1100717</v>
          </cell>
          <cell r="E1450" t="str">
            <v>김종천 한영일</v>
          </cell>
          <cell r="F1450">
            <v>16671368</v>
          </cell>
          <cell r="L1450">
            <v>2184</v>
          </cell>
        </row>
        <row r="1451">
          <cell r="B1451" t="str">
            <v>김홍연</v>
          </cell>
          <cell r="C1451" t="str">
            <v>2000가소1100700</v>
          </cell>
          <cell r="E1451" t="str">
            <v>김홍연</v>
          </cell>
          <cell r="F1451">
            <v>4100807</v>
          </cell>
          <cell r="L1451">
            <v>10934</v>
          </cell>
        </row>
        <row r="1452">
          <cell r="B1452" t="str">
            <v>이승표</v>
          </cell>
          <cell r="C1452" t="str">
            <v>2000가소1100694</v>
          </cell>
          <cell r="E1452" t="str">
            <v>이승표 김인철</v>
          </cell>
          <cell r="F1452">
            <v>14105150</v>
          </cell>
          <cell r="L1452">
            <v>2191</v>
          </cell>
        </row>
        <row r="1453">
          <cell r="B1453" t="str">
            <v>㈜줄바위</v>
          </cell>
          <cell r="E1453" t="str">
            <v>줄바위 손광성 김동진</v>
          </cell>
          <cell r="F1453">
            <v>22647504</v>
          </cell>
          <cell r="L1453">
            <v>8614</v>
          </cell>
        </row>
        <row r="1454">
          <cell r="B1454" t="str">
            <v>송혜석</v>
          </cell>
          <cell r="C1454" t="str">
            <v>2000가단36994</v>
          </cell>
          <cell r="E1454" t="str">
            <v>송혜석 김영산</v>
          </cell>
          <cell r="F1454">
            <v>41432976</v>
          </cell>
          <cell r="L1454">
            <v>2119</v>
          </cell>
        </row>
        <row r="1455">
          <cell r="B1455" t="str">
            <v>양승업</v>
          </cell>
          <cell r="C1455" t="str">
            <v>2000가소1100762</v>
          </cell>
          <cell r="E1455" t="str">
            <v>양승업 주낙현</v>
          </cell>
          <cell r="F1455">
            <v>6167218</v>
          </cell>
          <cell r="L1455">
            <v>38905</v>
          </cell>
        </row>
        <row r="1456">
          <cell r="B1456" t="str">
            <v>송태희</v>
          </cell>
          <cell r="C1456" t="str">
            <v>2000가소1100779</v>
          </cell>
          <cell r="E1456" t="str">
            <v>송태희 진윤근</v>
          </cell>
          <cell r="F1456">
            <v>11234327</v>
          </cell>
          <cell r="L1456">
            <v>7513</v>
          </cell>
        </row>
        <row r="1457">
          <cell r="B1457" t="str">
            <v>김윤수</v>
          </cell>
          <cell r="C1457" t="str">
            <v>2000가소1100786</v>
          </cell>
          <cell r="E1457" t="str">
            <v>김윤수 김병례</v>
          </cell>
          <cell r="F1457">
            <v>6380768</v>
          </cell>
          <cell r="L1457">
            <v>4182</v>
          </cell>
        </row>
        <row r="1458">
          <cell r="B1458" t="str">
            <v>김영숙</v>
          </cell>
          <cell r="C1458" t="str">
            <v>2000가소1100793</v>
          </cell>
          <cell r="E1458" t="str">
            <v>김영숙 이중희</v>
          </cell>
          <cell r="F1458">
            <v>5657938</v>
          </cell>
          <cell r="L1458">
            <v>2174</v>
          </cell>
        </row>
        <row r="1459">
          <cell r="B1459" t="str">
            <v>전명희</v>
          </cell>
          <cell r="C1459" t="str">
            <v>2000가소1100809</v>
          </cell>
          <cell r="E1459" t="str">
            <v>전명희 박종섭</v>
          </cell>
          <cell r="F1459">
            <v>4740983</v>
          </cell>
          <cell r="L1459">
            <v>4421</v>
          </cell>
        </row>
        <row r="1460">
          <cell r="B1460" t="str">
            <v>변순옥</v>
          </cell>
          <cell r="C1460" t="str">
            <v>2000가소1100816</v>
          </cell>
          <cell r="E1460" t="str">
            <v>변순옥 정정애 문의성</v>
          </cell>
          <cell r="F1460">
            <v>15473880</v>
          </cell>
          <cell r="L1460">
            <v>2195</v>
          </cell>
        </row>
        <row r="1461">
          <cell r="B1461" t="str">
            <v>김현옥</v>
          </cell>
          <cell r="C1461" t="str">
            <v>2000가소1100823</v>
          </cell>
          <cell r="E1461" t="str">
            <v>김현옥 신만철</v>
          </cell>
          <cell r="F1461">
            <v>12487271</v>
          </cell>
          <cell r="L1461">
            <v>1889</v>
          </cell>
        </row>
        <row r="1462">
          <cell r="B1462" t="str">
            <v>김옥심</v>
          </cell>
          <cell r="C1462" t="str">
            <v>2000가소1100830</v>
          </cell>
          <cell r="E1462" t="str">
            <v>김옥심</v>
          </cell>
          <cell r="F1462">
            <v>16002493</v>
          </cell>
          <cell r="L1462">
            <v>2285</v>
          </cell>
        </row>
        <row r="1463">
          <cell r="B1463" t="str">
            <v>황영필</v>
          </cell>
          <cell r="C1463" t="str">
            <v>2000가단37027</v>
          </cell>
          <cell r="E1463" t="str">
            <v>황영필 나향순 김봉한 신양희 양승수</v>
          </cell>
          <cell r="F1463">
            <v>31844868</v>
          </cell>
          <cell r="L1463" t="str">
            <v>4610, 35508</v>
          </cell>
        </row>
        <row r="1464">
          <cell r="B1464" t="str">
            <v>김문규</v>
          </cell>
          <cell r="C1464" t="str">
            <v>2000가단37034</v>
          </cell>
          <cell r="D1464" t="str">
            <v>지태순</v>
          </cell>
          <cell r="E1464" t="str">
            <v>지태순 김한나(망 김문규의 자)</v>
          </cell>
          <cell r="F1464">
            <v>30654259</v>
          </cell>
          <cell r="L1464" t="str">
            <v>4134, 34094</v>
          </cell>
        </row>
        <row r="1465">
          <cell r="B1465" t="str">
            <v>남기혁</v>
          </cell>
          <cell r="E1465" t="str">
            <v>남기혁 한현순 이상철 남기향</v>
          </cell>
          <cell r="F1465">
            <v>153942332</v>
          </cell>
          <cell r="K1465">
            <v>25033</v>
          </cell>
          <cell r="L1465">
            <v>25033</v>
          </cell>
        </row>
        <row r="1466">
          <cell r="B1466" t="str">
            <v>이준석</v>
          </cell>
          <cell r="E1466" t="str">
            <v>이준석 최조자</v>
          </cell>
          <cell r="F1466">
            <v>299629559</v>
          </cell>
          <cell r="K1466">
            <v>4166</v>
          </cell>
          <cell r="L1466">
            <v>4166</v>
          </cell>
        </row>
        <row r="1467">
          <cell r="B1467" t="str">
            <v xml:space="preserve">고려기획 김세현 </v>
          </cell>
          <cell r="E1467" t="str">
            <v>김세현 장용수</v>
          </cell>
          <cell r="F1467">
            <v>31490450</v>
          </cell>
          <cell r="K1467">
            <v>5940</v>
          </cell>
          <cell r="L1467">
            <v>5940</v>
          </cell>
        </row>
        <row r="1468">
          <cell r="B1468" t="str">
            <v>서상기</v>
          </cell>
          <cell r="E1468">
            <v>21091960</v>
          </cell>
          <cell r="F1468">
            <v>21091960</v>
          </cell>
          <cell r="K1468">
            <v>4183</v>
          </cell>
          <cell r="L1468">
            <v>4183</v>
          </cell>
        </row>
        <row r="1469">
          <cell r="B1469" t="str">
            <v>손영자</v>
          </cell>
          <cell r="C1469" t="str">
            <v>2000가소1128982</v>
          </cell>
          <cell r="E1469" t="str">
            <v>손영자 허저욱</v>
          </cell>
          <cell r="F1469">
            <v>11738979</v>
          </cell>
          <cell r="K1469">
            <v>5299</v>
          </cell>
          <cell r="L1469">
            <v>5299</v>
          </cell>
        </row>
        <row r="1470">
          <cell r="B1470" t="str">
            <v>서울대한공영</v>
          </cell>
          <cell r="E1470" t="str">
            <v>서울대한공영 장명복</v>
          </cell>
          <cell r="F1470">
            <v>58569283</v>
          </cell>
          <cell r="K1470">
            <v>5410</v>
          </cell>
          <cell r="L1470">
            <v>5410</v>
          </cell>
        </row>
        <row r="1471">
          <cell r="B1471" t="str">
            <v>㈜창조공간</v>
          </cell>
          <cell r="E1471">
            <v>50266225</v>
          </cell>
          <cell r="F1471">
            <v>50266225</v>
          </cell>
          <cell r="K1471">
            <v>12160</v>
          </cell>
          <cell r="L1471">
            <v>12160</v>
          </cell>
        </row>
        <row r="1472">
          <cell r="B1472" t="str">
            <v>㈜광일훼밀리건설</v>
          </cell>
          <cell r="E1472" t="str">
            <v>광일훼밀리건설 장순임 천병련</v>
          </cell>
          <cell r="F1472">
            <v>64733147</v>
          </cell>
          <cell r="K1472">
            <v>6099</v>
          </cell>
          <cell r="L1472">
            <v>6099</v>
          </cell>
        </row>
        <row r="1473">
          <cell r="B1473" t="str">
            <v>박태권</v>
          </cell>
          <cell r="C1473" t="str">
            <v>2000가단31401</v>
          </cell>
          <cell r="E1473" t="str">
            <v>박태선 김계송</v>
          </cell>
          <cell r="F1473">
            <v>27000000</v>
          </cell>
          <cell r="K1473" t="str">
            <v>경매</v>
          </cell>
          <cell r="L1473" t="str">
            <v>경매</v>
          </cell>
        </row>
        <row r="1474">
          <cell r="B1474" t="str">
            <v>이종필? 이종열</v>
          </cell>
          <cell r="E1474">
            <v>18026563</v>
          </cell>
          <cell r="F1474">
            <v>18026563</v>
          </cell>
          <cell r="K1474" t="str">
            <v>특수</v>
          </cell>
          <cell r="L1474" t="str">
            <v>특수</v>
          </cell>
        </row>
        <row r="1475">
          <cell r="B1475" t="str">
            <v>강영애</v>
          </cell>
          <cell r="C1475" t="str">
            <v>2000가소1128999</v>
          </cell>
          <cell r="E1475" t="str">
            <v>강영애 강명오</v>
          </cell>
          <cell r="F1475">
            <v>12076163</v>
          </cell>
          <cell r="K1475" t="str">
            <v>특수</v>
          </cell>
          <cell r="L1475">
            <v>5754</v>
          </cell>
        </row>
        <row r="1476">
          <cell r="B1476" t="str">
            <v>윤성균</v>
          </cell>
          <cell r="C1476" t="str">
            <v>2000가소1129008</v>
          </cell>
          <cell r="E1476" t="str">
            <v>윤성균 이제일</v>
          </cell>
          <cell r="F1476">
            <v>4812311</v>
          </cell>
          <cell r="K1476" t="str">
            <v>특수</v>
          </cell>
          <cell r="L1476">
            <v>4216</v>
          </cell>
        </row>
        <row r="1477">
          <cell r="B1477" t="str">
            <v>안정희</v>
          </cell>
          <cell r="C1477" t="str">
            <v>2000가소1129015</v>
          </cell>
          <cell r="E1477" t="str">
            <v>안정희 정봉환</v>
          </cell>
          <cell r="F1477">
            <v>6517492</v>
          </cell>
          <cell r="K1477" t="str">
            <v>특수</v>
          </cell>
          <cell r="L1477">
            <v>4136</v>
          </cell>
        </row>
        <row r="1478">
          <cell r="B1478" t="str">
            <v>송현모</v>
          </cell>
          <cell r="C1478" t="str">
            <v>2000가소1129022</v>
          </cell>
          <cell r="E1478" t="str">
            <v>송현모 송선모</v>
          </cell>
          <cell r="F1478">
            <v>10146522</v>
          </cell>
          <cell r="K1478" t="str">
            <v>특수</v>
          </cell>
          <cell r="L1478">
            <v>6430</v>
          </cell>
        </row>
        <row r="1479">
          <cell r="B1479" t="str">
            <v>김단희</v>
          </cell>
          <cell r="C1479" t="str">
            <v>2000가소1129039</v>
          </cell>
          <cell r="E1479" t="str">
            <v>김단희 윤정훈</v>
          </cell>
          <cell r="F1479">
            <v>17295084</v>
          </cell>
          <cell r="K1479" t="str">
            <v>특수</v>
          </cell>
          <cell r="L1479">
            <v>6515</v>
          </cell>
        </row>
        <row r="1480">
          <cell r="B1480" t="str">
            <v>강천기</v>
          </cell>
          <cell r="C1480" t="str">
            <v>2000가소1129046</v>
          </cell>
          <cell r="E1480" t="str">
            <v>강천기 임현섭</v>
          </cell>
          <cell r="F1480">
            <v>5539511</v>
          </cell>
          <cell r="K1480" t="str">
            <v>특수</v>
          </cell>
          <cell r="L1480">
            <v>6401</v>
          </cell>
        </row>
        <row r="1481">
          <cell r="B1481" t="str">
            <v>이만승</v>
          </cell>
          <cell r="C1481" t="str">
            <v>2000가소1129053</v>
          </cell>
          <cell r="E1481" t="str">
            <v>이만승 인은택</v>
          </cell>
          <cell r="F1481">
            <v>14107252</v>
          </cell>
          <cell r="K1481" t="str">
            <v>특수</v>
          </cell>
          <cell r="L1481">
            <v>5736</v>
          </cell>
        </row>
        <row r="1482">
          <cell r="B1482" t="str">
            <v>서일산기㈜</v>
          </cell>
          <cell r="E1482" t="str">
            <v>서일산기 신대철</v>
          </cell>
          <cell r="F1482">
            <v>69737680</v>
          </cell>
          <cell r="K1482" t="str">
            <v>특수</v>
          </cell>
          <cell r="L1482">
            <v>25287</v>
          </cell>
        </row>
        <row r="1483">
          <cell r="B1483" t="str">
            <v>강영춘</v>
          </cell>
          <cell r="C1483" t="str">
            <v>2000가소1129060</v>
          </cell>
          <cell r="E1483" t="str">
            <v>강영춘 강성춘 강광일</v>
          </cell>
          <cell r="F1483">
            <v>17632806</v>
          </cell>
          <cell r="K1483" t="str">
            <v>특수</v>
          </cell>
          <cell r="L1483">
            <v>30419</v>
          </cell>
        </row>
        <row r="1484">
          <cell r="B1484" t="str">
            <v>김미숙</v>
          </cell>
          <cell r="E1484" t="str">
            <v>김미숙 주흥수 한명복</v>
          </cell>
          <cell r="F1484">
            <v>24913207</v>
          </cell>
          <cell r="K1484" t="str">
            <v>특수</v>
          </cell>
          <cell r="L1484" t="str">
            <v>11196, 32650</v>
          </cell>
        </row>
        <row r="1485">
          <cell r="B1485" t="str">
            <v>이경애</v>
          </cell>
          <cell r="C1485" t="str">
            <v>2000가소1129077</v>
          </cell>
          <cell r="E1485">
            <v>17953775</v>
          </cell>
          <cell r="F1485">
            <v>17953775</v>
          </cell>
          <cell r="K1485" t="str">
            <v>특수</v>
          </cell>
          <cell r="L1485">
            <v>26353</v>
          </cell>
        </row>
        <row r="1486">
          <cell r="B1486" t="str">
            <v>성신축산㈜</v>
          </cell>
          <cell r="E1486" t="str">
            <v>성신축산 이종범</v>
          </cell>
          <cell r="F1486">
            <v>240029783</v>
          </cell>
          <cell r="K1486" t="str">
            <v>특수</v>
          </cell>
          <cell r="L1486">
            <v>25968</v>
          </cell>
        </row>
        <row r="1487">
          <cell r="B1487" t="str">
            <v>고경덕</v>
          </cell>
          <cell r="E1487" t="str">
            <v>고경덕</v>
          </cell>
          <cell r="F1487">
            <v>9243207</v>
          </cell>
          <cell r="K1487" t="str">
            <v>경매</v>
          </cell>
          <cell r="L1487" t="str">
            <v>경매</v>
          </cell>
        </row>
        <row r="1488">
          <cell r="B1488" t="str">
            <v>노영심</v>
          </cell>
          <cell r="C1488" t="str">
            <v>2000가소1103433</v>
          </cell>
          <cell r="E1488" t="str">
            <v>노영심 서정환</v>
          </cell>
          <cell r="F1488">
            <v>8161342</v>
          </cell>
          <cell r="K1488" t="str">
            <v>특채</v>
          </cell>
          <cell r="L1488">
            <v>33100</v>
          </cell>
        </row>
        <row r="1489">
          <cell r="B1489" t="str">
            <v>안희율</v>
          </cell>
          <cell r="C1489" t="str">
            <v>2000가소1103440</v>
          </cell>
          <cell r="E1489" t="str">
            <v>안희율 정명순</v>
          </cell>
          <cell r="F1489">
            <v>14313527</v>
          </cell>
          <cell r="K1489" t="str">
            <v>특채</v>
          </cell>
          <cell r="L1489">
            <v>26051</v>
          </cell>
        </row>
        <row r="1490">
          <cell r="B1490" t="str">
            <v>정대남</v>
          </cell>
          <cell r="C1490" t="str">
            <v>2000가소1103457</v>
          </cell>
          <cell r="E1490" t="str">
            <v>정대남</v>
          </cell>
          <cell r="F1490">
            <v>5785713</v>
          </cell>
          <cell r="K1490" t="str">
            <v>특채</v>
          </cell>
          <cell r="L1490">
            <v>31924</v>
          </cell>
        </row>
        <row r="1491">
          <cell r="B1491" t="str">
            <v>박미자</v>
          </cell>
          <cell r="C1491" t="str">
            <v>2000가소1103464</v>
          </cell>
          <cell r="E1491" t="str">
            <v>박미자 임은식</v>
          </cell>
          <cell r="F1491">
            <v>16117634</v>
          </cell>
          <cell r="K1491" t="str">
            <v>특채</v>
          </cell>
          <cell r="L1491">
            <v>30877</v>
          </cell>
        </row>
        <row r="1492">
          <cell r="B1492" t="str">
            <v>이근옥</v>
          </cell>
          <cell r="C1492" t="str">
            <v>2000가소1103471</v>
          </cell>
          <cell r="E1492" t="str">
            <v>이근옥 이수자</v>
          </cell>
          <cell r="F1492">
            <v>11666504</v>
          </cell>
          <cell r="K1492" t="str">
            <v>특채</v>
          </cell>
          <cell r="L1492">
            <v>28042</v>
          </cell>
        </row>
        <row r="1493">
          <cell r="B1493" t="str">
            <v>이한순</v>
          </cell>
          <cell r="C1493" t="str">
            <v>2000가소1103488</v>
          </cell>
          <cell r="E1493" t="str">
            <v>이한순 장훈택</v>
          </cell>
          <cell r="F1493">
            <v>11344603</v>
          </cell>
          <cell r="K1493" t="str">
            <v>특채</v>
          </cell>
          <cell r="L1493">
            <v>30329</v>
          </cell>
        </row>
        <row r="1494">
          <cell r="B1494" t="str">
            <v>박옥경</v>
          </cell>
          <cell r="C1494" t="str">
            <v>2000가소1103495</v>
          </cell>
          <cell r="E1494" t="str">
            <v>박옥경 김옥실</v>
          </cell>
          <cell r="F1494">
            <v>14936379</v>
          </cell>
          <cell r="K1494" t="str">
            <v>특채</v>
          </cell>
          <cell r="L1494">
            <v>30215</v>
          </cell>
        </row>
        <row r="1495">
          <cell r="B1495" t="str">
            <v>홍한봉</v>
          </cell>
          <cell r="C1495" t="str">
            <v>2000가소1103501</v>
          </cell>
          <cell r="E1495" t="str">
            <v>홍한봉 홍철민 정미경</v>
          </cell>
          <cell r="F1495">
            <v>19057806</v>
          </cell>
          <cell r="K1495" t="str">
            <v>특채</v>
          </cell>
          <cell r="L1495">
            <v>26067</v>
          </cell>
        </row>
        <row r="1496">
          <cell r="B1496" t="str">
            <v>이귀남</v>
          </cell>
          <cell r="C1496" t="str">
            <v>2000가소1103594</v>
          </cell>
          <cell r="E1496" t="str">
            <v>이귀남</v>
          </cell>
          <cell r="F1496">
            <v>3190909</v>
          </cell>
          <cell r="K1496" t="str">
            <v>특채</v>
          </cell>
          <cell r="L1496" t="str">
            <v>특채</v>
          </cell>
        </row>
        <row r="1497">
          <cell r="B1497" t="str">
            <v>유대봉</v>
          </cell>
          <cell r="C1497" t="str">
            <v>2000가소1103600</v>
          </cell>
          <cell r="E1497" t="str">
            <v>유대봉 나향순</v>
          </cell>
          <cell r="F1497">
            <v>15293818</v>
          </cell>
          <cell r="K1497" t="str">
            <v>특채</v>
          </cell>
          <cell r="L1497" t="str">
            <v>특채</v>
          </cell>
        </row>
        <row r="1498">
          <cell r="B1498" t="str">
            <v>오도식</v>
          </cell>
          <cell r="C1498" t="str">
            <v>2000가소1103617</v>
          </cell>
          <cell r="E1498" t="str">
            <v>오도식</v>
          </cell>
          <cell r="F1498">
            <v>5072766</v>
          </cell>
          <cell r="K1498" t="str">
            <v>특채</v>
          </cell>
          <cell r="L1498" t="str">
            <v>특채</v>
          </cell>
        </row>
        <row r="1499">
          <cell r="B1499" t="str">
            <v>김효식</v>
          </cell>
          <cell r="C1499" t="str">
            <v>2000가단41477</v>
          </cell>
          <cell r="E1499" t="str">
            <v>김효식</v>
          </cell>
          <cell r="F1499">
            <v>37311096</v>
          </cell>
          <cell r="K1499" t="e">
            <v>#N/A</v>
          </cell>
          <cell r="L1499" t="e">
            <v>#N/A</v>
          </cell>
        </row>
        <row r="1500">
          <cell r="B1500" t="str">
            <v>김정태</v>
          </cell>
          <cell r="C1500" t="str">
            <v>2000가소1103679</v>
          </cell>
          <cell r="E1500" t="str">
            <v>김정태 김답수</v>
          </cell>
          <cell r="F1500">
            <v>2177229</v>
          </cell>
          <cell r="K1500" t="str">
            <v>특채</v>
          </cell>
          <cell r="L1500">
            <v>10178</v>
          </cell>
        </row>
        <row r="1501">
          <cell r="B1501" t="str">
            <v>황병하</v>
          </cell>
          <cell r="C1501" t="str">
            <v>2000가소1103686</v>
          </cell>
          <cell r="E1501" t="str">
            <v>홍병하</v>
          </cell>
          <cell r="F1501">
            <v>18538888</v>
          </cell>
          <cell r="K1501" t="str">
            <v>특채</v>
          </cell>
          <cell r="L1501">
            <v>19046</v>
          </cell>
        </row>
        <row r="1502">
          <cell r="B1502" t="str">
            <v>정영훈</v>
          </cell>
          <cell r="C1502" t="str">
            <v>2000가소1103693</v>
          </cell>
          <cell r="E1502" t="str">
            <v>정영훈 정만훈</v>
          </cell>
          <cell r="F1502">
            <v>7574618</v>
          </cell>
          <cell r="K1502" t="str">
            <v>특채</v>
          </cell>
          <cell r="L1502">
            <v>27044</v>
          </cell>
        </row>
        <row r="1503">
          <cell r="B1503" t="str">
            <v>이경자</v>
          </cell>
          <cell r="C1503" t="str">
            <v>2000가소1103709</v>
          </cell>
          <cell r="E1503" t="str">
            <v>이경자 박정옥</v>
          </cell>
          <cell r="F1503">
            <v>17781368</v>
          </cell>
          <cell r="K1503" t="str">
            <v>특채</v>
          </cell>
          <cell r="L1503">
            <v>27743</v>
          </cell>
        </row>
        <row r="1504">
          <cell r="B1504" t="str">
            <v>박흥순</v>
          </cell>
          <cell r="C1504" t="str">
            <v>2000가소1103716</v>
          </cell>
          <cell r="E1504" t="str">
            <v>박흥준 정봉은</v>
          </cell>
          <cell r="F1504">
            <v>4471423</v>
          </cell>
          <cell r="K1504" t="str">
            <v>특채</v>
          </cell>
          <cell r="L1504">
            <v>27326</v>
          </cell>
        </row>
        <row r="1505">
          <cell r="B1505" t="str">
            <v>김병선</v>
          </cell>
          <cell r="C1505" t="str">
            <v>2000가소1103723</v>
          </cell>
          <cell r="E1505" t="str">
            <v>김병선 김효수</v>
          </cell>
          <cell r="F1505">
            <v>10930788</v>
          </cell>
          <cell r="K1505" t="str">
            <v>특채</v>
          </cell>
          <cell r="L1505">
            <v>30045</v>
          </cell>
        </row>
        <row r="1506">
          <cell r="B1506" t="str">
            <v>김현우</v>
          </cell>
          <cell r="E1506" t="str">
            <v>김현우 김봉우 서성철</v>
          </cell>
          <cell r="F1506">
            <v>33059464</v>
          </cell>
          <cell r="K1506" t="e">
            <v>#N/A</v>
          </cell>
          <cell r="L1506">
            <v>35201</v>
          </cell>
        </row>
        <row r="1507">
          <cell r="B1507" t="str">
            <v>우인식</v>
          </cell>
          <cell r="E1507" t="str">
            <v>우인식</v>
          </cell>
          <cell r="F1507">
            <v>42557511</v>
          </cell>
          <cell r="K1507" t="e">
            <v>#N/A</v>
          </cell>
          <cell r="L1507">
            <v>14810</v>
          </cell>
        </row>
        <row r="1508">
          <cell r="B1508" t="str">
            <v>연취현</v>
          </cell>
          <cell r="E1508">
            <v>4281585</v>
          </cell>
          <cell r="F1508">
            <v>4281585</v>
          </cell>
          <cell r="K1508" t="str">
            <v>경매</v>
          </cell>
          <cell r="L1508" t="str">
            <v>경매</v>
          </cell>
        </row>
        <row r="1509">
          <cell r="B1509" t="str">
            <v>남기자</v>
          </cell>
          <cell r="C1509" t="str">
            <v>2000가소1103518</v>
          </cell>
          <cell r="E1509" t="str">
            <v>남기자 임성실</v>
          </cell>
          <cell r="F1509">
            <v>13629496</v>
          </cell>
          <cell r="K1509" t="str">
            <v>특채</v>
          </cell>
          <cell r="L1509">
            <v>4217</v>
          </cell>
        </row>
        <row r="1510">
          <cell r="B1510" t="str">
            <v>홍권표</v>
          </cell>
          <cell r="C1510" t="str">
            <v>2000가소1103525</v>
          </cell>
          <cell r="E1510" t="str">
            <v>홍권표 송장성</v>
          </cell>
          <cell r="F1510">
            <v>10268218</v>
          </cell>
          <cell r="K1510" t="str">
            <v>특채</v>
          </cell>
          <cell r="L1510">
            <v>5091</v>
          </cell>
        </row>
        <row r="1511">
          <cell r="B1511" t="str">
            <v>이건순</v>
          </cell>
          <cell r="C1511" t="str">
            <v>2000가소1103532</v>
          </cell>
          <cell r="E1511" t="str">
            <v>이건순 박성신</v>
          </cell>
          <cell r="F1511">
            <v>4041043</v>
          </cell>
          <cell r="K1511" t="str">
            <v>특채</v>
          </cell>
          <cell r="L1511">
            <v>22876</v>
          </cell>
        </row>
        <row r="1512">
          <cell r="B1512" t="str">
            <v>김동식</v>
          </cell>
          <cell r="C1512" t="str">
            <v>2000가소1103549</v>
          </cell>
          <cell r="E1512" t="str">
            <v>김동식</v>
          </cell>
          <cell r="F1512">
            <v>16671024</v>
          </cell>
          <cell r="K1512" t="str">
            <v>특채</v>
          </cell>
          <cell r="L1512">
            <v>5653</v>
          </cell>
        </row>
        <row r="1513">
          <cell r="B1513" t="str">
            <v>김형계</v>
          </cell>
          <cell r="C1513" t="str">
            <v>2000가소1103556</v>
          </cell>
          <cell r="E1513" t="str">
            <v>김형계</v>
          </cell>
          <cell r="F1513">
            <v>5351523</v>
          </cell>
          <cell r="K1513" t="str">
            <v>특채</v>
          </cell>
          <cell r="L1513">
            <v>8189</v>
          </cell>
        </row>
        <row r="1514">
          <cell r="B1514" t="str">
            <v>김태일</v>
          </cell>
          <cell r="C1514" t="str">
            <v>2000가소1103563</v>
          </cell>
          <cell r="E1514" t="str">
            <v>김태일 김영순</v>
          </cell>
          <cell r="F1514">
            <v>1650050</v>
          </cell>
          <cell r="K1514" t="str">
            <v>특채</v>
          </cell>
          <cell r="L1514">
            <v>6916</v>
          </cell>
        </row>
        <row r="1515">
          <cell r="B1515" t="str">
            <v>㈜서원관광개발</v>
          </cell>
          <cell r="C1515" t="str">
            <v>2000가단41491</v>
          </cell>
          <cell r="E1515" t="str">
            <v>서원관광개발 서구원</v>
          </cell>
          <cell r="F1515">
            <v>24898907</v>
          </cell>
          <cell r="K1515" t="e">
            <v>#N/A</v>
          </cell>
          <cell r="L1515">
            <v>4004</v>
          </cell>
        </row>
        <row r="1516">
          <cell r="B1516" t="str">
            <v>이은이</v>
          </cell>
          <cell r="C1516" t="str">
            <v>2000가소1103570</v>
          </cell>
          <cell r="E1516" t="str">
            <v>이은이 김승남</v>
          </cell>
          <cell r="F1516">
            <v>13063229</v>
          </cell>
          <cell r="K1516" t="str">
            <v>특채</v>
          </cell>
          <cell r="L1516">
            <v>5100</v>
          </cell>
        </row>
        <row r="1517">
          <cell r="B1517" t="str">
            <v>최낙식</v>
          </cell>
          <cell r="E1517">
            <v>23393073</v>
          </cell>
          <cell r="F1517">
            <v>23393073</v>
          </cell>
          <cell r="K1517" t="e">
            <v>#N/A</v>
          </cell>
          <cell r="L1517" t="e">
            <v>#N/A</v>
          </cell>
        </row>
        <row r="1518">
          <cell r="B1518" t="str">
            <v>장좌윤</v>
          </cell>
          <cell r="C1518" t="str">
            <v>2000가소1090346</v>
          </cell>
          <cell r="E1518" t="str">
            <v>장좌윤 장미희 장인재</v>
          </cell>
          <cell r="F1518">
            <v>4446990</v>
          </cell>
          <cell r="K1518" t="e">
            <v>#N/A</v>
          </cell>
          <cell r="L1518">
            <v>4769</v>
          </cell>
        </row>
        <row r="1519">
          <cell r="B1519" t="str">
            <v>박용원</v>
          </cell>
          <cell r="C1519" t="str">
            <v>2000가소1090339</v>
          </cell>
          <cell r="E1519" t="str">
            <v>박용원 김준기</v>
          </cell>
          <cell r="F1519">
            <v>17108217</v>
          </cell>
          <cell r="K1519" t="e">
            <v>#N/A</v>
          </cell>
          <cell r="L1519">
            <v>36087</v>
          </cell>
        </row>
        <row r="1520">
          <cell r="B1520" t="str">
            <v>(주)대명실업</v>
          </cell>
          <cell r="E1520" t="str">
            <v>대명실업 유능태 유호태</v>
          </cell>
          <cell r="F1520">
            <v>42827299</v>
          </cell>
          <cell r="K1520" t="e">
            <v>#N/A</v>
          </cell>
          <cell r="L1520">
            <v>36005</v>
          </cell>
        </row>
        <row r="1521">
          <cell r="B1521" t="str">
            <v>우풍기계(주)</v>
          </cell>
          <cell r="E1521" t="str">
            <v>우풍기계 조천래 김춘수 조응래 김갑선</v>
          </cell>
          <cell r="F1521">
            <v>42782193</v>
          </cell>
          <cell r="K1521" t="e">
            <v>#N/A</v>
          </cell>
          <cell r="L1521">
            <v>25876</v>
          </cell>
        </row>
        <row r="1522">
          <cell r="B1522" t="str">
            <v>윤창순</v>
          </cell>
          <cell r="E1522" t="str">
            <v>윤창순</v>
          </cell>
          <cell r="F1522">
            <v>35749841</v>
          </cell>
          <cell r="K1522" t="e">
            <v>#N/A</v>
          </cell>
          <cell r="L1522" t="e">
            <v>#N/A</v>
          </cell>
        </row>
        <row r="1523">
          <cell r="B1523" t="str">
            <v>원정화</v>
          </cell>
          <cell r="C1523" t="str">
            <v>2000가소1103662</v>
          </cell>
          <cell r="E1523" t="str">
            <v>원정화 박동진</v>
          </cell>
          <cell r="F1523">
            <v>5249183</v>
          </cell>
          <cell r="K1523" t="str">
            <v>특채</v>
          </cell>
          <cell r="L1523" t="str">
            <v>특채</v>
          </cell>
        </row>
        <row r="1524">
          <cell r="B1524" t="str">
            <v>김정문</v>
          </cell>
          <cell r="C1524" t="str">
            <v>2000가소1103655</v>
          </cell>
          <cell r="E1524" t="str">
            <v>김정문 박무수</v>
          </cell>
          <cell r="F1524">
            <v>14698877</v>
          </cell>
          <cell r="K1524" t="str">
            <v>특채</v>
          </cell>
          <cell r="L1524" t="str">
            <v>특채</v>
          </cell>
        </row>
        <row r="1525">
          <cell r="B1525" t="str">
            <v>이충수</v>
          </cell>
          <cell r="C1525" t="str">
            <v>2000가소1103648</v>
          </cell>
          <cell r="E1525" t="str">
            <v>이충수 김영헌</v>
          </cell>
          <cell r="F1525">
            <v>9377507</v>
          </cell>
          <cell r="K1525" t="e">
            <v>#N/A</v>
          </cell>
          <cell r="L1525" t="e">
            <v>#N/A</v>
          </cell>
        </row>
        <row r="1526">
          <cell r="B1526" t="str">
            <v>박노주</v>
          </cell>
          <cell r="C1526" t="str">
            <v>2000가소1103587</v>
          </cell>
          <cell r="E1526" t="str">
            <v>박노주 고춘자</v>
          </cell>
          <cell r="F1526">
            <v>3508051</v>
          </cell>
          <cell r="K1526" t="str">
            <v>특채</v>
          </cell>
          <cell r="L1526" t="str">
            <v>특채</v>
          </cell>
        </row>
        <row r="1527">
          <cell r="B1527" t="str">
            <v>안남권</v>
          </cell>
          <cell r="C1527" t="str">
            <v>2000가소1103631</v>
          </cell>
          <cell r="E1527" t="str">
            <v>안남권 황일규</v>
          </cell>
          <cell r="F1527">
            <v>13400106</v>
          </cell>
          <cell r="K1527" t="str">
            <v>특채</v>
          </cell>
          <cell r="L1527" t="str">
            <v>특채</v>
          </cell>
        </row>
        <row r="1528">
          <cell r="B1528" t="str">
            <v>강희화</v>
          </cell>
          <cell r="C1528" t="str">
            <v>2000가소1103624</v>
          </cell>
          <cell r="E1528" t="str">
            <v>강희화</v>
          </cell>
          <cell r="F1528">
            <v>10262284</v>
          </cell>
          <cell r="K1528" t="str">
            <v>특채</v>
          </cell>
          <cell r="L1528" t="str">
            <v>특채</v>
          </cell>
        </row>
        <row r="1529">
          <cell r="B1529" t="str">
            <v>김승현</v>
          </cell>
          <cell r="C1529" t="str">
            <v>2000가소1125822</v>
          </cell>
          <cell r="E1529" t="str">
            <v>김승현 김봉자</v>
          </cell>
          <cell r="F1529">
            <v>2510561</v>
          </cell>
          <cell r="K1529" t="str">
            <v>특수</v>
          </cell>
          <cell r="L1529" t="str">
            <v>특수</v>
          </cell>
        </row>
        <row r="1530">
          <cell r="B1530" t="str">
            <v>정명심</v>
          </cell>
          <cell r="C1530" t="str">
            <v>2000가소1125815</v>
          </cell>
          <cell r="E1530" t="str">
            <v>정명심 신정환</v>
          </cell>
          <cell r="F1530">
            <v>10029034</v>
          </cell>
          <cell r="K1530" t="str">
            <v>특수</v>
          </cell>
          <cell r="L1530" t="str">
            <v>특수</v>
          </cell>
        </row>
        <row r="1531">
          <cell r="B1531" t="str">
            <v>박상영</v>
          </cell>
          <cell r="C1531" t="str">
            <v>2000가소1125808</v>
          </cell>
          <cell r="E1531" t="str">
            <v>박상영 김정자</v>
          </cell>
          <cell r="F1531">
            <v>14767206</v>
          </cell>
          <cell r="K1531" t="str">
            <v>특수</v>
          </cell>
          <cell r="L1531" t="str">
            <v>특수</v>
          </cell>
        </row>
        <row r="1532">
          <cell r="B1532" t="str">
            <v>문순옥</v>
          </cell>
          <cell r="C1532" t="str">
            <v>2000가소1125792</v>
          </cell>
          <cell r="E1532" t="str">
            <v>문순옥 최영본</v>
          </cell>
          <cell r="F1532">
            <v>7874287</v>
          </cell>
          <cell r="K1532" t="str">
            <v>특수</v>
          </cell>
          <cell r="L1532" t="str">
            <v>특수</v>
          </cell>
        </row>
        <row r="1533">
          <cell r="B1533" t="str">
            <v>민원식</v>
          </cell>
          <cell r="C1533" t="str">
            <v>2000가단49624</v>
          </cell>
          <cell r="E1533" t="str">
            <v>민원식 김기정</v>
          </cell>
          <cell r="F1533">
            <v>20972513</v>
          </cell>
          <cell r="K1533" t="e">
            <v>#N/A</v>
          </cell>
          <cell r="L1533" t="e">
            <v>#N/A</v>
          </cell>
        </row>
        <row r="1534">
          <cell r="B1534" t="str">
            <v>조재만</v>
          </cell>
          <cell r="C1534" t="str">
            <v>2000가소1125785</v>
          </cell>
          <cell r="E1534" t="str">
            <v>조재만 조애현</v>
          </cell>
          <cell r="F1534">
            <v>4134142</v>
          </cell>
          <cell r="K1534" t="str">
            <v>특수</v>
          </cell>
          <cell r="L1534" t="str">
            <v>특수</v>
          </cell>
        </row>
        <row r="1535">
          <cell r="B1535" t="str">
            <v>이경미</v>
          </cell>
          <cell r="C1535" t="str">
            <v>2000가소1125778</v>
          </cell>
          <cell r="E1535" t="str">
            <v>이경미 김의섭</v>
          </cell>
          <cell r="F1535">
            <v>2004274</v>
          </cell>
          <cell r="K1535" t="str">
            <v>특수</v>
          </cell>
          <cell r="L1535" t="str">
            <v>특수</v>
          </cell>
        </row>
        <row r="1536">
          <cell r="B1536" t="str">
            <v>김순희</v>
          </cell>
          <cell r="C1536" t="str">
            <v>2000가소1125761</v>
          </cell>
          <cell r="E1536" t="str">
            <v>김순희 임공주</v>
          </cell>
          <cell r="F1536">
            <v>1401467</v>
          </cell>
          <cell r="K1536" t="str">
            <v>특수</v>
          </cell>
          <cell r="L1536" t="str">
            <v>특수</v>
          </cell>
        </row>
        <row r="1537">
          <cell r="B1537" t="str">
            <v>김순옥</v>
          </cell>
          <cell r="C1537" t="str">
            <v>2000가소1125754</v>
          </cell>
          <cell r="E1537" t="str">
            <v>김순옥 박상규</v>
          </cell>
          <cell r="F1537">
            <v>6064417</v>
          </cell>
          <cell r="K1537" t="str">
            <v>특수</v>
          </cell>
          <cell r="L1537" t="str">
            <v>특수</v>
          </cell>
        </row>
        <row r="1538">
          <cell r="B1538" t="str">
            <v>강현재</v>
          </cell>
          <cell r="C1538" t="str">
            <v>2000가소1125747</v>
          </cell>
          <cell r="E1538" t="str">
            <v>강현재 반춘광</v>
          </cell>
          <cell r="F1538">
            <v>14419266</v>
          </cell>
          <cell r="K1538" t="str">
            <v>특수</v>
          </cell>
          <cell r="L1538" t="str">
            <v>특수</v>
          </cell>
        </row>
        <row r="1539">
          <cell r="B1539" t="str">
            <v>신명중</v>
          </cell>
          <cell r="C1539" t="str">
            <v>2000가소1150606</v>
          </cell>
          <cell r="E1539" t="str">
            <v>신명중 이희순 김학승</v>
          </cell>
          <cell r="F1539">
            <v>14837784</v>
          </cell>
          <cell r="K1539" t="e">
            <v>#N/A</v>
          </cell>
          <cell r="L1539">
            <v>34863</v>
          </cell>
        </row>
        <row r="1540">
          <cell r="B1540" t="str">
            <v>김종문</v>
          </cell>
          <cell r="E1540">
            <v>28007391</v>
          </cell>
          <cell r="F1540">
            <v>28007391</v>
          </cell>
          <cell r="K1540" t="e">
            <v>#N/A</v>
          </cell>
          <cell r="L1540">
            <v>14806</v>
          </cell>
        </row>
        <row r="1541">
          <cell r="B1541" t="str">
            <v>김기복</v>
          </cell>
          <cell r="C1541" t="str">
            <v>2000가소1150613</v>
          </cell>
          <cell r="E1541" t="str">
            <v>김기복 김정호 윤명숙</v>
          </cell>
          <cell r="F1541">
            <v>5553434</v>
          </cell>
          <cell r="K1541" t="e">
            <v>#N/A</v>
          </cell>
          <cell r="L1541">
            <v>36025</v>
          </cell>
        </row>
        <row r="1542">
          <cell r="B1542" t="str">
            <v>최선우</v>
          </cell>
          <cell r="C1542" t="str">
            <v>2000가소1103730</v>
          </cell>
          <cell r="E1542" t="str">
            <v>최선우 김정기 이인순 최선학 최선무 최선희</v>
          </cell>
          <cell r="F1542">
            <v>4211149</v>
          </cell>
          <cell r="K1542" t="str">
            <v>특채</v>
          </cell>
          <cell r="L1542">
            <v>36039</v>
          </cell>
        </row>
        <row r="1543">
          <cell r="B1543" t="str">
            <v>(주)백설상사</v>
          </cell>
          <cell r="C1543" t="str">
            <v>2000가소1103747</v>
          </cell>
          <cell r="E1543" t="str">
            <v>백설상사 문래원</v>
          </cell>
          <cell r="F1543">
            <v>15415550</v>
          </cell>
          <cell r="K1543" t="str">
            <v>특채</v>
          </cell>
          <cell r="L1543">
            <v>36010</v>
          </cell>
        </row>
        <row r="1544">
          <cell r="B1544" t="str">
            <v>고광래</v>
          </cell>
          <cell r="E1544" t="str">
            <v>고광래 김대기</v>
          </cell>
          <cell r="F1544">
            <v>21552665</v>
          </cell>
          <cell r="K1544" t="e">
            <v>#N/A</v>
          </cell>
          <cell r="L1544">
            <v>824</v>
          </cell>
        </row>
        <row r="1545">
          <cell r="B1545" t="str">
            <v>한국생사(주)</v>
          </cell>
          <cell r="E1545" t="str">
            <v>한국생사 김영우 이문수 조부 이주희 이해은 김시흥 신용규 김정환</v>
          </cell>
          <cell r="F1545">
            <v>376150908</v>
          </cell>
          <cell r="K1545" t="e">
            <v>#N/A</v>
          </cell>
          <cell r="L1545" t="str">
            <v>경매(한경식)</v>
          </cell>
        </row>
        <row r="1546">
          <cell r="B1546" t="str">
            <v>일국산업(주)</v>
          </cell>
          <cell r="E1546" t="str">
            <v>일국산업 한은화 최원정 최선희</v>
          </cell>
          <cell r="F1546">
            <v>75174177</v>
          </cell>
          <cell r="K1546" t="e">
            <v>#N/A</v>
          </cell>
          <cell r="L1546">
            <v>968</v>
          </cell>
        </row>
        <row r="1547">
          <cell r="B1547" t="str">
            <v>(주)서진테크놀러지</v>
          </cell>
          <cell r="C1547" t="str">
            <v>2000가단6057(동부지원)</v>
          </cell>
          <cell r="E1547">
            <v>356071100</v>
          </cell>
          <cell r="F1547">
            <v>356071100</v>
          </cell>
          <cell r="K1547" t="str">
            <v>경매</v>
          </cell>
          <cell r="L1547" t="str">
            <v>경매(김혁)</v>
          </cell>
        </row>
        <row r="1548">
          <cell r="B1548" t="str">
            <v>유미리</v>
          </cell>
          <cell r="C1548" t="str">
            <v>2000가소1123444</v>
          </cell>
          <cell r="E1548" t="str">
            <v>유미리 고명화</v>
          </cell>
          <cell r="F1548">
            <v>6574792</v>
          </cell>
          <cell r="K1548" t="str">
            <v>16922</v>
          </cell>
          <cell r="L1548">
            <v>16922</v>
          </cell>
        </row>
        <row r="1549">
          <cell r="B1549" t="str">
            <v>이응경</v>
          </cell>
          <cell r="C1549" t="str">
            <v>2000가소1123437</v>
          </cell>
          <cell r="E1549" t="str">
            <v>이응경 박은옥</v>
          </cell>
          <cell r="F1549">
            <v>12626869</v>
          </cell>
          <cell r="K1549" t="str">
            <v>11403</v>
          </cell>
          <cell r="L1549">
            <v>11403</v>
          </cell>
        </row>
        <row r="1550">
          <cell r="B1550" t="str">
            <v>김영관</v>
          </cell>
          <cell r="C1550" t="str">
            <v>2000가소1123420</v>
          </cell>
          <cell r="E1550" t="str">
            <v>김영관 김복희</v>
          </cell>
          <cell r="F1550">
            <v>7011131</v>
          </cell>
          <cell r="K1550" t="str">
            <v>5359</v>
          </cell>
          <cell r="L1550">
            <v>5359</v>
          </cell>
        </row>
        <row r="1551">
          <cell r="B1551" t="str">
            <v>김달중</v>
          </cell>
          <cell r="C1551" t="str">
            <v>2000가소1123413</v>
          </cell>
          <cell r="E1551" t="str">
            <v>김달중 김호중</v>
          </cell>
          <cell r="F1551">
            <v>19793101</v>
          </cell>
          <cell r="K1551" t="str">
            <v>4367</v>
          </cell>
          <cell r="L1551">
            <v>4367</v>
          </cell>
        </row>
        <row r="1552">
          <cell r="B1552" t="str">
            <v>장기남</v>
          </cell>
          <cell r="C1552" t="str">
            <v>2000가소1123406</v>
          </cell>
          <cell r="E1552" t="str">
            <v>장기남</v>
          </cell>
          <cell r="F1552">
            <v>12440621</v>
          </cell>
          <cell r="K1552" t="str">
            <v>4958</v>
          </cell>
          <cell r="L1552">
            <v>4958</v>
          </cell>
        </row>
        <row r="1553">
          <cell r="B1553" t="str">
            <v>조재광</v>
          </cell>
          <cell r="C1553" t="str">
            <v>2000가소1123390</v>
          </cell>
          <cell r="E1553" t="str">
            <v>조재광 이효순</v>
          </cell>
          <cell r="F1553">
            <v>13616298</v>
          </cell>
          <cell r="K1553" t="str">
            <v>1910</v>
          </cell>
          <cell r="L1553">
            <v>1910</v>
          </cell>
        </row>
        <row r="1554">
          <cell r="B1554" t="str">
            <v>차미자</v>
          </cell>
          <cell r="C1554" t="str">
            <v>2000가소1123383</v>
          </cell>
          <cell r="E1554" t="str">
            <v>차미자 이학</v>
          </cell>
          <cell r="F1554">
            <v>13988523</v>
          </cell>
          <cell r="K1554" t="str">
            <v>5194</v>
          </cell>
          <cell r="L1554">
            <v>5194</v>
          </cell>
        </row>
        <row r="1555">
          <cell r="B1555" t="str">
            <v>박종여</v>
          </cell>
          <cell r="C1555" t="str">
            <v>2000가소1123369</v>
          </cell>
          <cell r="E1555" t="str">
            <v>박종여 김관순</v>
          </cell>
          <cell r="F1555">
            <v>6621821</v>
          </cell>
          <cell r="K1555" t="str">
            <v>36022</v>
          </cell>
          <cell r="L1555">
            <v>36022</v>
          </cell>
        </row>
        <row r="1556">
          <cell r="B1556" t="str">
            <v>이병례</v>
          </cell>
          <cell r="C1556" t="str">
            <v>2000가소1123376</v>
          </cell>
          <cell r="E1556" t="str">
            <v>이병례 김동옥</v>
          </cell>
          <cell r="F1556">
            <v>10955219</v>
          </cell>
          <cell r="K1556" t="str">
            <v>36023</v>
          </cell>
          <cell r="L1556">
            <v>36023</v>
          </cell>
        </row>
        <row r="1557">
          <cell r="B1557" t="str">
            <v>김종숙</v>
          </cell>
          <cell r="C1557" t="str">
            <v>2000가소1123352</v>
          </cell>
          <cell r="E1557" t="str">
            <v>김종숙 김은희</v>
          </cell>
          <cell r="F1557">
            <v>4890096</v>
          </cell>
          <cell r="K1557" t="str">
            <v>36052</v>
          </cell>
          <cell r="L1557">
            <v>36052</v>
          </cell>
        </row>
        <row r="1558">
          <cell r="B1558" t="str">
            <v>오삼윤</v>
          </cell>
          <cell r="C1558" t="str">
            <v>2000가소1123345</v>
          </cell>
          <cell r="E1558" t="str">
            <v>오상윤</v>
          </cell>
          <cell r="F1558">
            <v>6663086</v>
          </cell>
          <cell r="K1558" t="str">
            <v>36006</v>
          </cell>
          <cell r="L1558">
            <v>36006</v>
          </cell>
        </row>
        <row r="1559">
          <cell r="B1559" t="str">
            <v>안홍주</v>
          </cell>
          <cell r="C1559" t="str">
            <v>2000가소1123338</v>
          </cell>
          <cell r="E1559" t="str">
            <v>안동주</v>
          </cell>
          <cell r="F1559">
            <v>11553155</v>
          </cell>
          <cell r="K1559" t="str">
            <v>4394</v>
          </cell>
          <cell r="L1559">
            <v>4394</v>
          </cell>
        </row>
        <row r="1560">
          <cell r="B1560" t="str">
            <v>이헌칠</v>
          </cell>
          <cell r="C1560" t="str">
            <v>2000가소1123321</v>
          </cell>
          <cell r="E1560" t="str">
            <v>이헌칠</v>
          </cell>
          <cell r="F1560">
            <v>1991350</v>
          </cell>
          <cell r="K1560" t="str">
            <v>6485</v>
          </cell>
          <cell r="L1560">
            <v>6485</v>
          </cell>
        </row>
        <row r="1561">
          <cell r="B1561" t="str">
            <v>송이호</v>
          </cell>
          <cell r="C1561" t="str">
            <v>2000가소1123307</v>
          </cell>
          <cell r="E1561" t="str">
            <v>송이호</v>
          </cell>
          <cell r="F1561">
            <v>13772939</v>
          </cell>
          <cell r="K1561" t="str">
            <v>4727</v>
          </cell>
          <cell r="L1561">
            <v>4727</v>
          </cell>
        </row>
        <row r="1562">
          <cell r="B1562" t="str">
            <v>유영선</v>
          </cell>
          <cell r="C1562" t="str">
            <v>2000가소1123314</v>
          </cell>
          <cell r="E1562" t="str">
            <v>유영선</v>
          </cell>
          <cell r="F1562">
            <v>7797348</v>
          </cell>
          <cell r="K1562" t="str">
            <v>5881</v>
          </cell>
          <cell r="L1562">
            <v>5881</v>
          </cell>
        </row>
        <row r="1563">
          <cell r="B1563" t="str">
            <v>전은옥</v>
          </cell>
          <cell r="E1563" t="str">
            <v>전은옥 천정자 황병규</v>
          </cell>
          <cell r="F1563">
            <v>29830348</v>
          </cell>
          <cell r="K1563" t="e">
            <v>#N/A</v>
          </cell>
          <cell r="L1563" t="str">
            <v>1938/30861</v>
          </cell>
        </row>
        <row r="1564">
          <cell r="B1564" t="str">
            <v>최규억</v>
          </cell>
          <cell r="C1564" t="str">
            <v>2000가소1125655</v>
          </cell>
          <cell r="E1564" t="str">
            <v>최규억 함종두</v>
          </cell>
          <cell r="F1564">
            <v>5027753</v>
          </cell>
          <cell r="K1564" t="str">
            <v>특수</v>
          </cell>
          <cell r="L1564">
            <v>36014</v>
          </cell>
        </row>
        <row r="1565">
          <cell r="B1565" t="str">
            <v>한미경</v>
          </cell>
          <cell r="C1565" t="str">
            <v>2000가소1125648</v>
          </cell>
          <cell r="E1565" t="str">
            <v>한미경 안승선</v>
          </cell>
          <cell r="F1565">
            <v>2935881</v>
          </cell>
          <cell r="K1565" t="str">
            <v>특수</v>
          </cell>
          <cell r="L1565">
            <v>35541</v>
          </cell>
        </row>
        <row r="1566">
          <cell r="B1566" t="str">
            <v>윤근영</v>
          </cell>
          <cell r="C1566" t="str">
            <v>2000가소1125631</v>
          </cell>
          <cell r="E1566" t="str">
            <v>윤근영</v>
          </cell>
          <cell r="F1566">
            <v>7806223</v>
          </cell>
          <cell r="K1566" t="str">
            <v>특수</v>
          </cell>
          <cell r="L1566">
            <v>28018</v>
          </cell>
        </row>
        <row r="1567">
          <cell r="B1567" t="str">
            <v>이미대자</v>
          </cell>
          <cell r="C1567" t="str">
            <v>2000가소1125624</v>
          </cell>
          <cell r="E1567" t="str">
            <v>이미대자 전남기 박우정</v>
          </cell>
          <cell r="F1567">
            <v>12875440</v>
          </cell>
          <cell r="K1567" t="str">
            <v>특수</v>
          </cell>
          <cell r="L1567">
            <v>27071</v>
          </cell>
        </row>
        <row r="1568">
          <cell r="B1568" t="str">
            <v>조항보</v>
          </cell>
          <cell r="E1568" t="str">
            <v>조항보 최은경</v>
          </cell>
          <cell r="F1568">
            <v>30369597</v>
          </cell>
          <cell r="K1568" t="e">
            <v>#N/A</v>
          </cell>
          <cell r="L1568">
            <v>7120</v>
          </cell>
        </row>
        <row r="1569">
          <cell r="B1569" t="str">
            <v>박현숙</v>
          </cell>
          <cell r="C1569" t="str">
            <v>2000가소1125730</v>
          </cell>
          <cell r="E1569" t="str">
            <v>박현숙 김경해</v>
          </cell>
          <cell r="F1569">
            <v>3224377</v>
          </cell>
          <cell r="K1569" t="str">
            <v>특수</v>
          </cell>
          <cell r="L1569">
            <v>6890</v>
          </cell>
        </row>
        <row r="1570">
          <cell r="B1570" t="str">
            <v>양인선</v>
          </cell>
          <cell r="C1570" t="str">
            <v>2000가소1125723</v>
          </cell>
          <cell r="E1570" t="str">
            <v>양인선 오운관</v>
          </cell>
          <cell r="F1570">
            <v>4667511</v>
          </cell>
          <cell r="K1570" t="str">
            <v>특수</v>
          </cell>
          <cell r="L1570">
            <v>4016</v>
          </cell>
        </row>
        <row r="1571">
          <cell r="B1571" t="str">
            <v>김상중</v>
          </cell>
          <cell r="C1571" t="str">
            <v>2000가소1125716</v>
          </cell>
          <cell r="E1571" t="str">
            <v>김상중 김용봉</v>
          </cell>
          <cell r="F1571">
            <v>2099924</v>
          </cell>
          <cell r="K1571" t="str">
            <v>특수</v>
          </cell>
          <cell r="L1571">
            <v>4151</v>
          </cell>
        </row>
        <row r="1572">
          <cell r="B1572" t="str">
            <v>안정숙</v>
          </cell>
          <cell r="C1572" t="str">
            <v>2000가소1125709</v>
          </cell>
          <cell r="E1572" t="str">
            <v>안정숙 강성남</v>
          </cell>
          <cell r="F1572">
            <v>5188901</v>
          </cell>
          <cell r="K1572" t="str">
            <v>특수</v>
          </cell>
          <cell r="L1572">
            <v>5292</v>
          </cell>
        </row>
        <row r="1573">
          <cell r="B1573" t="str">
            <v>최정태</v>
          </cell>
          <cell r="E1573" t="str">
            <v>최정태</v>
          </cell>
          <cell r="F1573">
            <v>22074794</v>
          </cell>
          <cell r="K1573" t="e">
            <v>#N/A</v>
          </cell>
          <cell r="L1573">
            <v>4695</v>
          </cell>
        </row>
        <row r="1574">
          <cell r="B1574" t="str">
            <v>강희경</v>
          </cell>
          <cell r="C1574" t="str">
            <v>2000가소1125693</v>
          </cell>
          <cell r="E1574" t="str">
            <v>강희경 이희문</v>
          </cell>
          <cell r="F1574">
            <v>8489667</v>
          </cell>
          <cell r="K1574" t="str">
            <v>특수</v>
          </cell>
          <cell r="L1574">
            <v>5530</v>
          </cell>
        </row>
        <row r="1575">
          <cell r="B1575" t="str">
            <v>윤순자</v>
          </cell>
          <cell r="C1575" t="str">
            <v>2000가소1125686</v>
          </cell>
          <cell r="E1575" t="str">
            <v>윤순자 서정건</v>
          </cell>
          <cell r="F1575">
            <v>8235293</v>
          </cell>
          <cell r="K1575" t="str">
            <v>특수</v>
          </cell>
          <cell r="L1575">
            <v>4997</v>
          </cell>
        </row>
        <row r="1576">
          <cell r="B1576" t="str">
            <v>문승욱</v>
          </cell>
          <cell r="C1576" t="str">
            <v>2000가소1125679</v>
          </cell>
          <cell r="E1576" t="str">
            <v>문승욱 최춘강</v>
          </cell>
          <cell r="F1576">
            <v>15534096</v>
          </cell>
          <cell r="K1576" t="str">
            <v>특수</v>
          </cell>
          <cell r="L1576">
            <v>4786</v>
          </cell>
        </row>
        <row r="1577">
          <cell r="B1577" t="str">
            <v>김현석</v>
          </cell>
          <cell r="C1577" t="str">
            <v>2000가소1125662</v>
          </cell>
          <cell r="E1577" t="str">
            <v>김현석</v>
          </cell>
          <cell r="F1577">
            <v>1707585</v>
          </cell>
          <cell r="K1577" t="str">
            <v>특수</v>
          </cell>
          <cell r="L1577">
            <v>5821</v>
          </cell>
        </row>
        <row r="1578">
          <cell r="B1578" t="str">
            <v>권경랑</v>
          </cell>
          <cell r="C1578" t="str">
            <v>2000가소1129084</v>
          </cell>
          <cell r="E1578" t="str">
            <v>권경랑 곽순애</v>
          </cell>
          <cell r="F1578">
            <v>15856197</v>
          </cell>
          <cell r="K1578" t="str">
            <v>특수</v>
          </cell>
          <cell r="L1578">
            <v>11557</v>
          </cell>
        </row>
        <row r="1579">
          <cell r="B1579" t="str">
            <v>박정용</v>
          </cell>
          <cell r="C1579" t="str">
            <v>2000가소1129091</v>
          </cell>
          <cell r="E1579" t="str">
            <v>박정용 박두오</v>
          </cell>
          <cell r="F1579">
            <v>11033544</v>
          </cell>
          <cell r="K1579" t="str">
            <v>특수</v>
          </cell>
          <cell r="L1579">
            <v>12209</v>
          </cell>
        </row>
        <row r="1580">
          <cell r="B1580" t="str">
            <v>강현숙</v>
          </cell>
          <cell r="C1580" t="str">
            <v>2000가소1129107</v>
          </cell>
          <cell r="E1580" t="str">
            <v>강현숙 김화자</v>
          </cell>
          <cell r="F1580">
            <v>6131117</v>
          </cell>
          <cell r="K1580" t="str">
            <v>특수</v>
          </cell>
          <cell r="L1580">
            <v>7790</v>
          </cell>
        </row>
        <row r="1581">
          <cell r="B1581" t="str">
            <v>최규철</v>
          </cell>
          <cell r="C1581" t="str">
            <v>2000가소1129114</v>
          </cell>
          <cell r="E1581" t="str">
            <v>최규철 김영희</v>
          </cell>
          <cell r="F1581">
            <v>9690339</v>
          </cell>
          <cell r="K1581" t="str">
            <v>특수</v>
          </cell>
          <cell r="L1581">
            <v>4266</v>
          </cell>
        </row>
        <row r="1582">
          <cell r="B1582" t="str">
            <v>이영순</v>
          </cell>
          <cell r="C1582" t="str">
            <v>2000가소1123284</v>
          </cell>
          <cell r="E1582" t="str">
            <v>이영순 서한민 서선 서영주</v>
          </cell>
          <cell r="F1582">
            <v>18041090</v>
          </cell>
          <cell r="K1582" t="str">
            <v>1884,27617</v>
          </cell>
          <cell r="L1582" t="str">
            <v>1184/27617</v>
          </cell>
        </row>
        <row r="1583">
          <cell r="B1583" t="str">
            <v>배창기</v>
          </cell>
          <cell r="C1583" t="str">
            <v>2000가소1123291</v>
          </cell>
          <cell r="E1583" t="str">
            <v>배창기</v>
          </cell>
          <cell r="F1583">
            <v>18633487</v>
          </cell>
          <cell r="K1583" t="str">
            <v>31443</v>
          </cell>
          <cell r="L1583">
            <v>31443</v>
          </cell>
        </row>
        <row r="1584">
          <cell r="B1584" t="str">
            <v>민병찬</v>
          </cell>
          <cell r="C1584" t="str">
            <v>2000가소1123277</v>
          </cell>
          <cell r="E1584" t="str">
            <v>민병찬 조인선 조용선 조영선</v>
          </cell>
          <cell r="F1584">
            <v>2133276</v>
          </cell>
          <cell r="K1584" t="str">
            <v>27207</v>
          </cell>
          <cell r="L1584">
            <v>27207</v>
          </cell>
        </row>
        <row r="1585">
          <cell r="B1585" t="str">
            <v>정옥자</v>
          </cell>
          <cell r="C1585" t="str">
            <v>2000가소3786(동부지법)</v>
          </cell>
          <cell r="E1585" t="str">
            <v>최영국</v>
          </cell>
          <cell r="F1585">
            <v>12000000</v>
          </cell>
          <cell r="K1585" t="str">
            <v>경매</v>
          </cell>
          <cell r="L1585" t="str">
            <v>경매(천호동)</v>
          </cell>
        </row>
        <row r="1586">
          <cell r="B1586" t="str">
            <v>이명규</v>
          </cell>
          <cell r="E1586" t="str">
            <v>이명규 김형진 김남홍</v>
          </cell>
          <cell r="F1586">
            <v>23461450</v>
          </cell>
          <cell r="K1586" t="e">
            <v>#N/A</v>
          </cell>
          <cell r="L1586">
            <v>4036</v>
          </cell>
        </row>
        <row r="1587">
          <cell r="B1587" t="str">
            <v>전용삼</v>
          </cell>
          <cell r="D1587" t="str">
            <v>소취하</v>
          </cell>
          <cell r="E1587">
            <v>2310320</v>
          </cell>
          <cell r="F1587">
            <v>2310320</v>
          </cell>
          <cell r="K1587" t="e">
            <v>#N/A</v>
          </cell>
          <cell r="L1587" t="str">
            <v>04594</v>
          </cell>
        </row>
        <row r="1588">
          <cell r="B1588" t="str">
            <v>동진원양</v>
          </cell>
          <cell r="E1588" t="str">
            <v>동진원양 최종열 지영남</v>
          </cell>
          <cell r="F1588">
            <v>107931835</v>
          </cell>
          <cell r="K1588" t="e">
            <v>#N/A</v>
          </cell>
          <cell r="L1588">
            <v>4002</v>
          </cell>
        </row>
        <row r="1589">
          <cell r="B1589" t="str">
            <v>노벨무역</v>
          </cell>
          <cell r="E1589" t="str">
            <v>노벨무역 조요안 박영수</v>
          </cell>
          <cell r="F1589">
            <v>189984719</v>
          </cell>
          <cell r="K1589" t="e">
            <v>#N/A</v>
          </cell>
          <cell r="L1589">
            <v>1982</v>
          </cell>
        </row>
        <row r="1590">
          <cell r="B1590" t="str">
            <v>유정원</v>
          </cell>
          <cell r="C1590" t="str">
            <v>2000가소1138545</v>
          </cell>
          <cell r="E1590" t="str">
            <v>유저원 유인환</v>
          </cell>
          <cell r="F1590">
            <v>14282101</v>
          </cell>
          <cell r="K1590" t="e">
            <v>#N/A</v>
          </cell>
          <cell r="L1590" t="str">
            <v>04114</v>
          </cell>
        </row>
        <row r="1591">
          <cell r="B1591" t="str">
            <v>조동호</v>
          </cell>
          <cell r="E1591" t="str">
            <v>조동호</v>
          </cell>
          <cell r="F1591">
            <v>25558934</v>
          </cell>
          <cell r="K1591" t="e">
            <v>#N/A</v>
          </cell>
          <cell r="L1591">
            <v>4517</v>
          </cell>
        </row>
        <row r="1592">
          <cell r="B1592" t="str">
            <v>송현건설</v>
          </cell>
          <cell r="E1592" t="str">
            <v>송현건설 김순철</v>
          </cell>
          <cell r="F1592">
            <v>21592006</v>
          </cell>
          <cell r="K1592" t="e">
            <v>#N/A</v>
          </cell>
          <cell r="L1592">
            <v>18669</v>
          </cell>
        </row>
        <row r="1593">
          <cell r="B1593" t="str">
            <v>동성산업</v>
          </cell>
          <cell r="E1593" t="str">
            <v>동성산업 이동원 홍경일</v>
          </cell>
          <cell r="F1593">
            <v>30823665</v>
          </cell>
          <cell r="K1593" t="e">
            <v>#N/A</v>
          </cell>
          <cell r="L1593">
            <v>36004</v>
          </cell>
        </row>
        <row r="1594">
          <cell r="B1594" t="str">
            <v>최우길</v>
          </cell>
          <cell r="E1594" t="str">
            <v>최우길 최규철 이상호</v>
          </cell>
          <cell r="F1594">
            <v>33575232</v>
          </cell>
          <cell r="K1594" t="e">
            <v>#N/A</v>
          </cell>
          <cell r="L1594">
            <v>36018</v>
          </cell>
        </row>
        <row r="1595">
          <cell r="B1595" t="str">
            <v>오월미</v>
          </cell>
          <cell r="E1595" t="str">
            <v>오월미</v>
          </cell>
          <cell r="F1595">
            <v>20844615</v>
          </cell>
          <cell r="K1595" t="e">
            <v>#N/A</v>
          </cell>
          <cell r="L1595">
            <v>4734</v>
          </cell>
        </row>
        <row r="1596">
          <cell r="B1596" t="str">
            <v>황진성</v>
          </cell>
          <cell r="E1596" t="str">
            <v>홍진성</v>
          </cell>
          <cell r="F1596">
            <v>27691121</v>
          </cell>
          <cell r="K1596" t="e">
            <v>#N/A</v>
          </cell>
          <cell r="L1596">
            <v>4960</v>
          </cell>
        </row>
        <row r="1597">
          <cell r="B1597" t="str">
            <v>노일권</v>
          </cell>
          <cell r="C1597" t="str">
            <v>2000가소1129558</v>
          </cell>
          <cell r="E1597" t="str">
            <v>노일권 유미숙</v>
          </cell>
          <cell r="F1597">
            <v>13194817</v>
          </cell>
          <cell r="K1597" t="str">
            <v>특수</v>
          </cell>
          <cell r="L1597">
            <v>5761</v>
          </cell>
        </row>
        <row r="1598">
          <cell r="B1598" t="str">
            <v>변상미</v>
          </cell>
          <cell r="C1598" t="str">
            <v>2000가소1129541</v>
          </cell>
          <cell r="E1598" t="str">
            <v>변상미 변영석</v>
          </cell>
          <cell r="F1598">
            <v>14411133</v>
          </cell>
          <cell r="K1598" t="str">
            <v>특수</v>
          </cell>
          <cell r="L1598">
            <v>6226</v>
          </cell>
        </row>
        <row r="1599">
          <cell r="B1599" t="str">
            <v>김재봉</v>
          </cell>
          <cell r="C1599" t="str">
            <v>2000가소1129534</v>
          </cell>
          <cell r="E1599" t="str">
            <v>김재봉 조유</v>
          </cell>
          <cell r="F1599">
            <v>8189641</v>
          </cell>
          <cell r="K1599" t="str">
            <v>특수</v>
          </cell>
          <cell r="L1599">
            <v>6958</v>
          </cell>
        </row>
        <row r="1600">
          <cell r="B1600" t="str">
            <v>김지향</v>
          </cell>
          <cell r="C1600" t="str">
            <v>2000가소1129527</v>
          </cell>
          <cell r="E1600" t="str">
            <v>김지향 천명수</v>
          </cell>
          <cell r="F1600">
            <v>14000567</v>
          </cell>
          <cell r="K1600" t="str">
            <v>특수</v>
          </cell>
          <cell r="L1600">
            <v>6235</v>
          </cell>
        </row>
        <row r="1601">
          <cell r="B1601" t="str">
            <v>임영숙</v>
          </cell>
          <cell r="C1601" t="str">
            <v>2000가소1129510</v>
          </cell>
          <cell r="E1601" t="str">
            <v>임영숙 이기철</v>
          </cell>
          <cell r="F1601">
            <v>6979777</v>
          </cell>
          <cell r="K1601" t="str">
            <v>특수</v>
          </cell>
          <cell r="L1601">
            <v>4767</v>
          </cell>
        </row>
        <row r="1602">
          <cell r="B1602" t="str">
            <v>변경종</v>
          </cell>
          <cell r="C1602" t="str">
            <v>2000가소1129503</v>
          </cell>
          <cell r="E1602" t="str">
            <v>변경종 박근호</v>
          </cell>
          <cell r="F1602">
            <v>5378343</v>
          </cell>
          <cell r="K1602" t="str">
            <v>특수</v>
          </cell>
          <cell r="L1602">
            <v>5660</v>
          </cell>
        </row>
        <row r="1603">
          <cell r="B1603" t="str">
            <v>이영숙</v>
          </cell>
          <cell r="C1603" t="str">
            <v>2000가소1129497</v>
          </cell>
          <cell r="E1603" t="str">
            <v>이영숙 정해구</v>
          </cell>
          <cell r="F1603">
            <v>6741435</v>
          </cell>
          <cell r="K1603" t="str">
            <v>특수</v>
          </cell>
          <cell r="L1603">
            <v>6426</v>
          </cell>
        </row>
        <row r="1604">
          <cell r="B1604" t="str">
            <v>성해경</v>
          </cell>
          <cell r="C1604" t="str">
            <v>2000가소1129480</v>
          </cell>
          <cell r="E1604" t="str">
            <v>성해경</v>
          </cell>
          <cell r="F1604">
            <v>8936862</v>
          </cell>
          <cell r="K1604" t="str">
            <v>특수</v>
          </cell>
          <cell r="L1604">
            <v>6535</v>
          </cell>
        </row>
        <row r="1605">
          <cell r="B1605" t="str">
            <v>김영</v>
          </cell>
          <cell r="C1605" t="str">
            <v>2000가소1129466</v>
          </cell>
          <cell r="E1605" t="str">
            <v>김영</v>
          </cell>
          <cell r="F1605">
            <v>4996093</v>
          </cell>
          <cell r="K1605" t="str">
            <v>특수</v>
          </cell>
          <cell r="L1605">
            <v>6611</v>
          </cell>
        </row>
        <row r="1606">
          <cell r="B1606" t="str">
            <v>임진석</v>
          </cell>
          <cell r="C1606" t="str">
            <v>2000가소1129473</v>
          </cell>
          <cell r="E1606" t="str">
            <v>임진석</v>
          </cell>
          <cell r="F1606">
            <v>1264240</v>
          </cell>
          <cell r="K1606" t="str">
            <v>특수</v>
          </cell>
          <cell r="L1606">
            <v>5800</v>
          </cell>
        </row>
        <row r="1607">
          <cell r="B1607" t="str">
            <v>이의희</v>
          </cell>
          <cell r="C1607" t="str">
            <v>2000가소1129459</v>
          </cell>
          <cell r="E1607" t="str">
            <v>이의희 이원화</v>
          </cell>
          <cell r="F1607">
            <v>9010349</v>
          </cell>
          <cell r="K1607" t="str">
            <v>특수</v>
          </cell>
          <cell r="L1607">
            <v>27727</v>
          </cell>
        </row>
        <row r="1608">
          <cell r="B1608" t="str">
            <v>김길순</v>
          </cell>
          <cell r="C1608" t="str">
            <v>2000가소1129442</v>
          </cell>
          <cell r="E1608">
            <v>11119958</v>
          </cell>
          <cell r="F1608">
            <v>11119958</v>
          </cell>
          <cell r="K1608" t="str">
            <v>특수</v>
          </cell>
          <cell r="L1608">
            <v>5734</v>
          </cell>
        </row>
        <row r="1609">
          <cell r="B1609" t="str">
            <v>김명희</v>
          </cell>
          <cell r="C1609" t="str">
            <v>2000가소1138572</v>
          </cell>
          <cell r="E1609" t="str">
            <v>김명희 이종래</v>
          </cell>
          <cell r="F1609">
            <v>7388036</v>
          </cell>
          <cell r="K1609" t="e">
            <v>#N/A</v>
          </cell>
          <cell r="L1609" t="str">
            <v>06036</v>
          </cell>
        </row>
        <row r="1610">
          <cell r="B1610" t="str">
            <v>정경란</v>
          </cell>
          <cell r="E1610" t="str">
            <v>정경란 성강영 김진옥</v>
          </cell>
          <cell r="F1610">
            <v>39087006</v>
          </cell>
          <cell r="K1610" t="e">
            <v>#N/A</v>
          </cell>
          <cell r="L1610">
            <v>2157</v>
          </cell>
        </row>
        <row r="1611">
          <cell r="B1611" t="str">
            <v>강금옥</v>
          </cell>
          <cell r="C1611" t="str">
            <v>2000가소1138569</v>
          </cell>
          <cell r="E1611" t="str">
            <v>강금옥 강순애</v>
          </cell>
          <cell r="F1611">
            <v>16407806</v>
          </cell>
          <cell r="K1611" t="e">
            <v>#N/A</v>
          </cell>
          <cell r="L1611" t="str">
            <v>04693</v>
          </cell>
        </row>
        <row r="1612">
          <cell r="B1612" t="str">
            <v>임우경</v>
          </cell>
          <cell r="C1612" t="str">
            <v>2000가소1138576</v>
          </cell>
          <cell r="E1612" t="str">
            <v>임우경 임동국</v>
          </cell>
          <cell r="F1612">
            <v>5025767</v>
          </cell>
          <cell r="K1612" t="e">
            <v>#N/A</v>
          </cell>
          <cell r="L1612" t="str">
            <v>07176</v>
          </cell>
        </row>
        <row r="1613">
          <cell r="B1613" t="str">
            <v>조규홍</v>
          </cell>
          <cell r="C1613" t="str">
            <v>2000가소1138583</v>
          </cell>
          <cell r="E1613" t="str">
            <v>조규홍 임인택</v>
          </cell>
          <cell r="F1613">
            <v>14689759</v>
          </cell>
          <cell r="K1613" t="e">
            <v>#N/A</v>
          </cell>
          <cell r="L1613" t="str">
            <v>09039</v>
          </cell>
        </row>
        <row r="1614">
          <cell r="B1614" t="str">
            <v>이종운</v>
          </cell>
          <cell r="C1614" t="str">
            <v>2000가소1138590</v>
          </cell>
          <cell r="E1614" t="str">
            <v>이종운 한현순</v>
          </cell>
          <cell r="F1614">
            <v>6728661</v>
          </cell>
          <cell r="K1614" t="e">
            <v>#N/A</v>
          </cell>
          <cell r="L1614" t="str">
            <v>08758</v>
          </cell>
        </row>
        <row r="1615">
          <cell r="B1615" t="str">
            <v>박승우</v>
          </cell>
          <cell r="C1615" t="str">
            <v>2000가소1138606</v>
          </cell>
          <cell r="E1615" t="str">
            <v>박승우 오철환</v>
          </cell>
          <cell r="F1615">
            <v>4767337</v>
          </cell>
          <cell r="K1615" t="e">
            <v>#N/A</v>
          </cell>
          <cell r="L1615" t="str">
            <v>05642</v>
          </cell>
        </row>
        <row r="1616">
          <cell r="B1616" t="str">
            <v>안종섭</v>
          </cell>
          <cell r="C1616" t="str">
            <v>2000가소1138613</v>
          </cell>
          <cell r="E1616" t="str">
            <v>안종섭</v>
          </cell>
          <cell r="F1616">
            <v>3441043</v>
          </cell>
          <cell r="K1616" t="e">
            <v>#N/A</v>
          </cell>
          <cell r="L1616" t="str">
            <v>07141</v>
          </cell>
        </row>
        <row r="1617">
          <cell r="B1617" t="str">
            <v>정병단</v>
          </cell>
          <cell r="C1617" t="str">
            <v>2000가소1138620</v>
          </cell>
          <cell r="E1617" t="str">
            <v>정병단 김영석 정강용</v>
          </cell>
          <cell r="F1617">
            <v>9558454</v>
          </cell>
          <cell r="K1617" t="e">
            <v>#N/A</v>
          </cell>
          <cell r="L1617" t="str">
            <v>04759</v>
          </cell>
        </row>
        <row r="1618">
          <cell r="B1618" t="str">
            <v>이옥경</v>
          </cell>
          <cell r="C1618" t="str">
            <v>2000가소1138637</v>
          </cell>
          <cell r="E1618" t="str">
            <v>이옥경 남일현 조범용</v>
          </cell>
          <cell r="F1618">
            <v>13480118</v>
          </cell>
          <cell r="K1618" t="e">
            <v>#N/A</v>
          </cell>
          <cell r="L1618" t="str">
            <v>09049</v>
          </cell>
        </row>
        <row r="1619">
          <cell r="B1619" t="str">
            <v>정미자</v>
          </cell>
          <cell r="C1619" t="str">
            <v>2000가소1138644</v>
          </cell>
          <cell r="E1619" t="str">
            <v>정미자 이한수</v>
          </cell>
          <cell r="F1619">
            <v>14991539</v>
          </cell>
          <cell r="K1619" t="e">
            <v>#N/A</v>
          </cell>
          <cell r="L1619" t="str">
            <v>05140</v>
          </cell>
        </row>
        <row r="1620">
          <cell r="B1620" t="str">
            <v>윤경</v>
          </cell>
          <cell r="C1620" t="str">
            <v>2000가소1138651</v>
          </cell>
          <cell r="E1620" t="str">
            <v>윤경 김택용</v>
          </cell>
          <cell r="F1620">
            <v>17642147</v>
          </cell>
          <cell r="K1620" t="e">
            <v>#N/A</v>
          </cell>
          <cell r="L1620" t="str">
            <v>09774</v>
          </cell>
        </row>
        <row r="1621">
          <cell r="B1621" t="str">
            <v>김미자</v>
          </cell>
          <cell r="C1621" t="str">
            <v>2000가소1138668</v>
          </cell>
          <cell r="E1621" t="str">
            <v>김미자 김귀연</v>
          </cell>
          <cell r="F1621">
            <v>15404262</v>
          </cell>
          <cell r="K1621" t="e">
            <v>#N/A</v>
          </cell>
          <cell r="L1621" t="str">
            <v>02199</v>
          </cell>
        </row>
        <row r="1622">
          <cell r="B1622" t="str">
            <v>천해고압플랜트(주)</v>
          </cell>
          <cell r="E1622" t="str">
            <v>천해고압플랜트 동양산업가스 한국고압용기</v>
          </cell>
          <cell r="F1622">
            <v>134100000</v>
          </cell>
          <cell r="K1622" t="e">
            <v>#N/A</v>
          </cell>
          <cell r="L1622" t="str">
            <v>경매(김혁)</v>
          </cell>
        </row>
        <row r="1623">
          <cell r="B1623" t="str">
            <v>박현정</v>
          </cell>
          <cell r="C1623" t="str">
            <v>2000가소1150620</v>
          </cell>
          <cell r="E1623" t="str">
            <v>박현정 이재영</v>
          </cell>
          <cell r="F1623">
            <v>4324350</v>
          </cell>
          <cell r="K1623" t="e">
            <v>#N/A</v>
          </cell>
          <cell r="L1623">
            <v>34037</v>
          </cell>
        </row>
        <row r="1624">
          <cell r="B1624" t="str">
            <v>이경순</v>
          </cell>
          <cell r="C1624" t="str">
            <v>2000가소1150637</v>
          </cell>
          <cell r="E1624" t="str">
            <v>이경순 김정임</v>
          </cell>
          <cell r="F1624">
            <v>3877016</v>
          </cell>
          <cell r="K1624" t="e">
            <v>#N/A</v>
          </cell>
          <cell r="L1624">
            <v>31485</v>
          </cell>
        </row>
        <row r="1625">
          <cell r="B1625" t="str">
            <v>윤정숙</v>
          </cell>
          <cell r="C1625" t="str">
            <v>2000가소1150750</v>
          </cell>
          <cell r="E1625" t="str">
            <v>윤정숙 정삼모</v>
          </cell>
          <cell r="F1625">
            <v>13330404</v>
          </cell>
          <cell r="K1625" t="e">
            <v>#N/A</v>
          </cell>
          <cell r="L1625">
            <v>27998</v>
          </cell>
        </row>
        <row r="1626">
          <cell r="B1626" t="str">
            <v>김한태</v>
          </cell>
          <cell r="C1626" t="str">
            <v>2000가소1150644</v>
          </cell>
          <cell r="E1626">
            <v>12439716</v>
          </cell>
          <cell r="F1626">
            <v>12439716</v>
          </cell>
          <cell r="K1626" t="e">
            <v>#N/A</v>
          </cell>
          <cell r="L1626">
            <v>26885</v>
          </cell>
        </row>
        <row r="1627">
          <cell r="B1627" t="str">
            <v>김석용</v>
          </cell>
          <cell r="C1627" t="str">
            <v>2000가소1150651</v>
          </cell>
          <cell r="E1627" t="str">
            <v>김석용 조월영</v>
          </cell>
          <cell r="F1627">
            <v>13161899</v>
          </cell>
          <cell r="K1627" t="e">
            <v>#N/A</v>
          </cell>
          <cell r="L1627">
            <v>28117</v>
          </cell>
        </row>
        <row r="1628">
          <cell r="B1628" t="str">
            <v>성옥선</v>
          </cell>
          <cell r="E1628" t="str">
            <v>성옥선 장영모</v>
          </cell>
          <cell r="F1628">
            <v>21207954</v>
          </cell>
          <cell r="K1628" t="e">
            <v>#N/A</v>
          </cell>
          <cell r="L1628">
            <v>30922</v>
          </cell>
        </row>
        <row r="1629">
          <cell r="B1629" t="str">
            <v>엄승혁</v>
          </cell>
          <cell r="C1629" t="str">
            <v>2000가소1150668</v>
          </cell>
          <cell r="E1629" t="str">
            <v>엄승혁 박충길</v>
          </cell>
          <cell r="F1629">
            <v>4818058</v>
          </cell>
          <cell r="K1629" t="e">
            <v>#N/A</v>
          </cell>
          <cell r="L1629">
            <v>5593</v>
          </cell>
        </row>
        <row r="1630">
          <cell r="B1630" t="str">
            <v>김영해</v>
          </cell>
          <cell r="C1630" t="str">
            <v>2000가소1150675</v>
          </cell>
          <cell r="E1630" t="str">
            <v>김영해 한래복</v>
          </cell>
          <cell r="F1630">
            <v>11509173</v>
          </cell>
          <cell r="K1630" t="e">
            <v>#N/A</v>
          </cell>
          <cell r="L1630">
            <v>6776</v>
          </cell>
        </row>
        <row r="1631">
          <cell r="B1631" t="str">
            <v>이택호</v>
          </cell>
          <cell r="C1631" t="str">
            <v>2000가소1150682</v>
          </cell>
          <cell r="E1631">
            <v>3950489</v>
          </cell>
          <cell r="F1631">
            <v>3950489</v>
          </cell>
          <cell r="K1631" t="e">
            <v>#N/A</v>
          </cell>
          <cell r="L1631">
            <v>34493</v>
          </cell>
        </row>
        <row r="1632">
          <cell r="B1632" t="str">
            <v>김용하</v>
          </cell>
          <cell r="C1632" t="str">
            <v>2000가소1150699</v>
          </cell>
          <cell r="E1632">
            <v>2452397</v>
          </cell>
          <cell r="F1632">
            <v>2452397</v>
          </cell>
          <cell r="K1632" t="e">
            <v>#N/A</v>
          </cell>
          <cell r="L1632">
            <v>35071</v>
          </cell>
        </row>
        <row r="1633">
          <cell r="B1633" t="str">
            <v>윤진미</v>
          </cell>
          <cell r="C1633" t="str">
            <v>2000가소1150705</v>
          </cell>
          <cell r="E1633">
            <v>1675589</v>
          </cell>
          <cell r="F1633">
            <v>1675589</v>
          </cell>
          <cell r="K1633" t="e">
            <v>#N/A</v>
          </cell>
          <cell r="L1633">
            <v>5868</v>
          </cell>
        </row>
        <row r="1634">
          <cell r="B1634" t="str">
            <v>유안희</v>
          </cell>
          <cell r="C1634" t="str">
            <v>2000가소1150712</v>
          </cell>
          <cell r="E1634" t="str">
            <v>윤안희 안길자</v>
          </cell>
          <cell r="F1634">
            <v>11393201</v>
          </cell>
          <cell r="K1634" t="e">
            <v>#N/A</v>
          </cell>
          <cell r="L1634">
            <v>35569</v>
          </cell>
        </row>
        <row r="1635">
          <cell r="B1635" t="str">
            <v>원석봉</v>
          </cell>
          <cell r="C1635" t="str">
            <v>2000가소1150729</v>
          </cell>
          <cell r="E1635">
            <v>9216785</v>
          </cell>
          <cell r="F1635">
            <v>9216785</v>
          </cell>
          <cell r="K1635" t="e">
            <v>#N/A</v>
          </cell>
          <cell r="L1635">
            <v>5621</v>
          </cell>
        </row>
        <row r="1636">
          <cell r="B1636" t="str">
            <v>최무하</v>
          </cell>
          <cell r="C1636" t="str">
            <v>2000가소1150736</v>
          </cell>
          <cell r="E1636" t="str">
            <v>최무하 손권식</v>
          </cell>
          <cell r="F1636">
            <v>7433030</v>
          </cell>
          <cell r="K1636" t="e">
            <v>#N/A</v>
          </cell>
          <cell r="L1636">
            <v>26456</v>
          </cell>
        </row>
        <row r="1637">
          <cell r="B1637" t="str">
            <v>김창희</v>
          </cell>
          <cell r="C1637" t="str">
            <v>2000가소1150743</v>
          </cell>
          <cell r="E1637">
            <v>11541984</v>
          </cell>
          <cell r="F1637">
            <v>11541984</v>
          </cell>
          <cell r="K1637" t="e">
            <v>#N/A</v>
          </cell>
          <cell r="L1637">
            <v>29229</v>
          </cell>
        </row>
        <row r="1638">
          <cell r="B1638" t="str">
            <v>변양섭</v>
          </cell>
          <cell r="E1638">
            <v>9110111</v>
          </cell>
          <cell r="F1638">
            <v>9110111</v>
          </cell>
          <cell r="K1638" t="e">
            <v>#N/A</v>
          </cell>
          <cell r="L1638" t="e">
            <v>#N/A</v>
          </cell>
        </row>
        <row r="1639">
          <cell r="B1639" t="str">
            <v>유성찬</v>
          </cell>
          <cell r="E1639">
            <v>14492940</v>
          </cell>
          <cell r="F1639">
            <v>14492940</v>
          </cell>
          <cell r="K1639" t="e">
            <v>#N/A</v>
          </cell>
          <cell r="L1639" t="str">
            <v>29657</v>
          </cell>
        </row>
        <row r="1640">
          <cell r="B1640" t="str">
            <v>이광훈</v>
          </cell>
          <cell r="E1640">
            <v>14217688</v>
          </cell>
          <cell r="F1640">
            <v>14217688</v>
          </cell>
          <cell r="K1640" t="e">
            <v>#N/A</v>
          </cell>
          <cell r="L1640" t="str">
            <v>29957</v>
          </cell>
        </row>
        <row r="1641">
          <cell r="B1641" t="str">
            <v>이형모</v>
          </cell>
          <cell r="E1641">
            <v>7794375</v>
          </cell>
          <cell r="F1641">
            <v>7794375</v>
          </cell>
          <cell r="K1641" t="e">
            <v>#N/A</v>
          </cell>
          <cell r="L1641" t="str">
            <v>33539</v>
          </cell>
        </row>
        <row r="1642">
          <cell r="B1642" t="str">
            <v>정윤화</v>
          </cell>
          <cell r="E1642">
            <v>5625367</v>
          </cell>
          <cell r="F1642">
            <v>5625367</v>
          </cell>
          <cell r="K1642" t="e">
            <v>#N/A</v>
          </cell>
          <cell r="L1642" t="str">
            <v>27062</v>
          </cell>
        </row>
        <row r="1643">
          <cell r="B1643" t="str">
            <v>박건동</v>
          </cell>
          <cell r="E1643">
            <v>12927673</v>
          </cell>
          <cell r="F1643">
            <v>12927673</v>
          </cell>
          <cell r="K1643" t="e">
            <v>#N/A</v>
          </cell>
          <cell r="L1643" t="str">
            <v>33405</v>
          </cell>
        </row>
        <row r="1644">
          <cell r="B1644" t="str">
            <v>안융훈</v>
          </cell>
          <cell r="E1644">
            <v>14546182</v>
          </cell>
          <cell r="F1644">
            <v>14546182</v>
          </cell>
          <cell r="K1644" t="e">
            <v>#N/A</v>
          </cell>
          <cell r="L1644" t="str">
            <v>27803</v>
          </cell>
        </row>
        <row r="1645">
          <cell r="B1645" t="str">
            <v>황미연</v>
          </cell>
          <cell r="E1645">
            <v>13847197</v>
          </cell>
          <cell r="F1645">
            <v>13847197</v>
          </cell>
          <cell r="K1645" t="e">
            <v>#N/A</v>
          </cell>
          <cell r="L1645" t="str">
            <v>33412</v>
          </cell>
        </row>
        <row r="1646">
          <cell r="B1646" t="str">
            <v>정옥자</v>
          </cell>
          <cell r="E1646">
            <v>14971540</v>
          </cell>
          <cell r="F1646">
            <v>14971540</v>
          </cell>
          <cell r="K1646" t="e">
            <v>#N/A</v>
          </cell>
          <cell r="L1646" t="str">
            <v>27059</v>
          </cell>
        </row>
        <row r="1647">
          <cell r="B1647" t="str">
            <v>노상구</v>
          </cell>
          <cell r="E1647">
            <v>12765692</v>
          </cell>
          <cell r="F1647">
            <v>12765692</v>
          </cell>
          <cell r="K1647" t="e">
            <v>#N/A</v>
          </cell>
          <cell r="L1647" t="str">
            <v>29443</v>
          </cell>
        </row>
        <row r="1648">
          <cell r="B1648" t="str">
            <v>최연미</v>
          </cell>
          <cell r="E1648">
            <v>28339558</v>
          </cell>
          <cell r="F1648">
            <v>28339558</v>
          </cell>
          <cell r="K1648" t="e">
            <v>#N/A</v>
          </cell>
          <cell r="L1648" t="e">
            <v>#N/A</v>
          </cell>
        </row>
        <row r="1649">
          <cell r="B1649" t="str">
            <v>이성천</v>
          </cell>
          <cell r="E1649">
            <v>18356025</v>
          </cell>
          <cell r="F1649">
            <v>18356025</v>
          </cell>
          <cell r="K1649" t="e">
            <v>#N/A</v>
          </cell>
          <cell r="L1649" t="str">
            <v>04573</v>
          </cell>
        </row>
        <row r="1650">
          <cell r="B1650" t="str">
            <v>(주)녹색</v>
          </cell>
          <cell r="E1650">
            <v>72304082</v>
          </cell>
          <cell r="F1650">
            <v>72304082</v>
          </cell>
          <cell r="K1650" t="e">
            <v>#N/A</v>
          </cell>
          <cell r="L1650" t="e">
            <v>#N/A</v>
          </cell>
        </row>
        <row r="1651">
          <cell r="B1651" t="str">
            <v>김영규</v>
          </cell>
          <cell r="E1651">
            <v>331178090</v>
          </cell>
          <cell r="F1651">
            <v>331178090</v>
          </cell>
          <cell r="K1651" t="e">
            <v>#N/A</v>
          </cell>
          <cell r="L1651" t="e">
            <v>#N/A</v>
          </cell>
        </row>
        <row r="1652">
          <cell r="B1652" t="str">
            <v>정미경</v>
          </cell>
          <cell r="E1652">
            <v>14620356</v>
          </cell>
          <cell r="F1652">
            <v>14620356</v>
          </cell>
          <cell r="K1652" t="str">
            <v>특수</v>
          </cell>
          <cell r="L1652" t="str">
            <v>특수</v>
          </cell>
        </row>
        <row r="1653">
          <cell r="B1653" t="str">
            <v>권순관</v>
          </cell>
          <cell r="E1653">
            <v>11902618</v>
          </cell>
          <cell r="F1653">
            <v>11902618</v>
          </cell>
          <cell r="K1653" t="str">
            <v>특수</v>
          </cell>
          <cell r="L1653" t="str">
            <v>특수</v>
          </cell>
        </row>
        <row r="1654">
          <cell r="B1654" t="str">
            <v>유제선</v>
          </cell>
          <cell r="E1654">
            <v>15730910</v>
          </cell>
          <cell r="F1654">
            <v>15730910</v>
          </cell>
          <cell r="K1654" t="str">
            <v>특수</v>
          </cell>
          <cell r="L1654" t="str">
            <v>특수</v>
          </cell>
        </row>
        <row r="1655">
          <cell r="B1655" t="str">
            <v>권문숙</v>
          </cell>
          <cell r="E1655">
            <v>5966852</v>
          </cell>
          <cell r="F1655">
            <v>5966852</v>
          </cell>
          <cell r="K1655" t="str">
            <v>특수</v>
          </cell>
          <cell r="L1655" t="str">
            <v>특수</v>
          </cell>
        </row>
        <row r="1656">
          <cell r="B1656" t="str">
            <v>고용기</v>
          </cell>
          <cell r="E1656">
            <v>5396652</v>
          </cell>
          <cell r="F1656">
            <v>5396652</v>
          </cell>
          <cell r="K1656" t="str">
            <v>특수</v>
          </cell>
          <cell r="L1656" t="str">
            <v>특수</v>
          </cell>
        </row>
        <row r="1657">
          <cell r="B1657" t="str">
            <v>이경운</v>
          </cell>
          <cell r="E1657">
            <v>4264585</v>
          </cell>
          <cell r="F1657">
            <v>4264585</v>
          </cell>
          <cell r="K1657" t="str">
            <v>특수</v>
          </cell>
          <cell r="L1657" t="str">
            <v>특수</v>
          </cell>
        </row>
        <row r="1658">
          <cell r="B1658" t="str">
            <v>조대현</v>
          </cell>
          <cell r="E1658">
            <v>5573198</v>
          </cell>
          <cell r="F1658">
            <v>5573198</v>
          </cell>
          <cell r="K1658" t="str">
            <v>특수</v>
          </cell>
          <cell r="L1658" t="str">
            <v>특수</v>
          </cell>
        </row>
        <row r="1659">
          <cell r="B1659" t="str">
            <v>이진호</v>
          </cell>
          <cell r="E1659">
            <v>5108761</v>
          </cell>
          <cell r="F1659">
            <v>5108761</v>
          </cell>
          <cell r="K1659" t="str">
            <v>특수</v>
          </cell>
          <cell r="L1659" t="str">
            <v>특수</v>
          </cell>
        </row>
        <row r="1660">
          <cell r="B1660" t="str">
            <v>송치우</v>
          </cell>
          <cell r="E1660">
            <v>18640645</v>
          </cell>
          <cell r="F1660">
            <v>18640645</v>
          </cell>
          <cell r="K1660" t="str">
            <v>특수</v>
          </cell>
          <cell r="L1660" t="str">
            <v>특수</v>
          </cell>
        </row>
        <row r="1661">
          <cell r="B1661" t="str">
            <v>최신자</v>
          </cell>
          <cell r="E1661">
            <v>14670547</v>
          </cell>
          <cell r="F1661">
            <v>14670547</v>
          </cell>
          <cell r="K1661" t="str">
            <v>특수</v>
          </cell>
          <cell r="L1661" t="str">
            <v>특수</v>
          </cell>
        </row>
        <row r="1662">
          <cell r="B1662" t="str">
            <v>최이례</v>
          </cell>
          <cell r="E1662">
            <v>6151125</v>
          </cell>
          <cell r="F1662">
            <v>6151125</v>
          </cell>
          <cell r="K1662" t="str">
            <v>특수</v>
          </cell>
          <cell r="L1662" t="str">
            <v>특수</v>
          </cell>
        </row>
        <row r="1663">
          <cell r="B1663" t="str">
            <v>맹완호</v>
          </cell>
          <cell r="E1663">
            <v>4350940</v>
          </cell>
          <cell r="F1663">
            <v>4350940</v>
          </cell>
          <cell r="K1663" t="str">
            <v>특수</v>
          </cell>
          <cell r="L1663" t="str">
            <v>특수</v>
          </cell>
        </row>
        <row r="1664">
          <cell r="B1664" t="str">
            <v>최송자</v>
          </cell>
          <cell r="E1664">
            <v>11521834</v>
          </cell>
          <cell r="F1664">
            <v>11521834</v>
          </cell>
          <cell r="K1664" t="str">
            <v>특수</v>
          </cell>
          <cell r="L1664" t="str">
            <v>특수</v>
          </cell>
        </row>
        <row r="1665">
          <cell r="B1665" t="str">
            <v>동의전기(주)</v>
          </cell>
          <cell r="E1665">
            <v>32915528</v>
          </cell>
          <cell r="F1665">
            <v>32915528</v>
          </cell>
          <cell r="K1665" t="e">
            <v>#N/A</v>
          </cell>
          <cell r="L1665" t="e">
            <v>#N/A</v>
          </cell>
        </row>
        <row r="1666">
          <cell r="B1666" t="str">
            <v>이동주</v>
          </cell>
          <cell r="E1666">
            <v>8428967</v>
          </cell>
          <cell r="F1666">
            <v>8428967</v>
          </cell>
          <cell r="K1666" t="str">
            <v>특수</v>
          </cell>
          <cell r="L1666" t="str">
            <v>특수</v>
          </cell>
        </row>
        <row r="1667">
          <cell r="B1667" t="str">
            <v>김인애</v>
          </cell>
          <cell r="E1667">
            <v>7584129</v>
          </cell>
          <cell r="F1667">
            <v>7584129</v>
          </cell>
          <cell r="K1667" t="str">
            <v>특수</v>
          </cell>
          <cell r="L1667" t="str">
            <v>특수</v>
          </cell>
        </row>
        <row r="1668">
          <cell r="B1668" t="str">
            <v>권임구</v>
          </cell>
          <cell r="E1668">
            <v>19402649</v>
          </cell>
          <cell r="F1668">
            <v>19402649</v>
          </cell>
          <cell r="K1668" t="str">
            <v>특수</v>
          </cell>
          <cell r="L1668" t="str">
            <v>특수</v>
          </cell>
        </row>
        <row r="1669">
          <cell r="B1669" t="str">
            <v>강석민</v>
          </cell>
          <cell r="E1669">
            <v>6056300</v>
          </cell>
          <cell r="F1669">
            <v>6056300</v>
          </cell>
          <cell r="K1669" t="str">
            <v>특수</v>
          </cell>
          <cell r="L1669" t="str">
            <v>특수</v>
          </cell>
        </row>
        <row r="1670">
          <cell r="B1670" t="str">
            <v>인정완</v>
          </cell>
          <cell r="E1670">
            <v>5871683</v>
          </cell>
          <cell r="F1670">
            <v>5871683</v>
          </cell>
          <cell r="K1670" t="str">
            <v>특수</v>
          </cell>
          <cell r="L1670" t="str">
            <v>특수</v>
          </cell>
        </row>
        <row r="1671">
          <cell r="B1671" t="str">
            <v>김현덕</v>
          </cell>
          <cell r="E1671">
            <v>13096792</v>
          </cell>
          <cell r="F1671">
            <v>13096792</v>
          </cell>
          <cell r="K1671" t="str">
            <v>특수</v>
          </cell>
          <cell r="L1671" t="str">
            <v>특수</v>
          </cell>
        </row>
        <row r="1672">
          <cell r="B1672" t="str">
            <v>나현옥</v>
          </cell>
          <cell r="E1672">
            <v>4678047</v>
          </cell>
          <cell r="F1672">
            <v>4678047</v>
          </cell>
          <cell r="K1672" t="str">
            <v>특수</v>
          </cell>
          <cell r="L1672" t="str">
            <v>특수</v>
          </cell>
        </row>
        <row r="1673">
          <cell r="B1673" t="str">
            <v>박인태</v>
          </cell>
          <cell r="E1673">
            <v>1335480</v>
          </cell>
          <cell r="F1673">
            <v>1335480</v>
          </cell>
          <cell r="K1673" t="str">
            <v>특수</v>
          </cell>
          <cell r="L1673" t="str">
            <v>특수</v>
          </cell>
        </row>
        <row r="1674">
          <cell r="B1674" t="str">
            <v>강창기</v>
          </cell>
          <cell r="E1674">
            <v>20296039</v>
          </cell>
          <cell r="F1674">
            <v>20296039</v>
          </cell>
          <cell r="K1674" t="e">
            <v>#N/A</v>
          </cell>
          <cell r="L1674" t="e">
            <v>#N/A</v>
          </cell>
        </row>
        <row r="1675">
          <cell r="B1675" t="str">
            <v>임수현</v>
          </cell>
          <cell r="E1675">
            <v>9983600</v>
          </cell>
          <cell r="F1675">
            <v>9983600</v>
          </cell>
          <cell r="K1675" t="str">
            <v>특수</v>
          </cell>
          <cell r="L1675" t="str">
            <v>특수</v>
          </cell>
        </row>
        <row r="1676">
          <cell r="B1676" t="str">
            <v>방윤자</v>
          </cell>
          <cell r="E1676">
            <v>14688811</v>
          </cell>
          <cell r="F1676">
            <v>14688811</v>
          </cell>
          <cell r="K1676" t="str">
            <v>특수</v>
          </cell>
          <cell r="L1676" t="str">
            <v>특수</v>
          </cell>
        </row>
        <row r="1677">
          <cell r="B1677" t="str">
            <v>김성근</v>
          </cell>
          <cell r="E1677">
            <v>7684937</v>
          </cell>
          <cell r="F1677">
            <v>7684937</v>
          </cell>
          <cell r="K1677" t="str">
            <v>특수</v>
          </cell>
          <cell r="L1677" t="str">
            <v>특수</v>
          </cell>
        </row>
        <row r="1678">
          <cell r="B1678" t="str">
            <v>정춘동</v>
          </cell>
          <cell r="E1678">
            <v>7046647</v>
          </cell>
          <cell r="F1678">
            <v>7046647</v>
          </cell>
          <cell r="K1678" t="str">
            <v>특수</v>
          </cell>
          <cell r="L1678" t="str">
            <v>특수</v>
          </cell>
        </row>
        <row r="1679">
          <cell r="B1679" t="str">
            <v>윤성일</v>
          </cell>
          <cell r="E1679">
            <v>17565963</v>
          </cell>
          <cell r="F1679">
            <v>17565963</v>
          </cell>
          <cell r="K1679" t="str">
            <v>특수</v>
          </cell>
          <cell r="L1679" t="str">
            <v>특수</v>
          </cell>
        </row>
        <row r="1680">
          <cell r="B1680" t="str">
            <v>강대홍</v>
          </cell>
          <cell r="E1680">
            <v>13496188</v>
          </cell>
          <cell r="F1680">
            <v>13496188</v>
          </cell>
          <cell r="K1680" t="str">
            <v>특수</v>
          </cell>
          <cell r="L1680" t="str">
            <v>특수</v>
          </cell>
        </row>
        <row r="1681">
          <cell r="B1681" t="str">
            <v>청경어패럴</v>
          </cell>
          <cell r="E1681">
            <v>75794204</v>
          </cell>
          <cell r="F1681">
            <v>75794204</v>
          </cell>
          <cell r="K1681" t="e">
            <v>#N/A</v>
          </cell>
          <cell r="L1681" t="e">
            <v>#N/A</v>
          </cell>
        </row>
        <row r="1682">
          <cell r="B1682" t="str">
            <v>손진원</v>
          </cell>
          <cell r="E1682">
            <v>48000000</v>
          </cell>
          <cell r="F1682">
            <v>48000000</v>
          </cell>
          <cell r="K1682" t="e">
            <v>#N/A</v>
          </cell>
          <cell r="L1682" t="e">
            <v>#N/A</v>
          </cell>
        </row>
        <row r="1683">
          <cell r="B1683" t="str">
            <v>중소기업은행</v>
          </cell>
          <cell r="E1683">
            <v>50000000</v>
          </cell>
          <cell r="F1683">
            <v>50000000</v>
          </cell>
          <cell r="K1683" t="e">
            <v>#N/A</v>
          </cell>
          <cell r="L1683" t="e">
            <v>#N/A</v>
          </cell>
        </row>
        <row r="1684">
          <cell r="B1684" t="str">
            <v>인성실업</v>
          </cell>
          <cell r="E1684">
            <v>90614309</v>
          </cell>
          <cell r="F1684">
            <v>90614309</v>
          </cell>
          <cell r="L1684" t="e">
            <v>#N/A</v>
          </cell>
        </row>
        <row r="1685">
          <cell r="B1685" t="str">
            <v>심삼순</v>
          </cell>
          <cell r="E1685">
            <v>4028107</v>
          </cell>
          <cell r="F1685">
            <v>4028107</v>
          </cell>
          <cell r="L1685" t="str">
            <v>03105</v>
          </cell>
        </row>
        <row r="1686">
          <cell r="B1686" t="str">
            <v>김성한</v>
          </cell>
          <cell r="E1686">
            <v>13756899</v>
          </cell>
          <cell r="F1686">
            <v>13756899</v>
          </cell>
          <cell r="L1686" t="str">
            <v>05287</v>
          </cell>
        </row>
        <row r="1687">
          <cell r="B1687" t="str">
            <v>이용석</v>
          </cell>
          <cell r="E1687">
            <v>3663900</v>
          </cell>
          <cell r="F1687">
            <v>3663900</v>
          </cell>
          <cell r="L1687" t="str">
            <v>33749</v>
          </cell>
        </row>
        <row r="1688">
          <cell r="B1688" t="str">
            <v>박태진</v>
          </cell>
          <cell r="E1688">
            <v>11543863</v>
          </cell>
          <cell r="F1688">
            <v>11543863</v>
          </cell>
          <cell r="L1688" t="str">
            <v>31324</v>
          </cell>
        </row>
        <row r="1689">
          <cell r="B1689" t="str">
            <v>김용환</v>
          </cell>
          <cell r="E1689">
            <v>5366019</v>
          </cell>
          <cell r="F1689">
            <v>5366019</v>
          </cell>
          <cell r="L1689" t="str">
            <v>33352</v>
          </cell>
        </row>
        <row r="1690">
          <cell r="B1690" t="str">
            <v>유재복</v>
          </cell>
          <cell r="E1690">
            <v>13754383</v>
          </cell>
          <cell r="F1690">
            <v>13754383</v>
          </cell>
          <cell r="L1690" t="str">
            <v>29888</v>
          </cell>
        </row>
        <row r="1691">
          <cell r="B1691" t="str">
            <v>장광훈</v>
          </cell>
          <cell r="E1691">
            <v>15263868</v>
          </cell>
          <cell r="F1691">
            <v>15263868</v>
          </cell>
          <cell r="L1691" t="str">
            <v>34749</v>
          </cell>
        </row>
        <row r="1692">
          <cell r="B1692" t="str">
            <v>최숙연</v>
          </cell>
          <cell r="E1692">
            <v>8184219</v>
          </cell>
          <cell r="F1692">
            <v>8184219</v>
          </cell>
          <cell r="L1692" t="str">
            <v>31285</v>
          </cell>
        </row>
        <row r="1693">
          <cell r="B1693" t="str">
            <v>이전순</v>
          </cell>
          <cell r="E1693">
            <v>17958765</v>
          </cell>
          <cell r="F1693">
            <v>17958765</v>
          </cell>
          <cell r="L1693" t="str">
            <v>29537</v>
          </cell>
        </row>
        <row r="1694">
          <cell r="B1694" t="str">
            <v>박정자</v>
          </cell>
          <cell r="E1694">
            <v>2714862</v>
          </cell>
          <cell r="F1694">
            <v>2714862</v>
          </cell>
          <cell r="L1694" t="str">
            <v>26275</v>
          </cell>
        </row>
        <row r="1695">
          <cell r="B1695" t="str">
            <v>박형동</v>
          </cell>
          <cell r="E1695">
            <v>1267308</v>
          </cell>
          <cell r="F1695">
            <v>1267308</v>
          </cell>
          <cell r="L1695" t="str">
            <v>32497</v>
          </cell>
        </row>
        <row r="1696">
          <cell r="B1696" t="str">
            <v>전우숙</v>
          </cell>
          <cell r="E1696">
            <v>10574228</v>
          </cell>
          <cell r="F1696">
            <v>10574228</v>
          </cell>
          <cell r="L1696" t="str">
            <v>5518,32614</v>
          </cell>
        </row>
        <row r="1697">
          <cell r="B1697" t="str">
            <v>김옥실</v>
          </cell>
          <cell r="E1697">
            <v>5671845</v>
          </cell>
          <cell r="F1697">
            <v>5671845</v>
          </cell>
          <cell r="L1697" t="str">
            <v>7953</v>
          </cell>
        </row>
        <row r="1698">
          <cell r="B1698" t="str">
            <v>이태봉</v>
          </cell>
          <cell r="E1698">
            <v>4215492</v>
          </cell>
          <cell r="F1698">
            <v>4215492</v>
          </cell>
          <cell r="L1698" t="str">
            <v>6881</v>
          </cell>
        </row>
        <row r="1699">
          <cell r="B1699" t="str">
            <v>최동심</v>
          </cell>
          <cell r="E1699">
            <v>6812725</v>
          </cell>
          <cell r="F1699">
            <v>6812725</v>
          </cell>
          <cell r="L1699" t="str">
            <v>6857</v>
          </cell>
        </row>
        <row r="1700">
          <cell r="B1700" t="str">
            <v>임정희</v>
          </cell>
          <cell r="E1700">
            <v>2795001</v>
          </cell>
          <cell r="F1700">
            <v>2795001</v>
          </cell>
          <cell r="L1700" t="str">
            <v>12816</v>
          </cell>
        </row>
        <row r="1701">
          <cell r="B1701" t="str">
            <v>백홍열</v>
          </cell>
          <cell r="E1701">
            <v>9632695</v>
          </cell>
          <cell r="F1701">
            <v>9632695</v>
          </cell>
          <cell r="L1701" t="str">
            <v>2200</v>
          </cell>
        </row>
        <row r="1702">
          <cell r="B1702" t="str">
            <v>최영록</v>
          </cell>
          <cell r="E1702">
            <v>9975709</v>
          </cell>
          <cell r="F1702">
            <v>9975709</v>
          </cell>
          <cell r="L1702" t="str">
            <v>5103</v>
          </cell>
        </row>
        <row r="1703">
          <cell r="B1703" t="str">
            <v>문정애</v>
          </cell>
          <cell r="E1703">
            <v>8025084</v>
          </cell>
          <cell r="F1703">
            <v>8025084</v>
          </cell>
          <cell r="L1703" t="str">
            <v>5013</v>
          </cell>
        </row>
        <row r="1704">
          <cell r="B1704" t="str">
            <v>임재숙</v>
          </cell>
          <cell r="E1704">
            <v>11218521</v>
          </cell>
          <cell r="F1704">
            <v>11218521</v>
          </cell>
          <cell r="L1704" t="str">
            <v>1974</v>
          </cell>
        </row>
        <row r="1705">
          <cell r="B1705" t="str">
            <v>박인숙</v>
          </cell>
          <cell r="E1705">
            <v>1446120</v>
          </cell>
          <cell r="F1705">
            <v>1446120</v>
          </cell>
          <cell r="L1705" t="str">
            <v>11421</v>
          </cell>
        </row>
        <row r="1706">
          <cell r="B1706" t="str">
            <v>조인숙</v>
          </cell>
          <cell r="E1706">
            <v>14331750</v>
          </cell>
          <cell r="F1706">
            <v>14331750</v>
          </cell>
          <cell r="L1706" t="str">
            <v>6411</v>
          </cell>
        </row>
        <row r="1707">
          <cell r="B1707" t="str">
            <v>조관현</v>
          </cell>
          <cell r="E1707">
            <v>10886776</v>
          </cell>
          <cell r="F1707">
            <v>10886776</v>
          </cell>
          <cell r="L1707" t="str">
            <v>6258</v>
          </cell>
        </row>
        <row r="1708">
          <cell r="B1708" t="str">
            <v>나병윤</v>
          </cell>
          <cell r="E1708">
            <v>5765774</v>
          </cell>
          <cell r="F1708">
            <v>5765774</v>
          </cell>
          <cell r="L1708" t="str">
            <v>4797</v>
          </cell>
        </row>
        <row r="1709">
          <cell r="B1709" t="str">
            <v>김옥분</v>
          </cell>
          <cell r="E1709">
            <v>13689780</v>
          </cell>
          <cell r="F1709">
            <v>13689780</v>
          </cell>
          <cell r="L1709" t="str">
            <v>5258</v>
          </cell>
        </row>
        <row r="1710">
          <cell r="B1710" t="str">
            <v>이재원</v>
          </cell>
          <cell r="E1710">
            <v>6004105</v>
          </cell>
          <cell r="F1710">
            <v>6004105</v>
          </cell>
          <cell r="L1710" t="str">
            <v>14986</v>
          </cell>
        </row>
        <row r="1711">
          <cell r="B1711" t="str">
            <v>이윤순</v>
          </cell>
          <cell r="E1711">
            <v>13508653</v>
          </cell>
          <cell r="F1711">
            <v>13508653</v>
          </cell>
          <cell r="L1711" t="str">
            <v>6615,26517</v>
          </cell>
        </row>
        <row r="1712">
          <cell r="B1712" t="str">
            <v>신일양보</v>
          </cell>
          <cell r="E1712">
            <v>71713299</v>
          </cell>
          <cell r="F1712">
            <v>71713299</v>
          </cell>
          <cell r="L1712" t="e">
            <v>#N/A</v>
          </cell>
        </row>
        <row r="1713">
          <cell r="B1713" t="str">
            <v>고의영</v>
          </cell>
          <cell r="E1713">
            <v>59225703</v>
          </cell>
          <cell r="F1713">
            <v>59225703</v>
          </cell>
          <cell r="L1713" t="e">
            <v>#N/A</v>
          </cell>
        </row>
        <row r="1714">
          <cell r="B1714" t="str">
            <v>신영식</v>
          </cell>
          <cell r="E1714">
            <v>22329521</v>
          </cell>
          <cell r="F1714">
            <v>22329521</v>
          </cell>
          <cell r="L1714" t="e">
            <v>#N/A</v>
          </cell>
        </row>
        <row r="1715">
          <cell r="B1715" t="str">
            <v>김정우</v>
          </cell>
          <cell r="E1715">
            <v>11690231</v>
          </cell>
          <cell r="F1715">
            <v>11690231</v>
          </cell>
          <cell r="L1715" t="str">
            <v>4651</v>
          </cell>
        </row>
        <row r="1716">
          <cell r="B1716" t="str">
            <v>최길엽</v>
          </cell>
          <cell r="E1716">
            <v>10526301</v>
          </cell>
          <cell r="F1716">
            <v>10526301</v>
          </cell>
          <cell r="L1716" t="str">
            <v>5044</v>
          </cell>
        </row>
        <row r="1717">
          <cell r="B1717" t="str">
            <v>황태하</v>
          </cell>
          <cell r="E1717">
            <v>1863935</v>
          </cell>
          <cell r="F1717">
            <v>1863935</v>
          </cell>
          <cell r="L1717" t="str">
            <v>14492</v>
          </cell>
        </row>
        <row r="1718">
          <cell r="B1718" t="str">
            <v>김현수</v>
          </cell>
          <cell r="E1718">
            <v>15164954</v>
          </cell>
          <cell r="F1718">
            <v>15164954</v>
          </cell>
          <cell r="L1718" t="str">
            <v>4886</v>
          </cell>
        </row>
        <row r="1719">
          <cell r="B1719" t="str">
            <v>장덕규(신상진)</v>
          </cell>
          <cell r="E1719">
            <v>8278027</v>
          </cell>
          <cell r="F1719">
            <v>8278027</v>
          </cell>
          <cell r="L1719" t="str">
            <v>6440</v>
          </cell>
        </row>
        <row r="1720">
          <cell r="B1720" t="str">
            <v>양희왕</v>
          </cell>
          <cell r="E1720">
            <v>12094931</v>
          </cell>
          <cell r="F1720">
            <v>12094931</v>
          </cell>
          <cell r="L1720" t="str">
            <v>29636</v>
          </cell>
        </row>
        <row r="1721">
          <cell r="B1721" t="str">
            <v>김현진</v>
          </cell>
          <cell r="E1721">
            <v>7241151</v>
          </cell>
          <cell r="F1721">
            <v>7241151</v>
          </cell>
          <cell r="L1721" t="str">
            <v>34512</v>
          </cell>
        </row>
        <row r="1722">
          <cell r="B1722" t="str">
            <v>이남이</v>
          </cell>
          <cell r="E1722">
            <v>10786617</v>
          </cell>
          <cell r="F1722">
            <v>10786617</v>
          </cell>
          <cell r="L1722" t="str">
            <v>33465</v>
          </cell>
        </row>
        <row r="1723">
          <cell r="B1723" t="str">
            <v>한문자</v>
          </cell>
          <cell r="E1723">
            <v>12778287</v>
          </cell>
          <cell r="F1723">
            <v>12778287</v>
          </cell>
          <cell r="L1723" t="str">
            <v>26842</v>
          </cell>
        </row>
        <row r="1724">
          <cell r="B1724" t="str">
            <v>김남영</v>
          </cell>
          <cell r="E1724">
            <v>3795059</v>
          </cell>
          <cell r="F1724">
            <v>3795059</v>
          </cell>
          <cell r="L1724" t="str">
            <v>34873</v>
          </cell>
        </row>
        <row r="1725">
          <cell r="B1725" t="str">
            <v>황인준</v>
          </cell>
          <cell r="E1725">
            <v>13124844</v>
          </cell>
          <cell r="F1725">
            <v>13124844</v>
          </cell>
          <cell r="L1725" t="str">
            <v>32396</v>
          </cell>
        </row>
        <row r="1726">
          <cell r="B1726" t="str">
            <v>오영자</v>
          </cell>
          <cell r="E1726">
            <v>11612491</v>
          </cell>
          <cell r="F1726">
            <v>11612491</v>
          </cell>
          <cell r="L1726" t="str">
            <v>26665</v>
          </cell>
        </row>
        <row r="1727">
          <cell r="B1727" t="str">
            <v>김재성</v>
          </cell>
          <cell r="E1727">
            <v>3801366</v>
          </cell>
          <cell r="F1727">
            <v>3801366</v>
          </cell>
          <cell r="L1727" t="str">
            <v>34158</v>
          </cell>
        </row>
        <row r="1728">
          <cell r="B1728" t="str">
            <v>임종희</v>
          </cell>
          <cell r="E1728">
            <v>9206516</v>
          </cell>
          <cell r="F1728">
            <v>9206516</v>
          </cell>
          <cell r="L1728" t="str">
            <v>경매(이성복)</v>
          </cell>
        </row>
        <row r="1729">
          <cell r="B1729" t="str">
            <v>(유)성일정공</v>
          </cell>
          <cell r="E1729">
            <v>249151258</v>
          </cell>
          <cell r="F1729">
            <v>249151258</v>
          </cell>
          <cell r="L1729" t="e">
            <v>#N/A</v>
          </cell>
        </row>
        <row r="1730">
          <cell r="B1730" t="str">
            <v>임공주</v>
          </cell>
          <cell r="E1730">
            <v>34039953</v>
          </cell>
          <cell r="F1730">
            <v>34039953</v>
          </cell>
          <cell r="L1730" t="e">
            <v>#N/A</v>
          </cell>
        </row>
        <row r="1731">
          <cell r="B1731" t="str">
            <v>김용혜</v>
          </cell>
          <cell r="E1731">
            <v>4216424</v>
          </cell>
          <cell r="F1731">
            <v>4216424</v>
          </cell>
          <cell r="L1731" t="str">
            <v>06324</v>
          </cell>
        </row>
        <row r="1732">
          <cell r="B1732" t="str">
            <v>최성주</v>
          </cell>
          <cell r="E1732">
            <v>14486444</v>
          </cell>
          <cell r="F1732">
            <v>14486444</v>
          </cell>
          <cell r="L1732" t="str">
            <v>06689</v>
          </cell>
        </row>
        <row r="1733">
          <cell r="B1733" t="str">
            <v>최귀선</v>
          </cell>
          <cell r="E1733">
            <v>14070810</v>
          </cell>
          <cell r="F1733">
            <v>14070810</v>
          </cell>
          <cell r="L1733" t="str">
            <v>06232</v>
          </cell>
        </row>
        <row r="1734">
          <cell r="B1734" t="str">
            <v>이성애</v>
          </cell>
          <cell r="E1734">
            <v>1985366</v>
          </cell>
          <cell r="F1734">
            <v>1985366</v>
          </cell>
          <cell r="L1734" t="str">
            <v>07356</v>
          </cell>
        </row>
        <row r="1735">
          <cell r="B1735" t="str">
            <v>이상규</v>
          </cell>
          <cell r="E1735">
            <v>4193300</v>
          </cell>
          <cell r="F1735">
            <v>4193300</v>
          </cell>
          <cell r="L1735" t="str">
            <v>23094</v>
          </cell>
        </row>
        <row r="1736">
          <cell r="B1736" t="str">
            <v>김윤자</v>
          </cell>
          <cell r="E1736">
            <v>17524813</v>
          </cell>
          <cell r="F1736">
            <v>17524813</v>
          </cell>
          <cell r="L1736" t="str">
            <v>06215</v>
          </cell>
        </row>
        <row r="1737">
          <cell r="B1737" t="str">
            <v>인숙자</v>
          </cell>
          <cell r="E1737">
            <v>15420351</v>
          </cell>
          <cell r="F1737">
            <v>15420351</v>
          </cell>
          <cell r="L1737" t="str">
            <v>경매(김혁)</v>
          </cell>
        </row>
        <row r="1738">
          <cell r="B1738" t="str">
            <v>김득수</v>
          </cell>
          <cell r="E1738">
            <v>4278388</v>
          </cell>
          <cell r="F1738">
            <v>4278388</v>
          </cell>
          <cell r="L1738" t="str">
            <v>31022</v>
          </cell>
        </row>
        <row r="1739">
          <cell r="B1739" t="str">
            <v>최필규</v>
          </cell>
          <cell r="E1739">
            <v>13135310</v>
          </cell>
          <cell r="F1739">
            <v>13135310</v>
          </cell>
          <cell r="L1739" t="str">
            <v>35614</v>
          </cell>
        </row>
        <row r="1740">
          <cell r="B1740" t="str">
            <v>최춘자</v>
          </cell>
          <cell r="E1740">
            <v>2483658</v>
          </cell>
          <cell r="F1740">
            <v>2483658</v>
          </cell>
          <cell r="L1740" t="str">
            <v>31759</v>
          </cell>
        </row>
        <row r="1741">
          <cell r="B1741" t="str">
            <v>정윤희</v>
          </cell>
          <cell r="E1741">
            <v>8102400</v>
          </cell>
          <cell r="F1741">
            <v>8102400</v>
          </cell>
          <cell r="L1741" t="str">
            <v>30522</v>
          </cell>
        </row>
        <row r="1742">
          <cell r="B1742" t="str">
            <v>유현목</v>
          </cell>
          <cell r="E1742">
            <v>13189821</v>
          </cell>
          <cell r="F1742">
            <v>13189821</v>
          </cell>
          <cell r="L1742" t="str">
            <v>08145</v>
          </cell>
        </row>
        <row r="1743">
          <cell r="B1743" t="str">
            <v>고성숙</v>
          </cell>
          <cell r="E1743">
            <v>13275722</v>
          </cell>
          <cell r="F1743">
            <v>13275722</v>
          </cell>
          <cell r="L1743" t="str">
            <v>06208</v>
          </cell>
        </row>
        <row r="1744">
          <cell r="B1744" t="str">
            <v>구정옥</v>
          </cell>
          <cell r="E1744">
            <v>4206858</v>
          </cell>
          <cell r="F1744">
            <v>4206858</v>
          </cell>
          <cell r="L1744" t="str">
            <v>06622</v>
          </cell>
        </row>
        <row r="1745">
          <cell r="B1745" t="str">
            <v>홍기순</v>
          </cell>
          <cell r="E1745">
            <v>3467175</v>
          </cell>
          <cell r="F1745">
            <v>3467175</v>
          </cell>
          <cell r="L1745" t="str">
            <v>06903</v>
          </cell>
        </row>
        <row r="1746">
          <cell r="B1746" t="str">
            <v>강일산</v>
          </cell>
          <cell r="E1746">
            <v>5393308</v>
          </cell>
          <cell r="F1746">
            <v>5393308</v>
          </cell>
          <cell r="L1746" t="str">
            <v>04832</v>
          </cell>
        </row>
        <row r="1747">
          <cell r="B1747" t="str">
            <v>김진경</v>
          </cell>
          <cell r="E1747">
            <v>5549517</v>
          </cell>
          <cell r="F1747">
            <v>5549517</v>
          </cell>
          <cell r="L1747" t="str">
            <v>07988</v>
          </cell>
        </row>
        <row r="1748">
          <cell r="B1748" t="str">
            <v>김선중</v>
          </cell>
          <cell r="E1748">
            <v>7463034</v>
          </cell>
          <cell r="F1748">
            <v>7463034</v>
          </cell>
          <cell r="L1748" t="str">
            <v>04987</v>
          </cell>
        </row>
        <row r="1749">
          <cell r="B1749" t="str">
            <v>(주)모노</v>
          </cell>
          <cell r="E1749">
            <v>105617988</v>
          </cell>
          <cell r="F1749">
            <v>105617988</v>
          </cell>
          <cell r="L1749" t="e">
            <v>#N/A</v>
          </cell>
        </row>
        <row r="1750">
          <cell r="B1750" t="str">
            <v>이순구</v>
          </cell>
          <cell r="E1750">
            <v>12251864</v>
          </cell>
          <cell r="F1750">
            <v>12251864</v>
          </cell>
          <cell r="L1750" t="str">
            <v>경매(이성복)</v>
          </cell>
        </row>
        <row r="1751">
          <cell r="B1751" t="str">
            <v>박동채</v>
          </cell>
          <cell r="E1751">
            <v>21000000</v>
          </cell>
          <cell r="F1751">
            <v>21000000</v>
          </cell>
          <cell r="L1751" t="e">
            <v>#N/A</v>
          </cell>
        </row>
        <row r="1752">
          <cell r="B1752" t="str">
            <v>이승선</v>
          </cell>
          <cell r="E1752">
            <v>13709975</v>
          </cell>
          <cell r="F1752">
            <v>13709975</v>
          </cell>
          <cell r="L1752" t="str">
            <v>35549</v>
          </cell>
        </row>
        <row r="1753">
          <cell r="B1753" t="str">
            <v>양윤열</v>
          </cell>
          <cell r="E1753">
            <v>14665254</v>
          </cell>
          <cell r="F1753">
            <v>14665254</v>
          </cell>
          <cell r="L1753" t="str">
            <v>02078</v>
          </cell>
        </row>
        <row r="1754">
          <cell r="B1754" t="str">
            <v>박부희</v>
          </cell>
          <cell r="E1754">
            <v>1529036</v>
          </cell>
          <cell r="F1754">
            <v>1529036</v>
          </cell>
          <cell r="L1754" t="str">
            <v>31368</v>
          </cell>
        </row>
        <row r="1755">
          <cell r="B1755" t="str">
            <v>강영구</v>
          </cell>
          <cell r="E1755">
            <v>9680042</v>
          </cell>
          <cell r="F1755">
            <v>9680042</v>
          </cell>
          <cell r="L1755" t="str">
            <v>26849</v>
          </cell>
        </row>
        <row r="1756">
          <cell r="B1756" t="str">
            <v>신철호</v>
          </cell>
          <cell r="E1756">
            <v>8414210</v>
          </cell>
          <cell r="F1756">
            <v>8414210</v>
          </cell>
          <cell r="L1756" t="str">
            <v>30344</v>
          </cell>
        </row>
        <row r="1757">
          <cell r="B1757" t="str">
            <v>김란엽</v>
          </cell>
          <cell r="E1757">
            <v>14040449</v>
          </cell>
          <cell r="F1757">
            <v>14040449</v>
          </cell>
          <cell r="L1757" t="str">
            <v>29692</v>
          </cell>
        </row>
        <row r="1758">
          <cell r="B1758" t="str">
            <v>김수자</v>
          </cell>
          <cell r="E1758">
            <v>94963286</v>
          </cell>
          <cell r="F1758">
            <v>94963286</v>
          </cell>
          <cell r="L1758" t="e">
            <v>#N/A</v>
          </cell>
        </row>
        <row r="1759">
          <cell r="B1759" t="str">
            <v>박내월</v>
          </cell>
          <cell r="E1759">
            <v>17471682</v>
          </cell>
          <cell r="F1759">
            <v>17471682</v>
          </cell>
          <cell r="L1759" t="str">
            <v>26893</v>
          </cell>
        </row>
        <row r="1760">
          <cell r="B1760" t="str">
            <v>양양희</v>
          </cell>
          <cell r="E1760">
            <v>14905767</v>
          </cell>
          <cell r="F1760">
            <v>14905767</v>
          </cell>
          <cell r="L1760" t="str">
            <v>28579</v>
          </cell>
        </row>
        <row r="1761">
          <cell r="B1761" t="str">
            <v>박정옥</v>
          </cell>
          <cell r="E1761">
            <v>14782170</v>
          </cell>
          <cell r="F1761">
            <v>14782170</v>
          </cell>
          <cell r="L1761" t="str">
            <v>31134</v>
          </cell>
        </row>
        <row r="1762">
          <cell r="B1762" t="str">
            <v>김용운</v>
          </cell>
          <cell r="E1762">
            <v>13703351</v>
          </cell>
          <cell r="F1762">
            <v>13703351</v>
          </cell>
          <cell r="L1762" t="str">
            <v>04752</v>
          </cell>
        </row>
        <row r="1763">
          <cell r="B1763" t="str">
            <v>(주)거북상사</v>
          </cell>
          <cell r="E1763">
            <v>22307211</v>
          </cell>
          <cell r="F1763">
            <v>22307211</v>
          </cell>
          <cell r="L1763" t="e">
            <v>#N/A</v>
          </cell>
        </row>
        <row r="1764">
          <cell r="B1764" t="str">
            <v>김병인</v>
          </cell>
          <cell r="E1764">
            <v>29880980</v>
          </cell>
          <cell r="F1764">
            <v>29880980</v>
          </cell>
          <cell r="L1764" t="e">
            <v>#N/A</v>
          </cell>
        </row>
        <row r="1765">
          <cell r="B1765" t="str">
            <v>이복동</v>
          </cell>
          <cell r="E1765">
            <v>7905434</v>
          </cell>
          <cell r="F1765">
            <v>7905434</v>
          </cell>
          <cell r="L1765" t="str">
            <v>20733</v>
          </cell>
        </row>
        <row r="1766">
          <cell r="B1766" t="str">
            <v>진희자</v>
          </cell>
          <cell r="E1766">
            <v>6382919</v>
          </cell>
          <cell r="F1766">
            <v>6382919</v>
          </cell>
          <cell r="L1766" t="str">
            <v>30684</v>
          </cell>
        </row>
        <row r="1767">
          <cell r="B1767" t="str">
            <v>(주)신호산업</v>
          </cell>
          <cell r="E1767">
            <v>89114895</v>
          </cell>
          <cell r="F1767">
            <v>89114895</v>
          </cell>
          <cell r="L1767" t="e">
            <v>#N/A</v>
          </cell>
        </row>
        <row r="1768">
          <cell r="B1768" t="str">
            <v>전용환</v>
          </cell>
          <cell r="E1768">
            <v>16646174</v>
          </cell>
          <cell r="F1768">
            <v>16646174</v>
          </cell>
          <cell r="L1768" t="str">
            <v>31513</v>
          </cell>
        </row>
        <row r="1769">
          <cell r="B1769" t="str">
            <v>(주)한국루트론</v>
          </cell>
          <cell r="E1769">
            <v>24000000</v>
          </cell>
          <cell r="F1769">
            <v>24000000</v>
          </cell>
          <cell r="L1769" t="e">
            <v>#N/A</v>
          </cell>
        </row>
        <row r="1770">
          <cell r="B1770" t="str">
            <v>이봉학</v>
          </cell>
          <cell r="E1770">
            <v>27546126</v>
          </cell>
          <cell r="F1770">
            <v>27546126</v>
          </cell>
          <cell r="L1770" t="e">
            <v>#N/A</v>
          </cell>
        </row>
        <row r="1771">
          <cell r="B1771" t="str">
            <v>(주)신광기공</v>
          </cell>
          <cell r="E1771">
            <v>167782108</v>
          </cell>
          <cell r="F1771">
            <v>167782108</v>
          </cell>
          <cell r="L1771" t="e">
            <v>#N/A</v>
          </cell>
        </row>
        <row r="1772">
          <cell r="B1772" t="str">
            <v>서상선</v>
          </cell>
          <cell r="E1772">
            <v>1186885</v>
          </cell>
          <cell r="F1772">
            <v>1186885</v>
          </cell>
          <cell r="L1772" t="e">
            <v>#N/A</v>
          </cell>
        </row>
        <row r="1773">
          <cell r="B1773" t="str">
            <v>서성식</v>
          </cell>
          <cell r="E1773">
            <v>11382465</v>
          </cell>
          <cell r="F1773">
            <v>11382465</v>
          </cell>
          <cell r="L1773" t="e">
            <v>#N/A</v>
          </cell>
        </row>
        <row r="1774">
          <cell r="B1774" t="str">
            <v>박경임</v>
          </cell>
          <cell r="E1774">
            <v>15074142</v>
          </cell>
          <cell r="F1774">
            <v>15074142</v>
          </cell>
          <cell r="L1774" t="e">
            <v>#N/A</v>
          </cell>
        </row>
        <row r="1775">
          <cell r="B1775" t="str">
            <v>남정희</v>
          </cell>
          <cell r="E1775">
            <v>20168965</v>
          </cell>
          <cell r="F1775">
            <v>20168965</v>
          </cell>
          <cell r="L1775" t="e">
            <v>#N/A</v>
          </cell>
        </row>
        <row r="1776">
          <cell r="B1776" t="str">
            <v>이재석</v>
          </cell>
          <cell r="E1776">
            <v>14517258</v>
          </cell>
          <cell r="F1776">
            <v>14517258</v>
          </cell>
          <cell r="L1776" t="e">
            <v>#N/A</v>
          </cell>
        </row>
        <row r="1777">
          <cell r="B1777" t="str">
            <v>이선자</v>
          </cell>
          <cell r="E1777">
            <v>29040756</v>
          </cell>
          <cell r="F1777">
            <v>29040756</v>
          </cell>
          <cell r="L1777" t="e">
            <v>#N/A</v>
          </cell>
        </row>
        <row r="1778">
          <cell r="B1778" t="str">
            <v>윤영권</v>
          </cell>
          <cell r="E1778">
            <v>13857335</v>
          </cell>
          <cell r="F1778">
            <v>13857335</v>
          </cell>
          <cell r="L1778" t="e">
            <v>#N/A</v>
          </cell>
        </row>
        <row r="1779">
          <cell r="B1779" t="str">
            <v>김화자</v>
          </cell>
          <cell r="E1779">
            <v>4086515</v>
          </cell>
          <cell r="F1779">
            <v>4086515</v>
          </cell>
          <cell r="L1779" t="e">
            <v>#N/A</v>
          </cell>
        </row>
        <row r="1780">
          <cell r="B1780" t="str">
            <v>변종현</v>
          </cell>
          <cell r="E1780">
            <v>6379244</v>
          </cell>
          <cell r="F1780">
            <v>6379244</v>
          </cell>
          <cell r="L1780" t="e">
            <v>#N/A</v>
          </cell>
        </row>
        <row r="1781">
          <cell r="B1781" t="str">
            <v>장중국</v>
          </cell>
          <cell r="E1781">
            <v>19459292</v>
          </cell>
          <cell r="F1781">
            <v>19459292</v>
          </cell>
          <cell r="L1781" t="e">
            <v>#N/A</v>
          </cell>
        </row>
        <row r="1782">
          <cell r="B1782" t="str">
            <v>김원유</v>
          </cell>
          <cell r="E1782">
            <v>29513008</v>
          </cell>
          <cell r="F1782">
            <v>29513008</v>
          </cell>
          <cell r="L1782" t="e">
            <v>#N/A</v>
          </cell>
        </row>
        <row r="1783">
          <cell r="B1783" t="str">
            <v>이동정</v>
          </cell>
          <cell r="E1783">
            <v>28785572</v>
          </cell>
          <cell r="F1783">
            <v>28785572</v>
          </cell>
          <cell r="L1783" t="e">
            <v>#N/A</v>
          </cell>
        </row>
        <row r="1784">
          <cell r="B1784" t="str">
            <v>지세권</v>
          </cell>
          <cell r="E1784">
            <v>26472379</v>
          </cell>
          <cell r="F1784">
            <v>26472379</v>
          </cell>
          <cell r="L1784" t="e">
            <v>#N/A</v>
          </cell>
        </row>
        <row r="1785">
          <cell r="B1785" t="str">
            <v>윤옥자</v>
          </cell>
          <cell r="E1785">
            <v>24309946</v>
          </cell>
          <cell r="F1785">
            <v>24309946</v>
          </cell>
          <cell r="L1785" t="e">
            <v>#N/A</v>
          </cell>
        </row>
        <row r="1786">
          <cell r="B1786" t="str">
            <v>송문섭</v>
          </cell>
          <cell r="E1786">
            <v>6373754</v>
          </cell>
          <cell r="F1786">
            <v>6373754</v>
          </cell>
          <cell r="L1786" t="e">
            <v>#N/A</v>
          </cell>
        </row>
        <row r="1787">
          <cell r="B1787" t="str">
            <v>조우현</v>
          </cell>
          <cell r="E1787">
            <v>13038082</v>
          </cell>
          <cell r="F1787">
            <v>13038082</v>
          </cell>
          <cell r="L1787" t="e">
            <v>#N/A</v>
          </cell>
        </row>
        <row r="1788">
          <cell r="B1788" t="str">
            <v>박혜우</v>
          </cell>
          <cell r="E1788">
            <v>6301191</v>
          </cell>
          <cell r="F1788">
            <v>6301191</v>
          </cell>
          <cell r="L1788" t="e">
            <v>#N/A</v>
          </cell>
        </row>
        <row r="1789">
          <cell r="B1789" t="str">
            <v>권선희</v>
          </cell>
          <cell r="E1789">
            <v>2241491</v>
          </cell>
          <cell r="F1789">
            <v>2241491</v>
          </cell>
          <cell r="L1789" t="e">
            <v>#N/A</v>
          </cell>
        </row>
        <row r="1790">
          <cell r="B1790" t="str">
            <v>최영민</v>
          </cell>
          <cell r="E1790">
            <v>10659268</v>
          </cell>
          <cell r="F1790">
            <v>10659268</v>
          </cell>
          <cell r="L1790" t="e">
            <v>#N/A</v>
          </cell>
        </row>
        <row r="1791">
          <cell r="B1791" t="str">
            <v>(주)동진레미콘</v>
          </cell>
          <cell r="E1791">
            <v>6235677</v>
          </cell>
          <cell r="F1791">
            <v>6235677</v>
          </cell>
          <cell r="L1791" t="e">
            <v>#N/A</v>
          </cell>
        </row>
        <row r="1792">
          <cell r="B1792" t="str">
            <v>이금자</v>
          </cell>
          <cell r="E1792">
            <v>9961036</v>
          </cell>
          <cell r="F1792">
            <v>9961036</v>
          </cell>
          <cell r="L1792" t="e">
            <v>#N/A</v>
          </cell>
        </row>
        <row r="1793">
          <cell r="B1793" t="str">
            <v>(주)콜만</v>
          </cell>
          <cell r="E1793">
            <v>15037166</v>
          </cell>
          <cell r="F1793">
            <v>15037166</v>
          </cell>
          <cell r="L1793">
            <v>394</v>
          </cell>
        </row>
        <row r="1794">
          <cell r="B1794" t="str">
            <v>김남식(양해경)</v>
          </cell>
          <cell r="E1794">
            <v>8712604</v>
          </cell>
          <cell r="F1794">
            <v>8712604</v>
          </cell>
          <cell r="L1794" t="str">
            <v>07746</v>
          </cell>
        </row>
        <row r="1795">
          <cell r="B1795" t="str">
            <v>권오용</v>
          </cell>
          <cell r="E1795">
            <v>32393097</v>
          </cell>
          <cell r="F1795">
            <v>32393097</v>
          </cell>
          <cell r="L1795" t="e">
            <v>#N/A</v>
          </cell>
        </row>
        <row r="1796">
          <cell r="B1796" t="str">
            <v>채수영</v>
          </cell>
          <cell r="E1796">
            <v>32474949</v>
          </cell>
          <cell r="F1796">
            <v>32474949</v>
          </cell>
          <cell r="L1796" t="e">
            <v>#N/A</v>
          </cell>
        </row>
        <row r="1797">
          <cell r="B1797" t="str">
            <v>홍경아</v>
          </cell>
          <cell r="E1797">
            <v>5800000</v>
          </cell>
          <cell r="F1797">
            <v>5800000</v>
          </cell>
          <cell r="L1797" t="e">
            <v>#N/A</v>
          </cell>
        </row>
        <row r="1798">
          <cell r="B1798" t="str">
            <v>서용선</v>
          </cell>
          <cell r="E1798">
            <v>51975615</v>
          </cell>
          <cell r="F1798">
            <v>51975615</v>
          </cell>
          <cell r="L1798" t="e">
            <v>#N/A</v>
          </cell>
        </row>
        <row r="1799">
          <cell r="B1799" t="str">
            <v>고정선</v>
          </cell>
          <cell r="E1799">
            <v>22842714</v>
          </cell>
          <cell r="F1799">
            <v>22842714</v>
          </cell>
          <cell r="L1799" t="e">
            <v>#N/A</v>
          </cell>
        </row>
        <row r="1800">
          <cell r="B1800" t="str">
            <v>박인섭</v>
          </cell>
          <cell r="C1800" t="str">
            <v>2000가소1169747</v>
          </cell>
          <cell r="E1800" t="str">
            <v>박인섭 신예균</v>
          </cell>
          <cell r="F1800">
            <v>13970862</v>
          </cell>
          <cell r="L1800" t="e">
            <v>#N/A</v>
          </cell>
        </row>
        <row r="1801">
          <cell r="B1801" t="str">
            <v>정승환</v>
          </cell>
          <cell r="C1801" t="str">
            <v>2000가소1169730</v>
          </cell>
          <cell r="E1801" t="str">
            <v>정승환</v>
          </cell>
          <cell r="F1801">
            <v>3755994</v>
          </cell>
          <cell r="L1801" t="e">
            <v>#N/A</v>
          </cell>
        </row>
        <row r="1802">
          <cell r="B1802" t="str">
            <v>신용주</v>
          </cell>
          <cell r="C1802" t="str">
            <v>2000가소1169754</v>
          </cell>
          <cell r="E1802" t="str">
            <v>신용주</v>
          </cell>
          <cell r="F1802">
            <v>6707040</v>
          </cell>
          <cell r="L1802" t="e">
            <v>#N/A</v>
          </cell>
        </row>
        <row r="1803">
          <cell r="B1803" t="str">
            <v>최명순</v>
          </cell>
          <cell r="E1803">
            <v>9985201</v>
          </cell>
          <cell r="F1803">
            <v>9985201</v>
          </cell>
          <cell r="L1803" t="str">
            <v>20567</v>
          </cell>
        </row>
        <row r="1804">
          <cell r="B1804" t="str">
            <v>유재근</v>
          </cell>
          <cell r="E1804">
            <v>6933147</v>
          </cell>
          <cell r="F1804">
            <v>6933147</v>
          </cell>
          <cell r="L1804" t="str">
            <v>07599</v>
          </cell>
        </row>
        <row r="1805">
          <cell r="B1805" t="str">
            <v>장상훈</v>
          </cell>
          <cell r="E1805">
            <v>3764962</v>
          </cell>
          <cell r="F1805">
            <v>3764962</v>
          </cell>
          <cell r="L1805" t="str">
            <v>13772</v>
          </cell>
        </row>
        <row r="1806">
          <cell r="B1806" t="str">
            <v>권혁철</v>
          </cell>
          <cell r="E1806">
            <v>16158537</v>
          </cell>
          <cell r="F1806">
            <v>16158537</v>
          </cell>
          <cell r="L1806" t="str">
            <v>04220</v>
          </cell>
        </row>
        <row r="1807">
          <cell r="B1807" t="str">
            <v>(주)성일씨엔시</v>
          </cell>
          <cell r="E1807">
            <v>325242726</v>
          </cell>
          <cell r="F1807">
            <v>325242726</v>
          </cell>
          <cell r="L1807" t="e">
            <v>#N/A</v>
          </cell>
        </row>
        <row r="1808">
          <cell r="B1808" t="str">
            <v>오승희</v>
          </cell>
          <cell r="E1808">
            <v>10000000</v>
          </cell>
          <cell r="F1808">
            <v>10000000</v>
          </cell>
          <cell r="L1808" t="e">
            <v>#N/A</v>
          </cell>
        </row>
        <row r="1809">
          <cell r="B1809" t="str">
            <v>설순례</v>
          </cell>
          <cell r="E1809">
            <v>8000000</v>
          </cell>
          <cell r="F1809">
            <v>8000000</v>
          </cell>
          <cell r="L1809" t="e">
            <v>#N/A</v>
          </cell>
        </row>
        <row r="1810">
          <cell r="B1810" t="str">
            <v>설맹숙</v>
          </cell>
          <cell r="E1810">
            <v>8000000</v>
          </cell>
          <cell r="F1810">
            <v>8000000</v>
          </cell>
          <cell r="L1810" t="e">
            <v>#N/A</v>
          </cell>
        </row>
        <row r="1811">
          <cell r="B1811" t="str">
            <v>제일은행</v>
          </cell>
          <cell r="E1811">
            <v>49558246</v>
          </cell>
          <cell r="F1811">
            <v>49558246</v>
          </cell>
          <cell r="L1811" t="e">
            <v>#N/A</v>
          </cell>
        </row>
        <row r="1812">
          <cell r="B1812" t="str">
            <v>지성호</v>
          </cell>
          <cell r="C1812" t="str">
            <v>2000가소1169723</v>
          </cell>
          <cell r="E1812" t="str">
            <v>지성호 김지태</v>
          </cell>
          <cell r="F1812">
            <v>15973460</v>
          </cell>
          <cell r="L1812" t="e">
            <v>#N/A</v>
          </cell>
        </row>
        <row r="1813">
          <cell r="B1813" t="str">
            <v>노승욱</v>
          </cell>
          <cell r="C1813" t="str">
            <v>2000가소1169716</v>
          </cell>
          <cell r="E1813" t="str">
            <v>노승욱(단독상속인)</v>
          </cell>
          <cell r="F1813">
            <v>4515040</v>
          </cell>
          <cell r="L1813" t="e">
            <v>#N/A</v>
          </cell>
        </row>
        <row r="1814">
          <cell r="B1814" t="str">
            <v>김통배</v>
          </cell>
          <cell r="E1814">
            <v>55711592</v>
          </cell>
          <cell r="F1814">
            <v>55711592</v>
          </cell>
          <cell r="L1814" t="e">
            <v>#N/A</v>
          </cell>
        </row>
        <row r="1815">
          <cell r="B1815" t="str">
            <v>김인자</v>
          </cell>
          <cell r="C1815" t="str">
            <v>2000가소1169693</v>
          </cell>
          <cell r="E1815" t="str">
            <v>김인자 김려홍 김선호 김선철</v>
          </cell>
          <cell r="F1815">
            <v>11966882</v>
          </cell>
          <cell r="L1815" t="e">
            <v>#N/A</v>
          </cell>
        </row>
        <row r="1816">
          <cell r="B1816" t="str">
            <v>이상순</v>
          </cell>
          <cell r="C1816" t="str">
            <v>2000가소1169709</v>
          </cell>
          <cell r="E1816" t="str">
            <v>이상순 이정열 장명순 장희순 장광훈 장연순 장훈</v>
          </cell>
          <cell r="F1816">
            <v>15401252</v>
          </cell>
          <cell r="L1816" t="e">
            <v>#N/A</v>
          </cell>
        </row>
        <row r="1817">
          <cell r="B1817" t="str">
            <v>유정호</v>
          </cell>
          <cell r="C1817" t="str">
            <v>2000가단70680</v>
          </cell>
          <cell r="E1817" t="str">
            <v>박종문 박선철 박용섭</v>
          </cell>
          <cell r="F1817">
            <v>30258212</v>
          </cell>
          <cell r="L1817" t="e">
            <v>#N/A</v>
          </cell>
        </row>
        <row r="1818">
          <cell r="B1818" t="str">
            <v>박계옥</v>
          </cell>
          <cell r="E1818">
            <v>25102025</v>
          </cell>
          <cell r="F1818">
            <v>25102025</v>
          </cell>
          <cell r="L1818" t="e">
            <v>#N/A</v>
          </cell>
        </row>
        <row r="1819">
          <cell r="B1819" t="str">
            <v>박미련</v>
          </cell>
          <cell r="E1819">
            <v>249322088</v>
          </cell>
          <cell r="F1819">
            <v>249322088</v>
          </cell>
          <cell r="L1819" t="e">
            <v>#N/A</v>
          </cell>
        </row>
        <row r="1820">
          <cell r="B1820" t="str">
            <v>세진엔지니어링</v>
          </cell>
          <cell r="E1820">
            <v>305656400</v>
          </cell>
          <cell r="F1820">
            <v>305656400</v>
          </cell>
          <cell r="L1820">
            <v>0</v>
          </cell>
        </row>
        <row r="1821">
          <cell r="B1821" t="str">
            <v>송재호</v>
          </cell>
          <cell r="E1821">
            <v>25219353</v>
          </cell>
          <cell r="F1821">
            <v>25219353</v>
          </cell>
          <cell r="L1821">
            <v>0</v>
          </cell>
        </row>
        <row r="1822">
          <cell r="B1822" t="str">
            <v>권국만</v>
          </cell>
          <cell r="F1822">
            <v>32916387</v>
          </cell>
          <cell r="L1822" t="str">
            <v>2000-585</v>
          </cell>
        </row>
        <row r="1823">
          <cell r="B1823" t="str">
            <v>박명환</v>
          </cell>
          <cell r="F1823">
            <v>29432488</v>
          </cell>
          <cell r="L1823" t="str">
            <v>2000-586</v>
          </cell>
        </row>
        <row r="1824">
          <cell r="B1824" t="str">
            <v>장명순</v>
          </cell>
          <cell r="F1824">
            <v>10806075</v>
          </cell>
          <cell r="L1824" t="str">
            <v>2000-587</v>
          </cell>
        </row>
        <row r="1825">
          <cell r="B1825" t="str">
            <v>김영미</v>
          </cell>
          <cell r="F1825">
            <v>12789302</v>
          </cell>
          <cell r="L1825" t="str">
            <v>2000-588</v>
          </cell>
        </row>
        <row r="1826">
          <cell r="B1826" t="str">
            <v>한정수</v>
          </cell>
          <cell r="F1826">
            <v>20255565</v>
          </cell>
          <cell r="L1826" t="str">
            <v>2000-589</v>
          </cell>
        </row>
        <row r="1827">
          <cell r="B1827" t="str">
            <v>권병주</v>
          </cell>
          <cell r="F1827">
            <v>2717053</v>
          </cell>
          <cell r="L1827" t="str">
            <v>2000-590</v>
          </cell>
        </row>
        <row r="1828">
          <cell r="B1828" t="str">
            <v>정태용</v>
          </cell>
          <cell r="F1828">
            <v>18704929</v>
          </cell>
          <cell r="L1828" t="str">
            <v>2000-591</v>
          </cell>
        </row>
        <row r="1829">
          <cell r="B1829" t="str">
            <v>광재건설</v>
          </cell>
          <cell r="F1829">
            <v>11347630</v>
          </cell>
          <cell r="L1829" t="str">
            <v>2000-592</v>
          </cell>
        </row>
        <row r="1830">
          <cell r="B1830" t="str">
            <v>박경남</v>
          </cell>
          <cell r="F1830">
            <v>17304929</v>
          </cell>
          <cell r="L1830" t="str">
            <v>2000-593</v>
          </cell>
        </row>
        <row r="1831">
          <cell r="B1831" t="str">
            <v>유성호</v>
          </cell>
          <cell r="F1831">
            <v>4554625</v>
          </cell>
          <cell r="L1831" t="str">
            <v>2000-594</v>
          </cell>
        </row>
        <row r="1832">
          <cell r="B1832" t="str">
            <v>이혁진</v>
          </cell>
          <cell r="F1832">
            <v>20000000</v>
          </cell>
          <cell r="L1832" t="str">
            <v>2000-595</v>
          </cell>
        </row>
        <row r="1833">
          <cell r="B1833" t="str">
            <v>유홍</v>
          </cell>
          <cell r="F1833">
            <v>11908930</v>
          </cell>
          <cell r="L1833" t="str">
            <v>2000-596</v>
          </cell>
        </row>
        <row r="1834">
          <cell r="B1834" t="str">
            <v>고병주외</v>
          </cell>
          <cell r="F1834">
            <v>4331415</v>
          </cell>
          <cell r="L1834" t="str">
            <v>2000-597</v>
          </cell>
        </row>
        <row r="1835">
          <cell r="B1835" t="str">
            <v>송애헌</v>
          </cell>
          <cell r="F1835">
            <v>4651796</v>
          </cell>
          <cell r="L1835" t="str">
            <v>2000-598</v>
          </cell>
        </row>
        <row r="1836">
          <cell r="B1836" t="str">
            <v>(주)동원기계</v>
          </cell>
          <cell r="F1836">
            <v>14951071</v>
          </cell>
          <cell r="L1836" t="str">
            <v>2000-599</v>
          </cell>
        </row>
        <row r="1837">
          <cell r="B1837" t="str">
            <v>김일포</v>
          </cell>
          <cell r="F1837">
            <v>4505166</v>
          </cell>
          <cell r="L1837" t="str">
            <v>2000-600</v>
          </cell>
        </row>
        <row r="1838">
          <cell r="B1838" t="str">
            <v>김향숙</v>
          </cell>
          <cell r="F1838">
            <v>27179662</v>
          </cell>
          <cell r="L1838" t="str">
            <v>2000-601</v>
          </cell>
        </row>
        <row r="1839">
          <cell r="B1839" t="str">
            <v>이상권</v>
          </cell>
          <cell r="F1839">
            <v>89223377</v>
          </cell>
          <cell r="L1839" t="str">
            <v>2000-602</v>
          </cell>
        </row>
        <row r="1840">
          <cell r="B1840" t="str">
            <v>김인철</v>
          </cell>
          <cell r="F1840">
            <v>12109170</v>
          </cell>
          <cell r="L1840" t="str">
            <v>2000-603</v>
          </cell>
        </row>
        <row r="1841">
          <cell r="B1841" t="str">
            <v>김복희</v>
          </cell>
          <cell r="F1841">
            <v>1352125</v>
          </cell>
          <cell r="L1841" t="str">
            <v>2000-604</v>
          </cell>
        </row>
        <row r="1842">
          <cell r="B1842" t="str">
            <v>김종기</v>
          </cell>
          <cell r="F1842">
            <v>2678698</v>
          </cell>
          <cell r="L1842" t="str">
            <v>2000-605</v>
          </cell>
        </row>
        <row r="1843">
          <cell r="B1843" t="str">
            <v>심규성</v>
          </cell>
          <cell r="F1843">
            <v>17409345</v>
          </cell>
          <cell r="L1843" t="str">
            <v>2000-606</v>
          </cell>
        </row>
        <row r="1844">
          <cell r="B1844" t="str">
            <v>김남숙</v>
          </cell>
          <cell r="E1844" t="str">
            <v>김남숙 방수경</v>
          </cell>
          <cell r="F1844">
            <v>16322451</v>
          </cell>
          <cell r="L1844">
            <v>4215</v>
          </cell>
        </row>
        <row r="1845">
          <cell r="B1845" t="str">
            <v>김영철</v>
          </cell>
          <cell r="E1845" t="str">
            <v>김영철 김성순</v>
          </cell>
          <cell r="F1845">
            <v>10398996</v>
          </cell>
          <cell r="L1845">
            <v>4373</v>
          </cell>
        </row>
        <row r="1846">
          <cell r="B1846" t="str">
            <v>박광선</v>
          </cell>
          <cell r="E1846" t="str">
            <v>박광선 신영애</v>
          </cell>
          <cell r="F1846">
            <v>6671243</v>
          </cell>
          <cell r="L1846">
            <v>4203</v>
          </cell>
        </row>
        <row r="1847">
          <cell r="B1847" t="str">
            <v>강영환</v>
          </cell>
          <cell r="E1847" t="str">
            <v>강영환</v>
          </cell>
          <cell r="F1847">
            <v>5341091</v>
          </cell>
          <cell r="L1847">
            <v>4227</v>
          </cell>
        </row>
        <row r="1848">
          <cell r="B1848" t="str">
            <v>김미자</v>
          </cell>
          <cell r="E1848" t="str">
            <v>김미자 윤혜숙</v>
          </cell>
          <cell r="F1848">
            <v>2444287</v>
          </cell>
          <cell r="L1848">
            <v>27529</v>
          </cell>
        </row>
        <row r="1849">
          <cell r="B1849" t="str">
            <v>도현경</v>
          </cell>
          <cell r="E1849" t="str">
            <v>도현경 조옥선</v>
          </cell>
          <cell r="F1849">
            <v>7009313</v>
          </cell>
          <cell r="L1849">
            <v>4235</v>
          </cell>
        </row>
        <row r="1850">
          <cell r="B1850" t="str">
            <v>김영순</v>
          </cell>
          <cell r="E1850" t="str">
            <v>김영순 정병연</v>
          </cell>
          <cell r="F1850">
            <v>11560917</v>
          </cell>
          <cell r="L1850">
            <v>4392</v>
          </cell>
        </row>
        <row r="1851">
          <cell r="B1851" t="str">
            <v>박시완</v>
          </cell>
          <cell r="E1851" t="str">
            <v>박시환 길화영</v>
          </cell>
          <cell r="F1851">
            <v>6955723</v>
          </cell>
          <cell r="L1851">
            <v>4252</v>
          </cell>
        </row>
        <row r="1852">
          <cell r="B1852" t="str">
            <v>최명현</v>
          </cell>
          <cell r="E1852" t="str">
            <v>최명현 전태형</v>
          </cell>
          <cell r="F1852">
            <v>8435678</v>
          </cell>
          <cell r="L1852">
            <v>4108</v>
          </cell>
        </row>
        <row r="1853">
          <cell r="B1853" t="str">
            <v>이종호</v>
          </cell>
          <cell r="E1853" t="str">
            <v>이종호 이석윤</v>
          </cell>
          <cell r="F1853">
            <v>13772448</v>
          </cell>
          <cell r="L1853" t="str">
            <v>경매(김혁)</v>
          </cell>
        </row>
        <row r="1854">
          <cell r="B1854" t="str">
            <v>김종구</v>
          </cell>
          <cell r="E1854" t="str">
            <v>김종구</v>
          </cell>
          <cell r="F1854">
            <v>29656541</v>
          </cell>
          <cell r="L1854">
            <v>4179</v>
          </cell>
        </row>
        <row r="1855">
          <cell r="B1855" t="str">
            <v>최성의</v>
          </cell>
          <cell r="E1855" t="str">
            <v>최의성 김복희</v>
          </cell>
          <cell r="F1855">
            <v>15487760</v>
          </cell>
          <cell r="L1855">
            <v>1830</v>
          </cell>
        </row>
        <row r="1856">
          <cell r="B1856" t="str">
            <v>송연문</v>
          </cell>
          <cell r="E1856" t="str">
            <v>송연문 오판임</v>
          </cell>
          <cell r="F1856">
            <v>10840316</v>
          </cell>
          <cell r="L1856">
            <v>1842</v>
          </cell>
        </row>
        <row r="1857">
          <cell r="B1857" t="str">
            <v>김명옥</v>
          </cell>
          <cell r="E1857" t="str">
            <v>김명옥 김숙자</v>
          </cell>
          <cell r="F1857">
            <v>7503496</v>
          </cell>
          <cell r="L1857">
            <v>1893</v>
          </cell>
        </row>
        <row r="1858">
          <cell r="B1858" t="str">
            <v>이길삼</v>
          </cell>
          <cell r="E1858" t="str">
            <v>이길삼 김재인 김재옥</v>
          </cell>
          <cell r="F1858">
            <v>20385160</v>
          </cell>
          <cell r="L1858">
            <v>2108</v>
          </cell>
        </row>
        <row r="1859">
          <cell r="B1859" t="str">
            <v>(주)금강케이베스</v>
          </cell>
          <cell r="F1859">
            <v>80595219</v>
          </cell>
          <cell r="L1859" t="str">
            <v>2000-622</v>
          </cell>
        </row>
        <row r="1860">
          <cell r="B1860" t="str">
            <v>최상용</v>
          </cell>
          <cell r="F1860">
            <v>29480903</v>
          </cell>
          <cell r="L1860" t="str">
            <v>2000-623</v>
          </cell>
        </row>
        <row r="1861">
          <cell r="B1861" t="str">
            <v>박성용</v>
          </cell>
          <cell r="F1861">
            <v>17441096</v>
          </cell>
          <cell r="L1861" t="str">
            <v>2000-624</v>
          </cell>
        </row>
        <row r="1862">
          <cell r="B1862" t="str">
            <v>함원희</v>
          </cell>
          <cell r="F1862">
            <v>13710970</v>
          </cell>
          <cell r="L1862" t="str">
            <v>2000-625</v>
          </cell>
        </row>
        <row r="1863">
          <cell r="B1863" t="str">
            <v>남현우</v>
          </cell>
          <cell r="F1863">
            <v>18534770</v>
          </cell>
          <cell r="L1863" t="str">
            <v>2000-626</v>
          </cell>
        </row>
        <row r="1864">
          <cell r="B1864" t="str">
            <v>동일정공</v>
          </cell>
          <cell r="F1864">
            <v>18600068</v>
          </cell>
          <cell r="L1864" t="str">
            <v>2000-627</v>
          </cell>
        </row>
        <row r="1865">
          <cell r="B1865" t="str">
            <v>이경일</v>
          </cell>
          <cell r="F1865">
            <v>182240699</v>
          </cell>
          <cell r="L1865" t="str">
            <v>2000-628</v>
          </cell>
        </row>
        <row r="1866">
          <cell r="B1866" t="str">
            <v>손종택</v>
          </cell>
          <cell r="F1866">
            <v>22040361</v>
          </cell>
          <cell r="L1866" t="str">
            <v>2000-629</v>
          </cell>
        </row>
        <row r="1867">
          <cell r="B1867" t="str">
            <v>서선</v>
          </cell>
          <cell r="F1867">
            <v>15535041</v>
          </cell>
          <cell r="L1867" t="str">
            <v>2000-630</v>
          </cell>
        </row>
        <row r="1868">
          <cell r="B1868" t="str">
            <v>중앙해운</v>
          </cell>
          <cell r="F1868">
            <v>106649130</v>
          </cell>
          <cell r="L1868" t="str">
            <v>2000-631</v>
          </cell>
        </row>
        <row r="1869">
          <cell r="B1869" t="str">
            <v>고충주</v>
          </cell>
          <cell r="F1869">
            <v>12000000</v>
          </cell>
          <cell r="L1869" t="str">
            <v>2000-632</v>
          </cell>
        </row>
        <row r="1870">
          <cell r="B1870" t="str">
            <v>정양임</v>
          </cell>
          <cell r="F1870">
            <v>15246636</v>
          </cell>
          <cell r="L1870" t="str">
            <v>2000-633</v>
          </cell>
        </row>
        <row r="1871">
          <cell r="B1871" t="str">
            <v>변종희</v>
          </cell>
          <cell r="F1871">
            <v>21196896</v>
          </cell>
          <cell r="L1871" t="str">
            <v>2000-634</v>
          </cell>
        </row>
        <row r="1872">
          <cell r="B1872" t="str">
            <v>민우전자</v>
          </cell>
          <cell r="F1872">
            <v>129063657</v>
          </cell>
          <cell r="L1872" t="str">
            <v>2000-635</v>
          </cell>
        </row>
        <row r="1873">
          <cell r="B1873" t="str">
            <v>(주)경기화학</v>
          </cell>
          <cell r="F1873">
            <v>206409714</v>
          </cell>
          <cell r="L1873" t="str">
            <v>2000-636</v>
          </cell>
        </row>
        <row r="1874">
          <cell r="B1874" t="str">
            <v>한영월드(주)</v>
          </cell>
          <cell r="F1874">
            <v>274953335</v>
          </cell>
          <cell r="L1874" t="str">
            <v>2000-637</v>
          </cell>
        </row>
        <row r="1875">
          <cell r="B1875" t="str">
            <v>김수복</v>
          </cell>
          <cell r="F1875">
            <v>29998832</v>
          </cell>
          <cell r="L1875" t="str">
            <v>2000-638</v>
          </cell>
        </row>
        <row r="1876">
          <cell r="B1876" t="str">
            <v>최승인</v>
          </cell>
          <cell r="F1876">
            <v>26019060</v>
          </cell>
          <cell r="L1876" t="str">
            <v>2000-639</v>
          </cell>
        </row>
        <row r="1877">
          <cell r="B1877" t="str">
            <v>박성희</v>
          </cell>
          <cell r="F1877">
            <v>7934606</v>
          </cell>
          <cell r="L1877" t="str">
            <v>2000-640</v>
          </cell>
        </row>
        <row r="1878">
          <cell r="B1878" t="str">
            <v>대홍철강(주)</v>
          </cell>
          <cell r="F1878">
            <v>234401565</v>
          </cell>
          <cell r="L1878" t="str">
            <v>2000-641</v>
          </cell>
        </row>
        <row r="1879">
          <cell r="B1879" t="str">
            <v>윤여성</v>
          </cell>
          <cell r="F1879">
            <v>63030991</v>
          </cell>
          <cell r="L1879" t="str">
            <v>2000-642</v>
          </cell>
        </row>
        <row r="1880">
          <cell r="B1880" t="str">
            <v>최윤선</v>
          </cell>
          <cell r="F1880">
            <v>5000000</v>
          </cell>
          <cell r="L1880" t="str">
            <v>2000-643</v>
          </cell>
        </row>
        <row r="1881">
          <cell r="B1881" t="str">
            <v>신정민산업</v>
          </cell>
          <cell r="F1881">
            <v>50150000</v>
          </cell>
          <cell r="L1881" t="str">
            <v>2000-644</v>
          </cell>
        </row>
        <row r="1882">
          <cell r="B1882" t="str">
            <v>양선영</v>
          </cell>
          <cell r="F1882">
            <v>12000000</v>
          </cell>
          <cell r="L1882" t="str">
            <v>2000-645</v>
          </cell>
        </row>
        <row r="1883">
          <cell r="B1883" t="str">
            <v>배영옥</v>
          </cell>
          <cell r="F1883">
            <v>7912745</v>
          </cell>
          <cell r="L1883" t="str">
            <v>2000-646</v>
          </cell>
        </row>
        <row r="1884">
          <cell r="B1884" t="str">
            <v>구재포</v>
          </cell>
          <cell r="F1884">
            <v>6932002</v>
          </cell>
          <cell r="L1884" t="str">
            <v>2000-647</v>
          </cell>
        </row>
        <row r="1885">
          <cell r="B1885" t="str">
            <v>정재근</v>
          </cell>
          <cell r="F1885">
            <v>4648956</v>
          </cell>
          <cell r="L1885" t="str">
            <v>2000-648</v>
          </cell>
        </row>
        <row r="1886">
          <cell r="B1886" t="str">
            <v>김영일</v>
          </cell>
          <cell r="F1886">
            <v>15558041</v>
          </cell>
          <cell r="L1886" t="str">
            <v>2000-649</v>
          </cell>
        </row>
        <row r="1887">
          <cell r="B1887" t="str">
            <v>정은숙</v>
          </cell>
          <cell r="F1887">
            <v>5854469</v>
          </cell>
          <cell r="L1887" t="str">
            <v>2000-650</v>
          </cell>
        </row>
        <row r="1888">
          <cell r="B1888" t="str">
            <v>안재경</v>
          </cell>
          <cell r="F1888">
            <v>5227052</v>
          </cell>
          <cell r="L1888" t="str">
            <v>2000-651</v>
          </cell>
        </row>
        <row r="1889">
          <cell r="B1889" t="str">
            <v>김성수</v>
          </cell>
          <cell r="F1889">
            <v>12263156</v>
          </cell>
          <cell r="L1889" t="str">
            <v>2000-652</v>
          </cell>
        </row>
        <row r="1890">
          <cell r="B1890" t="str">
            <v>김진서</v>
          </cell>
          <cell r="F1890">
            <v>6422276</v>
          </cell>
          <cell r="L1890" t="str">
            <v>2000-653</v>
          </cell>
        </row>
        <row r="1891">
          <cell r="B1891" t="str">
            <v>백성례</v>
          </cell>
          <cell r="F1891">
            <v>15201214</v>
          </cell>
          <cell r="L1891" t="str">
            <v>2000-654</v>
          </cell>
        </row>
        <row r="1892">
          <cell r="B1892" t="str">
            <v>김영순</v>
          </cell>
          <cell r="F1892">
            <v>16094609</v>
          </cell>
          <cell r="L1892" t="str">
            <v>2000-655</v>
          </cell>
        </row>
        <row r="1893">
          <cell r="B1893" t="str">
            <v>조의제</v>
          </cell>
          <cell r="F1893">
            <v>11375896</v>
          </cell>
          <cell r="L1893" t="str">
            <v>2000-656</v>
          </cell>
        </row>
        <row r="1894">
          <cell r="B1894" t="str">
            <v>이정희</v>
          </cell>
          <cell r="F1894">
            <v>50000000</v>
          </cell>
          <cell r="L1894" t="str">
            <v>2000-657</v>
          </cell>
        </row>
        <row r="1895">
          <cell r="B1895" t="str">
            <v>백창현</v>
          </cell>
          <cell r="F1895">
            <v>29814606</v>
          </cell>
          <cell r="L1895" t="str">
            <v>2000-658</v>
          </cell>
        </row>
        <row r="1896">
          <cell r="B1896" t="str">
            <v>남은주</v>
          </cell>
          <cell r="F1896">
            <v>3748951</v>
          </cell>
          <cell r="G1896">
            <v>38788</v>
          </cell>
          <cell r="H1896">
            <v>7565240</v>
          </cell>
          <cell r="I1896">
            <v>788740</v>
          </cell>
          <cell r="L1896" t="str">
            <v>2000-659</v>
          </cell>
        </row>
        <row r="1897">
          <cell r="B1897" t="str">
            <v>임재홍</v>
          </cell>
          <cell r="F1897">
            <v>5986344</v>
          </cell>
          <cell r="L1897" t="str">
            <v>2000-660</v>
          </cell>
        </row>
        <row r="1898">
          <cell r="B1898" t="str">
            <v>윤영희</v>
          </cell>
          <cell r="F1898">
            <v>6322439</v>
          </cell>
          <cell r="L1898" t="str">
            <v>2000-661</v>
          </cell>
        </row>
        <row r="1899">
          <cell r="B1899" t="str">
            <v>장보선</v>
          </cell>
          <cell r="F1899">
            <v>2654318</v>
          </cell>
          <cell r="L1899" t="str">
            <v>2000-662</v>
          </cell>
        </row>
        <row r="1900">
          <cell r="B1900" t="str">
            <v>정생도</v>
          </cell>
          <cell r="F1900">
            <v>4878422</v>
          </cell>
        </row>
        <row r="1901">
          <cell r="B1901" t="str">
            <v>문정순</v>
          </cell>
          <cell r="F1901">
            <v>10314020</v>
          </cell>
        </row>
        <row r="1902">
          <cell r="B1902" t="str">
            <v>이상협</v>
          </cell>
          <cell r="F1902">
            <v>12306880</v>
          </cell>
        </row>
        <row r="1903">
          <cell r="B1903" t="str">
            <v>박동식</v>
          </cell>
          <cell r="F1903">
            <v>80990409</v>
          </cell>
        </row>
        <row r="1904">
          <cell r="B1904" t="str">
            <v>김종숙</v>
          </cell>
          <cell r="F1904">
            <v>14942669</v>
          </cell>
        </row>
        <row r="1905">
          <cell r="B1905" t="str">
            <v>권익수</v>
          </cell>
          <cell r="C1905" t="str">
            <v>당 사 자  명</v>
          </cell>
          <cell r="D1905" t="str">
            <v>당 사 자  명</v>
          </cell>
          <cell r="E1905" t="str">
            <v>소     가</v>
          </cell>
          <cell r="F1905">
            <v>8797246</v>
          </cell>
        </row>
        <row r="1906">
          <cell r="B1906" t="str">
            <v>이선민</v>
          </cell>
          <cell r="C1906" t="str">
            <v>신상규.신문규</v>
          </cell>
          <cell r="D1906" t="str">
            <v>신상규.신문규</v>
          </cell>
          <cell r="E1906">
            <v>12500000</v>
          </cell>
          <cell r="F1906">
            <v>9210065</v>
          </cell>
        </row>
        <row r="1907">
          <cell r="B1907" t="str">
            <v>박금지</v>
          </cell>
          <cell r="D1907">
            <v>44519126</v>
          </cell>
          <cell r="E1907">
            <v>44519126</v>
          </cell>
          <cell r="F1907">
            <v>13485979</v>
          </cell>
        </row>
        <row r="1908">
          <cell r="B1908" t="str">
            <v>김기성</v>
          </cell>
          <cell r="C1908" t="str">
            <v>정준.정정화</v>
          </cell>
          <cell r="D1908" t="str">
            <v>정준.정정화</v>
          </cell>
          <cell r="E1908">
            <v>8610700</v>
          </cell>
          <cell r="F1908">
            <v>33358542</v>
          </cell>
        </row>
        <row r="1909">
          <cell r="B1909" t="str">
            <v>신현숙</v>
          </cell>
          <cell r="C1909" t="str">
            <v>유완식</v>
          </cell>
          <cell r="D1909" t="str">
            <v>유완식</v>
          </cell>
          <cell r="E1909">
            <v>17466939</v>
          </cell>
          <cell r="F1909">
            <v>6415487</v>
          </cell>
        </row>
        <row r="1910">
          <cell r="B1910" t="str">
            <v>이기란</v>
          </cell>
          <cell r="C1910" t="str">
            <v>조정환.조순재</v>
          </cell>
          <cell r="D1910" t="str">
            <v>조정환.조순재</v>
          </cell>
          <cell r="E1910">
            <v>7956278</v>
          </cell>
          <cell r="F1910">
            <v>12506254</v>
          </cell>
        </row>
        <row r="1911">
          <cell r="B1911" t="str">
            <v>함영빈</v>
          </cell>
          <cell r="C1911" t="str">
            <v>김정일.장창희</v>
          </cell>
          <cell r="D1911" t="str">
            <v>김정일.장창희</v>
          </cell>
          <cell r="E1911">
            <v>7996979</v>
          </cell>
          <cell r="F1911">
            <v>5540119</v>
          </cell>
        </row>
        <row r="1912">
          <cell r="B1912" t="str">
            <v>지영남</v>
          </cell>
          <cell r="C1912" t="str">
            <v>조순자.이양교</v>
          </cell>
          <cell r="D1912" t="str">
            <v>조순자.이양교</v>
          </cell>
          <cell r="E1912">
            <v>2705121</v>
          </cell>
          <cell r="F1912">
            <v>6608538</v>
          </cell>
        </row>
        <row r="1913">
          <cell r="B1913" t="str">
            <v>허태일</v>
          </cell>
          <cell r="C1913" t="str">
            <v>박민식</v>
          </cell>
          <cell r="D1913" t="str">
            <v>박민식</v>
          </cell>
          <cell r="E1913">
            <v>25000000</v>
          </cell>
          <cell r="F1913">
            <v>13314637</v>
          </cell>
        </row>
        <row r="1914">
          <cell r="B1914" t="str">
            <v>김종규</v>
          </cell>
          <cell r="C1914" t="str">
            <v>김원배.안성준</v>
          </cell>
          <cell r="D1914" t="str">
            <v>김원배.안성준</v>
          </cell>
          <cell r="E1914">
            <v>20000000</v>
          </cell>
          <cell r="F1914">
            <v>5521113</v>
          </cell>
        </row>
        <row r="1915">
          <cell r="B1915" t="str">
            <v>전영이</v>
          </cell>
          <cell r="C1915" t="str">
            <v>이재형.노희섭</v>
          </cell>
          <cell r="D1915" t="str">
            <v>이재형.노희섭</v>
          </cell>
          <cell r="E1915">
            <v>1626465</v>
          </cell>
          <cell r="F1915">
            <v>11607404</v>
          </cell>
        </row>
        <row r="1916">
          <cell r="B1916" t="str">
            <v>황금연</v>
          </cell>
          <cell r="C1916" t="str">
            <v>김용녀.김기성</v>
          </cell>
          <cell r="D1916" t="str">
            <v>김용녀.김기성</v>
          </cell>
          <cell r="E1916">
            <v>7188616</v>
          </cell>
          <cell r="F1916">
            <v>5788617</v>
          </cell>
        </row>
        <row r="1917">
          <cell r="B1917" t="str">
            <v>김태운</v>
          </cell>
          <cell r="C1917" t="str">
            <v>한수웅.진준남</v>
          </cell>
          <cell r="D1917" t="str">
            <v>한수웅.진준남</v>
          </cell>
          <cell r="E1917">
            <v>10509656</v>
          </cell>
          <cell r="F1917">
            <v>12368825</v>
          </cell>
        </row>
        <row r="1918">
          <cell r="B1918" t="str">
            <v>이부섭</v>
          </cell>
          <cell r="C1918" t="str">
            <v>조우진</v>
          </cell>
          <cell r="D1918" t="str">
            <v>조우진</v>
          </cell>
          <cell r="E1918">
            <v>7000000</v>
          </cell>
          <cell r="F1918">
            <v>14385145</v>
          </cell>
        </row>
        <row r="1919">
          <cell r="B1919" t="str">
            <v>유지연</v>
          </cell>
          <cell r="C1919" t="str">
            <v>정미현</v>
          </cell>
          <cell r="D1919" t="str">
            <v>정미현</v>
          </cell>
          <cell r="E1919">
            <v>7000000</v>
          </cell>
          <cell r="F1919">
            <v>6447166</v>
          </cell>
        </row>
        <row r="1920">
          <cell r="B1920" t="str">
            <v>조나미</v>
          </cell>
          <cell r="C1920" t="str">
            <v>이경우</v>
          </cell>
          <cell r="D1920" t="str">
            <v>이경우</v>
          </cell>
          <cell r="E1920">
            <v>7000000</v>
          </cell>
          <cell r="F1920">
            <v>13284902</v>
          </cell>
        </row>
        <row r="1921">
          <cell r="B1921" t="str">
            <v>박태순</v>
          </cell>
          <cell r="C1921" t="str">
            <v>고은영</v>
          </cell>
          <cell r="D1921" t="str">
            <v>고은영</v>
          </cell>
          <cell r="E1921">
            <v>7000000</v>
          </cell>
          <cell r="F1921">
            <v>3987529</v>
          </cell>
        </row>
        <row r="1922">
          <cell r="B1922" t="str">
            <v>이상하</v>
          </cell>
          <cell r="C1922" t="str">
            <v>안성모</v>
          </cell>
          <cell r="D1922" t="str">
            <v>안성모</v>
          </cell>
          <cell r="E1922">
            <v>7000000</v>
          </cell>
          <cell r="F1922">
            <v>4594988</v>
          </cell>
        </row>
        <row r="1923">
          <cell r="B1923" t="str">
            <v>이귀종</v>
          </cell>
          <cell r="C1923" t="str">
            <v>최은석</v>
          </cell>
          <cell r="D1923" t="str">
            <v>최은석</v>
          </cell>
          <cell r="E1923">
            <v>7000000</v>
          </cell>
          <cell r="F1923">
            <v>41342623</v>
          </cell>
        </row>
        <row r="1924">
          <cell r="B1924" t="str">
            <v>손서익</v>
          </cell>
          <cell r="C1924" t="str">
            <v>김은구</v>
          </cell>
          <cell r="D1924" t="str">
            <v>김은구</v>
          </cell>
          <cell r="E1924">
            <v>7000000</v>
          </cell>
          <cell r="F1924">
            <v>26377874</v>
          </cell>
        </row>
        <row r="1925">
          <cell r="B1925" t="str">
            <v>이종율</v>
          </cell>
          <cell r="C1925" t="str">
            <v>이형복</v>
          </cell>
          <cell r="D1925" t="str">
            <v>이형복</v>
          </cell>
          <cell r="E1925">
            <v>7000000</v>
          </cell>
          <cell r="F1925">
            <v>8000000</v>
          </cell>
        </row>
        <row r="1926">
          <cell r="B1926" t="str">
            <v>최영호</v>
          </cell>
          <cell r="C1926" t="str">
            <v>안동우.안동인</v>
          </cell>
          <cell r="D1926" t="str">
            <v>안동우.안동인</v>
          </cell>
          <cell r="E1926">
            <v>8988745</v>
          </cell>
          <cell r="F1926">
            <v>21431107</v>
          </cell>
        </row>
        <row r="1927">
          <cell r="B1927" t="str">
            <v>김형갑</v>
          </cell>
          <cell r="C1927" t="str">
            <v>김진신.한영태</v>
          </cell>
          <cell r="D1927" t="str">
            <v>김진신.한영태</v>
          </cell>
          <cell r="E1927">
            <v>3978213</v>
          </cell>
          <cell r="F1927">
            <v>4033297</v>
          </cell>
        </row>
        <row r="1928">
          <cell r="B1928" t="str">
            <v>최영순</v>
          </cell>
          <cell r="C1928" t="str">
            <v>이점숙.조승준</v>
          </cell>
          <cell r="D1928" t="str">
            <v>이점숙.조승준</v>
          </cell>
          <cell r="E1928">
            <v>8943121</v>
          </cell>
          <cell r="F1928">
            <v>20662598</v>
          </cell>
        </row>
        <row r="1929">
          <cell r="B1929" t="str">
            <v>이정녀</v>
          </cell>
          <cell r="C1929" t="str">
            <v>박영.박정희</v>
          </cell>
          <cell r="D1929" t="str">
            <v>박영.박정희</v>
          </cell>
          <cell r="E1929">
            <v>9821409</v>
          </cell>
          <cell r="F1929">
            <v>11560457</v>
          </cell>
        </row>
        <row r="1930">
          <cell r="B1930" t="str">
            <v>김국자</v>
          </cell>
          <cell r="C1930" t="str">
            <v>2000가소1233716</v>
          </cell>
          <cell r="D1930" t="str">
            <v>소취하0508</v>
          </cell>
          <cell r="E1930" t="str">
            <v>김국자 최남례 박성무 박성래 박성희 박성복</v>
          </cell>
          <cell r="F1930">
            <v>2873364</v>
          </cell>
          <cell r="L1930">
            <v>1854</v>
          </cell>
        </row>
        <row r="1931">
          <cell r="B1931" t="str">
            <v>배은정</v>
          </cell>
          <cell r="C1931" t="str">
            <v>최영순.박승숙</v>
          </cell>
          <cell r="D1931" t="str">
            <v>최영순.박승숙</v>
          </cell>
          <cell r="E1931">
            <v>2557937</v>
          </cell>
          <cell r="F1931">
            <v>10971063</v>
          </cell>
        </row>
        <row r="1932">
          <cell r="B1932" t="str">
            <v>김덕남</v>
          </cell>
          <cell r="C1932" t="str">
            <v>백남두.박형배</v>
          </cell>
          <cell r="D1932" t="str">
            <v>백남두.박형배</v>
          </cell>
          <cell r="E1932">
            <v>7000000</v>
          </cell>
          <cell r="F1932">
            <v>21074463</v>
          </cell>
        </row>
        <row r="1933">
          <cell r="B1933" t="str">
            <v>이계현</v>
          </cell>
          <cell r="C1933" t="str">
            <v>2000가소1233730</v>
          </cell>
          <cell r="D1933" t="str">
            <v>소취하0526</v>
          </cell>
          <cell r="E1933" t="str">
            <v>김희선 김영자 이인정 이광민</v>
          </cell>
          <cell r="F1933">
            <v>6950473</v>
          </cell>
          <cell r="L1933">
            <v>1902</v>
          </cell>
        </row>
        <row r="1934">
          <cell r="B1934" t="str">
            <v>백홍배</v>
          </cell>
          <cell r="C1934" t="str">
            <v>한경숙.이홍기</v>
          </cell>
          <cell r="D1934" t="str">
            <v>한경숙.이홍기</v>
          </cell>
          <cell r="E1934">
            <v>8670924</v>
          </cell>
          <cell r="F1934">
            <v>15870416</v>
          </cell>
        </row>
        <row r="1935">
          <cell r="B1935" t="str">
            <v>노승환</v>
          </cell>
          <cell r="C1935" t="str">
            <v>이태우</v>
          </cell>
          <cell r="D1935" t="str">
            <v>이태우</v>
          </cell>
          <cell r="E1935">
            <v>3471310</v>
          </cell>
          <cell r="F1935">
            <v>12316890</v>
          </cell>
        </row>
        <row r="1936">
          <cell r="B1936" t="str">
            <v>진순자</v>
          </cell>
          <cell r="C1936" t="str">
            <v>박미리.김영분</v>
          </cell>
          <cell r="D1936" t="str">
            <v>박미리.김영분</v>
          </cell>
          <cell r="E1936">
            <v>9379912</v>
          </cell>
          <cell r="F1936">
            <v>2840740</v>
          </cell>
        </row>
        <row r="1937">
          <cell r="B1937" t="str">
            <v>이보경</v>
          </cell>
          <cell r="C1937" t="str">
            <v>김두수.김형순</v>
          </cell>
          <cell r="D1937" t="str">
            <v>김두수.김형순</v>
          </cell>
          <cell r="E1937">
            <v>3076560</v>
          </cell>
          <cell r="F1937">
            <v>5833120</v>
          </cell>
        </row>
        <row r="1938">
          <cell r="B1938" t="str">
            <v>이재왕</v>
          </cell>
          <cell r="C1938" t="str">
            <v>이용근.이우영.장진</v>
          </cell>
          <cell r="D1938" t="str">
            <v>이용근.이우영.장진</v>
          </cell>
          <cell r="E1938">
            <v>1018416</v>
          </cell>
          <cell r="F1938">
            <v>8726674</v>
          </cell>
        </row>
        <row r="1939">
          <cell r="B1939" t="str">
            <v>강복례</v>
          </cell>
          <cell r="C1939" t="str">
            <v>완제에 따른 소미접수</v>
          </cell>
          <cell r="D1939" t="str">
            <v>완제에 따른 소미제기</v>
          </cell>
          <cell r="E1939">
            <v>3522171</v>
          </cell>
          <cell r="F1939">
            <v>5423303</v>
          </cell>
        </row>
        <row r="1940">
          <cell r="B1940" t="str">
            <v>고경희</v>
          </cell>
          <cell r="C1940" t="str">
            <v>오윤숙.이현권.오계식</v>
          </cell>
          <cell r="D1940" t="str">
            <v>오윤숙.이현권.오계식</v>
          </cell>
          <cell r="E1940">
            <v>2060518</v>
          </cell>
          <cell r="F1940">
            <v>2982135</v>
          </cell>
        </row>
        <row r="1941">
          <cell r="B1941" t="str">
            <v>홍봉호</v>
          </cell>
          <cell r="C1941" t="str">
            <v>계희영.김정태</v>
          </cell>
          <cell r="D1941" t="str">
            <v>계희영.김정태</v>
          </cell>
          <cell r="E1941">
            <v>5000000</v>
          </cell>
          <cell r="F1941">
            <v>12690885</v>
          </cell>
        </row>
        <row r="1942">
          <cell r="B1942" t="str">
            <v>김순동</v>
          </cell>
          <cell r="C1942" t="str">
            <v>정귀홍.박선희</v>
          </cell>
          <cell r="D1942" t="str">
            <v>정귀홍.박선희</v>
          </cell>
          <cell r="E1942">
            <v>9311155</v>
          </cell>
          <cell r="F1942">
            <v>2904994</v>
          </cell>
        </row>
        <row r="1943">
          <cell r="B1943" t="str">
            <v>최현순</v>
          </cell>
          <cell r="C1943" t="str">
            <v>박인식.최인환</v>
          </cell>
          <cell r="D1943" t="str">
            <v>박인식.최인환</v>
          </cell>
          <cell r="E1943">
            <v>2403397</v>
          </cell>
          <cell r="F1943">
            <v>12581983</v>
          </cell>
        </row>
        <row r="1944">
          <cell r="B1944" t="str">
            <v>김혜숙</v>
          </cell>
          <cell r="C1944" t="str">
            <v>조석훈.조종순</v>
          </cell>
          <cell r="D1944" t="str">
            <v>조석훈.조종순</v>
          </cell>
          <cell r="E1944">
            <v>3350963</v>
          </cell>
          <cell r="F1944">
            <v>10663408</v>
          </cell>
        </row>
        <row r="1945">
          <cell r="B1945" t="str">
            <v>김주철</v>
          </cell>
          <cell r="C1945" t="str">
            <v>최말순.채수완</v>
          </cell>
          <cell r="D1945" t="str">
            <v>최말순.채수완</v>
          </cell>
          <cell r="E1945">
            <v>1650000</v>
          </cell>
          <cell r="F1945">
            <v>19508445</v>
          </cell>
        </row>
        <row r="1946">
          <cell r="B1946" t="str">
            <v>이낙영</v>
          </cell>
          <cell r="C1946" t="str">
            <v>이삼용.이보청</v>
          </cell>
          <cell r="D1946" t="str">
            <v>이삼용.이보청</v>
          </cell>
          <cell r="E1946">
            <v>3179191</v>
          </cell>
          <cell r="F1946">
            <v>291204982</v>
          </cell>
        </row>
        <row r="1947">
          <cell r="B1947" t="str">
            <v>정경애</v>
          </cell>
          <cell r="C1947" t="str">
            <v>김순경.최동숙</v>
          </cell>
          <cell r="D1947" t="str">
            <v>김순경.최동숙</v>
          </cell>
          <cell r="E1947">
            <v>10253726</v>
          </cell>
          <cell r="F1947">
            <v>1200000</v>
          </cell>
        </row>
        <row r="1948">
          <cell r="B1948" t="str">
            <v>서은아</v>
          </cell>
          <cell r="C1948" t="str">
            <v>남상례.이성호</v>
          </cell>
          <cell r="D1948" t="str">
            <v>남상례.이성호</v>
          </cell>
          <cell r="E1948">
            <v>2287606</v>
          </cell>
          <cell r="F1948">
            <v>9262060</v>
          </cell>
        </row>
        <row r="1949">
          <cell r="B1949" t="str">
            <v>이의선</v>
          </cell>
          <cell r="C1949" t="str">
            <v>이긍수.김진공</v>
          </cell>
          <cell r="D1949" t="str">
            <v>이긍수.김진공</v>
          </cell>
          <cell r="E1949">
            <v>4000000</v>
          </cell>
          <cell r="F1949">
            <v>8333458</v>
          </cell>
        </row>
        <row r="1950">
          <cell r="B1950" t="str">
            <v>함기석</v>
          </cell>
          <cell r="C1950" t="str">
            <v>윤희용.김영만</v>
          </cell>
          <cell r="D1950" t="str">
            <v>윤희용.김영만</v>
          </cell>
          <cell r="E1950">
            <v>2000000</v>
          </cell>
          <cell r="F1950">
            <v>16693694</v>
          </cell>
        </row>
        <row r="1951">
          <cell r="B1951" t="str">
            <v>최종남</v>
          </cell>
          <cell r="C1951" t="str">
            <v>곽순희.차종석</v>
          </cell>
          <cell r="D1951" t="str">
            <v>곽순희.차종석</v>
          </cell>
          <cell r="E1951">
            <v>5485484</v>
          </cell>
          <cell r="F1951">
            <v>9393810</v>
          </cell>
        </row>
        <row r="1952">
          <cell r="B1952" t="str">
            <v>이미희</v>
          </cell>
          <cell r="C1952" t="str">
            <v>송창환</v>
          </cell>
          <cell r="D1952" t="str">
            <v>송창환</v>
          </cell>
          <cell r="E1952">
            <v>2702528</v>
          </cell>
          <cell r="F1952">
            <v>10137696</v>
          </cell>
        </row>
        <row r="1953">
          <cell r="B1953" t="str">
            <v>연옥진</v>
          </cell>
          <cell r="C1953" t="str">
            <v>고혜정.최돈석.최동화</v>
          </cell>
          <cell r="D1953" t="str">
            <v>고혜정.최돈석.최동화</v>
          </cell>
          <cell r="E1953">
            <v>2400000</v>
          </cell>
          <cell r="F1953">
            <v>16377395</v>
          </cell>
        </row>
        <row r="1954">
          <cell r="B1954" t="str">
            <v>국순일</v>
          </cell>
          <cell r="C1954" t="str">
            <v>신종임.장기환</v>
          </cell>
          <cell r="D1954" t="str">
            <v>신종임.장기환</v>
          </cell>
          <cell r="E1954">
            <v>1572912</v>
          </cell>
          <cell r="F1954">
            <v>8096828</v>
          </cell>
        </row>
        <row r="1955">
          <cell r="B1955" t="str">
            <v>조상휘</v>
          </cell>
          <cell r="C1955" t="str">
            <v>유용기.유창구</v>
          </cell>
          <cell r="D1955" t="str">
            <v>유용기.유창구</v>
          </cell>
          <cell r="E1955">
            <v>1721268</v>
          </cell>
          <cell r="F1955">
            <v>4808220</v>
          </cell>
        </row>
        <row r="1956">
          <cell r="B1956" t="str">
            <v>이단오</v>
          </cell>
          <cell r="C1956" t="str">
            <v>윤시현</v>
          </cell>
          <cell r="D1956" t="str">
            <v>윤시현</v>
          </cell>
          <cell r="E1956">
            <v>6273374</v>
          </cell>
          <cell r="F1956">
            <v>13094924</v>
          </cell>
        </row>
        <row r="1957">
          <cell r="B1957" t="str">
            <v>이경우</v>
          </cell>
          <cell r="C1957" t="str">
            <v>성완경</v>
          </cell>
          <cell r="D1957" t="str">
            <v>성완경</v>
          </cell>
          <cell r="E1957">
            <v>9545816</v>
          </cell>
          <cell r="F1957">
            <v>13916461</v>
          </cell>
        </row>
        <row r="1958">
          <cell r="B1958" t="str">
            <v>선행숙</v>
          </cell>
          <cell r="C1958" t="str">
            <v>박경옥.박경순</v>
          </cell>
          <cell r="D1958" t="str">
            <v>박경옥.박경순</v>
          </cell>
          <cell r="E1958">
            <v>4454814</v>
          </cell>
          <cell r="F1958">
            <v>13842016</v>
          </cell>
        </row>
        <row r="1959">
          <cell r="B1959" t="str">
            <v>김혁</v>
          </cell>
          <cell r="C1959" t="str">
            <v>안화순.이납실</v>
          </cell>
          <cell r="D1959" t="str">
            <v>안화순.이납실</v>
          </cell>
          <cell r="E1959">
            <v>2807715</v>
          </cell>
          <cell r="F1959">
            <v>12813297</v>
          </cell>
        </row>
        <row r="1960">
          <cell r="B1960" t="str">
            <v>김미희</v>
          </cell>
          <cell r="C1960" t="str">
            <v>이해선</v>
          </cell>
          <cell r="D1960" t="str">
            <v>이해선</v>
          </cell>
          <cell r="E1960">
            <v>10000000</v>
          </cell>
          <cell r="F1960">
            <v>5853026</v>
          </cell>
        </row>
        <row r="1961">
          <cell r="B1961" t="str">
            <v>박111111</v>
          </cell>
          <cell r="C1961" t="str">
            <v>지추자.임길태</v>
          </cell>
          <cell r="D1961" t="str">
            <v>지추자.임길태</v>
          </cell>
          <cell r="E1961">
            <v>2265284</v>
          </cell>
          <cell r="F1961">
            <v>28293743</v>
          </cell>
        </row>
        <row r="1962">
          <cell r="B1962" t="str">
            <v>김정희</v>
          </cell>
          <cell r="C1962" t="str">
            <v>윤병철.신성철</v>
          </cell>
          <cell r="D1962" t="str">
            <v>윤병철.신성철</v>
          </cell>
          <cell r="E1962">
            <v>6393813</v>
          </cell>
          <cell r="F1962">
            <v>16179712</v>
          </cell>
        </row>
        <row r="1963">
          <cell r="B1963" t="str">
            <v>이기자</v>
          </cell>
          <cell r="C1963" t="str">
            <v>김남성.임주택</v>
          </cell>
          <cell r="D1963" t="str">
            <v>김남성.임주택</v>
          </cell>
          <cell r="E1963">
            <v>10000000</v>
          </cell>
          <cell r="F1963">
            <v>15105460</v>
          </cell>
        </row>
        <row r="1964">
          <cell r="B1964" t="str">
            <v>최삼호</v>
          </cell>
          <cell r="C1964" t="str">
            <v>임용환.김창락</v>
          </cell>
          <cell r="D1964" t="str">
            <v>임용환.김창락</v>
          </cell>
          <cell r="E1964">
            <v>19435900</v>
          </cell>
          <cell r="F1964">
            <v>19765545</v>
          </cell>
        </row>
        <row r="1965">
          <cell r="B1965" t="str">
            <v>김현창</v>
          </cell>
          <cell r="C1965" t="str">
            <v>이혜영.이덕화</v>
          </cell>
          <cell r="D1965" t="str">
            <v>이혜영.이덕화</v>
          </cell>
          <cell r="E1965">
            <v>1979667</v>
          </cell>
          <cell r="F1965">
            <v>10982091</v>
          </cell>
        </row>
        <row r="1966">
          <cell r="B1966" t="str">
            <v>임복희</v>
          </cell>
          <cell r="C1966" t="str">
            <v>2000가소1208109</v>
          </cell>
          <cell r="D1966" t="str">
            <v>소취하0526</v>
          </cell>
          <cell r="E1966" t="str">
            <v>임복희</v>
          </cell>
          <cell r="F1966">
            <v>1661308</v>
          </cell>
          <cell r="L1966">
            <v>4043</v>
          </cell>
        </row>
        <row r="1967">
          <cell r="B1967" t="str">
            <v>김영현</v>
          </cell>
          <cell r="C1967" t="str">
            <v>정현도.최종성.이창범</v>
          </cell>
          <cell r="D1967" t="str">
            <v>정현도.최종성.이창범</v>
          </cell>
          <cell r="E1967">
            <v>30000000</v>
          </cell>
          <cell r="F1967">
            <v>2513675</v>
          </cell>
        </row>
        <row r="1968">
          <cell r="B1968" t="str">
            <v>정덕임</v>
          </cell>
          <cell r="C1968" t="str">
            <v>김상용.조종환</v>
          </cell>
          <cell r="D1968" t="str">
            <v>김상용.조종환</v>
          </cell>
          <cell r="E1968">
            <v>7947448</v>
          </cell>
          <cell r="F1968">
            <v>16401555</v>
          </cell>
        </row>
        <row r="1969">
          <cell r="B1969" t="str">
            <v>조용자</v>
          </cell>
          <cell r="C1969" t="str">
            <v>김영선.박재우</v>
          </cell>
          <cell r="D1969" t="str">
            <v>김영선.박재우</v>
          </cell>
          <cell r="E1969">
            <v>3035991</v>
          </cell>
          <cell r="F1969">
            <v>13818997</v>
          </cell>
        </row>
        <row r="1970">
          <cell r="B1970" t="str">
            <v>이태수</v>
          </cell>
          <cell r="C1970" t="str">
            <v>이건택.전수천</v>
          </cell>
          <cell r="D1970" t="str">
            <v>이건택.전수천</v>
          </cell>
          <cell r="E1970">
            <v>9858426</v>
          </cell>
          <cell r="F1970">
            <v>11294977</v>
          </cell>
        </row>
        <row r="1971">
          <cell r="B1971" t="str">
            <v>김종임</v>
          </cell>
          <cell r="C1971" t="str">
            <v>문순남.문인순.이정열</v>
          </cell>
          <cell r="D1971" t="str">
            <v>문순남.문인순.이정열</v>
          </cell>
          <cell r="E1971">
            <v>9314063</v>
          </cell>
          <cell r="F1971">
            <v>6714937</v>
          </cell>
        </row>
        <row r="1972">
          <cell r="B1972" t="str">
            <v>이묘학</v>
          </cell>
          <cell r="C1972" t="str">
            <v>구희서.김순남</v>
          </cell>
          <cell r="D1972" t="str">
            <v>구희서.김순남</v>
          </cell>
          <cell r="E1972">
            <v>8093503</v>
          </cell>
          <cell r="F1972">
            <v>3592149</v>
          </cell>
        </row>
        <row r="1973">
          <cell r="B1973" t="str">
            <v>서병희</v>
          </cell>
          <cell r="C1973" t="str">
            <v>김형식</v>
          </cell>
          <cell r="D1973" t="str">
            <v>김형식</v>
          </cell>
          <cell r="E1973">
            <v>16193328</v>
          </cell>
          <cell r="F1973">
            <v>4399876</v>
          </cell>
        </row>
        <row r="1974">
          <cell r="B1974" t="str">
            <v>김보년</v>
          </cell>
          <cell r="C1974" t="str">
            <v>이명옥</v>
          </cell>
          <cell r="D1974" t="str">
            <v>이명옥</v>
          </cell>
          <cell r="E1974">
            <v>5284167</v>
          </cell>
          <cell r="F1974">
            <v>20405215</v>
          </cell>
        </row>
        <row r="1975">
          <cell r="B1975" t="str">
            <v>남경토건(주)</v>
          </cell>
          <cell r="C1975" t="str">
            <v>이순복.김종성</v>
          </cell>
          <cell r="D1975" t="str">
            <v>이순복.김종성</v>
          </cell>
          <cell r="E1975">
            <v>9985774</v>
          </cell>
          <cell r="F1975">
            <v>22377105</v>
          </cell>
        </row>
        <row r="1976">
          <cell r="B1976" t="str">
            <v>이경희</v>
          </cell>
          <cell r="C1976" t="str">
            <v>최명복.임서구</v>
          </cell>
          <cell r="D1976" t="str">
            <v>최명복.임서구</v>
          </cell>
          <cell r="E1976">
            <v>10000000</v>
          </cell>
          <cell r="F1976">
            <v>30000000</v>
          </cell>
        </row>
        <row r="1977">
          <cell r="B1977" t="str">
            <v>석미희</v>
          </cell>
          <cell r="C1977" t="str">
            <v>한기양.송애순</v>
          </cell>
          <cell r="D1977" t="str">
            <v>한기양.송애순</v>
          </cell>
          <cell r="E1977">
            <v>6655008</v>
          </cell>
          <cell r="F1977">
            <v>10018166</v>
          </cell>
        </row>
        <row r="1978">
          <cell r="B1978" t="str">
            <v>이현숙</v>
          </cell>
          <cell r="C1978" t="str">
            <v>윤미경.박한기</v>
          </cell>
          <cell r="D1978" t="str">
            <v>윤미경.박한기</v>
          </cell>
          <cell r="E1978">
            <v>3274321</v>
          </cell>
          <cell r="F1978">
            <v>1417469</v>
          </cell>
        </row>
        <row r="1979">
          <cell r="B1979" t="str">
            <v>최상채</v>
          </cell>
          <cell r="C1979" t="str">
            <v>신이옥.강은경.윤춘호</v>
          </cell>
          <cell r="D1979" t="str">
            <v>신이옥.강은경.윤춘호</v>
          </cell>
          <cell r="E1979">
            <v>10491921</v>
          </cell>
          <cell r="F1979">
            <v>9441028</v>
          </cell>
        </row>
        <row r="1980">
          <cell r="B1980" t="str">
            <v>조창남</v>
          </cell>
          <cell r="C1980" t="str">
            <v>이우진.강형순</v>
          </cell>
          <cell r="D1980" t="str">
            <v>이우진.강형순</v>
          </cell>
          <cell r="E1980">
            <v>8186909</v>
          </cell>
          <cell r="F1980">
            <v>10505896</v>
          </cell>
        </row>
        <row r="1981">
          <cell r="B1981" t="str">
            <v>위여양</v>
          </cell>
          <cell r="C1981" t="str">
            <v>홍순선</v>
          </cell>
          <cell r="D1981" t="str">
            <v>홍순선</v>
          </cell>
          <cell r="E1981">
            <v>1904741</v>
          </cell>
          <cell r="F1981">
            <v>8842904</v>
          </cell>
        </row>
        <row r="1982">
          <cell r="B1982" t="str">
            <v>이건택</v>
          </cell>
          <cell r="C1982" t="str">
            <v>신문규.신상규</v>
          </cell>
          <cell r="D1982" t="str">
            <v>신문규.신상규</v>
          </cell>
          <cell r="E1982">
            <v>8204534</v>
          </cell>
          <cell r="F1982">
            <v>10046695</v>
          </cell>
        </row>
        <row r="1983">
          <cell r="B1983" t="str">
            <v>곽민석</v>
          </cell>
          <cell r="C1983" t="str">
            <v>이한수.송순복</v>
          </cell>
          <cell r="D1983" t="str">
            <v>이한수.송순복</v>
          </cell>
          <cell r="E1983">
            <v>5000000</v>
          </cell>
          <cell r="F1983">
            <v>5478403</v>
          </cell>
        </row>
        <row r="1984">
          <cell r="B1984" t="str">
            <v>한영달</v>
          </cell>
          <cell r="C1984" t="str">
            <v>이민숙.손석기</v>
          </cell>
          <cell r="D1984" t="str">
            <v>이민숙.손석기</v>
          </cell>
          <cell r="E1984">
            <v>8229055</v>
          </cell>
          <cell r="F1984">
            <v>1137324</v>
          </cell>
        </row>
        <row r="1985">
          <cell r="B1985" t="str">
            <v>김석제</v>
          </cell>
          <cell r="C1985" t="str">
            <v xml:space="preserve"> </v>
          </cell>
          <cell r="D1985" t="str">
            <v xml:space="preserve"> </v>
          </cell>
          <cell r="E1985">
            <v>91365259</v>
          </cell>
          <cell r="F1985">
            <v>10613431</v>
          </cell>
        </row>
        <row r="1986">
          <cell r="B1986" t="str">
            <v>유일국</v>
          </cell>
          <cell r="C1986" t="str">
            <v>김복순.정제욱</v>
          </cell>
          <cell r="D1986" t="str">
            <v>김복순.정제욱</v>
          </cell>
          <cell r="E1986">
            <v>640035</v>
          </cell>
          <cell r="F1986">
            <v>8351135</v>
          </cell>
        </row>
        <row r="1987">
          <cell r="B1987" t="str">
            <v>유옥희</v>
          </cell>
          <cell r="C1987" t="str">
            <v>양필순.조영한</v>
          </cell>
          <cell r="D1987" t="str">
            <v>양필순.조영한</v>
          </cell>
          <cell r="E1987">
            <v>4573524</v>
          </cell>
          <cell r="F1987">
            <v>17399176</v>
          </cell>
        </row>
        <row r="1988">
          <cell r="B1988" t="str">
            <v>유상환</v>
          </cell>
          <cell r="C1988" t="str">
            <v>김기선.박선형</v>
          </cell>
          <cell r="D1988" t="str">
            <v>김기선.박선형</v>
          </cell>
          <cell r="E1988">
            <v>9206997</v>
          </cell>
          <cell r="F1988">
            <v>9023549</v>
          </cell>
        </row>
        <row r="1989">
          <cell r="B1989" t="str">
            <v>박명운</v>
          </cell>
          <cell r="C1989" t="str">
            <v>이해득</v>
          </cell>
          <cell r="D1989" t="str">
            <v>이해득</v>
          </cell>
          <cell r="E1989">
            <v>9968980</v>
          </cell>
          <cell r="F1989">
            <v>5786136</v>
          </cell>
        </row>
        <row r="1990">
          <cell r="B1990" t="str">
            <v>박성숙</v>
          </cell>
          <cell r="C1990" t="str">
            <v>정연미</v>
          </cell>
          <cell r="D1990" t="str">
            <v>정연미</v>
          </cell>
          <cell r="E1990">
            <v>3112661</v>
          </cell>
          <cell r="F1990">
            <v>12248271</v>
          </cell>
        </row>
        <row r="1991">
          <cell r="B1991" t="str">
            <v>김장환</v>
          </cell>
          <cell r="C1991" t="str">
            <v>간승구.김홍식.조남운</v>
          </cell>
          <cell r="D1991" t="str">
            <v>간승구.김홍식.조남운</v>
          </cell>
          <cell r="E1991">
            <v>5500000</v>
          </cell>
          <cell r="F1991">
            <v>594724</v>
          </cell>
        </row>
        <row r="1992">
          <cell r="B1992" t="str">
            <v>권태순</v>
          </cell>
          <cell r="C1992" t="str">
            <v>김홍식.강승구.조남운</v>
          </cell>
          <cell r="D1992" t="str">
            <v>김홍식.강승구.조남운</v>
          </cell>
          <cell r="E1992">
            <v>7769067</v>
          </cell>
          <cell r="F1992">
            <v>9535844</v>
          </cell>
        </row>
        <row r="1993">
          <cell r="B1993" t="str">
            <v>김종훈</v>
          </cell>
          <cell r="C1993" t="str">
            <v>박진웅.홍연욱</v>
          </cell>
          <cell r="D1993" t="str">
            <v>박진웅.홍연욱</v>
          </cell>
          <cell r="E1993">
            <v>9812809</v>
          </cell>
          <cell r="F1993">
            <v>4355553</v>
          </cell>
        </row>
        <row r="1994">
          <cell r="B1994" t="str">
            <v>이경상</v>
          </cell>
          <cell r="C1994" t="str">
            <v>김두이</v>
          </cell>
          <cell r="D1994" t="str">
            <v>김두이</v>
          </cell>
          <cell r="F1994">
            <v>2071068</v>
          </cell>
        </row>
        <row r="1995">
          <cell r="B1995" t="str">
            <v>정찬생</v>
          </cell>
          <cell r="C1995" t="str">
            <v>서정호.김태영</v>
          </cell>
          <cell r="D1995" t="str">
            <v>서정호.김태영</v>
          </cell>
          <cell r="E1995">
            <v>3835790</v>
          </cell>
          <cell r="F1995">
            <v>9905054</v>
          </cell>
        </row>
        <row r="1996">
          <cell r="B1996" t="str">
            <v>임순희</v>
          </cell>
          <cell r="C1996" t="str">
            <v>백종문.황문석</v>
          </cell>
          <cell r="D1996" t="str">
            <v>백종문.황문석</v>
          </cell>
          <cell r="E1996">
            <v>4000000</v>
          </cell>
          <cell r="F1996">
            <v>7498741</v>
          </cell>
        </row>
        <row r="1997">
          <cell r="B1997" t="str">
            <v>이용희</v>
          </cell>
          <cell r="C1997" t="str">
            <v>오재천.곽옥교</v>
          </cell>
          <cell r="D1997" t="str">
            <v>오재천.곽옥교</v>
          </cell>
          <cell r="E1997">
            <v>10892888</v>
          </cell>
          <cell r="F1997">
            <v>14271295</v>
          </cell>
        </row>
        <row r="1998">
          <cell r="B1998" t="str">
            <v>김해동</v>
          </cell>
          <cell r="C1998" t="str">
            <v>김석렬</v>
          </cell>
          <cell r="D1998" t="str">
            <v>김석렬</v>
          </cell>
          <cell r="E1998">
            <v>3691679</v>
          </cell>
          <cell r="F1998">
            <v>13639107</v>
          </cell>
        </row>
        <row r="1999">
          <cell r="B1999" t="str">
            <v>고환풍</v>
          </cell>
          <cell r="C1999" t="str">
            <v>설재도.박순옥</v>
          </cell>
          <cell r="D1999" t="str">
            <v>설재도.박순옥</v>
          </cell>
          <cell r="E1999">
            <v>3800000</v>
          </cell>
          <cell r="F1999">
            <v>6693597</v>
          </cell>
        </row>
        <row r="2000">
          <cell r="B2000" t="str">
            <v>배영채</v>
          </cell>
          <cell r="C2000" t="str">
            <v>김기석</v>
          </cell>
          <cell r="D2000" t="str">
            <v>김기석</v>
          </cell>
          <cell r="E2000">
            <v>9071054</v>
          </cell>
          <cell r="F2000">
            <v>9096899</v>
          </cell>
        </row>
      </sheetData>
      <sheetData sheetId="1">
        <row r="1">
          <cell r="B1" t="str">
            <v>배영옥</v>
          </cell>
          <cell r="C1">
            <v>39500</v>
          </cell>
          <cell r="D1">
            <v>33900</v>
          </cell>
          <cell r="E1">
            <v>73400</v>
          </cell>
          <cell r="F1" t="str">
            <v>5743</v>
          </cell>
          <cell r="G1" t="str">
            <v>박태홍</v>
          </cell>
          <cell r="H1" t="str">
            <v>00.03.25</v>
          </cell>
        </row>
        <row r="2">
          <cell r="B2" t="str">
            <v>구재모</v>
          </cell>
          <cell r="C2">
            <v>34600</v>
          </cell>
          <cell r="D2">
            <v>33900</v>
          </cell>
          <cell r="E2">
            <v>68500</v>
          </cell>
          <cell r="F2" t="str">
            <v>6455</v>
          </cell>
          <cell r="G2" t="str">
            <v>박태홍</v>
          </cell>
          <cell r="H2" t="str">
            <v>00.03.25</v>
          </cell>
        </row>
        <row r="3">
          <cell r="B3" t="str">
            <v>정재근</v>
          </cell>
          <cell r="C3">
            <v>23200</v>
          </cell>
          <cell r="D3">
            <v>33900</v>
          </cell>
          <cell r="E3">
            <v>57100</v>
          </cell>
          <cell r="F3" t="str">
            <v>30703</v>
          </cell>
          <cell r="G3" t="str">
            <v>박태홍</v>
          </cell>
          <cell r="H3" t="str">
            <v>00.03.25</v>
          </cell>
        </row>
        <row r="4">
          <cell r="B4" t="str">
            <v>김영일</v>
          </cell>
          <cell r="C4">
            <v>75000</v>
          </cell>
          <cell r="D4">
            <v>33900</v>
          </cell>
          <cell r="E4">
            <v>108900</v>
          </cell>
          <cell r="F4" t="str">
            <v>31101</v>
          </cell>
          <cell r="G4" t="str">
            <v>박태홍</v>
          </cell>
          <cell r="H4" t="str">
            <v>00.03.25</v>
          </cell>
        </row>
        <row r="5">
          <cell r="B5" t="str">
            <v>정은숙</v>
          </cell>
          <cell r="C5">
            <v>29200</v>
          </cell>
          <cell r="D5">
            <v>33900</v>
          </cell>
          <cell r="E5">
            <v>63100</v>
          </cell>
          <cell r="F5" t="str">
            <v>34599</v>
          </cell>
          <cell r="G5" t="str">
            <v>박태홍</v>
          </cell>
          <cell r="H5" t="str">
            <v>00.03.25</v>
          </cell>
        </row>
        <row r="6">
          <cell r="B6" t="str">
            <v>안재경</v>
          </cell>
          <cell r="C6">
            <v>26100</v>
          </cell>
          <cell r="D6">
            <v>22600</v>
          </cell>
          <cell r="E6">
            <v>48700</v>
          </cell>
          <cell r="F6" t="str">
            <v>31101</v>
          </cell>
          <cell r="G6" t="str">
            <v>박태홍</v>
          </cell>
          <cell r="H6" t="str">
            <v>00.03.25</v>
          </cell>
        </row>
        <row r="7">
          <cell r="B7" t="str">
            <v>김성수</v>
          </cell>
          <cell r="C7">
            <v>60100</v>
          </cell>
          <cell r="D7">
            <v>33900</v>
          </cell>
          <cell r="E7">
            <v>94000</v>
          </cell>
          <cell r="F7" t="str">
            <v>30189</v>
          </cell>
          <cell r="G7" t="str">
            <v>박태홍</v>
          </cell>
          <cell r="H7" t="str">
            <v>00.03.25</v>
          </cell>
        </row>
        <row r="8">
          <cell r="B8" t="str">
            <v>김진서</v>
          </cell>
          <cell r="C8">
            <v>32100</v>
          </cell>
          <cell r="D8">
            <v>33900</v>
          </cell>
          <cell r="E8">
            <v>66000</v>
          </cell>
          <cell r="F8" t="str">
            <v>28213</v>
          </cell>
          <cell r="G8" t="str">
            <v>박태홍</v>
          </cell>
          <cell r="H8" t="str">
            <v>00.03.25</v>
          </cell>
        </row>
        <row r="9">
          <cell r="B9" t="str">
            <v>백성례</v>
          </cell>
          <cell r="C9">
            <v>73400</v>
          </cell>
          <cell r="D9">
            <v>33900</v>
          </cell>
          <cell r="E9">
            <v>107300</v>
          </cell>
          <cell r="F9" t="str">
            <v>26936</v>
          </cell>
          <cell r="G9" t="str">
            <v>박태홍</v>
          </cell>
          <cell r="H9" t="str">
            <v>00.03.25</v>
          </cell>
        </row>
        <row r="10">
          <cell r="B10" t="str">
            <v>김영순</v>
          </cell>
          <cell r="C10">
            <v>77400</v>
          </cell>
          <cell r="D10">
            <v>33900</v>
          </cell>
          <cell r="E10">
            <v>111300</v>
          </cell>
          <cell r="F10" t="str">
            <v>30554</v>
          </cell>
          <cell r="G10" t="str">
            <v>박태홍</v>
          </cell>
          <cell r="H10" t="str">
            <v>00.03.25</v>
          </cell>
        </row>
        <row r="11">
          <cell r="B11" t="str">
            <v>조의제</v>
          </cell>
          <cell r="C11">
            <v>56100</v>
          </cell>
          <cell r="D11">
            <v>22600</v>
          </cell>
          <cell r="E11">
            <v>78700</v>
          </cell>
          <cell r="F11" t="str">
            <v>30264</v>
          </cell>
          <cell r="G11" t="str">
            <v>박태홍</v>
          </cell>
          <cell r="H11" t="str">
            <v>00.03.25</v>
          </cell>
        </row>
        <row r="12">
          <cell r="B12" t="str">
            <v>이정희</v>
          </cell>
          <cell r="C12">
            <v>230000</v>
          </cell>
          <cell r="D12">
            <v>36160</v>
          </cell>
          <cell r="E12">
            <v>266160</v>
          </cell>
          <cell r="F12" t="str">
            <v>26251</v>
          </cell>
          <cell r="G12" t="str">
            <v>박태홍</v>
          </cell>
          <cell r="H12" t="str">
            <v>00.03.25</v>
          </cell>
        </row>
        <row r="13">
          <cell r="B13" t="str">
            <v>백창현</v>
          </cell>
          <cell r="C13">
            <v>139100</v>
          </cell>
          <cell r="D13">
            <v>54240</v>
          </cell>
          <cell r="E13">
            <v>193340</v>
          </cell>
          <cell r="F13" t="str">
            <v>경매(이성복)</v>
          </cell>
          <cell r="G13" t="str">
            <v>박태홍</v>
          </cell>
          <cell r="H13" t="str">
            <v>00.03.25</v>
          </cell>
        </row>
        <row r="14">
          <cell r="B14" t="str">
            <v>허태일</v>
          </cell>
          <cell r="C14">
            <v>64900</v>
          </cell>
          <cell r="D14">
            <v>56500</v>
          </cell>
          <cell r="E14">
            <v>121400</v>
          </cell>
          <cell r="F14" t="str">
            <v>30559</v>
          </cell>
          <cell r="G14" t="str">
            <v>박태홍</v>
          </cell>
          <cell r="H14" t="str">
            <v>00.03.27</v>
          </cell>
        </row>
        <row r="15">
          <cell r="B15" t="str">
            <v>김종규</v>
          </cell>
          <cell r="C15">
            <v>27600</v>
          </cell>
          <cell r="D15">
            <v>33900</v>
          </cell>
          <cell r="E15">
            <v>61500</v>
          </cell>
          <cell r="F15" t="str">
            <v>4796</v>
          </cell>
          <cell r="G15" t="str">
            <v>박태홍</v>
          </cell>
          <cell r="H15" t="str">
            <v>00.03.27</v>
          </cell>
        </row>
        <row r="16">
          <cell r="B16" t="str">
            <v>전영이</v>
          </cell>
          <cell r="C16">
            <v>57200</v>
          </cell>
          <cell r="D16">
            <v>33900</v>
          </cell>
          <cell r="E16">
            <v>91100</v>
          </cell>
          <cell r="F16" t="str">
            <v>4672</v>
          </cell>
          <cell r="G16" t="str">
            <v>박태홍</v>
          </cell>
          <cell r="H16" t="str">
            <v>00.03.27</v>
          </cell>
        </row>
        <row r="17">
          <cell r="B17" t="str">
            <v>황금연</v>
          </cell>
          <cell r="C17">
            <v>28900</v>
          </cell>
          <cell r="D17">
            <v>33900</v>
          </cell>
          <cell r="E17">
            <v>62800</v>
          </cell>
          <cell r="F17" t="str">
            <v>4737</v>
          </cell>
          <cell r="G17" t="str">
            <v>박태홍</v>
          </cell>
          <cell r="H17" t="str">
            <v>00.03.27</v>
          </cell>
        </row>
        <row r="18">
          <cell r="B18" t="str">
            <v>김태운</v>
          </cell>
          <cell r="C18">
            <v>60500</v>
          </cell>
          <cell r="D18">
            <v>33900</v>
          </cell>
          <cell r="E18">
            <v>94400</v>
          </cell>
          <cell r="F18" t="str">
            <v>5291</v>
          </cell>
          <cell r="G18" t="str">
            <v>박태홍</v>
          </cell>
          <cell r="H18" t="str">
            <v>00.03.27</v>
          </cell>
        </row>
        <row r="19">
          <cell r="B19" t="str">
            <v>이부섭</v>
          </cell>
          <cell r="C19">
            <v>69700</v>
          </cell>
          <cell r="D19">
            <v>33900</v>
          </cell>
          <cell r="E19">
            <v>103600</v>
          </cell>
          <cell r="F19" t="str">
            <v>4730</v>
          </cell>
          <cell r="G19" t="str">
            <v>박태홍</v>
          </cell>
          <cell r="H19" t="str">
            <v>00.03.27</v>
          </cell>
        </row>
        <row r="20">
          <cell r="B20" t="str">
            <v>유지연</v>
          </cell>
          <cell r="C20">
            <v>32200</v>
          </cell>
          <cell r="D20">
            <v>33900</v>
          </cell>
          <cell r="E20">
            <v>66100</v>
          </cell>
          <cell r="F20" t="str">
            <v>5030</v>
          </cell>
          <cell r="G20" t="str">
            <v>박태홍</v>
          </cell>
          <cell r="H20" t="str">
            <v>00.03.27</v>
          </cell>
        </row>
        <row r="21">
          <cell r="B21" t="str">
            <v>조나미</v>
          </cell>
          <cell r="C21">
            <v>64700</v>
          </cell>
          <cell r="D21">
            <v>33900</v>
          </cell>
          <cell r="E21">
            <v>98600</v>
          </cell>
          <cell r="F21" t="str">
            <v>4922</v>
          </cell>
          <cell r="G21" t="str">
            <v>박태홍</v>
          </cell>
          <cell r="H21" t="str">
            <v>00.03.27</v>
          </cell>
        </row>
        <row r="22">
          <cell r="B22" t="str">
            <v>박태순</v>
          </cell>
          <cell r="C22">
            <v>19900</v>
          </cell>
          <cell r="D22">
            <v>22600</v>
          </cell>
          <cell r="E22">
            <v>42500</v>
          </cell>
          <cell r="F22" t="str">
            <v>4970</v>
          </cell>
          <cell r="G22" t="str">
            <v>박태홍</v>
          </cell>
          <cell r="H22" t="str">
            <v>00.03.27</v>
          </cell>
        </row>
        <row r="23">
          <cell r="B23" t="str">
            <v>이상하</v>
          </cell>
          <cell r="C23">
            <v>22900</v>
          </cell>
          <cell r="D23">
            <v>22600</v>
          </cell>
          <cell r="E23">
            <v>45500</v>
          </cell>
          <cell r="F23" t="str">
            <v>5334</v>
          </cell>
          <cell r="G23" t="str">
            <v>박태홍</v>
          </cell>
          <cell r="H23" t="str">
            <v>00.03.27</v>
          </cell>
        </row>
        <row r="24">
          <cell r="B24" t="str">
            <v>이규종</v>
          </cell>
          <cell r="C24">
            <v>191000</v>
          </cell>
          <cell r="D24">
            <v>36160</v>
          </cell>
          <cell r="E24">
            <v>227160</v>
          </cell>
          <cell r="F24" t="str">
            <v>5276</v>
          </cell>
          <cell r="G24" t="str">
            <v>박태홍</v>
          </cell>
          <cell r="H24" t="str">
            <v>00.03.27</v>
          </cell>
        </row>
        <row r="25">
          <cell r="B25" t="str">
            <v>손서익</v>
          </cell>
          <cell r="C25">
            <v>123700</v>
          </cell>
          <cell r="D25">
            <v>54240</v>
          </cell>
          <cell r="E25">
            <v>177940</v>
          </cell>
          <cell r="F25" t="str">
            <v>33202,5319</v>
          </cell>
          <cell r="G25" t="str">
            <v>박태홍</v>
          </cell>
          <cell r="H25" t="str">
            <v>00.03.27</v>
          </cell>
        </row>
        <row r="26">
          <cell r="B26" t="str">
            <v>권국만</v>
          </cell>
          <cell r="C26">
            <v>153100</v>
          </cell>
          <cell r="D26">
            <v>54240</v>
          </cell>
          <cell r="E26">
            <v>207340</v>
          </cell>
          <cell r="F26" t="str">
            <v>04102</v>
          </cell>
          <cell r="G26" t="str">
            <v>이창운</v>
          </cell>
          <cell r="H26" t="str">
            <v>00.03.13</v>
          </cell>
        </row>
        <row r="27">
          <cell r="B27" t="str">
            <v>박명환</v>
          </cell>
          <cell r="C27">
            <v>137400</v>
          </cell>
          <cell r="D27">
            <v>72320</v>
          </cell>
          <cell r="E27">
            <v>209720</v>
          </cell>
          <cell r="F27" t="str">
            <v>04044</v>
          </cell>
          <cell r="G27" t="str">
            <v>이창운</v>
          </cell>
          <cell r="H27" t="str">
            <v>00.03.13</v>
          </cell>
        </row>
        <row r="28">
          <cell r="B28" t="str">
            <v>장명순</v>
          </cell>
          <cell r="C28">
            <v>53600</v>
          </cell>
          <cell r="D28">
            <v>33900</v>
          </cell>
          <cell r="E28">
            <v>87500</v>
          </cell>
          <cell r="F28" t="str">
            <v>04295</v>
          </cell>
          <cell r="G28" t="str">
            <v>이창운</v>
          </cell>
          <cell r="H28" t="str">
            <v>00.03.13</v>
          </cell>
        </row>
        <row r="29">
          <cell r="B29" t="str">
            <v>김영미</v>
          </cell>
          <cell r="C29">
            <v>62500</v>
          </cell>
          <cell r="D29">
            <v>33900</v>
          </cell>
          <cell r="E29">
            <v>96400</v>
          </cell>
          <cell r="F29" t="str">
            <v>01868</v>
          </cell>
          <cell r="G29" t="str">
            <v>이창운</v>
          </cell>
          <cell r="H29" t="str">
            <v>00.03.13</v>
          </cell>
        </row>
        <row r="30">
          <cell r="B30" t="str">
            <v>광재건설</v>
          </cell>
          <cell r="C30">
            <v>56000</v>
          </cell>
          <cell r="D30">
            <v>45200</v>
          </cell>
          <cell r="E30">
            <v>101200</v>
          </cell>
          <cell r="F30" t="str">
            <v>05557</v>
          </cell>
          <cell r="G30" t="str">
            <v>이창운</v>
          </cell>
          <cell r="H30" t="str">
            <v>00.03.13</v>
          </cell>
        </row>
        <row r="31">
          <cell r="B31" t="str">
            <v>박경남</v>
          </cell>
          <cell r="C31">
            <v>82800</v>
          </cell>
          <cell r="D31">
            <v>22600</v>
          </cell>
          <cell r="E31">
            <v>105400</v>
          </cell>
          <cell r="F31" t="str">
            <v>01965</v>
          </cell>
          <cell r="G31" t="str">
            <v>이창운</v>
          </cell>
          <cell r="H31" t="str">
            <v>00.03.13</v>
          </cell>
        </row>
        <row r="32">
          <cell r="B32" t="str">
            <v>유성호</v>
          </cell>
          <cell r="C32">
            <v>22700</v>
          </cell>
          <cell r="D32">
            <v>22600</v>
          </cell>
          <cell r="E32">
            <v>45300</v>
          </cell>
          <cell r="F32" t="str">
            <v>33830</v>
          </cell>
          <cell r="G32" t="str">
            <v>이창운</v>
          </cell>
          <cell r="H32" t="str">
            <v>00.03.13</v>
          </cell>
        </row>
        <row r="33">
          <cell r="B33" t="str">
            <v>도현경</v>
          </cell>
          <cell r="C33">
            <v>35000</v>
          </cell>
          <cell r="D33">
            <v>33900</v>
          </cell>
          <cell r="E33">
            <v>68900</v>
          </cell>
          <cell r="F33" t="str">
            <v>4235</v>
          </cell>
          <cell r="G33" t="str">
            <v>박태홍</v>
          </cell>
          <cell r="H33" t="str">
            <v>00.03.16</v>
          </cell>
        </row>
        <row r="34">
          <cell r="B34" t="str">
            <v>김영순</v>
          </cell>
          <cell r="C34">
            <v>57000</v>
          </cell>
          <cell r="D34">
            <v>33900</v>
          </cell>
          <cell r="E34">
            <v>90900</v>
          </cell>
          <cell r="F34" t="str">
            <v>4392</v>
          </cell>
          <cell r="G34" t="str">
            <v>박태홍</v>
          </cell>
          <cell r="H34" t="str">
            <v>00.03.16</v>
          </cell>
        </row>
        <row r="35">
          <cell r="B35" t="str">
            <v>박시완</v>
          </cell>
          <cell r="C35">
            <v>34700</v>
          </cell>
          <cell r="D35">
            <v>33900</v>
          </cell>
          <cell r="E35">
            <v>68600</v>
          </cell>
          <cell r="F35" t="str">
            <v>4252</v>
          </cell>
          <cell r="G35" t="str">
            <v>박태홍</v>
          </cell>
          <cell r="H35" t="str">
            <v>00.03.16</v>
          </cell>
        </row>
        <row r="36">
          <cell r="B36" t="str">
            <v>최명현</v>
          </cell>
          <cell r="C36">
            <v>42100</v>
          </cell>
          <cell r="D36">
            <v>33900</v>
          </cell>
          <cell r="E36">
            <v>76000</v>
          </cell>
          <cell r="F36" t="str">
            <v>4108</v>
          </cell>
          <cell r="G36" t="str">
            <v>박태홍</v>
          </cell>
          <cell r="H36" t="str">
            <v>00.03.16</v>
          </cell>
        </row>
        <row r="37">
          <cell r="B37" t="str">
            <v>김종구</v>
          </cell>
          <cell r="C37">
            <v>138400</v>
          </cell>
          <cell r="D37">
            <v>36160</v>
          </cell>
          <cell r="E37">
            <v>174560</v>
          </cell>
          <cell r="F37" t="str">
            <v>41790</v>
          </cell>
          <cell r="G37" t="str">
            <v>박태홍</v>
          </cell>
          <cell r="H37" t="str">
            <v>00.03.16</v>
          </cell>
        </row>
        <row r="38">
          <cell r="B38" t="str">
            <v>최성의</v>
          </cell>
          <cell r="C38">
            <v>74600</v>
          </cell>
          <cell r="D38">
            <v>33900</v>
          </cell>
          <cell r="E38">
            <v>108500</v>
          </cell>
          <cell r="F38" t="str">
            <v>1830</v>
          </cell>
          <cell r="G38" t="str">
            <v>박태홍</v>
          </cell>
          <cell r="H38" t="str">
            <v>00.03.16</v>
          </cell>
        </row>
        <row r="39">
          <cell r="B39" t="str">
            <v>송연문</v>
          </cell>
          <cell r="C39">
            <v>53700</v>
          </cell>
          <cell r="D39">
            <v>33900</v>
          </cell>
          <cell r="E39">
            <v>87600</v>
          </cell>
          <cell r="F39" t="str">
            <v>1842</v>
          </cell>
          <cell r="G39" t="str">
            <v>박태홍</v>
          </cell>
          <cell r="H39" t="str">
            <v>00.03.16</v>
          </cell>
        </row>
        <row r="40">
          <cell r="B40" t="str">
            <v>김명옥</v>
          </cell>
          <cell r="C40">
            <v>37500</v>
          </cell>
          <cell r="D40">
            <v>33900</v>
          </cell>
          <cell r="E40">
            <v>71400</v>
          </cell>
          <cell r="F40" t="str">
            <v>1893</v>
          </cell>
          <cell r="G40" t="str">
            <v>박태홍</v>
          </cell>
          <cell r="H40" t="str">
            <v>00.03.16</v>
          </cell>
        </row>
        <row r="41">
          <cell r="B41" t="str">
            <v>이길상</v>
          </cell>
          <cell r="C41">
            <v>96700</v>
          </cell>
          <cell r="D41">
            <v>72320</v>
          </cell>
          <cell r="E41">
            <v>169020</v>
          </cell>
          <cell r="F41" t="str">
            <v>2108</v>
          </cell>
          <cell r="G41" t="str">
            <v>박태홍</v>
          </cell>
          <cell r="H41" t="str">
            <v>00.03.16</v>
          </cell>
        </row>
        <row r="42">
          <cell r="B42" t="str">
            <v>이종호</v>
          </cell>
          <cell r="C42">
            <v>66900</v>
          </cell>
          <cell r="D42">
            <v>33900</v>
          </cell>
          <cell r="E42">
            <v>100800</v>
          </cell>
          <cell r="F42" t="str">
            <v>김혁(경매)</v>
          </cell>
          <cell r="G42" t="str">
            <v>박태홍</v>
          </cell>
          <cell r="H42" t="str">
            <v>00.03.16</v>
          </cell>
        </row>
        <row r="43">
          <cell r="B43" t="str">
            <v>변종희</v>
          </cell>
          <cell r="C43">
            <v>100300</v>
          </cell>
          <cell r="D43">
            <v>36160</v>
          </cell>
          <cell r="E43">
            <v>136460</v>
          </cell>
          <cell r="F43" t="str">
            <v>김혁(경매)</v>
          </cell>
          <cell r="G43" t="str">
            <v>변동성</v>
          </cell>
          <cell r="H43" t="str">
            <v>00.03.16</v>
          </cell>
        </row>
        <row r="44">
          <cell r="B44" t="str">
            <v>권병주</v>
          </cell>
          <cell r="C44">
            <v>13500</v>
          </cell>
          <cell r="D44">
            <v>33900</v>
          </cell>
          <cell r="E44">
            <v>47400</v>
          </cell>
          <cell r="F44" t="str">
            <v>3001</v>
          </cell>
          <cell r="G44" t="str">
            <v>김현재</v>
          </cell>
          <cell r="H44" t="str">
            <v>00.03.17</v>
          </cell>
        </row>
        <row r="45">
          <cell r="B45" t="str">
            <v>안창무</v>
          </cell>
          <cell r="C45">
            <v>555400</v>
          </cell>
          <cell r="D45">
            <v>54240</v>
          </cell>
          <cell r="E45">
            <v>609640</v>
          </cell>
          <cell r="F45" t="str">
            <v>경매(한경식)</v>
          </cell>
          <cell r="G45" t="str">
            <v>최정호</v>
          </cell>
          <cell r="H45" t="str">
            <v>기존</v>
          </cell>
        </row>
        <row r="46">
          <cell r="B46" t="str">
            <v>동원기계</v>
          </cell>
          <cell r="C46">
            <v>72200</v>
          </cell>
          <cell r="D46">
            <v>33900</v>
          </cell>
          <cell r="E46">
            <v>106100</v>
          </cell>
          <cell r="F46">
            <v>5114</v>
          </cell>
          <cell r="G46" t="str">
            <v>변동성</v>
          </cell>
          <cell r="H46" t="str">
            <v>00.03.20</v>
          </cell>
        </row>
        <row r="47">
          <cell r="B47" t="str">
            <v>이재석</v>
          </cell>
          <cell r="C47">
            <v>70300</v>
          </cell>
          <cell r="D47">
            <v>33900</v>
          </cell>
          <cell r="E47">
            <v>104200</v>
          </cell>
          <cell r="F47">
            <v>7812</v>
          </cell>
          <cell r="G47" t="str">
            <v>변동성</v>
          </cell>
          <cell r="H47" t="str">
            <v>00.03.20</v>
          </cell>
        </row>
        <row r="48">
          <cell r="B48" t="str">
            <v>김화자</v>
          </cell>
          <cell r="C48">
            <v>23300</v>
          </cell>
          <cell r="D48">
            <v>33900</v>
          </cell>
          <cell r="E48">
            <v>57200</v>
          </cell>
          <cell r="F48">
            <v>15354</v>
          </cell>
          <cell r="G48" t="str">
            <v>변동성</v>
          </cell>
          <cell r="H48" t="str">
            <v>00.03.20</v>
          </cell>
        </row>
        <row r="49">
          <cell r="B49" t="str">
            <v>윤영전</v>
          </cell>
          <cell r="C49">
            <v>67300</v>
          </cell>
          <cell r="D49">
            <v>45200</v>
          </cell>
          <cell r="E49">
            <v>112500</v>
          </cell>
          <cell r="F49">
            <v>29708</v>
          </cell>
          <cell r="G49" t="str">
            <v>변동성</v>
          </cell>
          <cell r="H49" t="str">
            <v>00.03.20</v>
          </cell>
        </row>
        <row r="50">
          <cell r="B50" t="str">
            <v>장중국</v>
          </cell>
          <cell r="C50">
            <v>92500</v>
          </cell>
          <cell r="D50">
            <v>33900</v>
          </cell>
          <cell r="E50">
            <v>126400</v>
          </cell>
          <cell r="F50">
            <v>27565</v>
          </cell>
          <cell r="G50" t="str">
            <v>변동성</v>
          </cell>
          <cell r="H50" t="str">
            <v>00.03.20</v>
          </cell>
        </row>
        <row r="51">
          <cell r="B51" t="str">
            <v>변종현</v>
          </cell>
          <cell r="C51">
            <v>33700</v>
          </cell>
          <cell r="D51">
            <v>56500</v>
          </cell>
          <cell r="E51">
            <v>90200</v>
          </cell>
          <cell r="F51">
            <v>15022</v>
          </cell>
          <cell r="G51" t="str">
            <v>변동성</v>
          </cell>
          <cell r="H51" t="str">
            <v>00.03.20</v>
          </cell>
        </row>
        <row r="52">
          <cell r="B52" t="str">
            <v>지세권</v>
          </cell>
          <cell r="C52">
            <v>124100</v>
          </cell>
          <cell r="D52">
            <v>72320</v>
          </cell>
          <cell r="E52">
            <v>196420</v>
          </cell>
          <cell r="F52">
            <v>4495</v>
          </cell>
          <cell r="G52" t="str">
            <v>변동성</v>
          </cell>
          <cell r="H52" t="str">
            <v>00.03.20</v>
          </cell>
        </row>
        <row r="53">
          <cell r="B53" t="str">
            <v>이동성</v>
          </cell>
          <cell r="C53">
            <v>134500</v>
          </cell>
          <cell r="D53">
            <v>72320</v>
          </cell>
          <cell r="E53">
            <v>206820</v>
          </cell>
          <cell r="F53">
            <v>5500</v>
          </cell>
          <cell r="G53" t="str">
            <v>변동성</v>
          </cell>
          <cell r="H53" t="str">
            <v>00.03.20</v>
          </cell>
        </row>
        <row r="54">
          <cell r="B54" t="str">
            <v>서성식</v>
          </cell>
          <cell r="C54">
            <v>56200</v>
          </cell>
          <cell r="D54">
            <v>33900</v>
          </cell>
          <cell r="E54">
            <v>90100</v>
          </cell>
          <cell r="F54">
            <v>31279</v>
          </cell>
          <cell r="G54" t="str">
            <v>변동성</v>
          </cell>
          <cell r="H54" t="str">
            <v>00.03.20</v>
          </cell>
        </row>
        <row r="55">
          <cell r="B55" t="str">
            <v>서상선</v>
          </cell>
          <cell r="C55">
            <v>10300</v>
          </cell>
          <cell r="D55">
            <v>22600</v>
          </cell>
          <cell r="E55">
            <v>32900</v>
          </cell>
          <cell r="F55">
            <v>31958</v>
          </cell>
          <cell r="G55" t="str">
            <v>변동성</v>
          </cell>
          <cell r="H55" t="str">
            <v>00.03.20</v>
          </cell>
        </row>
        <row r="56">
          <cell r="B56" t="str">
            <v>박경임</v>
          </cell>
          <cell r="C56">
            <v>72800</v>
          </cell>
          <cell r="D56">
            <v>33900</v>
          </cell>
          <cell r="E56">
            <v>106700</v>
          </cell>
          <cell r="F56">
            <v>4716</v>
          </cell>
          <cell r="G56" t="str">
            <v>변동성</v>
          </cell>
          <cell r="H56" t="str">
            <v>00.03.20</v>
          </cell>
        </row>
        <row r="57">
          <cell r="B57" t="str">
            <v>남정희</v>
          </cell>
          <cell r="C57">
            <v>95700</v>
          </cell>
          <cell r="D57">
            <v>72320</v>
          </cell>
          <cell r="E57">
            <v>168020</v>
          </cell>
          <cell r="F57">
            <v>5482</v>
          </cell>
          <cell r="G57" t="str">
            <v>변동성</v>
          </cell>
          <cell r="H57" t="str">
            <v>00.03.20</v>
          </cell>
        </row>
        <row r="58">
          <cell r="B58" t="str">
            <v>이선자</v>
          </cell>
          <cell r="C58">
            <v>135600</v>
          </cell>
          <cell r="D58">
            <v>54240</v>
          </cell>
          <cell r="E58">
            <v>189840</v>
          </cell>
          <cell r="F58">
            <v>32584</v>
          </cell>
          <cell r="G58" t="str">
            <v>변동성</v>
          </cell>
          <cell r="H58" t="str">
            <v>00.03.20</v>
          </cell>
        </row>
        <row r="59">
          <cell r="B59" t="str">
            <v>이금자</v>
          </cell>
          <cell r="C59">
            <v>49800</v>
          </cell>
          <cell r="D59">
            <v>22600</v>
          </cell>
          <cell r="E59">
            <v>72400</v>
          </cell>
          <cell r="F59">
            <v>5434</v>
          </cell>
          <cell r="G59" t="str">
            <v>변동성</v>
          </cell>
          <cell r="H59" t="str">
            <v>00.03.20</v>
          </cell>
        </row>
        <row r="60">
          <cell r="B60" t="str">
            <v>㈜동진레미콘</v>
          </cell>
          <cell r="C60">
            <v>33000</v>
          </cell>
          <cell r="D60">
            <v>45200</v>
          </cell>
          <cell r="E60">
            <v>78200</v>
          </cell>
          <cell r="F60">
            <v>25948</v>
          </cell>
          <cell r="G60" t="str">
            <v>변동성</v>
          </cell>
          <cell r="H60" t="str">
            <v>00.03.20</v>
          </cell>
        </row>
        <row r="61">
          <cell r="B61" t="str">
            <v>최영민</v>
          </cell>
          <cell r="C61">
            <v>52900</v>
          </cell>
          <cell r="D61">
            <v>45200</v>
          </cell>
          <cell r="E61">
            <v>98100</v>
          </cell>
          <cell r="F61">
            <v>33055</v>
          </cell>
          <cell r="G61" t="str">
            <v>변동성</v>
          </cell>
          <cell r="H61" t="str">
            <v>00.03.20</v>
          </cell>
        </row>
        <row r="62">
          <cell r="B62" t="str">
            <v>권선희</v>
          </cell>
          <cell r="C62">
            <v>15000</v>
          </cell>
          <cell r="D62">
            <v>33900</v>
          </cell>
          <cell r="E62">
            <v>48900</v>
          </cell>
          <cell r="F62">
            <v>6307</v>
          </cell>
          <cell r="G62" t="str">
            <v>변동성</v>
          </cell>
          <cell r="H62" t="str">
            <v>00.03.20</v>
          </cell>
        </row>
        <row r="63">
          <cell r="B63" t="str">
            <v>박혜우</v>
          </cell>
          <cell r="C63">
            <v>33300</v>
          </cell>
          <cell r="D63">
            <v>33900</v>
          </cell>
          <cell r="E63">
            <v>67200</v>
          </cell>
          <cell r="F63">
            <v>4924</v>
          </cell>
          <cell r="G63" t="str">
            <v>변동성</v>
          </cell>
          <cell r="H63" t="str">
            <v>00.03.20</v>
          </cell>
        </row>
        <row r="64">
          <cell r="B64" t="str">
            <v>조우현</v>
          </cell>
          <cell r="C64">
            <v>63600</v>
          </cell>
          <cell r="D64">
            <v>33900</v>
          </cell>
          <cell r="E64">
            <v>97500</v>
          </cell>
          <cell r="F64">
            <v>5009</v>
          </cell>
          <cell r="G64" t="str">
            <v>변동성</v>
          </cell>
          <cell r="H64" t="str">
            <v>00.03.20</v>
          </cell>
        </row>
        <row r="65">
          <cell r="B65" t="str">
            <v>송문섭</v>
          </cell>
          <cell r="C65">
            <v>33600</v>
          </cell>
          <cell r="D65">
            <v>45200</v>
          </cell>
          <cell r="E65">
            <v>78800</v>
          </cell>
          <cell r="F65">
            <v>5082</v>
          </cell>
          <cell r="G65" t="str">
            <v>변동성</v>
          </cell>
          <cell r="H65" t="str">
            <v>00.03.20</v>
          </cell>
        </row>
        <row r="66">
          <cell r="B66" t="str">
            <v>윤옥자</v>
          </cell>
          <cell r="C66">
            <v>114300</v>
          </cell>
          <cell r="D66">
            <v>54240</v>
          </cell>
          <cell r="E66">
            <v>168540</v>
          </cell>
          <cell r="F66">
            <v>4648</v>
          </cell>
          <cell r="G66" t="str">
            <v>변동성</v>
          </cell>
          <cell r="H66" t="str">
            <v>00.03.20</v>
          </cell>
        </row>
        <row r="67">
          <cell r="B67" t="str">
            <v>송애헌</v>
          </cell>
          <cell r="C67">
            <v>25900</v>
          </cell>
          <cell r="D67">
            <v>33900</v>
          </cell>
          <cell r="E67">
            <v>59800</v>
          </cell>
          <cell r="F67">
            <v>12454</v>
          </cell>
          <cell r="G67" t="str">
            <v>변동성</v>
          </cell>
          <cell r="H67" t="str">
            <v>00.03.20</v>
          </cell>
        </row>
        <row r="68">
          <cell r="B68" t="str">
            <v>이상권</v>
          </cell>
          <cell r="C68">
            <v>45100</v>
          </cell>
          <cell r="D68">
            <v>33900</v>
          </cell>
          <cell r="E68">
            <v>79000</v>
          </cell>
          <cell r="F68">
            <v>36021</v>
          </cell>
          <cell r="G68" t="str">
            <v>변동성</v>
          </cell>
          <cell r="H68" t="str">
            <v>00.03.20</v>
          </cell>
        </row>
        <row r="69">
          <cell r="B69" t="str">
            <v>김향숙</v>
          </cell>
          <cell r="C69">
            <v>127300</v>
          </cell>
          <cell r="D69">
            <v>33900</v>
          </cell>
          <cell r="E69">
            <v>161200</v>
          </cell>
          <cell r="F69">
            <v>8028</v>
          </cell>
          <cell r="G69" t="str">
            <v>변동성</v>
          </cell>
          <cell r="H69" t="str">
            <v>00.03.20</v>
          </cell>
        </row>
        <row r="70">
          <cell r="B70" t="str">
            <v>김인철</v>
          </cell>
          <cell r="C70">
            <v>59400</v>
          </cell>
          <cell r="D70">
            <v>22600</v>
          </cell>
          <cell r="E70">
            <v>82000</v>
          </cell>
          <cell r="F70">
            <v>34102</v>
          </cell>
          <cell r="G70" t="str">
            <v>변동성</v>
          </cell>
          <cell r="H70" t="str">
            <v>00.03.20</v>
          </cell>
        </row>
        <row r="71">
          <cell r="B71" t="str">
            <v>심규성</v>
          </cell>
          <cell r="C71">
            <v>83300</v>
          </cell>
          <cell r="D71">
            <v>33900</v>
          </cell>
          <cell r="E71">
            <v>117200</v>
          </cell>
          <cell r="F71">
            <v>2082</v>
          </cell>
          <cell r="G71" t="str">
            <v>변동성</v>
          </cell>
          <cell r="H71" t="str">
            <v>00.03.20</v>
          </cell>
        </row>
        <row r="72">
          <cell r="B72" t="str">
            <v>김종기</v>
          </cell>
          <cell r="C72">
            <v>17000</v>
          </cell>
          <cell r="D72">
            <v>33900</v>
          </cell>
          <cell r="E72">
            <v>50900</v>
          </cell>
          <cell r="F72">
            <v>31397</v>
          </cell>
          <cell r="G72" t="str">
            <v>변동성</v>
          </cell>
          <cell r="H72" t="str">
            <v>00.03.20</v>
          </cell>
        </row>
        <row r="73">
          <cell r="B73" t="str">
            <v>김복희</v>
          </cell>
          <cell r="C73">
            <v>11000</v>
          </cell>
          <cell r="D73">
            <v>22600</v>
          </cell>
          <cell r="E73">
            <v>33600</v>
          </cell>
          <cell r="F73">
            <v>28671</v>
          </cell>
          <cell r="G73" t="str">
            <v>변동성</v>
          </cell>
          <cell r="H73" t="str">
            <v>00.03.20</v>
          </cell>
        </row>
        <row r="74">
          <cell r="B74" t="str">
            <v>김일표</v>
          </cell>
          <cell r="C74">
            <v>25200</v>
          </cell>
          <cell r="D74">
            <v>33900</v>
          </cell>
          <cell r="E74">
            <v>59100</v>
          </cell>
          <cell r="F74">
            <v>35171</v>
          </cell>
          <cell r="G74" t="str">
            <v>변동성</v>
          </cell>
          <cell r="H74" t="str">
            <v>00.03.20</v>
          </cell>
        </row>
        <row r="75">
          <cell r="B75" t="str">
            <v>고병주</v>
          </cell>
          <cell r="C75">
            <v>24400</v>
          </cell>
          <cell r="D75">
            <v>33900</v>
          </cell>
          <cell r="E75">
            <v>58300</v>
          </cell>
          <cell r="F75">
            <v>4250</v>
          </cell>
          <cell r="G75" t="str">
            <v>변동성</v>
          </cell>
          <cell r="H75" t="str">
            <v>00.03.20</v>
          </cell>
        </row>
        <row r="76">
          <cell r="B76" t="str">
            <v>금강케이에스피</v>
          </cell>
          <cell r="C76">
            <v>367600</v>
          </cell>
          <cell r="D76">
            <v>54240</v>
          </cell>
          <cell r="E76">
            <v>421840</v>
          </cell>
          <cell r="F76" t="str">
            <v>05116</v>
          </cell>
          <cell r="G76" t="str">
            <v>고정현</v>
          </cell>
          <cell r="H76" t="str">
            <v>00.03.20</v>
          </cell>
        </row>
        <row r="77">
          <cell r="B77" t="str">
            <v>최창용</v>
          </cell>
          <cell r="C77">
            <v>137600</v>
          </cell>
          <cell r="D77">
            <v>90400</v>
          </cell>
          <cell r="E77">
            <v>228000</v>
          </cell>
          <cell r="F77" t="str">
            <v>5286</v>
          </cell>
          <cell r="G77" t="str">
            <v>고정현</v>
          </cell>
          <cell r="H77" t="str">
            <v>00.03.20</v>
          </cell>
        </row>
        <row r="78">
          <cell r="B78" t="str">
            <v>박성용외4</v>
          </cell>
          <cell r="C78">
            <v>83400</v>
          </cell>
          <cell r="D78">
            <v>67800</v>
          </cell>
          <cell r="E78">
            <v>151200</v>
          </cell>
          <cell r="F78" t="str">
            <v>34168</v>
          </cell>
          <cell r="G78" t="str">
            <v>고정현</v>
          </cell>
          <cell r="H78" t="str">
            <v>00.03.20</v>
          </cell>
        </row>
        <row r="79">
          <cell r="B79" t="str">
            <v>함원희외4</v>
          </cell>
          <cell r="C79">
            <v>66600</v>
          </cell>
          <cell r="D79">
            <v>33900</v>
          </cell>
          <cell r="E79">
            <v>100500</v>
          </cell>
          <cell r="F79" t="str">
            <v>34485</v>
          </cell>
          <cell r="G79" t="str">
            <v>고정현</v>
          </cell>
          <cell r="H79" t="str">
            <v>00.03.20</v>
          </cell>
        </row>
        <row r="80">
          <cell r="B80" t="str">
            <v>남현우외</v>
          </cell>
          <cell r="C80">
            <v>88400</v>
          </cell>
          <cell r="D80">
            <v>45200</v>
          </cell>
          <cell r="E80">
            <v>133600</v>
          </cell>
          <cell r="F80" t="str">
            <v>33725</v>
          </cell>
          <cell r="G80" t="str">
            <v>고정현</v>
          </cell>
          <cell r="H80" t="str">
            <v>00.03.20</v>
          </cell>
        </row>
        <row r="81">
          <cell r="B81" t="str">
            <v>동일정공외4</v>
          </cell>
          <cell r="C81">
            <v>88700</v>
          </cell>
          <cell r="D81">
            <v>67800</v>
          </cell>
          <cell r="E81">
            <v>156500</v>
          </cell>
          <cell r="F81" t="str">
            <v>25835</v>
          </cell>
          <cell r="G81" t="str">
            <v>고정현</v>
          </cell>
          <cell r="H81" t="str">
            <v>00.03.20</v>
          </cell>
        </row>
        <row r="82">
          <cell r="B82" t="str">
            <v>이경일외</v>
          </cell>
          <cell r="C82">
            <v>783900</v>
          </cell>
          <cell r="D82">
            <v>72320</v>
          </cell>
          <cell r="E82">
            <v>856220</v>
          </cell>
          <cell r="F82" t="str">
            <v>31503</v>
          </cell>
          <cell r="G82" t="str">
            <v>고정현</v>
          </cell>
          <cell r="H82" t="str">
            <v>00.03.20</v>
          </cell>
        </row>
        <row r="83">
          <cell r="B83" t="str">
            <v>손종택</v>
          </cell>
          <cell r="C83">
            <v>104100</v>
          </cell>
          <cell r="D83">
            <v>36160</v>
          </cell>
          <cell r="E83">
            <v>140260</v>
          </cell>
          <cell r="F83" t="str">
            <v>04035</v>
          </cell>
          <cell r="G83" t="str">
            <v>고정현</v>
          </cell>
          <cell r="H83" t="str">
            <v>00.03.20</v>
          </cell>
        </row>
        <row r="84">
          <cell r="B84" t="str">
            <v>서선외3</v>
          </cell>
          <cell r="C84">
            <v>74900</v>
          </cell>
          <cell r="D84">
            <v>56500</v>
          </cell>
          <cell r="E84">
            <v>131400</v>
          </cell>
          <cell r="F84" t="str">
            <v>35047</v>
          </cell>
          <cell r="G84" t="str">
            <v>고정현</v>
          </cell>
          <cell r="H84" t="str">
            <v>00.03.20</v>
          </cell>
        </row>
        <row r="85">
          <cell r="B85" t="str">
            <v>중앙해운외2</v>
          </cell>
          <cell r="C85">
            <v>481500</v>
          </cell>
          <cell r="D85">
            <v>72320</v>
          </cell>
          <cell r="E85">
            <v>553820</v>
          </cell>
          <cell r="F85" t="str">
            <v>05417</v>
          </cell>
          <cell r="G85" t="str">
            <v>고정현</v>
          </cell>
          <cell r="H85" t="str">
            <v>00.03.20</v>
          </cell>
        </row>
        <row r="86">
          <cell r="B86" t="str">
            <v>민우전자</v>
          </cell>
          <cell r="C86">
            <v>571200</v>
          </cell>
          <cell r="D86">
            <v>72320</v>
          </cell>
          <cell r="E86">
            <v>643520</v>
          </cell>
          <cell r="F86" t="str">
            <v>08279</v>
          </cell>
          <cell r="G86" t="str">
            <v>이창운</v>
          </cell>
          <cell r="H86" t="str">
            <v>00.03.20</v>
          </cell>
        </row>
        <row r="87">
          <cell r="B87" t="str">
            <v>경기화학</v>
          </cell>
          <cell r="C87">
            <v>880600</v>
          </cell>
          <cell r="D87">
            <v>108480</v>
          </cell>
          <cell r="E87">
            <v>989080</v>
          </cell>
          <cell r="F87" t="str">
            <v>04343</v>
          </cell>
          <cell r="G87" t="str">
            <v>이창운</v>
          </cell>
          <cell r="H87" t="str">
            <v>00.03.20</v>
          </cell>
        </row>
        <row r="88">
          <cell r="B88" t="str">
            <v>한영월드</v>
          </cell>
          <cell r="C88">
            <v>1154800</v>
          </cell>
          <cell r="D88">
            <v>90400</v>
          </cell>
          <cell r="E88">
            <v>1245200</v>
          </cell>
          <cell r="F88" t="str">
            <v>05168</v>
          </cell>
          <cell r="G88" t="str">
            <v>이창운</v>
          </cell>
          <cell r="H88" t="str">
            <v>00.03.20</v>
          </cell>
        </row>
        <row r="89">
          <cell r="B89" t="str">
            <v>김수복</v>
          </cell>
          <cell r="C89">
            <v>139900</v>
          </cell>
          <cell r="D89">
            <v>126560</v>
          </cell>
          <cell r="E89">
            <v>266460</v>
          </cell>
          <cell r="F89" t="str">
            <v>02125</v>
          </cell>
          <cell r="G89" t="str">
            <v>이창운</v>
          </cell>
          <cell r="H89" t="str">
            <v>00.03.20</v>
          </cell>
        </row>
        <row r="90">
          <cell r="B90" t="str">
            <v>박성희</v>
          </cell>
          <cell r="C90">
            <v>39600</v>
          </cell>
          <cell r="D90">
            <v>33900</v>
          </cell>
          <cell r="E90">
            <v>73500</v>
          </cell>
          <cell r="F90" t="str">
            <v>30267</v>
          </cell>
          <cell r="G90" t="str">
            <v>이창운</v>
          </cell>
          <cell r="H90" t="str">
            <v>00.03.20</v>
          </cell>
        </row>
        <row r="91">
          <cell r="B91" t="str">
            <v>최승인</v>
          </cell>
          <cell r="C91">
            <v>122000</v>
          </cell>
          <cell r="D91">
            <v>36160</v>
          </cell>
          <cell r="E91">
            <v>158160</v>
          </cell>
          <cell r="F91" t="str">
            <v>경매(중앙)</v>
          </cell>
          <cell r="G91" t="str">
            <v>이창운</v>
          </cell>
          <cell r="H91" t="str">
            <v>00.03.20</v>
          </cell>
        </row>
        <row r="92">
          <cell r="B92" t="str">
            <v>김남숙</v>
          </cell>
          <cell r="C92">
            <v>78400</v>
          </cell>
          <cell r="D92">
            <v>33900</v>
          </cell>
          <cell r="E92">
            <v>112300</v>
          </cell>
          <cell r="F92" t="str">
            <v>4215</v>
          </cell>
          <cell r="G92" t="str">
            <v>김현재</v>
          </cell>
          <cell r="H92" t="str">
            <v>00.03.20</v>
          </cell>
        </row>
        <row r="93">
          <cell r="B93" t="str">
            <v>김영철</v>
          </cell>
          <cell r="C93">
            <v>51700</v>
          </cell>
          <cell r="D93">
            <v>33900</v>
          </cell>
          <cell r="E93">
            <v>85600</v>
          </cell>
          <cell r="F93" t="str">
            <v>4373</v>
          </cell>
          <cell r="G93" t="str">
            <v>김현재</v>
          </cell>
          <cell r="H93" t="str">
            <v>00.03.20</v>
          </cell>
        </row>
        <row r="94">
          <cell r="B94" t="str">
            <v>박광선</v>
          </cell>
          <cell r="C94">
            <v>33300</v>
          </cell>
          <cell r="D94">
            <v>33900</v>
          </cell>
          <cell r="E94">
            <v>67200</v>
          </cell>
          <cell r="F94" t="str">
            <v>4203</v>
          </cell>
          <cell r="G94" t="str">
            <v>김현재</v>
          </cell>
          <cell r="H94" t="str">
            <v>00.03.20</v>
          </cell>
        </row>
        <row r="95">
          <cell r="B95" t="str">
            <v>강영환</v>
          </cell>
          <cell r="C95">
            <v>26700</v>
          </cell>
          <cell r="D95">
            <v>22600</v>
          </cell>
          <cell r="E95">
            <v>49300</v>
          </cell>
          <cell r="F95" t="str">
            <v>4227</v>
          </cell>
          <cell r="G95" t="str">
            <v>김현재</v>
          </cell>
          <cell r="H95" t="str">
            <v>00.03.20</v>
          </cell>
        </row>
        <row r="96">
          <cell r="B96" t="str">
            <v>김미자</v>
          </cell>
          <cell r="C96">
            <v>12200</v>
          </cell>
          <cell r="D96">
            <v>33900</v>
          </cell>
          <cell r="E96">
            <v>46100</v>
          </cell>
          <cell r="F96" t="str">
            <v>27529</v>
          </cell>
          <cell r="G96" t="str">
            <v>김현재</v>
          </cell>
          <cell r="H96" t="str">
            <v>00.03.20</v>
          </cell>
        </row>
        <row r="97">
          <cell r="B97" t="str">
            <v>정경란</v>
          </cell>
          <cell r="C97">
            <v>180800</v>
          </cell>
          <cell r="D97">
            <v>72320</v>
          </cell>
          <cell r="E97">
            <v>253120</v>
          </cell>
          <cell r="F97" t="str">
            <v>02157</v>
          </cell>
          <cell r="G97" t="str">
            <v>이창운</v>
          </cell>
          <cell r="H97" t="str">
            <v>00.02.22</v>
          </cell>
        </row>
        <row r="98">
          <cell r="B98" t="str">
            <v>강금옥</v>
          </cell>
          <cell r="C98">
            <v>78800</v>
          </cell>
          <cell r="D98">
            <v>33900</v>
          </cell>
          <cell r="E98">
            <v>112700</v>
          </cell>
          <cell r="F98" t="str">
            <v>04693</v>
          </cell>
          <cell r="G98" t="str">
            <v>이창운</v>
          </cell>
          <cell r="H98" t="str">
            <v>00.02.22</v>
          </cell>
        </row>
        <row r="99">
          <cell r="B99" t="str">
            <v>임우경</v>
          </cell>
          <cell r="C99">
            <v>25100</v>
          </cell>
          <cell r="D99">
            <v>33900</v>
          </cell>
          <cell r="E99">
            <v>59000</v>
          </cell>
          <cell r="F99" t="str">
            <v>07176</v>
          </cell>
          <cell r="G99" t="str">
            <v>이창운</v>
          </cell>
          <cell r="H99" t="str">
            <v>00.02.22</v>
          </cell>
        </row>
        <row r="100">
          <cell r="B100" t="str">
            <v>조규홍</v>
          </cell>
          <cell r="C100">
            <v>71100</v>
          </cell>
          <cell r="D100">
            <v>33900</v>
          </cell>
          <cell r="E100">
            <v>105000</v>
          </cell>
          <cell r="F100" t="str">
            <v>09039</v>
          </cell>
          <cell r="G100" t="str">
            <v>이창운</v>
          </cell>
          <cell r="H100" t="str">
            <v>00.02.22</v>
          </cell>
        </row>
        <row r="101">
          <cell r="B101" t="str">
            <v>이종운</v>
          </cell>
          <cell r="C101">
            <v>33600</v>
          </cell>
          <cell r="D101">
            <v>33900</v>
          </cell>
          <cell r="E101">
            <v>67500</v>
          </cell>
          <cell r="F101" t="str">
            <v>08758</v>
          </cell>
          <cell r="G101" t="str">
            <v>이창운</v>
          </cell>
          <cell r="H101" t="str">
            <v>00.02.22</v>
          </cell>
        </row>
        <row r="102">
          <cell r="B102" t="str">
            <v>박승우</v>
          </cell>
          <cell r="C102">
            <v>23800</v>
          </cell>
          <cell r="D102">
            <v>33900</v>
          </cell>
          <cell r="E102">
            <v>57700</v>
          </cell>
          <cell r="F102" t="str">
            <v>05642</v>
          </cell>
          <cell r="G102" t="str">
            <v>이창운</v>
          </cell>
          <cell r="H102" t="str">
            <v>00.02.22</v>
          </cell>
        </row>
        <row r="103">
          <cell r="B103" t="str">
            <v>안종섭</v>
          </cell>
          <cell r="C103">
            <v>17200</v>
          </cell>
          <cell r="D103">
            <v>33900</v>
          </cell>
          <cell r="E103">
            <v>51100</v>
          </cell>
          <cell r="F103" t="str">
            <v>07141</v>
          </cell>
          <cell r="G103" t="str">
            <v>이창운</v>
          </cell>
          <cell r="H103" t="str">
            <v>00.02.22</v>
          </cell>
        </row>
        <row r="104">
          <cell r="B104" t="str">
            <v>정병단</v>
          </cell>
          <cell r="C104">
            <v>47700</v>
          </cell>
          <cell r="D104">
            <v>45200</v>
          </cell>
          <cell r="E104">
            <v>92900</v>
          </cell>
          <cell r="F104" t="str">
            <v>04759</v>
          </cell>
          <cell r="G104" t="str">
            <v>이창운</v>
          </cell>
          <cell r="H104" t="str">
            <v>00.02.22</v>
          </cell>
        </row>
        <row r="105">
          <cell r="B105" t="str">
            <v>이옥경</v>
          </cell>
          <cell r="C105">
            <v>65600</v>
          </cell>
          <cell r="D105">
            <v>45200</v>
          </cell>
          <cell r="E105">
            <v>110800</v>
          </cell>
          <cell r="F105" t="str">
            <v>09049</v>
          </cell>
          <cell r="G105" t="str">
            <v>이창운</v>
          </cell>
          <cell r="H105" t="str">
            <v>00.02.22</v>
          </cell>
        </row>
        <row r="106">
          <cell r="B106" t="str">
            <v>정미자</v>
          </cell>
          <cell r="C106">
            <v>72400</v>
          </cell>
          <cell r="D106">
            <v>33900</v>
          </cell>
          <cell r="E106">
            <v>106300</v>
          </cell>
          <cell r="F106" t="str">
            <v>05140</v>
          </cell>
          <cell r="G106" t="str">
            <v>이창운</v>
          </cell>
          <cell r="H106" t="str">
            <v>00.02.22</v>
          </cell>
        </row>
        <row r="107">
          <cell r="B107" t="str">
            <v>윤경</v>
          </cell>
          <cell r="C107">
            <v>84300</v>
          </cell>
          <cell r="D107">
            <v>33900</v>
          </cell>
          <cell r="E107">
            <v>118200</v>
          </cell>
          <cell r="F107" t="str">
            <v>09774</v>
          </cell>
          <cell r="G107" t="str">
            <v>이창운</v>
          </cell>
          <cell r="H107" t="str">
            <v>00.02.22</v>
          </cell>
        </row>
        <row r="108">
          <cell r="B108" t="str">
            <v>김미자</v>
          </cell>
          <cell r="C108">
            <v>74300</v>
          </cell>
          <cell r="D108">
            <v>33900</v>
          </cell>
          <cell r="E108">
            <v>108200</v>
          </cell>
          <cell r="F108" t="str">
            <v>02199</v>
          </cell>
          <cell r="G108" t="str">
            <v>이창운</v>
          </cell>
          <cell r="H108" t="str">
            <v>00.02.22</v>
          </cell>
        </row>
        <row r="109">
          <cell r="B109" t="str">
            <v>유성찬</v>
          </cell>
          <cell r="C109">
            <v>70200</v>
          </cell>
          <cell r="D109">
            <v>33900</v>
          </cell>
          <cell r="E109">
            <v>104100</v>
          </cell>
          <cell r="F109" t="str">
            <v>29657</v>
          </cell>
          <cell r="G109" t="str">
            <v>이창운</v>
          </cell>
          <cell r="H109" t="str">
            <v>00.02.22</v>
          </cell>
        </row>
        <row r="110">
          <cell r="B110" t="str">
            <v>이광훈</v>
          </cell>
          <cell r="C110">
            <v>68900</v>
          </cell>
          <cell r="D110">
            <v>22600</v>
          </cell>
          <cell r="E110">
            <v>91500</v>
          </cell>
          <cell r="F110" t="str">
            <v>29957</v>
          </cell>
          <cell r="G110" t="str">
            <v>이창운</v>
          </cell>
          <cell r="H110" t="str">
            <v>00.02.22</v>
          </cell>
        </row>
        <row r="111">
          <cell r="B111" t="str">
            <v>이형모</v>
          </cell>
          <cell r="C111">
            <v>38900</v>
          </cell>
          <cell r="D111">
            <v>33900</v>
          </cell>
          <cell r="E111">
            <v>72800</v>
          </cell>
          <cell r="F111" t="str">
            <v>33539</v>
          </cell>
          <cell r="G111" t="str">
            <v>이창운</v>
          </cell>
          <cell r="H111" t="str">
            <v>00.02.22</v>
          </cell>
        </row>
        <row r="112">
          <cell r="B112" t="str">
            <v>정윤화</v>
          </cell>
          <cell r="C112">
            <v>28100</v>
          </cell>
          <cell r="D112">
            <v>33900</v>
          </cell>
          <cell r="E112">
            <v>62000</v>
          </cell>
          <cell r="F112" t="str">
            <v>27062</v>
          </cell>
          <cell r="G112" t="str">
            <v>이창운</v>
          </cell>
          <cell r="H112" t="str">
            <v>00.02.22</v>
          </cell>
        </row>
        <row r="113">
          <cell r="B113" t="str">
            <v>박건동</v>
          </cell>
          <cell r="C113">
            <v>63100</v>
          </cell>
          <cell r="D113">
            <v>22600</v>
          </cell>
          <cell r="E113">
            <v>85700</v>
          </cell>
          <cell r="F113" t="str">
            <v>33405</v>
          </cell>
          <cell r="G113" t="str">
            <v>이창운</v>
          </cell>
          <cell r="H113" t="str">
            <v>00.02.22</v>
          </cell>
        </row>
        <row r="114">
          <cell r="B114" t="str">
            <v>안융훈</v>
          </cell>
          <cell r="C114">
            <v>70400</v>
          </cell>
          <cell r="D114">
            <v>33900</v>
          </cell>
          <cell r="E114">
            <v>104300</v>
          </cell>
          <cell r="F114" t="str">
            <v>27803</v>
          </cell>
          <cell r="G114" t="str">
            <v>이창운</v>
          </cell>
          <cell r="H114" t="str">
            <v>00.02.22</v>
          </cell>
        </row>
        <row r="115">
          <cell r="B115" t="str">
            <v>황미연</v>
          </cell>
          <cell r="C115">
            <v>67300</v>
          </cell>
          <cell r="D115">
            <v>33900</v>
          </cell>
          <cell r="E115">
            <v>101200</v>
          </cell>
          <cell r="F115" t="str">
            <v>33412</v>
          </cell>
          <cell r="G115" t="str">
            <v>이창운</v>
          </cell>
          <cell r="H115" t="str">
            <v>00.02.22</v>
          </cell>
        </row>
        <row r="116">
          <cell r="B116" t="str">
            <v>정옥자</v>
          </cell>
          <cell r="C116">
            <v>72300</v>
          </cell>
          <cell r="D116">
            <v>33900</v>
          </cell>
          <cell r="E116">
            <v>106200</v>
          </cell>
          <cell r="F116" t="str">
            <v>27059</v>
          </cell>
          <cell r="G116" t="str">
            <v>이창운</v>
          </cell>
          <cell r="H116" t="str">
            <v>00.02.22</v>
          </cell>
        </row>
        <row r="117">
          <cell r="B117" t="str">
            <v>노상구</v>
          </cell>
          <cell r="C117">
            <v>62400</v>
          </cell>
          <cell r="D117">
            <v>33900</v>
          </cell>
          <cell r="E117">
            <v>96300</v>
          </cell>
          <cell r="F117" t="str">
            <v>29443</v>
          </cell>
          <cell r="G117" t="str">
            <v>이창운</v>
          </cell>
          <cell r="H117" t="str">
            <v>00.02.22</v>
          </cell>
        </row>
        <row r="118">
          <cell r="B118" t="str">
            <v>최연미</v>
          </cell>
          <cell r="C118">
            <v>132500</v>
          </cell>
          <cell r="D118">
            <v>72320</v>
          </cell>
          <cell r="E118">
            <v>204820</v>
          </cell>
          <cell r="F118" t="str">
            <v>06628</v>
          </cell>
          <cell r="G118" t="str">
            <v>이창운</v>
          </cell>
          <cell r="H118" t="str">
            <v>00.02.22</v>
          </cell>
        </row>
        <row r="119">
          <cell r="B119" t="str">
            <v>이성천</v>
          </cell>
          <cell r="C119">
            <v>87600</v>
          </cell>
          <cell r="D119">
            <v>33900</v>
          </cell>
          <cell r="E119">
            <v>121500</v>
          </cell>
          <cell r="F119" t="str">
            <v>04573</v>
          </cell>
          <cell r="G119" t="str">
            <v>이창운</v>
          </cell>
          <cell r="H119" t="str">
            <v>00.02.22</v>
          </cell>
        </row>
        <row r="120">
          <cell r="B120" t="str">
            <v>녹색</v>
          </cell>
          <cell r="C120">
            <v>330300</v>
          </cell>
          <cell r="D120">
            <v>72320</v>
          </cell>
          <cell r="E120">
            <v>402620</v>
          </cell>
          <cell r="F120" t="str">
            <v>04159</v>
          </cell>
          <cell r="G120" t="str">
            <v>이창운</v>
          </cell>
          <cell r="H120" t="str">
            <v>00.02.22</v>
          </cell>
        </row>
        <row r="121">
          <cell r="B121" t="str">
            <v>김영규</v>
          </cell>
          <cell r="C121">
            <v>1379700</v>
          </cell>
          <cell r="D121">
            <v>54240</v>
          </cell>
          <cell r="E121">
            <v>1433940</v>
          </cell>
          <cell r="F121" t="str">
            <v>25014</v>
          </cell>
          <cell r="G121" t="str">
            <v>이창운</v>
          </cell>
          <cell r="H121" t="str">
            <v>00.02.22</v>
          </cell>
        </row>
        <row r="122">
          <cell r="B122" t="str">
            <v>서성식</v>
          </cell>
          <cell r="C122">
            <v>56200</v>
          </cell>
          <cell r="D122">
            <v>33900</v>
          </cell>
          <cell r="E122">
            <v>90100</v>
          </cell>
          <cell r="F122">
            <v>31279</v>
          </cell>
          <cell r="G122" t="str">
            <v>변동성</v>
          </cell>
          <cell r="H122" t="str">
            <v>00.02.24</v>
          </cell>
        </row>
      </sheetData>
      <sheetData sheetId="2" refreshError="1"/>
      <sheetData sheetId="3">
        <row r="1">
          <cell r="B1" t="str">
            <v>배영옥</v>
          </cell>
        </row>
      </sheetData>
      <sheetData sheetId="4">
        <row r="1">
          <cell r="B1" t="str">
            <v>배영옥</v>
          </cell>
        </row>
      </sheetData>
      <sheetData sheetId="5">
        <row r="1">
          <cell r="B1" t="str">
            <v>배영옥</v>
          </cell>
        </row>
      </sheetData>
      <sheetData sheetId="6">
        <row r="1">
          <cell r="B1" t="str">
            <v>배영옥</v>
          </cell>
        </row>
      </sheetData>
      <sheetData sheetId="7">
        <row r="1">
          <cell r="B1" t="str">
            <v>배영옥</v>
          </cell>
        </row>
      </sheetData>
      <sheetData sheetId="8">
        <row r="1">
          <cell r="B1" t="str">
            <v>배영옥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달운용"/>
      <sheetName val="채권상각"/>
      <sheetName val="주식평가"/>
      <sheetName val="수익증권평가"/>
      <sheetName val="laroux"/>
      <sheetName val="유의사항"/>
      <sheetName val="조직인력"/>
      <sheetName val="조직인력 (2)"/>
      <sheetName val="적립수신"/>
      <sheetName val="순수통장"/>
      <sheetName val="소접수기존파일모음"/>
      <sheetName val="진행(자99,2000)"/>
      <sheetName val="대환취급"/>
      <sheetName val="외화Schedule"/>
      <sheetName val="소매_신용"/>
      <sheetName val="특정상품(비소매)"/>
      <sheetName val="비소매신용"/>
      <sheetName val="비용"/>
      <sheetName val="조정내역"/>
      <sheetName val="채권채무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법인명 체크중"/>
      <sheetName val="R data - PF대출(건별)"/>
      <sheetName val="표 - 건설사별 지급보증액"/>
      <sheetName val="3월 6월 차액 비교"/>
      <sheetName val="수익증권평가"/>
      <sheetName val="조달운용"/>
      <sheetName val="주식평가"/>
      <sheetName val="채권상각"/>
      <sheetName val="2008.9.11 은행PF 현황(2008.6말)"/>
      <sheetName val="소매_신용"/>
      <sheetName val="특정상품(비소매)"/>
      <sheetName val="비소매신용"/>
      <sheetName val="비용"/>
    </sheetNames>
    <sheetDataSet>
      <sheetData sheetId="0" refreshError="1"/>
      <sheetData sheetId="1">
        <row r="2">
          <cell r="K2" t="str">
            <v>우리</v>
          </cell>
          <cell r="N2">
            <v>78</v>
          </cell>
          <cell r="P2">
            <v>533</v>
          </cell>
        </row>
        <row r="3">
          <cell r="K3" t="str">
            <v>우리</v>
          </cell>
          <cell r="N3" t="str">
            <v>na</v>
          </cell>
          <cell r="P3">
            <v>0</v>
          </cell>
        </row>
        <row r="4">
          <cell r="K4" t="str">
            <v>우리</v>
          </cell>
          <cell r="N4" t="str">
            <v>na</v>
          </cell>
          <cell r="P4">
            <v>0</v>
          </cell>
        </row>
        <row r="5">
          <cell r="K5" t="str">
            <v>우리</v>
          </cell>
          <cell r="N5" t="str">
            <v>na</v>
          </cell>
          <cell r="P5">
            <v>0</v>
          </cell>
        </row>
        <row r="6">
          <cell r="K6" t="str">
            <v>우리</v>
          </cell>
          <cell r="N6">
            <v>87</v>
          </cell>
          <cell r="P6">
            <v>9000</v>
          </cell>
        </row>
        <row r="7">
          <cell r="K7" t="str">
            <v>우리</v>
          </cell>
          <cell r="N7">
            <v>21</v>
          </cell>
          <cell r="P7">
            <v>45000</v>
          </cell>
        </row>
        <row r="8">
          <cell r="K8" t="str">
            <v>우리</v>
          </cell>
          <cell r="N8">
            <v>40</v>
          </cell>
          <cell r="P8">
            <v>25000</v>
          </cell>
        </row>
        <row r="9">
          <cell r="K9" t="str">
            <v>우리</v>
          </cell>
          <cell r="N9" t="str">
            <v>na</v>
          </cell>
          <cell r="P9">
            <v>34840.74</v>
          </cell>
        </row>
        <row r="10">
          <cell r="K10" t="str">
            <v>우리</v>
          </cell>
          <cell r="N10">
            <v>5</v>
          </cell>
          <cell r="P10">
            <v>43000</v>
          </cell>
        </row>
        <row r="11">
          <cell r="K11" t="str">
            <v>우리</v>
          </cell>
          <cell r="N11">
            <v>203</v>
          </cell>
          <cell r="P11">
            <v>6000</v>
          </cell>
        </row>
        <row r="12">
          <cell r="K12" t="str">
            <v>우리</v>
          </cell>
          <cell r="N12">
            <v>108</v>
          </cell>
          <cell r="P12">
            <v>2000</v>
          </cell>
        </row>
        <row r="13">
          <cell r="K13" t="str">
            <v>우리</v>
          </cell>
          <cell r="N13">
            <v>46</v>
          </cell>
          <cell r="P13">
            <v>4355</v>
          </cell>
        </row>
        <row r="14">
          <cell r="K14" t="str">
            <v>우리</v>
          </cell>
          <cell r="N14">
            <v>77</v>
          </cell>
          <cell r="P14">
            <v>49967.199999999997</v>
          </cell>
        </row>
        <row r="15">
          <cell r="K15" t="str">
            <v>우리</v>
          </cell>
          <cell r="N15">
            <v>61</v>
          </cell>
          <cell r="P15">
            <v>10000</v>
          </cell>
        </row>
        <row r="16">
          <cell r="K16" t="str">
            <v>우리</v>
          </cell>
          <cell r="N16">
            <v>52</v>
          </cell>
          <cell r="P16">
            <v>46000</v>
          </cell>
        </row>
        <row r="17">
          <cell r="K17" t="str">
            <v>우리</v>
          </cell>
          <cell r="N17">
            <v>48</v>
          </cell>
          <cell r="P17">
            <v>3500</v>
          </cell>
        </row>
        <row r="18">
          <cell r="K18" t="str">
            <v>우리</v>
          </cell>
          <cell r="N18">
            <v>10</v>
          </cell>
          <cell r="P18">
            <v>909</v>
          </cell>
        </row>
        <row r="19">
          <cell r="K19" t="str">
            <v>우리</v>
          </cell>
          <cell r="N19">
            <v>12</v>
          </cell>
          <cell r="P19">
            <v>3432.8020000000001</v>
          </cell>
        </row>
        <row r="20">
          <cell r="K20" t="str">
            <v>우리</v>
          </cell>
          <cell r="N20">
            <v>23</v>
          </cell>
          <cell r="P20">
            <v>10000</v>
          </cell>
        </row>
        <row r="21">
          <cell r="K21" t="str">
            <v>우리</v>
          </cell>
          <cell r="N21">
            <v>89</v>
          </cell>
          <cell r="P21">
            <v>0</v>
          </cell>
        </row>
        <row r="22">
          <cell r="K22" t="str">
            <v>우리</v>
          </cell>
          <cell r="N22">
            <v>16</v>
          </cell>
          <cell r="P22">
            <v>19000</v>
          </cell>
        </row>
        <row r="23">
          <cell r="K23" t="str">
            <v>우리</v>
          </cell>
          <cell r="N23">
            <v>23</v>
          </cell>
          <cell r="P23">
            <v>6000</v>
          </cell>
        </row>
        <row r="24">
          <cell r="K24" t="str">
            <v>우리</v>
          </cell>
          <cell r="N24">
            <v>14</v>
          </cell>
          <cell r="P24">
            <v>19000</v>
          </cell>
        </row>
        <row r="25">
          <cell r="K25" t="str">
            <v>우리</v>
          </cell>
          <cell r="N25" t="str">
            <v>na</v>
          </cell>
          <cell r="P25">
            <v>0</v>
          </cell>
        </row>
        <row r="26">
          <cell r="K26" t="str">
            <v>우리</v>
          </cell>
          <cell r="N26" t="str">
            <v>na</v>
          </cell>
          <cell r="P26">
            <v>0</v>
          </cell>
        </row>
        <row r="27">
          <cell r="K27" t="str">
            <v>우리</v>
          </cell>
          <cell r="N27">
            <v>12</v>
          </cell>
          <cell r="P27">
            <v>11500</v>
          </cell>
        </row>
        <row r="28">
          <cell r="K28" t="str">
            <v>우리</v>
          </cell>
          <cell r="N28">
            <v>405</v>
          </cell>
          <cell r="P28">
            <v>0</v>
          </cell>
        </row>
        <row r="29">
          <cell r="K29" t="str">
            <v>우리</v>
          </cell>
          <cell r="N29">
            <v>46</v>
          </cell>
          <cell r="P29">
            <v>2500</v>
          </cell>
        </row>
        <row r="30">
          <cell r="K30" t="str">
            <v>우리</v>
          </cell>
          <cell r="N30">
            <v>23</v>
          </cell>
          <cell r="P30">
            <v>8300</v>
          </cell>
        </row>
        <row r="31">
          <cell r="K31" t="str">
            <v>우리</v>
          </cell>
          <cell r="N31">
            <v>77</v>
          </cell>
          <cell r="P31">
            <v>16400</v>
          </cell>
        </row>
        <row r="32">
          <cell r="K32" t="str">
            <v>우리</v>
          </cell>
          <cell r="N32">
            <v>176</v>
          </cell>
          <cell r="P32">
            <v>0</v>
          </cell>
        </row>
        <row r="33">
          <cell r="K33" t="str">
            <v>우리</v>
          </cell>
          <cell r="N33" t="str">
            <v>na</v>
          </cell>
          <cell r="P33">
            <v>4000</v>
          </cell>
        </row>
        <row r="34">
          <cell r="K34" t="str">
            <v>우리</v>
          </cell>
          <cell r="N34">
            <v>10</v>
          </cell>
          <cell r="P34">
            <v>64000</v>
          </cell>
        </row>
        <row r="35">
          <cell r="K35" t="str">
            <v>우리</v>
          </cell>
          <cell r="N35" t="str">
            <v>na</v>
          </cell>
          <cell r="P35">
            <v>18958.54737</v>
          </cell>
        </row>
        <row r="36">
          <cell r="K36" t="str">
            <v>우리</v>
          </cell>
          <cell r="N36" t="str">
            <v>na</v>
          </cell>
          <cell r="P36">
            <v>930</v>
          </cell>
        </row>
        <row r="37">
          <cell r="K37" t="str">
            <v>우리</v>
          </cell>
          <cell r="N37">
            <v>32</v>
          </cell>
          <cell r="P37">
            <v>36000</v>
          </cell>
        </row>
        <row r="38">
          <cell r="K38" t="str">
            <v>우리</v>
          </cell>
          <cell r="N38">
            <v>32</v>
          </cell>
          <cell r="P38">
            <v>7000</v>
          </cell>
        </row>
        <row r="39">
          <cell r="K39" t="str">
            <v>우리</v>
          </cell>
          <cell r="N39">
            <v>35</v>
          </cell>
          <cell r="P39">
            <v>0</v>
          </cell>
        </row>
        <row r="40">
          <cell r="K40" t="str">
            <v>우리</v>
          </cell>
          <cell r="N40">
            <v>1</v>
          </cell>
          <cell r="P40">
            <v>3290.0594259999998</v>
          </cell>
        </row>
        <row r="41">
          <cell r="K41" t="str">
            <v>우리</v>
          </cell>
          <cell r="N41">
            <v>77</v>
          </cell>
          <cell r="P41">
            <v>16000</v>
          </cell>
        </row>
        <row r="42">
          <cell r="K42" t="str">
            <v>우리</v>
          </cell>
          <cell r="N42">
            <v>18</v>
          </cell>
          <cell r="P42">
            <v>1113</v>
          </cell>
        </row>
        <row r="43">
          <cell r="K43" t="str">
            <v>우리</v>
          </cell>
          <cell r="N43">
            <v>198</v>
          </cell>
          <cell r="P43">
            <v>11500</v>
          </cell>
        </row>
        <row r="44">
          <cell r="K44" t="str">
            <v>우리</v>
          </cell>
          <cell r="N44">
            <v>23</v>
          </cell>
          <cell r="P44">
            <v>1500</v>
          </cell>
        </row>
        <row r="45">
          <cell r="K45" t="str">
            <v>우리</v>
          </cell>
          <cell r="N45">
            <v>23</v>
          </cell>
          <cell r="P45">
            <v>14000</v>
          </cell>
        </row>
        <row r="46">
          <cell r="K46" t="str">
            <v>우리</v>
          </cell>
          <cell r="N46">
            <v>2</v>
          </cell>
          <cell r="P46">
            <v>23800</v>
          </cell>
        </row>
        <row r="47">
          <cell r="K47" t="str">
            <v>우리</v>
          </cell>
          <cell r="N47">
            <v>340</v>
          </cell>
          <cell r="P47">
            <v>6600</v>
          </cell>
        </row>
        <row r="48">
          <cell r="K48" t="str">
            <v>우리</v>
          </cell>
          <cell r="N48">
            <v>77</v>
          </cell>
          <cell r="P48">
            <v>300</v>
          </cell>
        </row>
        <row r="49">
          <cell r="K49" t="str">
            <v>우리</v>
          </cell>
          <cell r="N49">
            <v>77</v>
          </cell>
          <cell r="P49">
            <v>300</v>
          </cell>
        </row>
        <row r="50">
          <cell r="K50" t="str">
            <v>우리</v>
          </cell>
          <cell r="N50">
            <v>77</v>
          </cell>
          <cell r="P50">
            <v>1100</v>
          </cell>
        </row>
        <row r="51">
          <cell r="K51" t="str">
            <v>우리</v>
          </cell>
          <cell r="N51">
            <v>77</v>
          </cell>
          <cell r="P51">
            <v>1600</v>
          </cell>
        </row>
        <row r="52">
          <cell r="K52" t="str">
            <v>우리</v>
          </cell>
          <cell r="N52">
            <v>77</v>
          </cell>
          <cell r="P52">
            <v>1700</v>
          </cell>
        </row>
        <row r="53">
          <cell r="K53" t="str">
            <v>우리</v>
          </cell>
          <cell r="N53">
            <v>77</v>
          </cell>
          <cell r="P53">
            <v>1500</v>
          </cell>
        </row>
        <row r="54">
          <cell r="K54" t="str">
            <v>우리</v>
          </cell>
          <cell r="N54">
            <v>10</v>
          </cell>
          <cell r="P54">
            <v>72200</v>
          </cell>
        </row>
        <row r="55">
          <cell r="K55" t="str">
            <v>우리</v>
          </cell>
          <cell r="N55">
            <v>18</v>
          </cell>
          <cell r="P55">
            <v>22000</v>
          </cell>
        </row>
        <row r="56">
          <cell r="K56" t="str">
            <v>우리</v>
          </cell>
          <cell r="N56">
            <v>18</v>
          </cell>
          <cell r="P56">
            <v>4791</v>
          </cell>
        </row>
        <row r="57">
          <cell r="K57" t="str">
            <v>우리</v>
          </cell>
          <cell r="N57">
            <v>95</v>
          </cell>
          <cell r="P57">
            <v>0</v>
          </cell>
        </row>
        <row r="58">
          <cell r="K58" t="str">
            <v>우리</v>
          </cell>
          <cell r="N58">
            <v>18</v>
          </cell>
          <cell r="P58">
            <v>19240</v>
          </cell>
        </row>
        <row r="59">
          <cell r="K59" t="str">
            <v>우리</v>
          </cell>
          <cell r="N59">
            <v>79</v>
          </cell>
          <cell r="P59">
            <v>8000</v>
          </cell>
        </row>
        <row r="60">
          <cell r="K60" t="str">
            <v>우리</v>
          </cell>
          <cell r="N60">
            <v>34</v>
          </cell>
          <cell r="P60">
            <v>19000</v>
          </cell>
        </row>
        <row r="61">
          <cell r="K61" t="str">
            <v>우리</v>
          </cell>
          <cell r="N61" t="str">
            <v>na</v>
          </cell>
          <cell r="P61">
            <v>0</v>
          </cell>
        </row>
        <row r="62">
          <cell r="K62" t="str">
            <v>우리</v>
          </cell>
          <cell r="N62">
            <v>85</v>
          </cell>
          <cell r="P62">
            <v>20000</v>
          </cell>
        </row>
        <row r="63">
          <cell r="K63" t="str">
            <v>우리</v>
          </cell>
          <cell r="N63">
            <v>18</v>
          </cell>
          <cell r="P63">
            <v>16308.359837</v>
          </cell>
        </row>
        <row r="64">
          <cell r="K64" t="str">
            <v>우리</v>
          </cell>
          <cell r="N64" t="str">
            <v>na</v>
          </cell>
          <cell r="P64">
            <v>0</v>
          </cell>
        </row>
        <row r="65">
          <cell r="K65" t="str">
            <v>우리</v>
          </cell>
          <cell r="N65">
            <v>60</v>
          </cell>
          <cell r="P65">
            <v>9500</v>
          </cell>
        </row>
        <row r="66">
          <cell r="K66" t="str">
            <v>우리</v>
          </cell>
          <cell r="N66">
            <v>1</v>
          </cell>
          <cell r="P66">
            <v>19000</v>
          </cell>
        </row>
        <row r="67">
          <cell r="K67" t="str">
            <v>우리</v>
          </cell>
          <cell r="N67">
            <v>1</v>
          </cell>
          <cell r="P67">
            <v>26000</v>
          </cell>
        </row>
        <row r="68">
          <cell r="K68" t="str">
            <v>우리</v>
          </cell>
          <cell r="N68">
            <v>272</v>
          </cell>
          <cell r="P68">
            <v>0</v>
          </cell>
        </row>
        <row r="69">
          <cell r="K69" t="str">
            <v>우리</v>
          </cell>
          <cell r="N69">
            <v>116</v>
          </cell>
          <cell r="P69">
            <v>0</v>
          </cell>
        </row>
        <row r="70">
          <cell r="K70" t="str">
            <v>우리</v>
          </cell>
          <cell r="N70">
            <v>126</v>
          </cell>
          <cell r="P70">
            <v>980</v>
          </cell>
        </row>
        <row r="71">
          <cell r="K71" t="str">
            <v>우리</v>
          </cell>
          <cell r="N71" t="str">
            <v>na</v>
          </cell>
          <cell r="P71">
            <v>0</v>
          </cell>
        </row>
        <row r="72">
          <cell r="K72" t="str">
            <v>우리</v>
          </cell>
          <cell r="N72" t="str">
            <v>na</v>
          </cell>
          <cell r="P72">
            <v>0</v>
          </cell>
        </row>
        <row r="73">
          <cell r="K73" t="str">
            <v>우리</v>
          </cell>
          <cell r="N73">
            <v>18</v>
          </cell>
          <cell r="P73">
            <v>20</v>
          </cell>
        </row>
        <row r="74">
          <cell r="K74" t="str">
            <v>우리</v>
          </cell>
          <cell r="N74">
            <v>18</v>
          </cell>
          <cell r="P74">
            <v>20</v>
          </cell>
        </row>
        <row r="75">
          <cell r="K75" t="str">
            <v>우리</v>
          </cell>
          <cell r="N75">
            <v>18</v>
          </cell>
          <cell r="P75">
            <v>57</v>
          </cell>
        </row>
        <row r="76">
          <cell r="K76" t="str">
            <v>우리</v>
          </cell>
          <cell r="N76">
            <v>18</v>
          </cell>
          <cell r="P76">
            <v>17</v>
          </cell>
        </row>
        <row r="77">
          <cell r="K77" t="str">
            <v>우리</v>
          </cell>
          <cell r="N77">
            <v>18</v>
          </cell>
          <cell r="P77">
            <v>11</v>
          </cell>
        </row>
        <row r="78">
          <cell r="K78" t="str">
            <v>우리</v>
          </cell>
          <cell r="N78">
            <v>18</v>
          </cell>
          <cell r="P78">
            <v>20</v>
          </cell>
        </row>
        <row r="79">
          <cell r="K79" t="str">
            <v>우리</v>
          </cell>
          <cell r="N79">
            <v>18</v>
          </cell>
          <cell r="P79">
            <v>20</v>
          </cell>
        </row>
        <row r="80">
          <cell r="K80" t="str">
            <v>우리</v>
          </cell>
          <cell r="N80">
            <v>18</v>
          </cell>
          <cell r="P80">
            <v>26</v>
          </cell>
        </row>
        <row r="81">
          <cell r="K81" t="str">
            <v>우리</v>
          </cell>
          <cell r="N81">
            <v>18</v>
          </cell>
          <cell r="P81">
            <v>20</v>
          </cell>
        </row>
        <row r="82">
          <cell r="K82" t="str">
            <v>우리</v>
          </cell>
          <cell r="N82">
            <v>18</v>
          </cell>
          <cell r="P82">
            <v>31</v>
          </cell>
        </row>
        <row r="83">
          <cell r="K83" t="str">
            <v>우리</v>
          </cell>
          <cell r="N83">
            <v>18</v>
          </cell>
          <cell r="P83">
            <v>21</v>
          </cell>
        </row>
        <row r="84">
          <cell r="K84" t="str">
            <v>우리</v>
          </cell>
          <cell r="N84">
            <v>18</v>
          </cell>
          <cell r="P84">
            <v>20</v>
          </cell>
        </row>
        <row r="85">
          <cell r="K85" t="str">
            <v>우리</v>
          </cell>
          <cell r="N85">
            <v>18</v>
          </cell>
          <cell r="P85">
            <v>31</v>
          </cell>
        </row>
        <row r="86">
          <cell r="K86" t="str">
            <v>우리</v>
          </cell>
          <cell r="N86">
            <v>18</v>
          </cell>
          <cell r="P86">
            <v>1834.91</v>
          </cell>
        </row>
        <row r="87">
          <cell r="K87" t="str">
            <v>우리</v>
          </cell>
          <cell r="N87">
            <v>32</v>
          </cell>
          <cell r="P87">
            <v>97500</v>
          </cell>
        </row>
        <row r="88">
          <cell r="K88" t="str">
            <v>우리</v>
          </cell>
          <cell r="N88">
            <v>18</v>
          </cell>
          <cell r="P88">
            <v>155.299882</v>
          </cell>
        </row>
        <row r="89">
          <cell r="K89" t="str">
            <v>우리</v>
          </cell>
          <cell r="N89">
            <v>18</v>
          </cell>
          <cell r="P89">
            <v>5610.4283180000002</v>
          </cell>
        </row>
        <row r="90">
          <cell r="K90" t="str">
            <v>우리</v>
          </cell>
          <cell r="N90">
            <v>18</v>
          </cell>
          <cell r="P90">
            <v>22</v>
          </cell>
        </row>
        <row r="91">
          <cell r="K91" t="str">
            <v>우리</v>
          </cell>
          <cell r="N91">
            <v>18</v>
          </cell>
          <cell r="P91">
            <v>55.730134</v>
          </cell>
        </row>
        <row r="92">
          <cell r="K92" t="str">
            <v>우리</v>
          </cell>
          <cell r="N92">
            <v>50</v>
          </cell>
          <cell r="P92">
            <v>45000</v>
          </cell>
        </row>
        <row r="93">
          <cell r="K93" t="str">
            <v>우리</v>
          </cell>
          <cell r="N93" t="str">
            <v>na</v>
          </cell>
          <cell r="P93">
            <v>27000</v>
          </cell>
        </row>
        <row r="94">
          <cell r="K94" t="str">
            <v>우리</v>
          </cell>
          <cell r="N94" t="str">
            <v>na</v>
          </cell>
          <cell r="P94">
            <v>0</v>
          </cell>
        </row>
        <row r="95">
          <cell r="K95" t="str">
            <v>우리</v>
          </cell>
          <cell r="N95">
            <v>87</v>
          </cell>
          <cell r="P95">
            <v>3800</v>
          </cell>
        </row>
        <row r="96">
          <cell r="K96" t="str">
            <v>우리</v>
          </cell>
          <cell r="N96">
            <v>2</v>
          </cell>
          <cell r="P96">
            <v>54700</v>
          </cell>
        </row>
        <row r="97">
          <cell r="K97" t="str">
            <v>우리</v>
          </cell>
          <cell r="N97">
            <v>3</v>
          </cell>
          <cell r="P97">
            <v>16510.08538</v>
          </cell>
        </row>
        <row r="98">
          <cell r="K98" t="str">
            <v>우리</v>
          </cell>
          <cell r="N98">
            <v>98</v>
          </cell>
          <cell r="P98">
            <v>38500</v>
          </cell>
        </row>
        <row r="99">
          <cell r="K99" t="str">
            <v>우리</v>
          </cell>
          <cell r="N99">
            <v>2</v>
          </cell>
          <cell r="P99">
            <v>37100</v>
          </cell>
        </row>
        <row r="100">
          <cell r="K100" t="str">
            <v>우리</v>
          </cell>
          <cell r="N100">
            <v>3</v>
          </cell>
          <cell r="P100">
            <v>109920</v>
          </cell>
        </row>
        <row r="101">
          <cell r="K101" t="str">
            <v>우리</v>
          </cell>
          <cell r="N101">
            <v>2</v>
          </cell>
          <cell r="P101">
            <v>37500</v>
          </cell>
        </row>
        <row r="102">
          <cell r="K102" t="str">
            <v>우리</v>
          </cell>
          <cell r="N102">
            <v>340</v>
          </cell>
          <cell r="P102">
            <v>0</v>
          </cell>
        </row>
        <row r="103">
          <cell r="K103" t="str">
            <v>우리</v>
          </cell>
          <cell r="N103">
            <v>69</v>
          </cell>
          <cell r="P103">
            <v>0</v>
          </cell>
        </row>
        <row r="104">
          <cell r="K104" t="str">
            <v>우리</v>
          </cell>
          <cell r="N104">
            <v>36</v>
          </cell>
          <cell r="P104">
            <v>24000</v>
          </cell>
        </row>
        <row r="105">
          <cell r="K105" t="str">
            <v>우리</v>
          </cell>
          <cell r="N105">
            <v>21</v>
          </cell>
          <cell r="P105">
            <v>6000</v>
          </cell>
        </row>
        <row r="106">
          <cell r="K106" t="str">
            <v>우리</v>
          </cell>
          <cell r="N106">
            <v>202</v>
          </cell>
          <cell r="P106">
            <v>0</v>
          </cell>
        </row>
        <row r="107">
          <cell r="K107" t="str">
            <v>우리</v>
          </cell>
          <cell r="N107" t="str">
            <v>na</v>
          </cell>
          <cell r="P107">
            <v>0</v>
          </cell>
        </row>
        <row r="108">
          <cell r="K108" t="str">
            <v>우리</v>
          </cell>
          <cell r="N108">
            <v>5</v>
          </cell>
          <cell r="P108">
            <v>20273.222963</v>
          </cell>
        </row>
        <row r="109">
          <cell r="K109" t="str">
            <v>우리</v>
          </cell>
          <cell r="N109">
            <v>16</v>
          </cell>
          <cell r="P109">
            <v>28082.059674</v>
          </cell>
        </row>
        <row r="110">
          <cell r="K110" t="str">
            <v>우리</v>
          </cell>
          <cell r="N110">
            <v>18</v>
          </cell>
          <cell r="P110">
            <v>8692.8778939999993</v>
          </cell>
        </row>
        <row r="111">
          <cell r="K111" t="str">
            <v>우리</v>
          </cell>
          <cell r="N111">
            <v>77</v>
          </cell>
          <cell r="P111">
            <v>19500</v>
          </cell>
        </row>
        <row r="112">
          <cell r="K112" t="str">
            <v>우리</v>
          </cell>
          <cell r="N112">
            <v>22</v>
          </cell>
          <cell r="P112">
            <v>50000</v>
          </cell>
        </row>
        <row r="113">
          <cell r="K113" t="str">
            <v>우리</v>
          </cell>
          <cell r="N113">
            <v>47</v>
          </cell>
          <cell r="P113">
            <v>65000</v>
          </cell>
        </row>
        <row r="114">
          <cell r="K114" t="str">
            <v>우리</v>
          </cell>
          <cell r="N114">
            <v>3</v>
          </cell>
          <cell r="P114">
            <v>59500</v>
          </cell>
        </row>
        <row r="115">
          <cell r="K115" t="str">
            <v>우리</v>
          </cell>
          <cell r="N115" t="str">
            <v>na</v>
          </cell>
          <cell r="P115">
            <v>0</v>
          </cell>
        </row>
        <row r="116">
          <cell r="K116" t="str">
            <v>우리</v>
          </cell>
          <cell r="N116">
            <v>5</v>
          </cell>
          <cell r="P116">
            <v>15355.564565999999</v>
          </cell>
        </row>
        <row r="117">
          <cell r="K117" t="str">
            <v>우리</v>
          </cell>
          <cell r="N117">
            <v>16</v>
          </cell>
          <cell r="P117">
            <v>10319.037625000001</v>
          </cell>
        </row>
        <row r="118">
          <cell r="K118" t="str">
            <v>우리</v>
          </cell>
          <cell r="N118">
            <v>123</v>
          </cell>
          <cell r="P118">
            <v>6400</v>
          </cell>
        </row>
        <row r="119">
          <cell r="K119" t="str">
            <v>우리</v>
          </cell>
          <cell r="N119">
            <v>4</v>
          </cell>
          <cell r="P119">
            <v>60700</v>
          </cell>
        </row>
        <row r="120">
          <cell r="K120" t="str">
            <v>우리</v>
          </cell>
          <cell r="N120">
            <v>1</v>
          </cell>
          <cell r="P120">
            <v>6600</v>
          </cell>
        </row>
        <row r="121">
          <cell r="K121" t="str">
            <v>우리</v>
          </cell>
          <cell r="N121">
            <v>308</v>
          </cell>
          <cell r="P121">
            <v>0</v>
          </cell>
        </row>
        <row r="122">
          <cell r="K122" t="str">
            <v>우리</v>
          </cell>
          <cell r="N122">
            <v>68</v>
          </cell>
          <cell r="P122">
            <v>1700</v>
          </cell>
        </row>
        <row r="123">
          <cell r="K123" t="str">
            <v>우리</v>
          </cell>
          <cell r="N123" t="str">
            <v>na</v>
          </cell>
          <cell r="P123">
            <v>28900</v>
          </cell>
        </row>
        <row r="124">
          <cell r="K124" t="str">
            <v>우리</v>
          </cell>
          <cell r="N124">
            <v>77</v>
          </cell>
          <cell r="P124">
            <v>4000</v>
          </cell>
        </row>
        <row r="125">
          <cell r="K125" t="str">
            <v>우리</v>
          </cell>
          <cell r="N125" t="str">
            <v>na</v>
          </cell>
          <cell r="P125">
            <v>0</v>
          </cell>
        </row>
        <row r="126">
          <cell r="K126" t="str">
            <v>우리</v>
          </cell>
          <cell r="N126">
            <v>7</v>
          </cell>
          <cell r="P126">
            <v>144000</v>
          </cell>
        </row>
        <row r="127">
          <cell r="K127" t="str">
            <v>우리</v>
          </cell>
          <cell r="N127">
            <v>172</v>
          </cell>
          <cell r="P127">
            <v>0</v>
          </cell>
        </row>
        <row r="128">
          <cell r="K128" t="str">
            <v>우리</v>
          </cell>
          <cell r="N128">
            <v>1</v>
          </cell>
          <cell r="P128">
            <v>5547</v>
          </cell>
        </row>
        <row r="129">
          <cell r="K129" t="str">
            <v>우리</v>
          </cell>
          <cell r="N129">
            <v>6</v>
          </cell>
          <cell r="P129">
            <v>13000</v>
          </cell>
        </row>
        <row r="130">
          <cell r="K130" t="str">
            <v>우리</v>
          </cell>
          <cell r="N130">
            <v>2</v>
          </cell>
          <cell r="P130">
            <v>70380</v>
          </cell>
        </row>
        <row r="131">
          <cell r="K131" t="str">
            <v>우리</v>
          </cell>
          <cell r="N131">
            <v>85</v>
          </cell>
          <cell r="P131">
            <v>70000</v>
          </cell>
        </row>
        <row r="132">
          <cell r="K132" t="str">
            <v>우리</v>
          </cell>
          <cell r="N132">
            <v>69</v>
          </cell>
          <cell r="P132">
            <v>0</v>
          </cell>
        </row>
        <row r="133">
          <cell r="K133" t="str">
            <v>우리</v>
          </cell>
          <cell r="N133">
            <v>60</v>
          </cell>
          <cell r="P133">
            <v>16750</v>
          </cell>
        </row>
        <row r="134">
          <cell r="K134" t="str">
            <v>우리</v>
          </cell>
          <cell r="N134">
            <v>85</v>
          </cell>
          <cell r="P134">
            <v>48000</v>
          </cell>
        </row>
        <row r="135">
          <cell r="K135" t="str">
            <v>우리</v>
          </cell>
          <cell r="N135">
            <v>108</v>
          </cell>
          <cell r="P135">
            <v>8000</v>
          </cell>
        </row>
        <row r="136">
          <cell r="K136" t="str">
            <v>우리</v>
          </cell>
          <cell r="N136" t="str">
            <v>na</v>
          </cell>
          <cell r="P136">
            <v>0</v>
          </cell>
        </row>
        <row r="137">
          <cell r="K137" t="str">
            <v>우리</v>
          </cell>
          <cell r="N137" t="str">
            <v>na</v>
          </cell>
          <cell r="P137">
            <v>34000</v>
          </cell>
        </row>
        <row r="138">
          <cell r="K138" t="str">
            <v>우리</v>
          </cell>
          <cell r="N138">
            <v>32</v>
          </cell>
          <cell r="P138">
            <v>51428</v>
          </cell>
        </row>
        <row r="139">
          <cell r="K139" t="str">
            <v>우리</v>
          </cell>
          <cell r="N139">
            <v>23</v>
          </cell>
          <cell r="P139">
            <v>105000</v>
          </cell>
        </row>
        <row r="140">
          <cell r="K140" t="str">
            <v>우리</v>
          </cell>
          <cell r="N140">
            <v>4</v>
          </cell>
          <cell r="P140">
            <v>7500</v>
          </cell>
        </row>
        <row r="141">
          <cell r="K141" t="str">
            <v>우리</v>
          </cell>
          <cell r="N141">
            <v>169</v>
          </cell>
          <cell r="P141">
            <v>36955.817679</v>
          </cell>
        </row>
        <row r="142">
          <cell r="K142" t="str">
            <v>우리</v>
          </cell>
          <cell r="N142">
            <v>16</v>
          </cell>
          <cell r="P142">
            <v>7714.2712380000003</v>
          </cell>
        </row>
        <row r="143">
          <cell r="K143" t="str">
            <v>우리</v>
          </cell>
          <cell r="N143">
            <v>95</v>
          </cell>
          <cell r="P143">
            <v>0</v>
          </cell>
        </row>
        <row r="144">
          <cell r="K144" t="str">
            <v>우리</v>
          </cell>
          <cell r="N144">
            <v>212</v>
          </cell>
          <cell r="P144">
            <v>0</v>
          </cell>
        </row>
        <row r="145">
          <cell r="K145" t="str">
            <v>우리</v>
          </cell>
          <cell r="N145">
            <v>212</v>
          </cell>
          <cell r="P145">
            <v>31900</v>
          </cell>
        </row>
        <row r="146">
          <cell r="K146" t="str">
            <v>우리</v>
          </cell>
          <cell r="N146">
            <v>272</v>
          </cell>
          <cell r="P146">
            <v>22000</v>
          </cell>
        </row>
        <row r="147">
          <cell r="K147" t="str">
            <v>우리</v>
          </cell>
          <cell r="N147">
            <v>125</v>
          </cell>
          <cell r="P147">
            <v>5049</v>
          </cell>
        </row>
        <row r="148">
          <cell r="K148" t="str">
            <v>우리</v>
          </cell>
          <cell r="N148">
            <v>99</v>
          </cell>
          <cell r="P148">
            <v>12200</v>
          </cell>
        </row>
        <row r="149">
          <cell r="K149" t="str">
            <v>우리</v>
          </cell>
          <cell r="N149">
            <v>99</v>
          </cell>
          <cell r="P149">
            <v>29400</v>
          </cell>
        </row>
        <row r="150">
          <cell r="K150" t="str">
            <v>우리</v>
          </cell>
          <cell r="N150">
            <v>340</v>
          </cell>
          <cell r="P150">
            <v>0</v>
          </cell>
        </row>
        <row r="151">
          <cell r="K151" t="str">
            <v>우리</v>
          </cell>
          <cell r="N151" t="str">
            <v>na</v>
          </cell>
          <cell r="P151">
            <v>4000</v>
          </cell>
        </row>
        <row r="152">
          <cell r="K152" t="str">
            <v>우리</v>
          </cell>
          <cell r="N152">
            <v>49</v>
          </cell>
          <cell r="P152">
            <v>9492</v>
          </cell>
        </row>
        <row r="153">
          <cell r="K153" t="str">
            <v>우리</v>
          </cell>
          <cell r="N153">
            <v>33</v>
          </cell>
          <cell r="P153">
            <v>0</v>
          </cell>
        </row>
        <row r="154">
          <cell r="K154" t="str">
            <v>우리</v>
          </cell>
          <cell r="N154">
            <v>1</v>
          </cell>
          <cell r="P154">
            <v>101000</v>
          </cell>
        </row>
        <row r="155">
          <cell r="K155" t="str">
            <v>우리</v>
          </cell>
          <cell r="N155">
            <v>21</v>
          </cell>
          <cell r="P155">
            <v>8000</v>
          </cell>
        </row>
        <row r="156">
          <cell r="K156" t="str">
            <v>우리</v>
          </cell>
          <cell r="N156">
            <v>5</v>
          </cell>
          <cell r="P156">
            <v>56000</v>
          </cell>
        </row>
        <row r="157">
          <cell r="K157" t="str">
            <v>우리</v>
          </cell>
          <cell r="N157">
            <v>32</v>
          </cell>
          <cell r="P157">
            <v>13270</v>
          </cell>
        </row>
        <row r="158">
          <cell r="K158" t="str">
            <v>우리</v>
          </cell>
          <cell r="N158">
            <v>194</v>
          </cell>
          <cell r="P158">
            <v>18000</v>
          </cell>
        </row>
        <row r="159">
          <cell r="K159" t="str">
            <v>우리</v>
          </cell>
          <cell r="N159">
            <v>40</v>
          </cell>
          <cell r="P159">
            <v>26000</v>
          </cell>
        </row>
        <row r="160">
          <cell r="K160" t="str">
            <v>우리</v>
          </cell>
          <cell r="N160" t="str">
            <v>na</v>
          </cell>
          <cell r="P160">
            <v>0</v>
          </cell>
        </row>
        <row r="161">
          <cell r="K161" t="str">
            <v>우리</v>
          </cell>
          <cell r="N161">
            <v>410</v>
          </cell>
          <cell r="P161">
            <v>51754</v>
          </cell>
        </row>
        <row r="162">
          <cell r="K162" t="str">
            <v>우리</v>
          </cell>
          <cell r="N162">
            <v>1</v>
          </cell>
          <cell r="P162">
            <v>7390.1984899999998</v>
          </cell>
        </row>
        <row r="163">
          <cell r="K163" t="str">
            <v>우리</v>
          </cell>
          <cell r="N163">
            <v>1</v>
          </cell>
          <cell r="P163">
            <v>22091.946390000001</v>
          </cell>
        </row>
        <row r="164">
          <cell r="K164" t="str">
            <v>우리</v>
          </cell>
          <cell r="N164">
            <v>272</v>
          </cell>
          <cell r="P164">
            <v>40000</v>
          </cell>
        </row>
        <row r="165">
          <cell r="K165" t="str">
            <v>우리</v>
          </cell>
          <cell r="N165">
            <v>25</v>
          </cell>
          <cell r="P165">
            <v>19000</v>
          </cell>
        </row>
        <row r="166">
          <cell r="K166" t="str">
            <v>우리</v>
          </cell>
          <cell r="N166">
            <v>21</v>
          </cell>
          <cell r="P166">
            <v>28400</v>
          </cell>
        </row>
        <row r="167">
          <cell r="K167" t="str">
            <v>우리</v>
          </cell>
          <cell r="N167" t="str">
            <v>na</v>
          </cell>
          <cell r="P167">
            <v>0</v>
          </cell>
        </row>
        <row r="168">
          <cell r="K168" t="str">
            <v>우리</v>
          </cell>
          <cell r="N168">
            <v>13</v>
          </cell>
          <cell r="P168">
            <v>9904</v>
          </cell>
        </row>
        <row r="169">
          <cell r="K169" t="str">
            <v>우리</v>
          </cell>
          <cell r="N169" t="str">
            <v>na</v>
          </cell>
          <cell r="P169">
            <v>0</v>
          </cell>
        </row>
        <row r="170">
          <cell r="K170" t="str">
            <v>우리</v>
          </cell>
          <cell r="N170">
            <v>16</v>
          </cell>
          <cell r="P170">
            <v>31522.138948</v>
          </cell>
        </row>
        <row r="171">
          <cell r="K171" t="str">
            <v>우리</v>
          </cell>
          <cell r="N171">
            <v>34</v>
          </cell>
          <cell r="P171">
            <v>56800</v>
          </cell>
        </row>
        <row r="172">
          <cell r="K172" t="str">
            <v>우리</v>
          </cell>
          <cell r="N172" t="str">
            <v>na</v>
          </cell>
          <cell r="P172">
            <v>0</v>
          </cell>
        </row>
        <row r="173">
          <cell r="K173" t="str">
            <v>우리</v>
          </cell>
          <cell r="N173">
            <v>4</v>
          </cell>
          <cell r="P173">
            <v>14870</v>
          </cell>
        </row>
        <row r="174">
          <cell r="K174" t="str">
            <v>우리</v>
          </cell>
          <cell r="N174">
            <v>4</v>
          </cell>
          <cell r="P174">
            <v>35143</v>
          </cell>
        </row>
        <row r="175">
          <cell r="K175" t="str">
            <v>우리</v>
          </cell>
          <cell r="N175">
            <v>4</v>
          </cell>
          <cell r="P175">
            <v>35143</v>
          </cell>
        </row>
        <row r="176">
          <cell r="K176" t="str">
            <v>우리</v>
          </cell>
          <cell r="N176">
            <v>2</v>
          </cell>
          <cell r="P176">
            <v>76500</v>
          </cell>
        </row>
        <row r="177">
          <cell r="K177" t="str">
            <v>우리</v>
          </cell>
          <cell r="N177">
            <v>5</v>
          </cell>
          <cell r="P177">
            <v>42000</v>
          </cell>
        </row>
        <row r="178">
          <cell r="K178" t="str">
            <v>우리</v>
          </cell>
          <cell r="N178">
            <v>86</v>
          </cell>
          <cell r="P178">
            <v>15000</v>
          </cell>
        </row>
        <row r="179">
          <cell r="K179" t="str">
            <v>우리</v>
          </cell>
          <cell r="N179">
            <v>86</v>
          </cell>
          <cell r="P179">
            <v>30000</v>
          </cell>
        </row>
        <row r="180">
          <cell r="K180" t="str">
            <v>우리</v>
          </cell>
          <cell r="N180">
            <v>44</v>
          </cell>
          <cell r="P180">
            <v>0</v>
          </cell>
        </row>
        <row r="181">
          <cell r="K181" t="str">
            <v>우리</v>
          </cell>
          <cell r="N181">
            <v>44</v>
          </cell>
          <cell r="P181">
            <v>0</v>
          </cell>
        </row>
        <row r="182">
          <cell r="K182" t="str">
            <v>우리</v>
          </cell>
          <cell r="N182">
            <v>44</v>
          </cell>
          <cell r="P182">
            <v>0</v>
          </cell>
        </row>
        <row r="183">
          <cell r="K183" t="str">
            <v>우리</v>
          </cell>
          <cell r="N183">
            <v>44</v>
          </cell>
          <cell r="P183">
            <v>0</v>
          </cell>
        </row>
        <row r="184">
          <cell r="K184" t="str">
            <v>우리</v>
          </cell>
          <cell r="N184">
            <v>44</v>
          </cell>
          <cell r="P184">
            <v>0</v>
          </cell>
        </row>
        <row r="185">
          <cell r="K185" t="str">
            <v>우리</v>
          </cell>
          <cell r="N185">
            <v>32</v>
          </cell>
          <cell r="P185">
            <v>33000</v>
          </cell>
        </row>
        <row r="186">
          <cell r="K186" t="str">
            <v>우리</v>
          </cell>
          <cell r="N186">
            <v>79</v>
          </cell>
          <cell r="P186">
            <v>29600</v>
          </cell>
        </row>
        <row r="187">
          <cell r="K187" t="str">
            <v>우리</v>
          </cell>
          <cell r="N187">
            <v>10</v>
          </cell>
          <cell r="P187">
            <v>14072.414000000001</v>
          </cell>
        </row>
        <row r="188">
          <cell r="K188" t="str">
            <v>우리</v>
          </cell>
          <cell r="N188">
            <v>10</v>
          </cell>
          <cell r="P188">
            <v>27500</v>
          </cell>
        </row>
        <row r="189">
          <cell r="K189" t="str">
            <v>우리</v>
          </cell>
          <cell r="N189">
            <v>108</v>
          </cell>
          <cell r="P189">
            <v>25000</v>
          </cell>
        </row>
        <row r="190">
          <cell r="K190" t="str">
            <v>우리</v>
          </cell>
          <cell r="N190">
            <v>172</v>
          </cell>
          <cell r="P190">
            <v>0</v>
          </cell>
        </row>
        <row r="191">
          <cell r="K191" t="str">
            <v>우리</v>
          </cell>
          <cell r="N191">
            <v>125</v>
          </cell>
          <cell r="P191">
            <v>2250.9</v>
          </cell>
        </row>
        <row r="192">
          <cell r="K192" t="str">
            <v>우리</v>
          </cell>
          <cell r="N192">
            <v>2</v>
          </cell>
          <cell r="P192">
            <v>30900</v>
          </cell>
        </row>
        <row r="193">
          <cell r="K193" t="str">
            <v>우리</v>
          </cell>
          <cell r="N193">
            <v>2</v>
          </cell>
          <cell r="P193">
            <v>52500</v>
          </cell>
        </row>
        <row r="194">
          <cell r="K194" t="str">
            <v>우리</v>
          </cell>
          <cell r="N194">
            <v>34</v>
          </cell>
          <cell r="P194">
            <v>33000</v>
          </cell>
        </row>
        <row r="195">
          <cell r="K195" t="str">
            <v>우리</v>
          </cell>
          <cell r="N195" t="str">
            <v>na</v>
          </cell>
          <cell r="P195">
            <v>26400</v>
          </cell>
        </row>
        <row r="196">
          <cell r="K196" t="str">
            <v>우리</v>
          </cell>
          <cell r="N196">
            <v>8</v>
          </cell>
          <cell r="P196">
            <v>150</v>
          </cell>
        </row>
        <row r="197">
          <cell r="K197" t="str">
            <v>우리</v>
          </cell>
          <cell r="N197">
            <v>80</v>
          </cell>
          <cell r="P197">
            <v>53000</v>
          </cell>
        </row>
        <row r="198">
          <cell r="K198" t="str">
            <v>우리</v>
          </cell>
          <cell r="N198">
            <v>14</v>
          </cell>
          <cell r="P198">
            <v>19600</v>
          </cell>
        </row>
        <row r="199">
          <cell r="K199" t="str">
            <v>우리</v>
          </cell>
          <cell r="N199">
            <v>150</v>
          </cell>
          <cell r="P199">
            <v>51000</v>
          </cell>
        </row>
        <row r="200">
          <cell r="K200" t="str">
            <v>우리</v>
          </cell>
          <cell r="N200">
            <v>10</v>
          </cell>
          <cell r="P200">
            <v>452</v>
          </cell>
        </row>
        <row r="201">
          <cell r="K201" t="str">
            <v>우리</v>
          </cell>
          <cell r="N201">
            <v>2</v>
          </cell>
          <cell r="P201">
            <v>65700</v>
          </cell>
        </row>
        <row r="202">
          <cell r="K202" t="str">
            <v>우리</v>
          </cell>
          <cell r="N202" t="str">
            <v>na</v>
          </cell>
          <cell r="P202">
            <v>0</v>
          </cell>
        </row>
        <row r="203">
          <cell r="K203" t="str">
            <v>우리</v>
          </cell>
          <cell r="N203" t="str">
            <v>na</v>
          </cell>
          <cell r="P203">
            <v>9200</v>
          </cell>
        </row>
        <row r="204">
          <cell r="K204" t="str">
            <v>우리</v>
          </cell>
          <cell r="N204">
            <v>176</v>
          </cell>
          <cell r="P204">
            <v>32533</v>
          </cell>
        </row>
        <row r="205">
          <cell r="K205" t="str">
            <v>우리</v>
          </cell>
          <cell r="N205">
            <v>49</v>
          </cell>
          <cell r="P205">
            <v>30000</v>
          </cell>
        </row>
        <row r="206">
          <cell r="K206" t="str">
            <v>우리</v>
          </cell>
          <cell r="N206">
            <v>4</v>
          </cell>
          <cell r="P206">
            <v>14996.221437</v>
          </cell>
        </row>
        <row r="207">
          <cell r="K207" t="str">
            <v>우리</v>
          </cell>
          <cell r="N207">
            <v>4</v>
          </cell>
          <cell r="P207">
            <v>8662.8208680000007</v>
          </cell>
        </row>
        <row r="208">
          <cell r="K208" t="str">
            <v>우리</v>
          </cell>
          <cell r="N208">
            <v>14</v>
          </cell>
          <cell r="P208">
            <v>65000</v>
          </cell>
        </row>
        <row r="209">
          <cell r="K209" t="str">
            <v>우리</v>
          </cell>
          <cell r="N209">
            <v>14</v>
          </cell>
          <cell r="P209">
            <v>67500</v>
          </cell>
        </row>
        <row r="210">
          <cell r="K210" t="str">
            <v>우리</v>
          </cell>
          <cell r="N210">
            <v>108</v>
          </cell>
          <cell r="P210">
            <v>39440</v>
          </cell>
        </row>
        <row r="211">
          <cell r="K211" t="str">
            <v>우리</v>
          </cell>
          <cell r="N211">
            <v>108</v>
          </cell>
          <cell r="P211">
            <v>31560</v>
          </cell>
        </row>
        <row r="212">
          <cell r="K212" t="str">
            <v>우리</v>
          </cell>
          <cell r="N212">
            <v>3</v>
          </cell>
          <cell r="P212">
            <v>120000</v>
          </cell>
        </row>
        <row r="213">
          <cell r="K213" t="str">
            <v>우리</v>
          </cell>
          <cell r="N213">
            <v>50</v>
          </cell>
          <cell r="P213">
            <v>0</v>
          </cell>
        </row>
        <row r="214">
          <cell r="K214" t="str">
            <v>우리</v>
          </cell>
          <cell r="N214">
            <v>175</v>
          </cell>
          <cell r="P214">
            <v>37000</v>
          </cell>
        </row>
        <row r="215">
          <cell r="K215" t="str">
            <v>우리</v>
          </cell>
          <cell r="N215">
            <v>12</v>
          </cell>
          <cell r="P215">
            <v>49567.316220000001</v>
          </cell>
        </row>
        <row r="216">
          <cell r="K216" t="str">
            <v>우리</v>
          </cell>
          <cell r="N216" t="str">
            <v>na</v>
          </cell>
          <cell r="P216">
            <v>0</v>
          </cell>
        </row>
        <row r="217">
          <cell r="K217" t="str">
            <v>우리</v>
          </cell>
          <cell r="N217">
            <v>15</v>
          </cell>
          <cell r="P217">
            <v>60000</v>
          </cell>
        </row>
        <row r="218">
          <cell r="K218" t="str">
            <v>우리</v>
          </cell>
          <cell r="N218">
            <v>15</v>
          </cell>
          <cell r="P218">
            <v>20000</v>
          </cell>
        </row>
        <row r="219">
          <cell r="K219" t="str">
            <v>우리</v>
          </cell>
          <cell r="N219">
            <v>15</v>
          </cell>
          <cell r="P219">
            <v>40000</v>
          </cell>
        </row>
        <row r="220">
          <cell r="K220" t="str">
            <v>우리</v>
          </cell>
          <cell r="N220">
            <v>12</v>
          </cell>
          <cell r="P220">
            <v>29756.380763000001</v>
          </cell>
        </row>
        <row r="221">
          <cell r="K221" t="str">
            <v>우리</v>
          </cell>
          <cell r="N221">
            <v>40</v>
          </cell>
          <cell r="P221">
            <v>69000</v>
          </cell>
        </row>
        <row r="222">
          <cell r="K222" t="str">
            <v>우리</v>
          </cell>
          <cell r="N222">
            <v>69</v>
          </cell>
          <cell r="P222">
            <v>5800</v>
          </cell>
        </row>
        <row r="223">
          <cell r="K223" t="str">
            <v>우리</v>
          </cell>
          <cell r="N223">
            <v>340</v>
          </cell>
          <cell r="P223">
            <v>0</v>
          </cell>
        </row>
        <row r="224">
          <cell r="K224" t="str">
            <v>우리</v>
          </cell>
          <cell r="N224">
            <v>79</v>
          </cell>
          <cell r="P224">
            <v>50000</v>
          </cell>
        </row>
        <row r="225">
          <cell r="K225" t="str">
            <v>우리</v>
          </cell>
          <cell r="N225">
            <v>46</v>
          </cell>
          <cell r="P225">
            <v>89000</v>
          </cell>
        </row>
        <row r="226">
          <cell r="K226" t="str">
            <v>우리</v>
          </cell>
          <cell r="N226">
            <v>21</v>
          </cell>
          <cell r="P226">
            <v>41454.798065000003</v>
          </cell>
        </row>
        <row r="227">
          <cell r="K227" t="str">
            <v>우리</v>
          </cell>
          <cell r="N227">
            <v>6</v>
          </cell>
          <cell r="P227">
            <v>5087.3999999999996</v>
          </cell>
        </row>
        <row r="228">
          <cell r="K228" t="str">
            <v>우리</v>
          </cell>
          <cell r="N228">
            <v>40</v>
          </cell>
          <cell r="P228">
            <v>11147.976658</v>
          </cell>
        </row>
        <row r="229">
          <cell r="K229" t="str">
            <v>우리</v>
          </cell>
          <cell r="N229">
            <v>23</v>
          </cell>
          <cell r="P229">
            <v>7000</v>
          </cell>
        </row>
        <row r="230">
          <cell r="K230" t="str">
            <v>우리</v>
          </cell>
          <cell r="N230" t="str">
            <v>na</v>
          </cell>
          <cell r="P230">
            <v>0</v>
          </cell>
        </row>
        <row r="231">
          <cell r="K231" t="str">
            <v>우리</v>
          </cell>
          <cell r="N231">
            <v>54</v>
          </cell>
          <cell r="P231">
            <v>30000</v>
          </cell>
        </row>
        <row r="232">
          <cell r="K232" t="str">
            <v>우리</v>
          </cell>
          <cell r="N232">
            <v>212</v>
          </cell>
          <cell r="P232">
            <v>0</v>
          </cell>
        </row>
        <row r="233">
          <cell r="K233" t="str">
            <v>우리</v>
          </cell>
          <cell r="N233">
            <v>46</v>
          </cell>
          <cell r="P233">
            <v>18500</v>
          </cell>
        </row>
        <row r="234">
          <cell r="K234" t="str">
            <v>우리</v>
          </cell>
          <cell r="N234">
            <v>279</v>
          </cell>
          <cell r="P234">
            <v>18700</v>
          </cell>
        </row>
        <row r="235">
          <cell r="K235" t="str">
            <v>우리</v>
          </cell>
          <cell r="N235">
            <v>279</v>
          </cell>
          <cell r="P235">
            <v>11310</v>
          </cell>
        </row>
        <row r="236">
          <cell r="K236" t="str">
            <v>우리</v>
          </cell>
          <cell r="N236">
            <v>14</v>
          </cell>
          <cell r="P236">
            <v>14300</v>
          </cell>
        </row>
        <row r="237">
          <cell r="K237" t="str">
            <v>우리</v>
          </cell>
          <cell r="N237">
            <v>14</v>
          </cell>
          <cell r="P237">
            <v>12700</v>
          </cell>
        </row>
        <row r="238">
          <cell r="K238" t="str">
            <v>우리</v>
          </cell>
          <cell r="N238">
            <v>36</v>
          </cell>
          <cell r="P238">
            <v>42000</v>
          </cell>
        </row>
        <row r="239">
          <cell r="K239" t="str">
            <v>우리</v>
          </cell>
          <cell r="N239">
            <v>2</v>
          </cell>
          <cell r="P239">
            <v>35500</v>
          </cell>
        </row>
        <row r="240">
          <cell r="K240" t="str">
            <v>우리</v>
          </cell>
          <cell r="N240">
            <v>34</v>
          </cell>
          <cell r="P240">
            <v>43500</v>
          </cell>
        </row>
        <row r="241">
          <cell r="K241" t="str">
            <v>우리</v>
          </cell>
          <cell r="N241">
            <v>66</v>
          </cell>
          <cell r="P241">
            <v>40000</v>
          </cell>
        </row>
        <row r="242">
          <cell r="K242" t="str">
            <v>우리</v>
          </cell>
          <cell r="N242">
            <v>46</v>
          </cell>
          <cell r="P242">
            <v>40000</v>
          </cell>
        </row>
        <row r="243">
          <cell r="K243" t="str">
            <v>우리</v>
          </cell>
          <cell r="N243">
            <v>33</v>
          </cell>
          <cell r="P243">
            <v>37000</v>
          </cell>
        </row>
        <row r="244">
          <cell r="K244" t="str">
            <v>우리</v>
          </cell>
          <cell r="N244">
            <v>39</v>
          </cell>
          <cell r="P244">
            <v>60500</v>
          </cell>
        </row>
        <row r="245">
          <cell r="K245" t="str">
            <v>우리</v>
          </cell>
          <cell r="N245">
            <v>140</v>
          </cell>
          <cell r="P245">
            <v>0</v>
          </cell>
        </row>
        <row r="246">
          <cell r="K246" t="str">
            <v>우리</v>
          </cell>
          <cell r="N246">
            <v>441</v>
          </cell>
          <cell r="P246">
            <v>35560</v>
          </cell>
        </row>
        <row r="247">
          <cell r="K247" t="str">
            <v>우리</v>
          </cell>
          <cell r="N247">
            <v>60</v>
          </cell>
          <cell r="P247">
            <v>17600</v>
          </cell>
        </row>
        <row r="248">
          <cell r="K248" t="str">
            <v>우리</v>
          </cell>
          <cell r="N248">
            <v>333</v>
          </cell>
          <cell r="P248">
            <v>14000</v>
          </cell>
        </row>
        <row r="249">
          <cell r="K249" t="str">
            <v>우리</v>
          </cell>
          <cell r="N249">
            <v>1</v>
          </cell>
          <cell r="P249">
            <v>198000</v>
          </cell>
        </row>
        <row r="250">
          <cell r="K250" t="str">
            <v>우리</v>
          </cell>
          <cell r="N250">
            <v>48</v>
          </cell>
          <cell r="P250">
            <v>56249.296813000001</v>
          </cell>
        </row>
        <row r="251">
          <cell r="K251" t="str">
            <v>우리</v>
          </cell>
          <cell r="N251">
            <v>33</v>
          </cell>
          <cell r="P251">
            <v>0</v>
          </cell>
        </row>
        <row r="252">
          <cell r="K252" t="str">
            <v>우리</v>
          </cell>
          <cell r="N252">
            <v>38</v>
          </cell>
          <cell r="P252">
            <v>40511.3024</v>
          </cell>
        </row>
        <row r="253">
          <cell r="K253" t="str">
            <v>우리</v>
          </cell>
          <cell r="N253">
            <v>7</v>
          </cell>
          <cell r="P253">
            <v>1470.11187</v>
          </cell>
        </row>
        <row r="254">
          <cell r="K254" t="str">
            <v>우리</v>
          </cell>
          <cell r="N254">
            <v>7</v>
          </cell>
          <cell r="P254">
            <v>353.36124999999998</v>
          </cell>
        </row>
        <row r="255">
          <cell r="K255" t="str">
            <v>우리</v>
          </cell>
          <cell r="N255">
            <v>150</v>
          </cell>
          <cell r="P255">
            <v>95000</v>
          </cell>
        </row>
        <row r="256">
          <cell r="K256" t="str">
            <v>우리</v>
          </cell>
          <cell r="N256">
            <v>18</v>
          </cell>
          <cell r="P256">
            <v>9338.9894769999992</v>
          </cell>
        </row>
        <row r="257">
          <cell r="K257" t="str">
            <v>우리</v>
          </cell>
          <cell r="N257">
            <v>10</v>
          </cell>
          <cell r="P257">
            <v>0</v>
          </cell>
        </row>
        <row r="258">
          <cell r="K258" t="str">
            <v>우리</v>
          </cell>
          <cell r="N258">
            <v>272</v>
          </cell>
          <cell r="P258">
            <v>27167</v>
          </cell>
        </row>
        <row r="259">
          <cell r="K259" t="str">
            <v>우리</v>
          </cell>
          <cell r="N259">
            <v>272</v>
          </cell>
          <cell r="P259">
            <v>26167</v>
          </cell>
        </row>
        <row r="260">
          <cell r="K260" t="str">
            <v>우리</v>
          </cell>
          <cell r="N260">
            <v>22</v>
          </cell>
          <cell r="P260">
            <v>40000</v>
          </cell>
        </row>
        <row r="261">
          <cell r="K261" t="str">
            <v>우리</v>
          </cell>
          <cell r="N261">
            <v>12</v>
          </cell>
          <cell r="P261">
            <v>34742.396059999999</v>
          </cell>
        </row>
        <row r="262">
          <cell r="K262" t="str">
            <v>우리</v>
          </cell>
          <cell r="N262">
            <v>46</v>
          </cell>
          <cell r="P262">
            <v>28000</v>
          </cell>
        </row>
        <row r="263">
          <cell r="K263" t="str">
            <v>우리</v>
          </cell>
          <cell r="N263">
            <v>5</v>
          </cell>
          <cell r="P263">
            <v>21000</v>
          </cell>
        </row>
        <row r="264">
          <cell r="K264" t="str">
            <v>우리</v>
          </cell>
          <cell r="N264">
            <v>3</v>
          </cell>
          <cell r="P264">
            <v>14100</v>
          </cell>
        </row>
        <row r="265">
          <cell r="K265" t="str">
            <v>우리</v>
          </cell>
          <cell r="N265">
            <v>9</v>
          </cell>
          <cell r="P265">
            <v>40000</v>
          </cell>
        </row>
        <row r="266">
          <cell r="K266" t="str">
            <v>우리</v>
          </cell>
          <cell r="N266">
            <v>21</v>
          </cell>
          <cell r="P266">
            <v>53000</v>
          </cell>
        </row>
        <row r="267">
          <cell r="K267" t="str">
            <v>우리</v>
          </cell>
          <cell r="N267">
            <v>3</v>
          </cell>
          <cell r="P267">
            <v>11051.406763000001</v>
          </cell>
        </row>
        <row r="268">
          <cell r="K268" t="str">
            <v>우리</v>
          </cell>
          <cell r="N268">
            <v>1</v>
          </cell>
          <cell r="P268">
            <v>7420.4216319999996</v>
          </cell>
        </row>
        <row r="269">
          <cell r="K269" t="str">
            <v>우리</v>
          </cell>
          <cell r="N269" t="str">
            <v>na</v>
          </cell>
          <cell r="P269">
            <v>0</v>
          </cell>
        </row>
        <row r="270">
          <cell r="K270" t="str">
            <v>우리</v>
          </cell>
          <cell r="N270">
            <v>18</v>
          </cell>
          <cell r="P270">
            <v>9342.3285030000006</v>
          </cell>
        </row>
        <row r="271">
          <cell r="K271" t="str">
            <v>우리</v>
          </cell>
          <cell r="N271">
            <v>102</v>
          </cell>
          <cell r="P271">
            <v>44000</v>
          </cell>
        </row>
        <row r="272">
          <cell r="K272" t="str">
            <v>우리</v>
          </cell>
          <cell r="N272">
            <v>79</v>
          </cell>
          <cell r="P272">
            <v>35250</v>
          </cell>
        </row>
        <row r="273">
          <cell r="K273" t="str">
            <v>우리</v>
          </cell>
          <cell r="N273">
            <v>98</v>
          </cell>
          <cell r="P273">
            <v>33000</v>
          </cell>
        </row>
        <row r="274">
          <cell r="K274" t="str">
            <v>우리</v>
          </cell>
          <cell r="N274">
            <v>40</v>
          </cell>
          <cell r="P274">
            <v>0</v>
          </cell>
        </row>
        <row r="275">
          <cell r="K275" t="str">
            <v>우리</v>
          </cell>
          <cell r="N275">
            <v>56</v>
          </cell>
          <cell r="P275">
            <v>70000</v>
          </cell>
        </row>
        <row r="276">
          <cell r="K276" t="str">
            <v>우리</v>
          </cell>
          <cell r="N276">
            <v>127</v>
          </cell>
          <cell r="P276">
            <v>65000</v>
          </cell>
        </row>
        <row r="277">
          <cell r="K277" t="str">
            <v>우리</v>
          </cell>
          <cell r="N277">
            <v>45</v>
          </cell>
          <cell r="P277">
            <v>25000</v>
          </cell>
        </row>
        <row r="278">
          <cell r="K278" t="str">
            <v>우리</v>
          </cell>
          <cell r="N278">
            <v>13</v>
          </cell>
          <cell r="P278">
            <v>208</v>
          </cell>
        </row>
        <row r="279">
          <cell r="K279" t="str">
            <v>우리</v>
          </cell>
          <cell r="N279">
            <v>13</v>
          </cell>
          <cell r="P279">
            <v>193</v>
          </cell>
        </row>
        <row r="280">
          <cell r="K280" t="str">
            <v>우리</v>
          </cell>
          <cell r="N280">
            <v>13</v>
          </cell>
          <cell r="P280">
            <v>208</v>
          </cell>
        </row>
        <row r="281">
          <cell r="K281" t="str">
            <v>우리</v>
          </cell>
          <cell r="N281">
            <v>13</v>
          </cell>
          <cell r="P281">
            <v>991</v>
          </cell>
        </row>
        <row r="282">
          <cell r="K282" t="str">
            <v>우리</v>
          </cell>
          <cell r="N282">
            <v>13</v>
          </cell>
          <cell r="P282">
            <v>200</v>
          </cell>
        </row>
        <row r="283">
          <cell r="K283" t="str">
            <v>우리</v>
          </cell>
          <cell r="N283">
            <v>13</v>
          </cell>
          <cell r="P283">
            <v>145</v>
          </cell>
        </row>
        <row r="284">
          <cell r="K284" t="str">
            <v>우리</v>
          </cell>
          <cell r="N284">
            <v>13</v>
          </cell>
          <cell r="P284">
            <v>175</v>
          </cell>
        </row>
        <row r="285">
          <cell r="K285" t="str">
            <v>우리</v>
          </cell>
          <cell r="N285">
            <v>13</v>
          </cell>
          <cell r="P285">
            <v>18</v>
          </cell>
        </row>
        <row r="286">
          <cell r="K286" t="str">
            <v>우리</v>
          </cell>
          <cell r="N286">
            <v>13</v>
          </cell>
          <cell r="P286">
            <v>232</v>
          </cell>
        </row>
        <row r="287">
          <cell r="K287" t="str">
            <v>우리</v>
          </cell>
          <cell r="N287">
            <v>13</v>
          </cell>
          <cell r="P287">
            <v>208</v>
          </cell>
        </row>
        <row r="288">
          <cell r="K288" t="str">
            <v>우리</v>
          </cell>
          <cell r="N288">
            <v>13</v>
          </cell>
          <cell r="P288">
            <v>377</v>
          </cell>
        </row>
        <row r="289">
          <cell r="K289" t="str">
            <v>우리</v>
          </cell>
          <cell r="N289">
            <v>13</v>
          </cell>
          <cell r="P289">
            <v>247</v>
          </cell>
        </row>
        <row r="290">
          <cell r="K290" t="str">
            <v>우리</v>
          </cell>
          <cell r="N290">
            <v>13</v>
          </cell>
          <cell r="P290">
            <v>103</v>
          </cell>
        </row>
        <row r="291">
          <cell r="K291" t="str">
            <v>우리</v>
          </cell>
          <cell r="N291">
            <v>13</v>
          </cell>
          <cell r="P291">
            <v>389</v>
          </cell>
        </row>
        <row r="292">
          <cell r="K292" t="str">
            <v>우리</v>
          </cell>
          <cell r="N292">
            <v>13</v>
          </cell>
          <cell r="P292">
            <v>235</v>
          </cell>
        </row>
        <row r="293">
          <cell r="K293" t="str">
            <v>우리</v>
          </cell>
          <cell r="N293">
            <v>13</v>
          </cell>
          <cell r="P293">
            <v>198</v>
          </cell>
        </row>
        <row r="294">
          <cell r="K294" t="str">
            <v>우리</v>
          </cell>
          <cell r="N294">
            <v>13</v>
          </cell>
          <cell r="P294">
            <v>186</v>
          </cell>
        </row>
        <row r="295">
          <cell r="K295" t="str">
            <v>우리</v>
          </cell>
          <cell r="N295">
            <v>13</v>
          </cell>
          <cell r="P295">
            <v>100</v>
          </cell>
        </row>
        <row r="296">
          <cell r="K296" t="str">
            <v>우리</v>
          </cell>
          <cell r="N296">
            <v>13</v>
          </cell>
          <cell r="P296">
            <v>26</v>
          </cell>
        </row>
        <row r="297">
          <cell r="K297" t="str">
            <v>우리</v>
          </cell>
          <cell r="N297">
            <v>13</v>
          </cell>
          <cell r="P297">
            <v>232</v>
          </cell>
        </row>
        <row r="298">
          <cell r="K298" t="str">
            <v>우리</v>
          </cell>
          <cell r="N298">
            <v>13</v>
          </cell>
          <cell r="P298">
            <v>260</v>
          </cell>
        </row>
        <row r="299">
          <cell r="K299" t="str">
            <v>우리</v>
          </cell>
          <cell r="N299">
            <v>12</v>
          </cell>
          <cell r="P299">
            <v>19574.301128999999</v>
          </cell>
        </row>
        <row r="300">
          <cell r="K300" t="str">
            <v>우리</v>
          </cell>
          <cell r="N300">
            <v>12</v>
          </cell>
          <cell r="P300">
            <v>71652.547749000005</v>
          </cell>
        </row>
        <row r="301">
          <cell r="K301" t="str">
            <v>우리</v>
          </cell>
          <cell r="N301">
            <v>22</v>
          </cell>
          <cell r="P301">
            <v>4720</v>
          </cell>
        </row>
        <row r="302">
          <cell r="K302" t="str">
            <v>우리</v>
          </cell>
          <cell r="N302">
            <v>2</v>
          </cell>
          <cell r="P302">
            <v>20000</v>
          </cell>
        </row>
        <row r="303">
          <cell r="K303" t="str">
            <v>우리</v>
          </cell>
          <cell r="N303">
            <v>322</v>
          </cell>
          <cell r="P303">
            <v>12595</v>
          </cell>
        </row>
        <row r="304">
          <cell r="K304" t="str">
            <v>우리</v>
          </cell>
          <cell r="N304">
            <v>35</v>
          </cell>
          <cell r="P304">
            <v>0</v>
          </cell>
        </row>
        <row r="305">
          <cell r="K305" t="str">
            <v>우리</v>
          </cell>
          <cell r="N305">
            <v>79</v>
          </cell>
          <cell r="P305">
            <v>0</v>
          </cell>
        </row>
        <row r="306">
          <cell r="K306" t="str">
            <v>우리</v>
          </cell>
          <cell r="N306">
            <v>38</v>
          </cell>
          <cell r="P306">
            <v>0</v>
          </cell>
        </row>
        <row r="307">
          <cell r="K307" t="str">
            <v>우리</v>
          </cell>
          <cell r="N307">
            <v>63</v>
          </cell>
          <cell r="P307">
            <v>64172</v>
          </cell>
        </row>
        <row r="308">
          <cell r="K308" t="str">
            <v>우리</v>
          </cell>
          <cell r="N308">
            <v>98</v>
          </cell>
          <cell r="P308">
            <v>7000</v>
          </cell>
        </row>
        <row r="309">
          <cell r="K309" t="str">
            <v>우리</v>
          </cell>
          <cell r="N309">
            <v>45</v>
          </cell>
          <cell r="P309">
            <v>36134</v>
          </cell>
        </row>
        <row r="310">
          <cell r="K310" t="str">
            <v>우리</v>
          </cell>
          <cell r="N310">
            <v>98</v>
          </cell>
          <cell r="P310">
            <v>23385</v>
          </cell>
        </row>
        <row r="311">
          <cell r="K311" t="str">
            <v>우리</v>
          </cell>
          <cell r="N311" t="str">
            <v>na</v>
          </cell>
          <cell r="P311">
            <v>0</v>
          </cell>
        </row>
        <row r="312">
          <cell r="K312" t="str">
            <v>우리</v>
          </cell>
          <cell r="N312">
            <v>12</v>
          </cell>
          <cell r="P312">
            <v>27755</v>
          </cell>
        </row>
        <row r="313">
          <cell r="K313" t="str">
            <v>우리</v>
          </cell>
          <cell r="N313" t="str">
            <v>na</v>
          </cell>
          <cell r="P313">
            <v>0</v>
          </cell>
        </row>
        <row r="314">
          <cell r="K314" t="str">
            <v>우리</v>
          </cell>
          <cell r="N314">
            <v>18</v>
          </cell>
          <cell r="P314">
            <v>60000</v>
          </cell>
        </row>
        <row r="315">
          <cell r="K315" t="str">
            <v>우리</v>
          </cell>
          <cell r="N315">
            <v>67</v>
          </cell>
          <cell r="P315">
            <v>0</v>
          </cell>
        </row>
        <row r="316">
          <cell r="K316" t="str">
            <v>우리</v>
          </cell>
          <cell r="N316">
            <v>12</v>
          </cell>
          <cell r="P316">
            <v>30204.081632000001</v>
          </cell>
        </row>
        <row r="317">
          <cell r="K317" t="str">
            <v>우리</v>
          </cell>
          <cell r="N317">
            <v>14</v>
          </cell>
          <cell r="P317">
            <v>152020</v>
          </cell>
        </row>
        <row r="318">
          <cell r="K318" t="str">
            <v>우리</v>
          </cell>
          <cell r="N318">
            <v>10</v>
          </cell>
          <cell r="P318">
            <v>8125</v>
          </cell>
        </row>
        <row r="319">
          <cell r="K319" t="str">
            <v>우리</v>
          </cell>
          <cell r="N319">
            <v>63</v>
          </cell>
          <cell r="P319">
            <v>39499</v>
          </cell>
        </row>
        <row r="320">
          <cell r="K320" t="str">
            <v>우리</v>
          </cell>
          <cell r="N320" t="str">
            <v>na</v>
          </cell>
          <cell r="P320">
            <v>0</v>
          </cell>
        </row>
        <row r="321">
          <cell r="K321" t="str">
            <v>우리</v>
          </cell>
          <cell r="N321">
            <v>174</v>
          </cell>
          <cell r="P321">
            <v>0</v>
          </cell>
        </row>
        <row r="322">
          <cell r="K322" t="str">
            <v>우리</v>
          </cell>
          <cell r="N322">
            <v>12</v>
          </cell>
          <cell r="P322">
            <v>40000</v>
          </cell>
        </row>
        <row r="323">
          <cell r="K323" t="str">
            <v>우리</v>
          </cell>
          <cell r="N323">
            <v>41</v>
          </cell>
          <cell r="P323">
            <v>30000</v>
          </cell>
        </row>
        <row r="324">
          <cell r="K324" t="str">
            <v>우리</v>
          </cell>
          <cell r="N324">
            <v>59</v>
          </cell>
          <cell r="P324">
            <v>0</v>
          </cell>
        </row>
        <row r="325">
          <cell r="K325" t="str">
            <v>우리</v>
          </cell>
          <cell r="N325">
            <v>6</v>
          </cell>
          <cell r="P325">
            <v>41800</v>
          </cell>
        </row>
        <row r="326">
          <cell r="K326" t="str">
            <v>우리</v>
          </cell>
          <cell r="N326">
            <v>34</v>
          </cell>
          <cell r="P326">
            <v>82400</v>
          </cell>
        </row>
        <row r="327">
          <cell r="K327" t="str">
            <v>우리</v>
          </cell>
          <cell r="N327">
            <v>6</v>
          </cell>
          <cell r="P327">
            <v>58500</v>
          </cell>
        </row>
        <row r="328">
          <cell r="K328" t="str">
            <v>우리</v>
          </cell>
          <cell r="N328">
            <v>79</v>
          </cell>
          <cell r="P328">
            <v>0</v>
          </cell>
        </row>
        <row r="329">
          <cell r="K329" t="str">
            <v>우리</v>
          </cell>
          <cell r="N329">
            <v>56</v>
          </cell>
          <cell r="P329">
            <v>40000</v>
          </cell>
        </row>
        <row r="330">
          <cell r="K330" t="str">
            <v>우리</v>
          </cell>
          <cell r="N330">
            <v>76</v>
          </cell>
          <cell r="P330">
            <v>28000</v>
          </cell>
        </row>
        <row r="331">
          <cell r="K331" t="str">
            <v>우리</v>
          </cell>
          <cell r="N331">
            <v>50</v>
          </cell>
          <cell r="P331">
            <v>10000</v>
          </cell>
        </row>
        <row r="332">
          <cell r="K332" t="str">
            <v>우리</v>
          </cell>
          <cell r="N332">
            <v>14</v>
          </cell>
          <cell r="P332">
            <v>100000</v>
          </cell>
        </row>
        <row r="333">
          <cell r="K333" t="str">
            <v>우리</v>
          </cell>
          <cell r="N333">
            <v>34</v>
          </cell>
          <cell r="P333">
            <v>42500</v>
          </cell>
        </row>
        <row r="334">
          <cell r="K334" t="str">
            <v>우리</v>
          </cell>
          <cell r="N334">
            <v>1</v>
          </cell>
          <cell r="P334">
            <v>54000</v>
          </cell>
        </row>
        <row r="335">
          <cell r="K335" t="str">
            <v>우리</v>
          </cell>
          <cell r="N335">
            <v>12</v>
          </cell>
          <cell r="P335">
            <v>65000</v>
          </cell>
        </row>
        <row r="336">
          <cell r="K336" t="str">
            <v>우리</v>
          </cell>
          <cell r="N336">
            <v>13</v>
          </cell>
          <cell r="P336">
            <v>66500</v>
          </cell>
        </row>
        <row r="337">
          <cell r="K337" t="str">
            <v>우리</v>
          </cell>
          <cell r="N337">
            <v>77</v>
          </cell>
          <cell r="P337">
            <v>25000</v>
          </cell>
        </row>
        <row r="338">
          <cell r="K338" t="str">
            <v>우리</v>
          </cell>
          <cell r="N338" t="str">
            <v>na</v>
          </cell>
          <cell r="P338">
            <v>34000</v>
          </cell>
        </row>
        <row r="339">
          <cell r="K339" t="str">
            <v>우리</v>
          </cell>
          <cell r="N339" t="str">
            <v>na</v>
          </cell>
          <cell r="P339">
            <v>0</v>
          </cell>
        </row>
        <row r="340">
          <cell r="K340" t="str">
            <v>우리</v>
          </cell>
          <cell r="N340">
            <v>30</v>
          </cell>
          <cell r="P340">
            <v>30000</v>
          </cell>
        </row>
        <row r="341">
          <cell r="K341" t="str">
            <v>우리</v>
          </cell>
          <cell r="N341">
            <v>76</v>
          </cell>
          <cell r="P341">
            <v>7000</v>
          </cell>
        </row>
        <row r="342">
          <cell r="K342" t="str">
            <v>우리</v>
          </cell>
          <cell r="N342">
            <v>41</v>
          </cell>
          <cell r="P342">
            <v>30000</v>
          </cell>
        </row>
        <row r="343">
          <cell r="K343" t="str">
            <v>우리</v>
          </cell>
          <cell r="N343">
            <v>69</v>
          </cell>
          <cell r="P343">
            <v>10000</v>
          </cell>
        </row>
        <row r="344">
          <cell r="K344" t="str">
            <v>우리</v>
          </cell>
          <cell r="N344">
            <v>71</v>
          </cell>
          <cell r="P344">
            <v>23998.2</v>
          </cell>
        </row>
        <row r="345">
          <cell r="K345" t="str">
            <v>우리</v>
          </cell>
          <cell r="N345">
            <v>8</v>
          </cell>
          <cell r="P345">
            <v>8347.2000000000007</v>
          </cell>
        </row>
        <row r="346">
          <cell r="K346" t="str">
            <v>우리</v>
          </cell>
          <cell r="N346">
            <v>8</v>
          </cell>
          <cell r="P346">
            <v>1043.4000000000001</v>
          </cell>
        </row>
        <row r="347">
          <cell r="K347" t="str">
            <v>우리</v>
          </cell>
          <cell r="N347">
            <v>180</v>
          </cell>
          <cell r="P347">
            <v>4500</v>
          </cell>
        </row>
        <row r="348">
          <cell r="K348" t="str">
            <v>우리</v>
          </cell>
          <cell r="N348">
            <v>1</v>
          </cell>
          <cell r="P348">
            <v>86000</v>
          </cell>
        </row>
        <row r="349">
          <cell r="K349" t="str">
            <v>우리</v>
          </cell>
          <cell r="N349">
            <v>13</v>
          </cell>
          <cell r="P349">
            <v>43058</v>
          </cell>
        </row>
        <row r="350">
          <cell r="K350" t="str">
            <v>우리</v>
          </cell>
          <cell r="N350">
            <v>86</v>
          </cell>
          <cell r="P350">
            <v>0</v>
          </cell>
        </row>
        <row r="351">
          <cell r="K351" t="str">
            <v>우리</v>
          </cell>
          <cell r="N351" t="str">
            <v>na</v>
          </cell>
          <cell r="P351">
            <v>0</v>
          </cell>
        </row>
        <row r="352">
          <cell r="K352" t="str">
            <v>우리</v>
          </cell>
          <cell r="N352" t="str">
            <v>na</v>
          </cell>
          <cell r="P352">
            <v>0</v>
          </cell>
        </row>
        <row r="353">
          <cell r="K353" t="str">
            <v>우리</v>
          </cell>
          <cell r="N353">
            <v>102</v>
          </cell>
          <cell r="P353">
            <v>0</v>
          </cell>
        </row>
        <row r="354">
          <cell r="K354" t="str">
            <v>우리</v>
          </cell>
          <cell r="N354" t="str">
            <v>na</v>
          </cell>
          <cell r="P354">
            <v>0</v>
          </cell>
        </row>
        <row r="355">
          <cell r="K355" t="str">
            <v>우리</v>
          </cell>
          <cell r="N355">
            <v>1</v>
          </cell>
          <cell r="P355">
            <v>0</v>
          </cell>
        </row>
        <row r="356">
          <cell r="K356" t="str">
            <v>우리</v>
          </cell>
          <cell r="N356" t="str">
            <v>na</v>
          </cell>
          <cell r="P356">
            <v>0</v>
          </cell>
        </row>
        <row r="357">
          <cell r="K357" t="str">
            <v>우리</v>
          </cell>
          <cell r="N357">
            <v>410</v>
          </cell>
          <cell r="P357">
            <v>0</v>
          </cell>
        </row>
        <row r="358">
          <cell r="K358" t="str">
            <v>우리</v>
          </cell>
          <cell r="N358">
            <v>6</v>
          </cell>
          <cell r="P358">
            <v>0</v>
          </cell>
        </row>
        <row r="359">
          <cell r="K359" t="str">
            <v>우리</v>
          </cell>
          <cell r="N359" t="str">
            <v>na</v>
          </cell>
          <cell r="P359">
            <v>0</v>
          </cell>
        </row>
        <row r="360">
          <cell r="K360" t="str">
            <v>우리</v>
          </cell>
          <cell r="N360" t="str">
            <v>na</v>
          </cell>
          <cell r="P360">
            <v>0</v>
          </cell>
        </row>
        <row r="361">
          <cell r="K361" t="str">
            <v>우리</v>
          </cell>
          <cell r="N361">
            <v>17</v>
          </cell>
          <cell r="P361">
            <v>35000</v>
          </cell>
        </row>
        <row r="362">
          <cell r="K362" t="str">
            <v>우리</v>
          </cell>
          <cell r="N362" t="str">
            <v>na</v>
          </cell>
          <cell r="P362">
            <v>0</v>
          </cell>
        </row>
        <row r="363">
          <cell r="K363" t="str">
            <v>우리</v>
          </cell>
          <cell r="N363" t="str">
            <v>na</v>
          </cell>
          <cell r="P363">
            <v>0</v>
          </cell>
        </row>
        <row r="364">
          <cell r="K364" t="str">
            <v>우리</v>
          </cell>
          <cell r="N364" t="str">
            <v>na</v>
          </cell>
          <cell r="P364">
            <v>15000</v>
          </cell>
        </row>
        <row r="365">
          <cell r="K365" t="str">
            <v>우리</v>
          </cell>
          <cell r="N365" t="str">
            <v>na</v>
          </cell>
          <cell r="P365">
            <v>15000</v>
          </cell>
        </row>
        <row r="366">
          <cell r="K366" t="str">
            <v>우리</v>
          </cell>
          <cell r="N366">
            <v>83</v>
          </cell>
          <cell r="P366">
            <v>0</v>
          </cell>
        </row>
        <row r="367">
          <cell r="K367" t="str">
            <v>우리</v>
          </cell>
          <cell r="N367">
            <v>29</v>
          </cell>
          <cell r="P367">
            <v>95000</v>
          </cell>
        </row>
        <row r="368">
          <cell r="K368" t="str">
            <v>우리</v>
          </cell>
          <cell r="N368">
            <v>6</v>
          </cell>
          <cell r="P368">
            <v>0</v>
          </cell>
        </row>
        <row r="369">
          <cell r="K369" t="str">
            <v>우리</v>
          </cell>
          <cell r="N369">
            <v>41</v>
          </cell>
          <cell r="P369">
            <v>20000</v>
          </cell>
        </row>
        <row r="370">
          <cell r="K370" t="str">
            <v>우리</v>
          </cell>
          <cell r="N370">
            <v>112</v>
          </cell>
          <cell r="P370">
            <v>10005</v>
          </cell>
        </row>
        <row r="371">
          <cell r="K371" t="str">
            <v>우리</v>
          </cell>
          <cell r="N371">
            <v>83</v>
          </cell>
          <cell r="P371">
            <v>0</v>
          </cell>
        </row>
        <row r="372">
          <cell r="K372" t="str">
            <v>우리</v>
          </cell>
          <cell r="N372">
            <v>100</v>
          </cell>
          <cell r="P372">
            <v>10000</v>
          </cell>
        </row>
        <row r="373">
          <cell r="K373" t="str">
            <v>우리</v>
          </cell>
          <cell r="N373">
            <v>14</v>
          </cell>
          <cell r="P373">
            <v>28000</v>
          </cell>
        </row>
        <row r="374">
          <cell r="K374" t="str">
            <v>우리</v>
          </cell>
          <cell r="N374" t="str">
            <v>na</v>
          </cell>
          <cell r="P374">
            <v>0</v>
          </cell>
        </row>
        <row r="375">
          <cell r="K375" t="str">
            <v>우리</v>
          </cell>
          <cell r="N375">
            <v>144</v>
          </cell>
          <cell r="P375">
            <v>9000</v>
          </cell>
        </row>
        <row r="376">
          <cell r="K376" t="str">
            <v>우리</v>
          </cell>
          <cell r="N376" t="str">
            <v>na</v>
          </cell>
          <cell r="P376">
            <v>0</v>
          </cell>
        </row>
        <row r="377">
          <cell r="K377" t="str">
            <v>우리</v>
          </cell>
          <cell r="N377">
            <v>46</v>
          </cell>
          <cell r="P377">
            <v>11712</v>
          </cell>
        </row>
        <row r="378">
          <cell r="K378" t="str">
            <v>우리</v>
          </cell>
          <cell r="N378" t="str">
            <v>na</v>
          </cell>
          <cell r="P378">
            <v>525.77634999999998</v>
          </cell>
        </row>
        <row r="379">
          <cell r="K379" t="str">
            <v>우리</v>
          </cell>
          <cell r="N379" t="str">
            <v>na</v>
          </cell>
          <cell r="P379">
            <v>0</v>
          </cell>
        </row>
        <row r="380">
          <cell r="K380" t="str">
            <v>우리</v>
          </cell>
          <cell r="N380" t="str">
            <v>na</v>
          </cell>
          <cell r="P380">
            <v>0</v>
          </cell>
        </row>
        <row r="381">
          <cell r="K381" t="str">
            <v>우리</v>
          </cell>
          <cell r="N381">
            <v>32</v>
          </cell>
          <cell r="P381">
            <v>20200</v>
          </cell>
        </row>
        <row r="382">
          <cell r="K382" t="str">
            <v>우리</v>
          </cell>
          <cell r="N382">
            <v>38</v>
          </cell>
          <cell r="P382">
            <v>14115.894</v>
          </cell>
        </row>
        <row r="383">
          <cell r="K383" t="str">
            <v>우리</v>
          </cell>
          <cell r="N383">
            <v>61</v>
          </cell>
          <cell r="P383">
            <v>30000</v>
          </cell>
        </row>
        <row r="384">
          <cell r="K384" t="str">
            <v>우리</v>
          </cell>
          <cell r="N384">
            <v>60</v>
          </cell>
          <cell r="P384">
            <v>35000</v>
          </cell>
        </row>
        <row r="385">
          <cell r="K385" t="str">
            <v>우리</v>
          </cell>
          <cell r="N385">
            <v>12</v>
          </cell>
          <cell r="P385">
            <v>52590</v>
          </cell>
        </row>
        <row r="386">
          <cell r="K386" t="str">
            <v>우리</v>
          </cell>
          <cell r="N386" t="str">
            <v>na</v>
          </cell>
          <cell r="P386">
            <v>0</v>
          </cell>
        </row>
        <row r="387">
          <cell r="K387" t="str">
            <v>우리</v>
          </cell>
          <cell r="N387" t="str">
            <v>na</v>
          </cell>
          <cell r="P387">
            <v>0</v>
          </cell>
        </row>
        <row r="388">
          <cell r="K388" t="str">
            <v>우리</v>
          </cell>
          <cell r="N388">
            <v>133</v>
          </cell>
          <cell r="P388">
            <v>37000</v>
          </cell>
        </row>
        <row r="389">
          <cell r="K389" t="str">
            <v>우리</v>
          </cell>
          <cell r="N389">
            <v>32</v>
          </cell>
          <cell r="P389">
            <v>18310</v>
          </cell>
        </row>
        <row r="390">
          <cell r="K390" t="str">
            <v>우리</v>
          </cell>
          <cell r="N390" t="str">
            <v>na</v>
          </cell>
          <cell r="P390">
            <v>0</v>
          </cell>
        </row>
        <row r="391">
          <cell r="K391" t="str">
            <v>우리</v>
          </cell>
          <cell r="N391">
            <v>14</v>
          </cell>
          <cell r="P391">
            <v>8801</v>
          </cell>
        </row>
        <row r="392">
          <cell r="K392" t="str">
            <v>우리</v>
          </cell>
          <cell r="N392">
            <v>133</v>
          </cell>
          <cell r="P392">
            <v>10120</v>
          </cell>
        </row>
        <row r="393">
          <cell r="K393" t="str">
            <v>우리</v>
          </cell>
          <cell r="N393">
            <v>27</v>
          </cell>
          <cell r="P393">
            <v>0</v>
          </cell>
        </row>
        <row r="394">
          <cell r="K394" t="str">
            <v>우리</v>
          </cell>
          <cell r="N394" t="str">
            <v>na</v>
          </cell>
          <cell r="P394">
            <v>0</v>
          </cell>
        </row>
        <row r="395">
          <cell r="K395" t="str">
            <v>우리</v>
          </cell>
          <cell r="N395">
            <v>133</v>
          </cell>
          <cell r="P395">
            <v>15200</v>
          </cell>
        </row>
        <row r="396">
          <cell r="K396" t="str">
            <v>우리</v>
          </cell>
          <cell r="N396">
            <v>62</v>
          </cell>
          <cell r="P396">
            <v>0</v>
          </cell>
        </row>
        <row r="397">
          <cell r="K397" t="str">
            <v>우리</v>
          </cell>
          <cell r="N397">
            <v>269</v>
          </cell>
          <cell r="P397">
            <v>10000</v>
          </cell>
        </row>
        <row r="398">
          <cell r="K398" t="str">
            <v>우리</v>
          </cell>
          <cell r="N398">
            <v>34</v>
          </cell>
          <cell r="P398">
            <v>0</v>
          </cell>
        </row>
        <row r="399">
          <cell r="K399" t="str">
            <v>우리</v>
          </cell>
          <cell r="N399">
            <v>29</v>
          </cell>
          <cell r="P399">
            <v>30000</v>
          </cell>
        </row>
        <row r="400">
          <cell r="K400" t="str">
            <v>우리</v>
          </cell>
          <cell r="N400">
            <v>38</v>
          </cell>
          <cell r="P400">
            <v>50000</v>
          </cell>
        </row>
        <row r="401">
          <cell r="K401" t="str">
            <v>우리</v>
          </cell>
          <cell r="N401">
            <v>102</v>
          </cell>
          <cell r="P401">
            <v>2000</v>
          </cell>
        </row>
        <row r="402">
          <cell r="K402" t="str">
            <v>우리</v>
          </cell>
          <cell r="N402">
            <v>39</v>
          </cell>
          <cell r="P402">
            <v>54400</v>
          </cell>
        </row>
        <row r="403">
          <cell r="K403" t="str">
            <v>우리</v>
          </cell>
          <cell r="N403">
            <v>244</v>
          </cell>
          <cell r="P403">
            <v>9000</v>
          </cell>
        </row>
        <row r="404">
          <cell r="K404" t="str">
            <v>우리</v>
          </cell>
          <cell r="N404">
            <v>62</v>
          </cell>
          <cell r="P404">
            <v>0</v>
          </cell>
        </row>
        <row r="405">
          <cell r="K405" t="str">
            <v>우리</v>
          </cell>
          <cell r="N405" t="str">
            <v>na</v>
          </cell>
          <cell r="P405">
            <v>11800</v>
          </cell>
        </row>
        <row r="406">
          <cell r="K406" t="str">
            <v>우리</v>
          </cell>
          <cell r="N406">
            <v>108</v>
          </cell>
          <cell r="P406">
            <v>17500</v>
          </cell>
        </row>
        <row r="407">
          <cell r="K407" t="str">
            <v>우리</v>
          </cell>
          <cell r="N407">
            <v>83</v>
          </cell>
          <cell r="P407">
            <v>17500</v>
          </cell>
        </row>
        <row r="408">
          <cell r="K408" t="str">
            <v>우리</v>
          </cell>
          <cell r="N408">
            <v>134</v>
          </cell>
          <cell r="P408">
            <v>17500</v>
          </cell>
        </row>
        <row r="409">
          <cell r="K409" t="str">
            <v>우리</v>
          </cell>
          <cell r="N409">
            <v>158</v>
          </cell>
          <cell r="P409">
            <v>0</v>
          </cell>
        </row>
        <row r="410">
          <cell r="K410" t="str">
            <v>우리</v>
          </cell>
          <cell r="N410">
            <v>79</v>
          </cell>
          <cell r="P410">
            <v>45000</v>
          </cell>
        </row>
        <row r="411">
          <cell r="K411" t="str">
            <v>우리</v>
          </cell>
          <cell r="N411">
            <v>127</v>
          </cell>
          <cell r="P411">
            <v>30000</v>
          </cell>
        </row>
        <row r="412">
          <cell r="K412" t="str">
            <v>우리</v>
          </cell>
          <cell r="N412">
            <v>50</v>
          </cell>
          <cell r="P412">
            <v>45000</v>
          </cell>
        </row>
        <row r="413">
          <cell r="K413" t="str">
            <v>우리</v>
          </cell>
          <cell r="N413">
            <v>71</v>
          </cell>
          <cell r="P413">
            <v>20000</v>
          </cell>
        </row>
        <row r="414">
          <cell r="K414" t="str">
            <v>우리</v>
          </cell>
          <cell r="N414">
            <v>150</v>
          </cell>
          <cell r="P414">
            <v>30000</v>
          </cell>
        </row>
        <row r="415">
          <cell r="K415" t="str">
            <v>우리</v>
          </cell>
          <cell r="N415">
            <v>1</v>
          </cell>
          <cell r="P415">
            <v>10160</v>
          </cell>
        </row>
        <row r="416">
          <cell r="K416" t="str">
            <v>우리</v>
          </cell>
          <cell r="N416">
            <v>23</v>
          </cell>
          <cell r="P416">
            <v>18781</v>
          </cell>
        </row>
        <row r="417">
          <cell r="K417" t="str">
            <v>우리</v>
          </cell>
          <cell r="N417">
            <v>75</v>
          </cell>
          <cell r="P417">
            <v>0</v>
          </cell>
        </row>
        <row r="418">
          <cell r="K418" t="str">
            <v>우리</v>
          </cell>
          <cell r="N418">
            <v>494</v>
          </cell>
          <cell r="P418">
            <v>2543</v>
          </cell>
        </row>
        <row r="419">
          <cell r="K419" t="str">
            <v>우리</v>
          </cell>
          <cell r="N419">
            <v>101</v>
          </cell>
          <cell r="P419">
            <v>43600</v>
          </cell>
        </row>
        <row r="420">
          <cell r="K420" t="str">
            <v>우리</v>
          </cell>
          <cell r="N420">
            <v>50</v>
          </cell>
          <cell r="P420">
            <v>50000</v>
          </cell>
        </row>
        <row r="421">
          <cell r="K421" t="str">
            <v>우리</v>
          </cell>
          <cell r="N421">
            <v>133</v>
          </cell>
          <cell r="P421">
            <v>0</v>
          </cell>
        </row>
        <row r="422">
          <cell r="K422" t="str">
            <v>우리</v>
          </cell>
          <cell r="N422">
            <v>343</v>
          </cell>
          <cell r="P422">
            <v>11000</v>
          </cell>
        </row>
        <row r="423">
          <cell r="K423" t="str">
            <v>우리</v>
          </cell>
          <cell r="N423">
            <v>182</v>
          </cell>
          <cell r="P423">
            <v>10000</v>
          </cell>
        </row>
        <row r="424">
          <cell r="K424" t="str">
            <v>우리</v>
          </cell>
          <cell r="N424">
            <v>30</v>
          </cell>
          <cell r="P424">
            <v>10000</v>
          </cell>
        </row>
        <row r="425">
          <cell r="K425" t="str">
            <v>우리</v>
          </cell>
          <cell r="N425">
            <v>216</v>
          </cell>
          <cell r="P425">
            <v>10920</v>
          </cell>
        </row>
        <row r="426">
          <cell r="K426" t="str">
            <v>우리</v>
          </cell>
          <cell r="N426">
            <v>5</v>
          </cell>
          <cell r="P426">
            <v>47000</v>
          </cell>
        </row>
        <row r="427">
          <cell r="K427" t="str">
            <v>우리</v>
          </cell>
          <cell r="N427">
            <v>182</v>
          </cell>
          <cell r="P427">
            <v>16800</v>
          </cell>
        </row>
        <row r="428">
          <cell r="K428" t="str">
            <v>우리</v>
          </cell>
          <cell r="N428">
            <v>155</v>
          </cell>
          <cell r="P428">
            <v>9267</v>
          </cell>
        </row>
        <row r="429">
          <cell r="K429" t="str">
            <v>우리</v>
          </cell>
          <cell r="N429" t="str">
            <v>na</v>
          </cell>
          <cell r="P429">
            <v>67797</v>
          </cell>
        </row>
        <row r="430">
          <cell r="K430" t="str">
            <v>우리</v>
          </cell>
          <cell r="N430">
            <v>264</v>
          </cell>
          <cell r="P430">
            <v>15800</v>
          </cell>
        </row>
        <row r="431">
          <cell r="K431" t="str">
            <v>우리</v>
          </cell>
          <cell r="N431">
            <v>14</v>
          </cell>
          <cell r="P431">
            <v>0</v>
          </cell>
        </row>
        <row r="432">
          <cell r="K432" t="str">
            <v>우리</v>
          </cell>
          <cell r="N432">
            <v>125</v>
          </cell>
          <cell r="P432">
            <v>9000</v>
          </cell>
        </row>
        <row r="433">
          <cell r="K433" t="str">
            <v>우리</v>
          </cell>
          <cell r="N433">
            <v>158</v>
          </cell>
          <cell r="P433">
            <v>0</v>
          </cell>
        </row>
        <row r="434">
          <cell r="K434" t="str">
            <v>우리</v>
          </cell>
          <cell r="N434">
            <v>188</v>
          </cell>
          <cell r="P434">
            <v>0</v>
          </cell>
        </row>
        <row r="435">
          <cell r="K435" t="str">
            <v>우리</v>
          </cell>
          <cell r="N435">
            <v>66</v>
          </cell>
          <cell r="P435">
            <v>18000</v>
          </cell>
        </row>
        <row r="436">
          <cell r="K436" t="str">
            <v>우리</v>
          </cell>
          <cell r="N436" t="str">
            <v>na</v>
          </cell>
          <cell r="P436">
            <v>0</v>
          </cell>
        </row>
        <row r="437">
          <cell r="K437" t="str">
            <v>우리</v>
          </cell>
          <cell r="N437" t="str">
            <v>na</v>
          </cell>
          <cell r="P437">
            <v>46000</v>
          </cell>
        </row>
        <row r="438">
          <cell r="K438" t="str">
            <v>우리</v>
          </cell>
          <cell r="N438" t="str">
            <v>na</v>
          </cell>
          <cell r="P438">
            <v>0</v>
          </cell>
        </row>
        <row r="439">
          <cell r="K439" t="str">
            <v>우리</v>
          </cell>
          <cell r="N439" t="str">
            <v>na</v>
          </cell>
          <cell r="P439">
            <v>0</v>
          </cell>
        </row>
        <row r="440">
          <cell r="K440" t="str">
            <v>우리</v>
          </cell>
          <cell r="N440" t="str">
            <v>na</v>
          </cell>
          <cell r="P440">
            <v>21000</v>
          </cell>
        </row>
        <row r="441">
          <cell r="K441" t="str">
            <v>우리</v>
          </cell>
          <cell r="N441" t="str">
            <v>na</v>
          </cell>
          <cell r="P441">
            <v>0</v>
          </cell>
        </row>
        <row r="442">
          <cell r="K442" t="str">
            <v>우리</v>
          </cell>
          <cell r="N442">
            <v>21</v>
          </cell>
          <cell r="P442">
            <v>70000</v>
          </cell>
        </row>
        <row r="443">
          <cell r="K443" t="str">
            <v>우리</v>
          </cell>
          <cell r="N443">
            <v>2</v>
          </cell>
          <cell r="P443">
            <v>0</v>
          </cell>
        </row>
        <row r="444">
          <cell r="K444" t="str">
            <v>우리</v>
          </cell>
          <cell r="N444">
            <v>2</v>
          </cell>
          <cell r="P444">
            <v>0</v>
          </cell>
        </row>
        <row r="445">
          <cell r="K445" t="str">
            <v>우리</v>
          </cell>
          <cell r="N445">
            <v>2</v>
          </cell>
          <cell r="P445">
            <v>0</v>
          </cell>
        </row>
        <row r="446">
          <cell r="K446" t="str">
            <v>우리</v>
          </cell>
          <cell r="N446">
            <v>21</v>
          </cell>
          <cell r="P446">
            <v>28000</v>
          </cell>
        </row>
        <row r="447">
          <cell r="K447" t="str">
            <v>우리</v>
          </cell>
          <cell r="N447">
            <v>63</v>
          </cell>
          <cell r="P447">
            <v>0</v>
          </cell>
        </row>
        <row r="448">
          <cell r="K448" t="str">
            <v>우리</v>
          </cell>
          <cell r="N448">
            <v>63</v>
          </cell>
          <cell r="P448">
            <v>0</v>
          </cell>
        </row>
        <row r="449">
          <cell r="K449" t="str">
            <v>우리</v>
          </cell>
          <cell r="N449">
            <v>372</v>
          </cell>
          <cell r="P449">
            <v>0</v>
          </cell>
        </row>
        <row r="450">
          <cell r="K450" t="str">
            <v>제일</v>
          </cell>
          <cell r="N450">
            <v>10</v>
          </cell>
          <cell r="P450">
            <v>25000</v>
          </cell>
        </row>
        <row r="451">
          <cell r="K451" t="str">
            <v>제일</v>
          </cell>
          <cell r="N451">
            <v>5</v>
          </cell>
          <cell r="P451">
            <v>55000</v>
          </cell>
        </row>
        <row r="452">
          <cell r="K452" t="str">
            <v>제일</v>
          </cell>
          <cell r="N452">
            <v>10</v>
          </cell>
          <cell r="P452">
            <v>68000</v>
          </cell>
        </row>
        <row r="453">
          <cell r="K453" t="str">
            <v>제일</v>
          </cell>
          <cell r="N453">
            <v>7</v>
          </cell>
          <cell r="P453">
            <v>55400</v>
          </cell>
        </row>
        <row r="454">
          <cell r="K454" t="str">
            <v>제일</v>
          </cell>
          <cell r="N454">
            <v>7</v>
          </cell>
          <cell r="P454">
            <v>66102</v>
          </cell>
        </row>
        <row r="455">
          <cell r="K455" t="str">
            <v>제일</v>
          </cell>
          <cell r="N455" t="str">
            <v>na</v>
          </cell>
          <cell r="P455">
            <v>19000</v>
          </cell>
        </row>
        <row r="456">
          <cell r="K456" t="str">
            <v>제일</v>
          </cell>
          <cell r="N456">
            <v>3</v>
          </cell>
          <cell r="P456">
            <v>22270</v>
          </cell>
        </row>
        <row r="457">
          <cell r="K457" t="str">
            <v>외환</v>
          </cell>
          <cell r="N457">
            <v>53</v>
          </cell>
          <cell r="P457">
            <v>8600</v>
          </cell>
        </row>
        <row r="458">
          <cell r="K458" t="str">
            <v>외환</v>
          </cell>
          <cell r="N458">
            <v>23</v>
          </cell>
          <cell r="P458">
            <v>6300</v>
          </cell>
        </row>
        <row r="459">
          <cell r="K459" t="str">
            <v>외환</v>
          </cell>
          <cell r="N459">
            <v>1</v>
          </cell>
          <cell r="P459">
            <v>4840</v>
          </cell>
        </row>
        <row r="460">
          <cell r="K460" t="str">
            <v>외환</v>
          </cell>
          <cell r="N460">
            <v>110</v>
          </cell>
          <cell r="P460">
            <v>13000</v>
          </cell>
        </row>
        <row r="461">
          <cell r="K461" t="str">
            <v>외환</v>
          </cell>
          <cell r="N461">
            <v>98</v>
          </cell>
          <cell r="P461">
            <v>31000</v>
          </cell>
        </row>
        <row r="462">
          <cell r="K462" t="str">
            <v>외환</v>
          </cell>
          <cell r="N462">
            <v>28</v>
          </cell>
          <cell r="P462">
            <v>28800</v>
          </cell>
        </row>
        <row r="463">
          <cell r="K463" t="str">
            <v>외환</v>
          </cell>
          <cell r="N463">
            <v>28</v>
          </cell>
          <cell r="P463">
            <v>33000</v>
          </cell>
        </row>
        <row r="464">
          <cell r="K464" t="str">
            <v>외환</v>
          </cell>
          <cell r="N464">
            <v>34</v>
          </cell>
          <cell r="P464">
            <v>41300</v>
          </cell>
        </row>
        <row r="465">
          <cell r="K465" t="str">
            <v>외환</v>
          </cell>
          <cell r="N465">
            <v>40</v>
          </cell>
          <cell r="P465">
            <v>19500</v>
          </cell>
        </row>
        <row r="466">
          <cell r="K466" t="str">
            <v>외환</v>
          </cell>
          <cell r="N466">
            <v>36</v>
          </cell>
          <cell r="P466">
            <v>4000</v>
          </cell>
        </row>
        <row r="467">
          <cell r="K467" t="str">
            <v>외환</v>
          </cell>
          <cell r="N467">
            <v>36</v>
          </cell>
          <cell r="P467">
            <v>5000</v>
          </cell>
        </row>
        <row r="468">
          <cell r="K468" t="str">
            <v>외환</v>
          </cell>
          <cell r="N468">
            <v>16</v>
          </cell>
          <cell r="P468">
            <v>40000</v>
          </cell>
        </row>
        <row r="469">
          <cell r="K469" t="str">
            <v>외환</v>
          </cell>
          <cell r="N469">
            <v>106</v>
          </cell>
          <cell r="P469">
            <v>7021</v>
          </cell>
        </row>
        <row r="470">
          <cell r="K470" t="str">
            <v>외환</v>
          </cell>
          <cell r="N470">
            <v>12</v>
          </cell>
          <cell r="P470">
            <v>30204</v>
          </cell>
        </row>
        <row r="471">
          <cell r="K471" t="str">
            <v>외환</v>
          </cell>
          <cell r="N471">
            <v>61</v>
          </cell>
          <cell r="P471">
            <v>9600</v>
          </cell>
        </row>
        <row r="472">
          <cell r="K472" t="str">
            <v>외환</v>
          </cell>
          <cell r="N472">
            <v>23</v>
          </cell>
          <cell r="P472">
            <v>16700</v>
          </cell>
        </row>
        <row r="473">
          <cell r="K473" t="str">
            <v>외환</v>
          </cell>
          <cell r="N473">
            <v>86</v>
          </cell>
          <cell r="P473">
            <v>27000</v>
          </cell>
        </row>
        <row r="474">
          <cell r="K474" t="str">
            <v>외환</v>
          </cell>
          <cell r="N474">
            <v>127</v>
          </cell>
          <cell r="P474">
            <v>120000</v>
          </cell>
        </row>
        <row r="475">
          <cell r="K475" t="str">
            <v>외환</v>
          </cell>
          <cell r="N475">
            <v>70</v>
          </cell>
          <cell r="P475">
            <v>20000</v>
          </cell>
        </row>
        <row r="476">
          <cell r="K476" t="str">
            <v>외환</v>
          </cell>
          <cell r="N476">
            <v>98</v>
          </cell>
          <cell r="P476">
            <v>10600</v>
          </cell>
        </row>
        <row r="477">
          <cell r="K477" t="str">
            <v>외환</v>
          </cell>
          <cell r="N477">
            <v>34</v>
          </cell>
          <cell r="P477">
            <v>11250</v>
          </cell>
        </row>
        <row r="478">
          <cell r="K478" t="str">
            <v>외환</v>
          </cell>
          <cell r="N478">
            <v>56</v>
          </cell>
          <cell r="P478">
            <v>4100</v>
          </cell>
        </row>
        <row r="479">
          <cell r="K479" t="str">
            <v>외환</v>
          </cell>
          <cell r="N479" t="str">
            <v>na</v>
          </cell>
          <cell r="P479">
            <v>6000</v>
          </cell>
        </row>
        <row r="480">
          <cell r="K480" t="str">
            <v>외환</v>
          </cell>
          <cell r="N480">
            <v>61</v>
          </cell>
          <cell r="P480">
            <v>3000</v>
          </cell>
        </row>
        <row r="481">
          <cell r="K481" t="str">
            <v>외환</v>
          </cell>
          <cell r="N481">
            <v>38</v>
          </cell>
          <cell r="P481">
            <v>1290</v>
          </cell>
        </row>
        <row r="482">
          <cell r="K482" t="str">
            <v>외환</v>
          </cell>
          <cell r="N482">
            <v>56</v>
          </cell>
          <cell r="P482">
            <v>3500</v>
          </cell>
        </row>
        <row r="483">
          <cell r="K483" t="str">
            <v>외환</v>
          </cell>
          <cell r="N483">
            <v>33</v>
          </cell>
          <cell r="P483">
            <v>10000</v>
          </cell>
        </row>
        <row r="484">
          <cell r="K484" t="str">
            <v>외환</v>
          </cell>
          <cell r="N484">
            <v>41</v>
          </cell>
          <cell r="P484">
            <v>12880</v>
          </cell>
        </row>
        <row r="485">
          <cell r="K485" t="str">
            <v>외환</v>
          </cell>
          <cell r="N485">
            <v>23</v>
          </cell>
          <cell r="P485">
            <v>7200</v>
          </cell>
        </row>
        <row r="486">
          <cell r="K486" t="str">
            <v>외환</v>
          </cell>
          <cell r="N486">
            <v>10</v>
          </cell>
          <cell r="P486">
            <v>15300</v>
          </cell>
        </row>
        <row r="487">
          <cell r="K487" t="str">
            <v>외환</v>
          </cell>
          <cell r="N487">
            <v>44</v>
          </cell>
          <cell r="P487">
            <v>47000</v>
          </cell>
        </row>
        <row r="488">
          <cell r="K488" t="str">
            <v>외환</v>
          </cell>
          <cell r="N488">
            <v>5</v>
          </cell>
          <cell r="P488">
            <v>88100</v>
          </cell>
        </row>
        <row r="489">
          <cell r="K489" t="str">
            <v>외환</v>
          </cell>
          <cell r="N489">
            <v>32</v>
          </cell>
          <cell r="P489">
            <v>30000</v>
          </cell>
        </row>
        <row r="490">
          <cell r="K490" t="str">
            <v>외환</v>
          </cell>
          <cell r="N490">
            <v>86</v>
          </cell>
          <cell r="P490">
            <v>11400</v>
          </cell>
        </row>
        <row r="491">
          <cell r="K491" t="str">
            <v>외환</v>
          </cell>
          <cell r="N491">
            <v>61</v>
          </cell>
          <cell r="P491">
            <v>8000</v>
          </cell>
        </row>
        <row r="492">
          <cell r="K492" t="str">
            <v>외환</v>
          </cell>
          <cell r="N492">
            <v>9</v>
          </cell>
          <cell r="P492">
            <v>13000</v>
          </cell>
        </row>
        <row r="493">
          <cell r="K493" t="str">
            <v>외환</v>
          </cell>
          <cell r="N493">
            <v>58</v>
          </cell>
          <cell r="P493">
            <v>22800</v>
          </cell>
        </row>
        <row r="494">
          <cell r="K494" t="str">
            <v>외환</v>
          </cell>
          <cell r="N494">
            <v>12</v>
          </cell>
          <cell r="P494">
            <v>45674</v>
          </cell>
        </row>
        <row r="495">
          <cell r="K495" t="str">
            <v>외환</v>
          </cell>
          <cell r="N495">
            <v>23</v>
          </cell>
          <cell r="P495">
            <v>25000</v>
          </cell>
        </row>
        <row r="496">
          <cell r="K496" t="str">
            <v>외환</v>
          </cell>
          <cell r="N496">
            <v>29</v>
          </cell>
          <cell r="P496">
            <v>7862</v>
          </cell>
        </row>
        <row r="497">
          <cell r="K497" t="str">
            <v>외환</v>
          </cell>
          <cell r="N497">
            <v>4</v>
          </cell>
          <cell r="P497">
            <v>5700</v>
          </cell>
        </row>
        <row r="498">
          <cell r="K498" t="str">
            <v>외환</v>
          </cell>
          <cell r="N498">
            <v>4</v>
          </cell>
          <cell r="P498">
            <v>55000</v>
          </cell>
        </row>
        <row r="499">
          <cell r="K499" t="str">
            <v>외환</v>
          </cell>
          <cell r="N499">
            <v>98</v>
          </cell>
          <cell r="P499">
            <v>5000</v>
          </cell>
        </row>
        <row r="500">
          <cell r="K500" t="str">
            <v>외환</v>
          </cell>
          <cell r="N500">
            <v>1</v>
          </cell>
          <cell r="P500">
            <v>18000</v>
          </cell>
        </row>
        <row r="501">
          <cell r="K501" t="str">
            <v>외환</v>
          </cell>
          <cell r="N501">
            <v>55</v>
          </cell>
          <cell r="P501">
            <v>13908</v>
          </cell>
        </row>
        <row r="502">
          <cell r="K502" t="str">
            <v>외환</v>
          </cell>
          <cell r="N502">
            <v>79</v>
          </cell>
          <cell r="P502">
            <v>50000</v>
          </cell>
        </row>
        <row r="503">
          <cell r="K503" t="str">
            <v>외환</v>
          </cell>
          <cell r="N503">
            <v>32</v>
          </cell>
          <cell r="P503">
            <v>46500</v>
          </cell>
        </row>
        <row r="504">
          <cell r="K504" t="str">
            <v>외환</v>
          </cell>
          <cell r="N504">
            <v>61</v>
          </cell>
          <cell r="P504">
            <v>960</v>
          </cell>
        </row>
        <row r="505">
          <cell r="K505" t="str">
            <v>외환</v>
          </cell>
          <cell r="N505">
            <v>13</v>
          </cell>
          <cell r="P505">
            <v>40000</v>
          </cell>
        </row>
        <row r="506">
          <cell r="K506" t="str">
            <v>외환</v>
          </cell>
          <cell r="N506">
            <v>103</v>
          </cell>
          <cell r="P506">
            <v>30000</v>
          </cell>
        </row>
        <row r="507">
          <cell r="K507" t="str">
            <v>외환</v>
          </cell>
          <cell r="N507" t="str">
            <v>na</v>
          </cell>
          <cell r="P507">
            <v>7000</v>
          </cell>
        </row>
        <row r="508">
          <cell r="K508" t="str">
            <v>외환</v>
          </cell>
          <cell r="N508">
            <v>67</v>
          </cell>
          <cell r="P508">
            <v>50000</v>
          </cell>
        </row>
        <row r="509">
          <cell r="K509" t="str">
            <v>외환</v>
          </cell>
          <cell r="N509">
            <v>9</v>
          </cell>
          <cell r="P509">
            <v>22500</v>
          </cell>
        </row>
        <row r="510">
          <cell r="K510" t="str">
            <v>외환</v>
          </cell>
          <cell r="N510">
            <v>51</v>
          </cell>
          <cell r="P510">
            <v>5000</v>
          </cell>
        </row>
        <row r="511">
          <cell r="K511" t="str">
            <v>외환</v>
          </cell>
          <cell r="N511">
            <v>10</v>
          </cell>
          <cell r="P511">
            <v>15000</v>
          </cell>
        </row>
        <row r="512">
          <cell r="K512" t="str">
            <v>외환</v>
          </cell>
          <cell r="N512">
            <v>138</v>
          </cell>
          <cell r="P512">
            <v>4000</v>
          </cell>
        </row>
        <row r="513">
          <cell r="K513" t="str">
            <v>외환</v>
          </cell>
          <cell r="N513">
            <v>9</v>
          </cell>
          <cell r="P513">
            <v>25000</v>
          </cell>
        </row>
        <row r="514">
          <cell r="K514" t="str">
            <v>외환</v>
          </cell>
          <cell r="N514">
            <v>155</v>
          </cell>
          <cell r="P514">
            <v>7400</v>
          </cell>
        </row>
        <row r="515">
          <cell r="K515" t="str">
            <v>외환</v>
          </cell>
          <cell r="N515">
            <v>9</v>
          </cell>
          <cell r="P515">
            <v>66000</v>
          </cell>
        </row>
        <row r="516">
          <cell r="K516" t="str">
            <v>외환</v>
          </cell>
          <cell r="N516">
            <v>98</v>
          </cell>
          <cell r="P516">
            <v>35000</v>
          </cell>
        </row>
        <row r="517">
          <cell r="K517" t="str">
            <v>외환</v>
          </cell>
          <cell r="N517">
            <v>23</v>
          </cell>
          <cell r="P517">
            <v>13000</v>
          </cell>
        </row>
        <row r="518">
          <cell r="K518" t="str">
            <v>외환</v>
          </cell>
          <cell r="N518">
            <v>34</v>
          </cell>
          <cell r="P518">
            <v>18000</v>
          </cell>
        </row>
        <row r="519">
          <cell r="K519" t="str">
            <v>외환</v>
          </cell>
          <cell r="N519">
            <v>65</v>
          </cell>
          <cell r="P519">
            <v>30000</v>
          </cell>
        </row>
        <row r="520">
          <cell r="K520" t="str">
            <v>외환</v>
          </cell>
          <cell r="N520">
            <v>27</v>
          </cell>
          <cell r="P520">
            <v>0</v>
          </cell>
        </row>
        <row r="521">
          <cell r="K521" t="str">
            <v>외환</v>
          </cell>
          <cell r="N521">
            <v>178</v>
          </cell>
          <cell r="P521">
            <v>14500</v>
          </cell>
        </row>
        <row r="522">
          <cell r="K522" t="str">
            <v>외환</v>
          </cell>
          <cell r="N522">
            <v>17</v>
          </cell>
          <cell r="P522">
            <v>6600</v>
          </cell>
        </row>
        <row r="523">
          <cell r="K523" t="str">
            <v>외환</v>
          </cell>
          <cell r="N523">
            <v>60</v>
          </cell>
          <cell r="P523">
            <v>17350</v>
          </cell>
        </row>
        <row r="524">
          <cell r="K524" t="str">
            <v>외환</v>
          </cell>
          <cell r="N524">
            <v>46</v>
          </cell>
          <cell r="P524">
            <v>60000</v>
          </cell>
        </row>
        <row r="525">
          <cell r="K525" t="str">
            <v>외환</v>
          </cell>
          <cell r="N525">
            <v>79</v>
          </cell>
          <cell r="P525">
            <v>14080</v>
          </cell>
        </row>
        <row r="526">
          <cell r="K526" t="str">
            <v>외환</v>
          </cell>
          <cell r="N526">
            <v>9</v>
          </cell>
          <cell r="P526">
            <v>22000</v>
          </cell>
        </row>
        <row r="527">
          <cell r="K527" t="str">
            <v>외환</v>
          </cell>
          <cell r="N527">
            <v>60</v>
          </cell>
          <cell r="P527">
            <v>18000</v>
          </cell>
        </row>
        <row r="528">
          <cell r="K528" t="str">
            <v>외환</v>
          </cell>
          <cell r="N528">
            <v>86</v>
          </cell>
          <cell r="P528">
            <v>37000</v>
          </cell>
        </row>
        <row r="529">
          <cell r="K529" t="str">
            <v>외환</v>
          </cell>
          <cell r="N529">
            <v>71</v>
          </cell>
          <cell r="P529">
            <v>7544</v>
          </cell>
        </row>
        <row r="530">
          <cell r="K530" t="str">
            <v>외환</v>
          </cell>
          <cell r="N530">
            <v>71</v>
          </cell>
          <cell r="P530">
            <v>16930</v>
          </cell>
        </row>
        <row r="531">
          <cell r="K531" t="str">
            <v>외환</v>
          </cell>
          <cell r="N531">
            <v>35</v>
          </cell>
          <cell r="P531">
            <v>50000</v>
          </cell>
        </row>
        <row r="532">
          <cell r="K532" t="str">
            <v>외환</v>
          </cell>
          <cell r="N532">
            <v>76</v>
          </cell>
          <cell r="P532">
            <v>65000</v>
          </cell>
        </row>
        <row r="533">
          <cell r="K533" t="str">
            <v>외환</v>
          </cell>
          <cell r="N533">
            <v>25</v>
          </cell>
          <cell r="P533">
            <v>40000</v>
          </cell>
        </row>
        <row r="534">
          <cell r="K534" t="str">
            <v>외환</v>
          </cell>
          <cell r="N534">
            <v>10</v>
          </cell>
          <cell r="P534">
            <v>18603</v>
          </cell>
        </row>
        <row r="535">
          <cell r="K535" t="str">
            <v>외환</v>
          </cell>
          <cell r="N535">
            <v>12</v>
          </cell>
          <cell r="P535">
            <v>18603</v>
          </cell>
        </row>
        <row r="536">
          <cell r="K536" t="str">
            <v>외환</v>
          </cell>
          <cell r="N536">
            <v>25</v>
          </cell>
          <cell r="P536">
            <v>48000</v>
          </cell>
        </row>
        <row r="537">
          <cell r="K537" t="str">
            <v>외환</v>
          </cell>
          <cell r="N537">
            <v>12</v>
          </cell>
          <cell r="P537">
            <v>4300</v>
          </cell>
        </row>
        <row r="538">
          <cell r="K538" t="str">
            <v>외환</v>
          </cell>
          <cell r="N538">
            <v>28</v>
          </cell>
          <cell r="P538">
            <v>30000</v>
          </cell>
        </row>
        <row r="539">
          <cell r="K539" t="str">
            <v>외환</v>
          </cell>
          <cell r="N539">
            <v>28</v>
          </cell>
          <cell r="P539">
            <v>10000</v>
          </cell>
        </row>
        <row r="540">
          <cell r="K540" t="str">
            <v>외환</v>
          </cell>
          <cell r="N540">
            <v>22</v>
          </cell>
          <cell r="P540">
            <v>24000</v>
          </cell>
        </row>
        <row r="541">
          <cell r="K541" t="str">
            <v>외환</v>
          </cell>
          <cell r="N541">
            <v>52</v>
          </cell>
          <cell r="P541">
            <v>35000</v>
          </cell>
        </row>
        <row r="542">
          <cell r="K542" t="str">
            <v>외환</v>
          </cell>
          <cell r="N542">
            <v>4</v>
          </cell>
          <cell r="P542">
            <v>4445</v>
          </cell>
        </row>
        <row r="543">
          <cell r="K543" t="str">
            <v>외환</v>
          </cell>
          <cell r="N543">
            <v>27</v>
          </cell>
          <cell r="P543">
            <v>0</v>
          </cell>
        </row>
        <row r="544">
          <cell r="K544" t="str">
            <v>외환</v>
          </cell>
          <cell r="N544">
            <v>27</v>
          </cell>
          <cell r="P544">
            <v>0</v>
          </cell>
        </row>
        <row r="545">
          <cell r="K545" t="str">
            <v>외환</v>
          </cell>
          <cell r="N545">
            <v>14</v>
          </cell>
          <cell r="P545">
            <v>0</v>
          </cell>
        </row>
        <row r="546">
          <cell r="K546" t="str">
            <v>외환</v>
          </cell>
          <cell r="N546">
            <v>10</v>
          </cell>
          <cell r="P546">
            <v>57770</v>
          </cell>
        </row>
        <row r="547">
          <cell r="K547" t="str">
            <v>외환</v>
          </cell>
          <cell r="N547">
            <v>45</v>
          </cell>
          <cell r="P547">
            <v>20000</v>
          </cell>
        </row>
        <row r="548">
          <cell r="K548" t="str">
            <v>외환</v>
          </cell>
          <cell r="N548">
            <v>45</v>
          </cell>
          <cell r="P548">
            <v>43396</v>
          </cell>
        </row>
        <row r="549">
          <cell r="K549" t="str">
            <v>외환</v>
          </cell>
          <cell r="N549">
            <v>22</v>
          </cell>
          <cell r="P549">
            <v>3360</v>
          </cell>
        </row>
        <row r="550">
          <cell r="K550" t="str">
            <v>외환</v>
          </cell>
          <cell r="N550" t="str">
            <v>na</v>
          </cell>
          <cell r="P550">
            <v>0</v>
          </cell>
        </row>
        <row r="551">
          <cell r="K551" t="str">
            <v>외환</v>
          </cell>
          <cell r="N551">
            <v>29</v>
          </cell>
          <cell r="P551">
            <v>15000</v>
          </cell>
        </row>
        <row r="552">
          <cell r="K552" t="str">
            <v>외환</v>
          </cell>
          <cell r="N552" t="str">
            <v>na</v>
          </cell>
          <cell r="P552">
            <v>0</v>
          </cell>
        </row>
        <row r="553">
          <cell r="K553" t="str">
            <v>외환</v>
          </cell>
          <cell r="N553">
            <v>138</v>
          </cell>
          <cell r="P553">
            <v>30000</v>
          </cell>
        </row>
        <row r="554">
          <cell r="K554" t="str">
            <v>외환</v>
          </cell>
          <cell r="N554">
            <v>1</v>
          </cell>
          <cell r="P554">
            <v>0</v>
          </cell>
        </row>
        <row r="555">
          <cell r="K555" t="str">
            <v>국민</v>
          </cell>
          <cell r="N555">
            <v>5</v>
          </cell>
          <cell r="P555">
            <v>74026</v>
          </cell>
        </row>
        <row r="556">
          <cell r="K556" t="str">
            <v>국민</v>
          </cell>
          <cell r="N556">
            <v>48</v>
          </cell>
          <cell r="P556">
            <v>10000</v>
          </cell>
        </row>
        <row r="557">
          <cell r="K557" t="str">
            <v>국민</v>
          </cell>
          <cell r="N557">
            <v>48</v>
          </cell>
          <cell r="P557">
            <v>45000</v>
          </cell>
        </row>
        <row r="558">
          <cell r="K558" t="str">
            <v>국민</v>
          </cell>
          <cell r="N558">
            <v>1</v>
          </cell>
          <cell r="P558">
            <v>12632</v>
          </cell>
        </row>
        <row r="559">
          <cell r="K559" t="str">
            <v>국민</v>
          </cell>
          <cell r="N559">
            <v>99</v>
          </cell>
          <cell r="P559">
            <v>0</v>
          </cell>
        </row>
        <row r="560">
          <cell r="K560" t="str">
            <v>국민</v>
          </cell>
          <cell r="N560">
            <v>18</v>
          </cell>
          <cell r="P560">
            <v>4300</v>
          </cell>
        </row>
        <row r="561">
          <cell r="K561" t="str">
            <v>국민</v>
          </cell>
          <cell r="N561">
            <v>98</v>
          </cell>
          <cell r="P561">
            <v>3647.8</v>
          </cell>
        </row>
        <row r="562">
          <cell r="K562" t="str">
            <v>국민</v>
          </cell>
          <cell r="N562">
            <v>99</v>
          </cell>
          <cell r="P562">
            <v>1486.5</v>
          </cell>
        </row>
        <row r="563">
          <cell r="K563" t="str">
            <v>국민</v>
          </cell>
          <cell r="N563">
            <v>1</v>
          </cell>
          <cell r="P563">
            <v>7495.2100229999996</v>
          </cell>
        </row>
        <row r="564">
          <cell r="K564" t="str">
            <v>국민</v>
          </cell>
          <cell r="N564">
            <v>1</v>
          </cell>
          <cell r="P564">
            <v>16521.995859999999</v>
          </cell>
        </row>
        <row r="565">
          <cell r="K565" t="str">
            <v>국민</v>
          </cell>
          <cell r="N565">
            <v>4</v>
          </cell>
          <cell r="P565">
            <v>9900</v>
          </cell>
        </row>
        <row r="566">
          <cell r="K566" t="str">
            <v>국민</v>
          </cell>
          <cell r="N566">
            <v>4</v>
          </cell>
          <cell r="P566">
            <v>8100</v>
          </cell>
        </row>
        <row r="567">
          <cell r="K567" t="str">
            <v>국민</v>
          </cell>
          <cell r="N567">
            <v>34</v>
          </cell>
          <cell r="P567">
            <v>4000</v>
          </cell>
        </row>
        <row r="568">
          <cell r="K568" t="str">
            <v>국민</v>
          </cell>
          <cell r="N568">
            <v>3</v>
          </cell>
          <cell r="P568">
            <v>32500</v>
          </cell>
        </row>
        <row r="569">
          <cell r="K569" t="str">
            <v>국민</v>
          </cell>
          <cell r="N569">
            <v>3</v>
          </cell>
          <cell r="P569">
            <v>1950</v>
          </cell>
        </row>
        <row r="570">
          <cell r="K570" t="str">
            <v>국민</v>
          </cell>
          <cell r="N570">
            <v>23</v>
          </cell>
          <cell r="P570">
            <v>31400</v>
          </cell>
        </row>
        <row r="571">
          <cell r="K571" t="str">
            <v>국민</v>
          </cell>
          <cell r="N571">
            <v>3</v>
          </cell>
          <cell r="P571">
            <v>89589</v>
          </cell>
        </row>
        <row r="572">
          <cell r="K572" t="str">
            <v>국민</v>
          </cell>
          <cell r="N572">
            <v>8</v>
          </cell>
          <cell r="P572">
            <v>7671.1824310000002</v>
          </cell>
        </row>
        <row r="573">
          <cell r="K573" t="str">
            <v>국민</v>
          </cell>
          <cell r="N573">
            <v>8</v>
          </cell>
          <cell r="P573">
            <v>2697.3454539999998</v>
          </cell>
        </row>
        <row r="574">
          <cell r="K574" t="str">
            <v>국민</v>
          </cell>
          <cell r="N574" t="str">
            <v>na</v>
          </cell>
          <cell r="P574">
            <v>15000</v>
          </cell>
        </row>
        <row r="575">
          <cell r="K575" t="str">
            <v>국민</v>
          </cell>
          <cell r="N575" t="str">
            <v>na</v>
          </cell>
          <cell r="P575">
            <v>15000</v>
          </cell>
        </row>
        <row r="576">
          <cell r="K576" t="str">
            <v>국민</v>
          </cell>
          <cell r="N576">
            <v>2</v>
          </cell>
          <cell r="P576">
            <v>89300</v>
          </cell>
        </row>
        <row r="577">
          <cell r="K577" t="str">
            <v>국민</v>
          </cell>
          <cell r="N577">
            <v>87</v>
          </cell>
          <cell r="P577">
            <v>19000</v>
          </cell>
        </row>
        <row r="578">
          <cell r="K578" t="str">
            <v>국민</v>
          </cell>
          <cell r="N578">
            <v>99</v>
          </cell>
          <cell r="P578">
            <v>30000</v>
          </cell>
        </row>
        <row r="579">
          <cell r="K579" t="str">
            <v>국민</v>
          </cell>
          <cell r="N579">
            <v>60</v>
          </cell>
          <cell r="P579">
            <v>0</v>
          </cell>
        </row>
        <row r="580">
          <cell r="K580" t="str">
            <v>국민</v>
          </cell>
          <cell r="N580">
            <v>87</v>
          </cell>
          <cell r="P580">
            <v>20000</v>
          </cell>
        </row>
        <row r="581">
          <cell r="K581" t="str">
            <v>국민</v>
          </cell>
          <cell r="N581">
            <v>100</v>
          </cell>
          <cell r="P581">
            <v>10000</v>
          </cell>
        </row>
        <row r="582">
          <cell r="K582" t="str">
            <v>국민</v>
          </cell>
          <cell r="N582">
            <v>100</v>
          </cell>
          <cell r="P582">
            <v>1300</v>
          </cell>
        </row>
        <row r="583">
          <cell r="K583" t="str">
            <v>국민</v>
          </cell>
          <cell r="N583">
            <v>40</v>
          </cell>
          <cell r="P583">
            <v>12145</v>
          </cell>
        </row>
        <row r="584">
          <cell r="K584" t="str">
            <v>국민</v>
          </cell>
          <cell r="N584">
            <v>10</v>
          </cell>
          <cell r="P584">
            <v>3000</v>
          </cell>
        </row>
        <row r="585">
          <cell r="K585" t="str">
            <v>국민</v>
          </cell>
          <cell r="N585" t="str">
            <v>na</v>
          </cell>
          <cell r="P585">
            <v>8000</v>
          </cell>
        </row>
        <row r="586">
          <cell r="K586" t="str">
            <v>국민</v>
          </cell>
          <cell r="N586" t="str">
            <v>na</v>
          </cell>
          <cell r="P586">
            <v>0</v>
          </cell>
        </row>
        <row r="587">
          <cell r="K587" t="str">
            <v>국민</v>
          </cell>
          <cell r="N587">
            <v>21</v>
          </cell>
          <cell r="P587">
            <v>80000</v>
          </cell>
        </row>
        <row r="588">
          <cell r="K588" t="str">
            <v>국민</v>
          </cell>
          <cell r="N588">
            <v>32</v>
          </cell>
          <cell r="P588">
            <v>4000</v>
          </cell>
        </row>
        <row r="589">
          <cell r="K589" t="str">
            <v>국민</v>
          </cell>
          <cell r="N589">
            <v>66</v>
          </cell>
          <cell r="P589">
            <v>8000</v>
          </cell>
        </row>
        <row r="590">
          <cell r="K590" t="str">
            <v>국민</v>
          </cell>
          <cell r="N590">
            <v>66</v>
          </cell>
          <cell r="P590">
            <v>13949</v>
          </cell>
        </row>
        <row r="591">
          <cell r="K591" t="str">
            <v>국민</v>
          </cell>
          <cell r="N591">
            <v>98</v>
          </cell>
          <cell r="P591">
            <v>0</v>
          </cell>
        </row>
        <row r="592">
          <cell r="K592" t="str">
            <v>국민</v>
          </cell>
          <cell r="N592">
            <v>8</v>
          </cell>
          <cell r="P592">
            <v>15396.744906</v>
          </cell>
        </row>
        <row r="593">
          <cell r="K593" t="str">
            <v>국민</v>
          </cell>
          <cell r="N593" t="str">
            <v>na</v>
          </cell>
          <cell r="P593">
            <v>0</v>
          </cell>
        </row>
        <row r="594">
          <cell r="K594" t="str">
            <v>국민</v>
          </cell>
          <cell r="N594">
            <v>74</v>
          </cell>
          <cell r="P594">
            <v>10000</v>
          </cell>
        </row>
        <row r="595">
          <cell r="K595" t="str">
            <v>국민</v>
          </cell>
          <cell r="N595">
            <v>16</v>
          </cell>
          <cell r="P595">
            <v>65000</v>
          </cell>
        </row>
        <row r="596">
          <cell r="K596" t="str">
            <v>국민</v>
          </cell>
          <cell r="N596">
            <v>3</v>
          </cell>
          <cell r="P596">
            <v>11400</v>
          </cell>
        </row>
        <row r="597">
          <cell r="K597" t="str">
            <v>국민</v>
          </cell>
          <cell r="N597">
            <v>4</v>
          </cell>
          <cell r="P597">
            <v>32600</v>
          </cell>
        </row>
        <row r="598">
          <cell r="K598" t="str">
            <v>국민</v>
          </cell>
          <cell r="N598">
            <v>174</v>
          </cell>
          <cell r="P598">
            <v>0</v>
          </cell>
        </row>
        <row r="599">
          <cell r="K599" t="str">
            <v>국민</v>
          </cell>
          <cell r="N599">
            <v>4</v>
          </cell>
          <cell r="P599">
            <v>2700</v>
          </cell>
        </row>
        <row r="600">
          <cell r="K600" t="str">
            <v>국민</v>
          </cell>
          <cell r="N600">
            <v>143</v>
          </cell>
          <cell r="P600">
            <v>12706.983371</v>
          </cell>
        </row>
        <row r="601">
          <cell r="K601" t="str">
            <v>국민</v>
          </cell>
          <cell r="N601">
            <v>273</v>
          </cell>
          <cell r="P601">
            <v>17000</v>
          </cell>
        </row>
        <row r="602">
          <cell r="K602" t="str">
            <v>국민</v>
          </cell>
          <cell r="N602">
            <v>273</v>
          </cell>
          <cell r="P602">
            <v>10400</v>
          </cell>
        </row>
        <row r="603">
          <cell r="K603" t="str">
            <v>국민</v>
          </cell>
          <cell r="N603">
            <v>20</v>
          </cell>
          <cell r="P603">
            <v>10411.368058</v>
          </cell>
        </row>
        <row r="604">
          <cell r="K604" t="str">
            <v>국민</v>
          </cell>
          <cell r="N604">
            <v>66</v>
          </cell>
          <cell r="P604">
            <v>6000</v>
          </cell>
        </row>
        <row r="605">
          <cell r="K605" t="str">
            <v>국민</v>
          </cell>
          <cell r="N605">
            <v>66</v>
          </cell>
          <cell r="P605">
            <v>0</v>
          </cell>
        </row>
        <row r="606">
          <cell r="K606" t="str">
            <v>국민</v>
          </cell>
          <cell r="N606">
            <v>46</v>
          </cell>
          <cell r="P606">
            <v>26000</v>
          </cell>
        </row>
        <row r="607">
          <cell r="K607" t="str">
            <v>국민</v>
          </cell>
          <cell r="N607">
            <v>66</v>
          </cell>
          <cell r="P607">
            <v>0</v>
          </cell>
        </row>
        <row r="608">
          <cell r="K608" t="str">
            <v>국민</v>
          </cell>
          <cell r="N608">
            <v>66</v>
          </cell>
          <cell r="P608">
            <v>105105</v>
          </cell>
        </row>
        <row r="609">
          <cell r="K609" t="str">
            <v>국민</v>
          </cell>
          <cell r="N609">
            <v>66</v>
          </cell>
          <cell r="P609">
            <v>13430.966</v>
          </cell>
        </row>
        <row r="610">
          <cell r="K610" t="str">
            <v>국민</v>
          </cell>
          <cell r="N610">
            <v>66</v>
          </cell>
          <cell r="P610">
            <v>11622.344999999999</v>
          </cell>
        </row>
        <row r="611">
          <cell r="K611" t="str">
            <v>국민</v>
          </cell>
          <cell r="N611">
            <v>66</v>
          </cell>
          <cell r="P611">
            <v>12931.525</v>
          </cell>
        </row>
        <row r="612">
          <cell r="K612" t="str">
            <v>국민</v>
          </cell>
          <cell r="N612" t="str">
            <v>na</v>
          </cell>
          <cell r="P612">
            <v>4000</v>
          </cell>
        </row>
        <row r="613">
          <cell r="K613" t="str">
            <v>국민</v>
          </cell>
          <cell r="N613">
            <v>65</v>
          </cell>
          <cell r="P613">
            <v>1544.2947975000002</v>
          </cell>
        </row>
        <row r="614">
          <cell r="K614" t="str">
            <v>국민</v>
          </cell>
          <cell r="N614">
            <v>20</v>
          </cell>
          <cell r="P614">
            <v>10000</v>
          </cell>
        </row>
        <row r="615">
          <cell r="K615" t="str">
            <v>국민</v>
          </cell>
          <cell r="N615">
            <v>20</v>
          </cell>
          <cell r="P615">
            <v>45000</v>
          </cell>
        </row>
        <row r="616">
          <cell r="K616" t="str">
            <v>국민</v>
          </cell>
          <cell r="N616">
            <v>78</v>
          </cell>
          <cell r="P616">
            <v>16000</v>
          </cell>
        </row>
        <row r="617">
          <cell r="K617" t="str">
            <v>국민</v>
          </cell>
          <cell r="N617">
            <v>86</v>
          </cell>
          <cell r="P617">
            <v>15920</v>
          </cell>
        </row>
        <row r="618">
          <cell r="K618" t="str">
            <v>국민</v>
          </cell>
          <cell r="N618">
            <v>7</v>
          </cell>
          <cell r="P618">
            <v>56308.047882999999</v>
          </cell>
        </row>
        <row r="619">
          <cell r="K619" t="str">
            <v>국민</v>
          </cell>
          <cell r="N619" t="str">
            <v>na</v>
          </cell>
          <cell r="P619">
            <v>3500</v>
          </cell>
        </row>
        <row r="620">
          <cell r="K620" t="str">
            <v>국민</v>
          </cell>
          <cell r="N620">
            <v>453</v>
          </cell>
          <cell r="P620">
            <v>390</v>
          </cell>
        </row>
        <row r="621">
          <cell r="K621" t="str">
            <v>국민</v>
          </cell>
          <cell r="N621">
            <v>21</v>
          </cell>
          <cell r="P621">
            <v>50000</v>
          </cell>
        </row>
        <row r="622">
          <cell r="K622" t="str">
            <v>국민</v>
          </cell>
          <cell r="N622" t="str">
            <v>na</v>
          </cell>
          <cell r="P622">
            <v>0</v>
          </cell>
        </row>
        <row r="623">
          <cell r="K623" t="str">
            <v>국민</v>
          </cell>
          <cell r="N623" t="str">
            <v>na</v>
          </cell>
          <cell r="P623">
            <v>0</v>
          </cell>
        </row>
        <row r="624">
          <cell r="K624" t="str">
            <v>국민</v>
          </cell>
          <cell r="N624" t="str">
            <v>na</v>
          </cell>
          <cell r="P624">
            <v>5000</v>
          </cell>
        </row>
        <row r="625">
          <cell r="K625" t="str">
            <v>국민</v>
          </cell>
          <cell r="N625">
            <v>21</v>
          </cell>
          <cell r="P625">
            <v>9000</v>
          </cell>
        </row>
        <row r="626">
          <cell r="K626" t="str">
            <v>국민</v>
          </cell>
          <cell r="N626">
            <v>3</v>
          </cell>
          <cell r="P626">
            <v>25000</v>
          </cell>
        </row>
        <row r="627">
          <cell r="K627" t="str">
            <v>국민</v>
          </cell>
          <cell r="N627">
            <v>3</v>
          </cell>
          <cell r="P627">
            <v>45000</v>
          </cell>
        </row>
        <row r="628">
          <cell r="K628" t="str">
            <v>국민</v>
          </cell>
          <cell r="N628">
            <v>1</v>
          </cell>
          <cell r="P628">
            <v>18000</v>
          </cell>
        </row>
        <row r="629">
          <cell r="K629" t="str">
            <v>국민</v>
          </cell>
          <cell r="N629">
            <v>1</v>
          </cell>
          <cell r="P629">
            <v>10000</v>
          </cell>
        </row>
        <row r="630">
          <cell r="K630" t="str">
            <v>국민</v>
          </cell>
          <cell r="N630">
            <v>1</v>
          </cell>
          <cell r="P630">
            <v>37000</v>
          </cell>
        </row>
        <row r="631">
          <cell r="K631" t="str">
            <v>국민</v>
          </cell>
          <cell r="N631">
            <v>23</v>
          </cell>
          <cell r="P631">
            <v>12826.544333</v>
          </cell>
        </row>
        <row r="632">
          <cell r="K632" t="str">
            <v>국민</v>
          </cell>
          <cell r="N632">
            <v>1</v>
          </cell>
          <cell r="P632">
            <v>46000</v>
          </cell>
        </row>
        <row r="633">
          <cell r="K633" t="str">
            <v>국민</v>
          </cell>
          <cell r="N633">
            <v>41</v>
          </cell>
          <cell r="P633">
            <v>0</v>
          </cell>
        </row>
        <row r="634">
          <cell r="K634" t="str">
            <v>국민</v>
          </cell>
          <cell r="N634">
            <v>41</v>
          </cell>
          <cell r="P634">
            <v>0</v>
          </cell>
        </row>
        <row r="635">
          <cell r="K635" t="str">
            <v>국민</v>
          </cell>
          <cell r="N635">
            <v>67</v>
          </cell>
          <cell r="P635">
            <v>0</v>
          </cell>
        </row>
        <row r="636">
          <cell r="K636" t="str">
            <v>국민</v>
          </cell>
          <cell r="N636">
            <v>66</v>
          </cell>
          <cell r="P636">
            <v>0</v>
          </cell>
        </row>
        <row r="637">
          <cell r="K637" t="str">
            <v>국민</v>
          </cell>
          <cell r="N637">
            <v>2</v>
          </cell>
          <cell r="P637">
            <v>8000</v>
          </cell>
        </row>
        <row r="638">
          <cell r="K638" t="str">
            <v>국민</v>
          </cell>
          <cell r="N638">
            <v>1</v>
          </cell>
          <cell r="P638">
            <v>8000</v>
          </cell>
        </row>
        <row r="639">
          <cell r="K639" t="str">
            <v>국민</v>
          </cell>
          <cell r="N639">
            <v>2</v>
          </cell>
          <cell r="P639">
            <v>10000</v>
          </cell>
        </row>
        <row r="640">
          <cell r="K640" t="str">
            <v>국민</v>
          </cell>
          <cell r="N640">
            <v>1</v>
          </cell>
          <cell r="P640">
            <v>5249.028609</v>
          </cell>
        </row>
        <row r="641">
          <cell r="K641" t="str">
            <v>국민</v>
          </cell>
          <cell r="N641">
            <v>4</v>
          </cell>
          <cell r="P641">
            <v>39200</v>
          </cell>
        </row>
        <row r="642">
          <cell r="K642" t="str">
            <v>국민</v>
          </cell>
          <cell r="N642">
            <v>5</v>
          </cell>
          <cell r="P642">
            <v>12703.703073100001</v>
          </cell>
        </row>
        <row r="643">
          <cell r="K643" t="str">
            <v>국민</v>
          </cell>
          <cell r="N643">
            <v>39</v>
          </cell>
          <cell r="P643">
            <v>46535.103607000005</v>
          </cell>
        </row>
        <row r="644">
          <cell r="K644" t="str">
            <v>국민</v>
          </cell>
          <cell r="N644">
            <v>63</v>
          </cell>
          <cell r="P644">
            <v>37708.054644000003</v>
          </cell>
        </row>
        <row r="645">
          <cell r="K645" t="str">
            <v>국민</v>
          </cell>
          <cell r="N645">
            <v>39</v>
          </cell>
          <cell r="P645">
            <v>7359.9315959999994</v>
          </cell>
        </row>
        <row r="646">
          <cell r="K646" t="str">
            <v>국민</v>
          </cell>
          <cell r="N646">
            <v>63</v>
          </cell>
          <cell r="P646">
            <v>0</v>
          </cell>
        </row>
        <row r="647">
          <cell r="K647" t="str">
            <v>국민</v>
          </cell>
          <cell r="N647">
            <v>63</v>
          </cell>
          <cell r="P647">
            <v>42728</v>
          </cell>
        </row>
        <row r="648">
          <cell r="K648" t="str">
            <v>국민</v>
          </cell>
          <cell r="N648">
            <v>32</v>
          </cell>
          <cell r="P648">
            <v>24000</v>
          </cell>
        </row>
        <row r="649">
          <cell r="K649" t="str">
            <v>국민</v>
          </cell>
          <cell r="N649">
            <v>39</v>
          </cell>
          <cell r="P649">
            <v>400</v>
          </cell>
        </row>
        <row r="650">
          <cell r="K650" t="str">
            <v>국민</v>
          </cell>
          <cell r="N650" t="str">
            <v>na</v>
          </cell>
          <cell r="P650">
            <v>3000</v>
          </cell>
        </row>
        <row r="651">
          <cell r="K651" t="str">
            <v>국민</v>
          </cell>
          <cell r="N651">
            <v>109</v>
          </cell>
          <cell r="P651">
            <v>0</v>
          </cell>
        </row>
        <row r="652">
          <cell r="K652" t="str">
            <v>국민</v>
          </cell>
          <cell r="N652">
            <v>292</v>
          </cell>
          <cell r="P652">
            <v>19500</v>
          </cell>
        </row>
        <row r="653">
          <cell r="K653" t="str">
            <v>국민</v>
          </cell>
          <cell r="N653">
            <v>16</v>
          </cell>
          <cell r="P653">
            <v>2752.8984999999998</v>
          </cell>
        </row>
        <row r="654">
          <cell r="K654" t="str">
            <v>국민</v>
          </cell>
          <cell r="N654">
            <v>28</v>
          </cell>
          <cell r="P654">
            <v>9800</v>
          </cell>
        </row>
        <row r="655">
          <cell r="K655" t="str">
            <v>국민</v>
          </cell>
          <cell r="N655">
            <v>94</v>
          </cell>
          <cell r="P655">
            <v>45000</v>
          </cell>
        </row>
        <row r="656">
          <cell r="K656" t="str">
            <v>국민</v>
          </cell>
          <cell r="N656">
            <v>8</v>
          </cell>
          <cell r="P656">
            <v>3232.4</v>
          </cell>
        </row>
        <row r="657">
          <cell r="K657" t="str">
            <v>국민</v>
          </cell>
          <cell r="N657">
            <v>40</v>
          </cell>
          <cell r="P657">
            <v>4000</v>
          </cell>
        </row>
        <row r="658">
          <cell r="K658" t="str">
            <v>국민</v>
          </cell>
          <cell r="N658">
            <v>115</v>
          </cell>
          <cell r="P658">
            <v>55000</v>
          </cell>
        </row>
        <row r="659">
          <cell r="K659" t="str">
            <v>국민</v>
          </cell>
          <cell r="N659">
            <v>1</v>
          </cell>
          <cell r="P659">
            <v>27197.069</v>
          </cell>
        </row>
        <row r="660">
          <cell r="K660" t="str">
            <v>국민</v>
          </cell>
          <cell r="N660">
            <v>1</v>
          </cell>
          <cell r="P660">
            <v>44602.369599999998</v>
          </cell>
        </row>
        <row r="661">
          <cell r="K661" t="str">
            <v>국민</v>
          </cell>
          <cell r="N661">
            <v>6</v>
          </cell>
          <cell r="P661">
            <v>6778</v>
          </cell>
        </row>
        <row r="662">
          <cell r="K662" t="str">
            <v>국민</v>
          </cell>
          <cell r="N662">
            <v>80</v>
          </cell>
          <cell r="P662">
            <v>12000</v>
          </cell>
        </row>
        <row r="663">
          <cell r="K663" t="str">
            <v>국민</v>
          </cell>
          <cell r="N663">
            <v>125</v>
          </cell>
          <cell r="P663">
            <v>10000</v>
          </cell>
        </row>
        <row r="664">
          <cell r="K664" t="str">
            <v>국민</v>
          </cell>
          <cell r="N664">
            <v>244</v>
          </cell>
          <cell r="P664">
            <v>3500</v>
          </cell>
        </row>
        <row r="665">
          <cell r="K665" t="str">
            <v>국민</v>
          </cell>
          <cell r="N665">
            <v>155</v>
          </cell>
          <cell r="P665">
            <v>7250</v>
          </cell>
        </row>
        <row r="666">
          <cell r="K666" t="str">
            <v>국민</v>
          </cell>
          <cell r="N666">
            <v>1</v>
          </cell>
          <cell r="P666">
            <v>40000</v>
          </cell>
        </row>
        <row r="667">
          <cell r="K667" t="str">
            <v>국민</v>
          </cell>
          <cell r="N667">
            <v>45</v>
          </cell>
          <cell r="P667">
            <v>20000</v>
          </cell>
        </row>
        <row r="668">
          <cell r="K668" t="str">
            <v>국민</v>
          </cell>
          <cell r="N668">
            <v>14</v>
          </cell>
          <cell r="P668">
            <v>31000</v>
          </cell>
        </row>
        <row r="669">
          <cell r="K669" t="str">
            <v>국민</v>
          </cell>
          <cell r="N669">
            <v>5</v>
          </cell>
          <cell r="P669">
            <v>2000</v>
          </cell>
        </row>
        <row r="670">
          <cell r="K670" t="str">
            <v>국민</v>
          </cell>
          <cell r="N670" t="str">
            <v>na</v>
          </cell>
          <cell r="P670">
            <v>4000</v>
          </cell>
        </row>
        <row r="671">
          <cell r="K671" t="str">
            <v>국민</v>
          </cell>
          <cell r="N671">
            <v>272</v>
          </cell>
          <cell r="P671">
            <v>3500</v>
          </cell>
        </row>
        <row r="672">
          <cell r="K672" t="str">
            <v>국민</v>
          </cell>
          <cell r="N672">
            <v>272</v>
          </cell>
          <cell r="P672">
            <v>22800</v>
          </cell>
        </row>
        <row r="673">
          <cell r="K673" t="str">
            <v>국민</v>
          </cell>
          <cell r="N673">
            <v>86</v>
          </cell>
          <cell r="P673">
            <v>27000</v>
          </cell>
        </row>
        <row r="674">
          <cell r="K674" t="str">
            <v>국민</v>
          </cell>
          <cell r="N674">
            <v>272</v>
          </cell>
          <cell r="P674">
            <v>0</v>
          </cell>
        </row>
        <row r="675">
          <cell r="K675" t="str">
            <v>국민</v>
          </cell>
          <cell r="N675">
            <v>272</v>
          </cell>
          <cell r="P675">
            <v>20141</v>
          </cell>
        </row>
        <row r="676">
          <cell r="K676" t="str">
            <v>국민</v>
          </cell>
          <cell r="N676">
            <v>272</v>
          </cell>
          <cell r="P676">
            <v>12000</v>
          </cell>
        </row>
        <row r="677">
          <cell r="K677" t="str">
            <v>국민</v>
          </cell>
          <cell r="N677">
            <v>98</v>
          </cell>
          <cell r="P677">
            <v>30000</v>
          </cell>
        </row>
        <row r="678">
          <cell r="K678" t="str">
            <v>국민</v>
          </cell>
          <cell r="N678" t="str">
            <v>na</v>
          </cell>
          <cell r="P678">
            <v>6671.808</v>
          </cell>
        </row>
        <row r="679">
          <cell r="K679" t="str">
            <v>국민</v>
          </cell>
          <cell r="N679">
            <v>1</v>
          </cell>
          <cell r="P679">
            <v>4569.3</v>
          </cell>
        </row>
        <row r="680">
          <cell r="K680" t="str">
            <v>국민</v>
          </cell>
          <cell r="N680">
            <v>1</v>
          </cell>
          <cell r="P680">
            <v>3900</v>
          </cell>
        </row>
        <row r="681">
          <cell r="K681" t="str">
            <v>국민</v>
          </cell>
          <cell r="N681">
            <v>138</v>
          </cell>
          <cell r="P681">
            <v>50000</v>
          </cell>
        </row>
        <row r="682">
          <cell r="K682" t="str">
            <v>국민</v>
          </cell>
          <cell r="N682">
            <v>67</v>
          </cell>
          <cell r="P682">
            <v>8740</v>
          </cell>
        </row>
        <row r="683">
          <cell r="K683" t="str">
            <v>국민</v>
          </cell>
          <cell r="N683">
            <v>67</v>
          </cell>
          <cell r="P683">
            <v>10260</v>
          </cell>
        </row>
        <row r="684">
          <cell r="K684" t="str">
            <v>국민</v>
          </cell>
          <cell r="N684">
            <v>138</v>
          </cell>
          <cell r="P684">
            <v>16000</v>
          </cell>
        </row>
        <row r="685">
          <cell r="K685" t="str">
            <v>국민</v>
          </cell>
          <cell r="N685">
            <v>133</v>
          </cell>
          <cell r="P685">
            <v>0</v>
          </cell>
        </row>
        <row r="686">
          <cell r="K686" t="str">
            <v>국민</v>
          </cell>
          <cell r="N686">
            <v>1</v>
          </cell>
          <cell r="P686">
            <v>28000</v>
          </cell>
        </row>
        <row r="687">
          <cell r="K687" t="str">
            <v>국민</v>
          </cell>
          <cell r="N687">
            <v>50</v>
          </cell>
          <cell r="P687">
            <v>45000</v>
          </cell>
        </row>
        <row r="688">
          <cell r="K688" t="str">
            <v>국민</v>
          </cell>
          <cell r="N688">
            <v>51</v>
          </cell>
          <cell r="P688">
            <v>4500</v>
          </cell>
        </row>
        <row r="689">
          <cell r="K689" t="str">
            <v>국민</v>
          </cell>
          <cell r="N689">
            <v>5</v>
          </cell>
          <cell r="P689">
            <v>63000</v>
          </cell>
        </row>
        <row r="690">
          <cell r="K690" t="str">
            <v>국민</v>
          </cell>
          <cell r="N690" t="str">
            <v>na</v>
          </cell>
          <cell r="P690">
            <v>32000</v>
          </cell>
        </row>
        <row r="691">
          <cell r="K691" t="str">
            <v>국민</v>
          </cell>
          <cell r="N691">
            <v>5</v>
          </cell>
          <cell r="P691">
            <v>37375.455000000002</v>
          </cell>
        </row>
        <row r="692">
          <cell r="K692" t="str">
            <v>국민</v>
          </cell>
          <cell r="N692">
            <v>13</v>
          </cell>
          <cell r="P692">
            <v>11202</v>
          </cell>
        </row>
        <row r="693">
          <cell r="K693" t="str">
            <v>국민</v>
          </cell>
          <cell r="N693" t="str">
            <v>na</v>
          </cell>
          <cell r="P693">
            <v>23000</v>
          </cell>
        </row>
        <row r="694">
          <cell r="K694" t="str">
            <v>국민</v>
          </cell>
          <cell r="N694">
            <v>25</v>
          </cell>
          <cell r="P694">
            <v>80000</v>
          </cell>
        </row>
        <row r="695">
          <cell r="K695" t="str">
            <v>국민</v>
          </cell>
          <cell r="N695">
            <v>46</v>
          </cell>
          <cell r="P695">
            <v>65000</v>
          </cell>
        </row>
        <row r="696">
          <cell r="K696" t="str">
            <v>국민</v>
          </cell>
          <cell r="N696">
            <v>87</v>
          </cell>
          <cell r="P696">
            <v>25000</v>
          </cell>
        </row>
        <row r="697">
          <cell r="K697" t="str">
            <v>국민</v>
          </cell>
          <cell r="N697">
            <v>25</v>
          </cell>
          <cell r="P697">
            <v>72000</v>
          </cell>
        </row>
        <row r="698">
          <cell r="K698" t="str">
            <v>국민</v>
          </cell>
          <cell r="N698">
            <v>40</v>
          </cell>
          <cell r="P698">
            <v>0</v>
          </cell>
        </row>
        <row r="699">
          <cell r="K699" t="str">
            <v>국민</v>
          </cell>
          <cell r="N699">
            <v>13</v>
          </cell>
          <cell r="P699">
            <v>0</v>
          </cell>
        </row>
        <row r="700">
          <cell r="K700" t="str">
            <v>국민</v>
          </cell>
          <cell r="N700">
            <v>5</v>
          </cell>
          <cell r="P700">
            <v>10829.163750600001</v>
          </cell>
        </row>
        <row r="701">
          <cell r="K701" t="str">
            <v>국민</v>
          </cell>
          <cell r="N701">
            <v>39</v>
          </cell>
          <cell r="P701">
            <v>11000</v>
          </cell>
        </row>
        <row r="702">
          <cell r="K702" t="str">
            <v>국민</v>
          </cell>
          <cell r="N702">
            <v>39</v>
          </cell>
          <cell r="P702">
            <v>12800</v>
          </cell>
        </row>
        <row r="703">
          <cell r="K703" t="str">
            <v>국민</v>
          </cell>
          <cell r="N703">
            <v>39</v>
          </cell>
          <cell r="P703">
            <v>10500</v>
          </cell>
        </row>
        <row r="704">
          <cell r="K704" t="str">
            <v>국민</v>
          </cell>
          <cell r="N704">
            <v>7</v>
          </cell>
          <cell r="P704">
            <v>17385.976278000002</v>
          </cell>
        </row>
        <row r="705">
          <cell r="K705" t="str">
            <v>국민</v>
          </cell>
          <cell r="N705">
            <v>406</v>
          </cell>
          <cell r="P705">
            <v>4800</v>
          </cell>
        </row>
        <row r="706">
          <cell r="K706" t="str">
            <v>국민</v>
          </cell>
          <cell r="N706">
            <v>22</v>
          </cell>
          <cell r="P706">
            <v>20000</v>
          </cell>
        </row>
        <row r="707">
          <cell r="K707" t="str">
            <v>국민</v>
          </cell>
          <cell r="N707">
            <v>10</v>
          </cell>
          <cell r="P707">
            <v>15300</v>
          </cell>
        </row>
        <row r="708">
          <cell r="K708" t="str">
            <v>국민</v>
          </cell>
          <cell r="N708">
            <v>1</v>
          </cell>
          <cell r="P708">
            <v>54000</v>
          </cell>
        </row>
        <row r="709">
          <cell r="K709" t="str">
            <v>국민</v>
          </cell>
          <cell r="N709">
            <v>1</v>
          </cell>
          <cell r="P709">
            <v>0</v>
          </cell>
        </row>
        <row r="710">
          <cell r="K710" t="str">
            <v>국민</v>
          </cell>
          <cell r="N710">
            <v>7</v>
          </cell>
          <cell r="P710">
            <v>122000</v>
          </cell>
        </row>
        <row r="711">
          <cell r="K711" t="str">
            <v>국민</v>
          </cell>
          <cell r="N711">
            <v>7</v>
          </cell>
          <cell r="P711">
            <v>23000</v>
          </cell>
        </row>
        <row r="712">
          <cell r="K712" t="str">
            <v>국민</v>
          </cell>
          <cell r="N712">
            <v>7</v>
          </cell>
          <cell r="P712">
            <v>4503.952405</v>
          </cell>
        </row>
        <row r="713">
          <cell r="K713" t="str">
            <v>국민</v>
          </cell>
          <cell r="N713">
            <v>87</v>
          </cell>
          <cell r="P713">
            <v>28000</v>
          </cell>
        </row>
        <row r="714">
          <cell r="K714" t="str">
            <v>국민</v>
          </cell>
          <cell r="N714" t="str">
            <v>na</v>
          </cell>
          <cell r="P714">
            <v>0</v>
          </cell>
        </row>
        <row r="715">
          <cell r="K715" t="str">
            <v>국민</v>
          </cell>
          <cell r="N715">
            <v>74</v>
          </cell>
          <cell r="P715">
            <v>3000</v>
          </cell>
        </row>
        <row r="716">
          <cell r="K716" t="str">
            <v>국민</v>
          </cell>
          <cell r="N716">
            <v>86</v>
          </cell>
          <cell r="P716">
            <v>21671.25</v>
          </cell>
        </row>
        <row r="717">
          <cell r="K717" t="str">
            <v>국민</v>
          </cell>
          <cell r="N717">
            <v>125</v>
          </cell>
          <cell r="P717">
            <v>19000</v>
          </cell>
        </row>
        <row r="718">
          <cell r="K718" t="str">
            <v>국민</v>
          </cell>
          <cell r="N718">
            <v>4</v>
          </cell>
          <cell r="P718">
            <v>7717.336155</v>
          </cell>
        </row>
        <row r="719">
          <cell r="K719" t="str">
            <v>국민</v>
          </cell>
          <cell r="N719">
            <v>4</v>
          </cell>
          <cell r="P719">
            <v>5870.4621530000004</v>
          </cell>
        </row>
        <row r="720">
          <cell r="K720" t="str">
            <v>국민</v>
          </cell>
          <cell r="N720">
            <v>4</v>
          </cell>
          <cell r="P720">
            <v>2497.56</v>
          </cell>
        </row>
        <row r="721">
          <cell r="K721" t="str">
            <v>국민</v>
          </cell>
          <cell r="N721">
            <v>105</v>
          </cell>
          <cell r="P721">
            <v>17000</v>
          </cell>
        </row>
        <row r="722">
          <cell r="K722" t="str">
            <v>국민</v>
          </cell>
          <cell r="N722">
            <v>41</v>
          </cell>
          <cell r="P722">
            <v>25000</v>
          </cell>
        </row>
        <row r="723">
          <cell r="K723" t="str">
            <v>국민</v>
          </cell>
          <cell r="N723">
            <v>41</v>
          </cell>
          <cell r="P723">
            <v>25000</v>
          </cell>
        </row>
        <row r="724">
          <cell r="K724" t="str">
            <v>국민</v>
          </cell>
          <cell r="N724">
            <v>41</v>
          </cell>
          <cell r="P724">
            <v>24000</v>
          </cell>
        </row>
        <row r="725">
          <cell r="K725" t="str">
            <v>국민</v>
          </cell>
          <cell r="N725">
            <v>47</v>
          </cell>
          <cell r="P725">
            <v>40000</v>
          </cell>
        </row>
        <row r="726">
          <cell r="K726" t="str">
            <v>국민</v>
          </cell>
          <cell r="N726">
            <v>71</v>
          </cell>
          <cell r="P726">
            <v>8400</v>
          </cell>
        </row>
        <row r="727">
          <cell r="K727" t="str">
            <v>국민</v>
          </cell>
          <cell r="N727">
            <v>181</v>
          </cell>
          <cell r="P727">
            <v>28000</v>
          </cell>
        </row>
        <row r="728">
          <cell r="K728" t="str">
            <v>국민</v>
          </cell>
          <cell r="N728">
            <v>2</v>
          </cell>
          <cell r="P728">
            <v>64500</v>
          </cell>
        </row>
        <row r="729">
          <cell r="K729" t="str">
            <v>국민</v>
          </cell>
          <cell r="N729" t="str">
            <v>na</v>
          </cell>
          <cell r="P729">
            <v>9000</v>
          </cell>
        </row>
        <row r="730">
          <cell r="K730" t="str">
            <v>국민</v>
          </cell>
          <cell r="N730">
            <v>33</v>
          </cell>
          <cell r="P730">
            <v>38000</v>
          </cell>
        </row>
        <row r="731">
          <cell r="K731" t="str">
            <v>국민</v>
          </cell>
          <cell r="N731">
            <v>23</v>
          </cell>
          <cell r="P731">
            <v>9172</v>
          </cell>
        </row>
        <row r="732">
          <cell r="K732" t="str">
            <v>국민</v>
          </cell>
          <cell r="N732">
            <v>38</v>
          </cell>
          <cell r="P732">
            <v>27000</v>
          </cell>
        </row>
        <row r="733">
          <cell r="K733" t="str">
            <v>국민</v>
          </cell>
          <cell r="N733">
            <v>2</v>
          </cell>
          <cell r="P733">
            <v>11202</v>
          </cell>
        </row>
        <row r="734">
          <cell r="K734" t="str">
            <v>국민</v>
          </cell>
          <cell r="N734">
            <v>40</v>
          </cell>
          <cell r="P734">
            <v>30000</v>
          </cell>
        </row>
        <row r="735">
          <cell r="K735" t="str">
            <v>국민</v>
          </cell>
          <cell r="N735">
            <v>8</v>
          </cell>
          <cell r="P735">
            <v>1971.3506299999999</v>
          </cell>
        </row>
        <row r="736">
          <cell r="K736" t="str">
            <v>국민</v>
          </cell>
          <cell r="N736">
            <v>8</v>
          </cell>
          <cell r="P736">
            <v>1460.3555590000001</v>
          </cell>
        </row>
        <row r="737">
          <cell r="K737" t="str">
            <v>국민</v>
          </cell>
          <cell r="N737">
            <v>175</v>
          </cell>
          <cell r="P737">
            <v>45000</v>
          </cell>
        </row>
        <row r="738">
          <cell r="K738" t="str">
            <v>국민</v>
          </cell>
          <cell r="N738">
            <v>4</v>
          </cell>
          <cell r="P738">
            <v>22985.540968000001</v>
          </cell>
        </row>
        <row r="739">
          <cell r="K739" t="str">
            <v>국민</v>
          </cell>
          <cell r="N739">
            <v>7</v>
          </cell>
          <cell r="P739">
            <v>12.8627</v>
          </cell>
        </row>
        <row r="740">
          <cell r="K740" t="str">
            <v>국민</v>
          </cell>
          <cell r="N740">
            <v>5</v>
          </cell>
          <cell r="P740">
            <v>27079.795340000001</v>
          </cell>
        </row>
        <row r="741">
          <cell r="K741" t="str">
            <v>국민</v>
          </cell>
          <cell r="N741">
            <v>31</v>
          </cell>
          <cell r="P741">
            <v>2542.2869667000004</v>
          </cell>
        </row>
        <row r="742">
          <cell r="K742" t="str">
            <v>국민</v>
          </cell>
          <cell r="N742">
            <v>221</v>
          </cell>
          <cell r="P742">
            <v>0</v>
          </cell>
        </row>
        <row r="743">
          <cell r="K743" t="str">
            <v>국민</v>
          </cell>
          <cell r="N743">
            <v>5</v>
          </cell>
          <cell r="P743">
            <v>56000</v>
          </cell>
        </row>
        <row r="744">
          <cell r="K744" t="str">
            <v>국민</v>
          </cell>
          <cell r="N744">
            <v>138</v>
          </cell>
          <cell r="P744">
            <v>50000</v>
          </cell>
        </row>
        <row r="745">
          <cell r="K745" t="str">
            <v>국민</v>
          </cell>
          <cell r="N745">
            <v>138</v>
          </cell>
          <cell r="P745">
            <v>35000</v>
          </cell>
        </row>
        <row r="746">
          <cell r="K746" t="str">
            <v>국민</v>
          </cell>
          <cell r="N746">
            <v>138</v>
          </cell>
          <cell r="P746">
            <v>0</v>
          </cell>
        </row>
        <row r="747">
          <cell r="K747" t="str">
            <v>국민</v>
          </cell>
          <cell r="N747" t="str">
            <v>na</v>
          </cell>
          <cell r="P747">
            <v>6500</v>
          </cell>
        </row>
        <row r="748">
          <cell r="K748" t="str">
            <v>국민</v>
          </cell>
          <cell r="N748" t="str">
            <v>na</v>
          </cell>
          <cell r="P748">
            <v>6500</v>
          </cell>
        </row>
        <row r="749">
          <cell r="K749" t="str">
            <v>국민</v>
          </cell>
          <cell r="N749">
            <v>68</v>
          </cell>
          <cell r="P749">
            <v>3000</v>
          </cell>
        </row>
        <row r="750">
          <cell r="K750" t="str">
            <v>국민</v>
          </cell>
          <cell r="N750">
            <v>40</v>
          </cell>
          <cell r="P750">
            <v>4715.6000000000004</v>
          </cell>
        </row>
        <row r="751">
          <cell r="K751" t="str">
            <v>국민</v>
          </cell>
          <cell r="N751">
            <v>40</v>
          </cell>
          <cell r="P751">
            <v>4501.7117456999995</v>
          </cell>
        </row>
        <row r="752">
          <cell r="K752" t="str">
            <v>국민</v>
          </cell>
          <cell r="N752" t="str">
            <v>na</v>
          </cell>
          <cell r="P752">
            <v>0</v>
          </cell>
        </row>
        <row r="753">
          <cell r="K753" t="str">
            <v>국민</v>
          </cell>
          <cell r="N753" t="str">
            <v>na</v>
          </cell>
          <cell r="P753">
            <v>0</v>
          </cell>
        </row>
        <row r="754">
          <cell r="K754" t="str">
            <v>국민</v>
          </cell>
          <cell r="N754" t="str">
            <v>na</v>
          </cell>
          <cell r="P754">
            <v>0</v>
          </cell>
        </row>
        <row r="755">
          <cell r="K755" t="str">
            <v>국민</v>
          </cell>
          <cell r="N755" t="str">
            <v>na</v>
          </cell>
          <cell r="P755">
            <v>0</v>
          </cell>
        </row>
        <row r="756">
          <cell r="K756" t="str">
            <v>국민</v>
          </cell>
          <cell r="N756" t="str">
            <v>na</v>
          </cell>
          <cell r="P756">
            <v>0</v>
          </cell>
        </row>
        <row r="757">
          <cell r="K757" t="str">
            <v>국민</v>
          </cell>
          <cell r="N757" t="str">
            <v>na</v>
          </cell>
          <cell r="P757">
            <v>0</v>
          </cell>
        </row>
        <row r="758">
          <cell r="K758" t="str">
            <v>국민</v>
          </cell>
          <cell r="N758" t="str">
            <v>na</v>
          </cell>
          <cell r="P758">
            <v>0</v>
          </cell>
        </row>
        <row r="759">
          <cell r="K759" t="str">
            <v>국민</v>
          </cell>
          <cell r="N759" t="str">
            <v>na</v>
          </cell>
          <cell r="P759">
            <v>0</v>
          </cell>
        </row>
        <row r="760">
          <cell r="K760" t="str">
            <v>국민</v>
          </cell>
          <cell r="N760" t="str">
            <v>na</v>
          </cell>
          <cell r="P760">
            <v>0</v>
          </cell>
        </row>
        <row r="761">
          <cell r="K761" t="str">
            <v>국민</v>
          </cell>
          <cell r="N761" t="str">
            <v>na</v>
          </cell>
          <cell r="P761">
            <v>0</v>
          </cell>
        </row>
        <row r="762">
          <cell r="K762" t="str">
            <v>국민</v>
          </cell>
          <cell r="N762" t="str">
            <v>na</v>
          </cell>
          <cell r="P762">
            <v>0</v>
          </cell>
        </row>
        <row r="763">
          <cell r="K763" t="str">
            <v>국민</v>
          </cell>
          <cell r="N763" t="str">
            <v>na</v>
          </cell>
          <cell r="P763">
            <v>0</v>
          </cell>
        </row>
        <row r="764">
          <cell r="K764" t="str">
            <v>국민</v>
          </cell>
          <cell r="N764" t="str">
            <v>na</v>
          </cell>
          <cell r="P764">
            <v>0</v>
          </cell>
        </row>
        <row r="765">
          <cell r="K765" t="str">
            <v>국민</v>
          </cell>
          <cell r="N765">
            <v>33</v>
          </cell>
          <cell r="P765">
            <v>1366</v>
          </cell>
        </row>
        <row r="766">
          <cell r="K766" t="str">
            <v>국민</v>
          </cell>
          <cell r="N766">
            <v>33</v>
          </cell>
          <cell r="P766">
            <v>520</v>
          </cell>
        </row>
        <row r="767">
          <cell r="K767" t="str">
            <v>국민</v>
          </cell>
          <cell r="N767" t="str">
            <v>na</v>
          </cell>
          <cell r="P767">
            <v>0</v>
          </cell>
        </row>
        <row r="768">
          <cell r="K768" t="str">
            <v>국민</v>
          </cell>
          <cell r="N768" t="str">
            <v>na</v>
          </cell>
          <cell r="P768">
            <v>0</v>
          </cell>
        </row>
        <row r="769">
          <cell r="K769" t="str">
            <v>국민</v>
          </cell>
          <cell r="N769" t="str">
            <v>na</v>
          </cell>
          <cell r="P769">
            <v>0</v>
          </cell>
        </row>
        <row r="770">
          <cell r="K770" t="str">
            <v>국민</v>
          </cell>
          <cell r="N770" t="str">
            <v>na</v>
          </cell>
          <cell r="P770">
            <v>0</v>
          </cell>
        </row>
        <row r="771">
          <cell r="K771" t="str">
            <v>국민</v>
          </cell>
          <cell r="N771" t="str">
            <v>na</v>
          </cell>
          <cell r="P771">
            <v>0</v>
          </cell>
        </row>
        <row r="772">
          <cell r="K772" t="str">
            <v>국민</v>
          </cell>
          <cell r="N772" t="str">
            <v>na</v>
          </cell>
          <cell r="P772">
            <v>0</v>
          </cell>
        </row>
        <row r="773">
          <cell r="K773" t="str">
            <v>국민</v>
          </cell>
          <cell r="N773" t="str">
            <v>na</v>
          </cell>
          <cell r="P773">
            <v>0</v>
          </cell>
        </row>
        <row r="774">
          <cell r="K774" t="str">
            <v>국민</v>
          </cell>
          <cell r="N774" t="str">
            <v>na</v>
          </cell>
          <cell r="P774">
            <v>0</v>
          </cell>
        </row>
        <row r="775">
          <cell r="K775" t="str">
            <v>국민</v>
          </cell>
          <cell r="N775" t="str">
            <v>na</v>
          </cell>
          <cell r="P775">
            <v>0</v>
          </cell>
        </row>
        <row r="776">
          <cell r="K776" t="str">
            <v>국민</v>
          </cell>
          <cell r="N776" t="str">
            <v>na</v>
          </cell>
          <cell r="P776">
            <v>0</v>
          </cell>
        </row>
        <row r="777">
          <cell r="K777" t="str">
            <v>국민</v>
          </cell>
          <cell r="N777">
            <v>3</v>
          </cell>
          <cell r="P777">
            <v>0</v>
          </cell>
        </row>
        <row r="778">
          <cell r="K778" t="str">
            <v>국민</v>
          </cell>
          <cell r="N778" t="str">
            <v>na</v>
          </cell>
          <cell r="P778">
            <v>0</v>
          </cell>
        </row>
        <row r="779">
          <cell r="K779" t="str">
            <v>국민</v>
          </cell>
          <cell r="N779" t="str">
            <v>na</v>
          </cell>
          <cell r="P779">
            <v>0</v>
          </cell>
        </row>
        <row r="780">
          <cell r="K780" t="str">
            <v>국민</v>
          </cell>
          <cell r="N780">
            <v>33</v>
          </cell>
          <cell r="P780">
            <v>400</v>
          </cell>
        </row>
        <row r="781">
          <cell r="K781" t="str">
            <v>국민</v>
          </cell>
          <cell r="N781" t="str">
            <v>na</v>
          </cell>
          <cell r="P781">
            <v>0</v>
          </cell>
        </row>
        <row r="782">
          <cell r="K782" t="str">
            <v>국민</v>
          </cell>
          <cell r="N782">
            <v>33</v>
          </cell>
          <cell r="P782">
            <v>330</v>
          </cell>
        </row>
        <row r="783">
          <cell r="K783" t="str">
            <v>국민</v>
          </cell>
          <cell r="N783" t="str">
            <v>na</v>
          </cell>
          <cell r="P783">
            <v>0</v>
          </cell>
        </row>
        <row r="784">
          <cell r="K784" t="str">
            <v>국민</v>
          </cell>
          <cell r="N784">
            <v>33</v>
          </cell>
          <cell r="P784">
            <v>400</v>
          </cell>
        </row>
        <row r="785">
          <cell r="K785" t="str">
            <v>국민</v>
          </cell>
          <cell r="N785">
            <v>33</v>
          </cell>
          <cell r="P785">
            <v>429</v>
          </cell>
        </row>
        <row r="786">
          <cell r="K786" t="str">
            <v>국민</v>
          </cell>
          <cell r="N786" t="str">
            <v>na</v>
          </cell>
          <cell r="P786">
            <v>0</v>
          </cell>
        </row>
        <row r="787">
          <cell r="K787" t="str">
            <v>국민</v>
          </cell>
          <cell r="N787">
            <v>122</v>
          </cell>
          <cell r="P787">
            <v>1243</v>
          </cell>
        </row>
        <row r="788">
          <cell r="K788" t="str">
            <v>국민</v>
          </cell>
          <cell r="N788">
            <v>34</v>
          </cell>
          <cell r="P788">
            <v>10000</v>
          </cell>
        </row>
        <row r="789">
          <cell r="K789" t="str">
            <v>국민</v>
          </cell>
          <cell r="N789">
            <v>16</v>
          </cell>
          <cell r="P789">
            <v>16000</v>
          </cell>
        </row>
        <row r="790">
          <cell r="K790" t="str">
            <v>국민</v>
          </cell>
          <cell r="N790">
            <v>8</v>
          </cell>
          <cell r="P790">
            <v>18367.388385999999</v>
          </cell>
        </row>
        <row r="791">
          <cell r="K791" t="str">
            <v>국민</v>
          </cell>
          <cell r="N791">
            <v>4</v>
          </cell>
          <cell r="P791">
            <v>2224.3830699999999</v>
          </cell>
        </row>
        <row r="792">
          <cell r="K792" t="str">
            <v>국민</v>
          </cell>
          <cell r="N792">
            <v>3</v>
          </cell>
          <cell r="P792">
            <v>70200</v>
          </cell>
        </row>
        <row r="793">
          <cell r="K793" t="str">
            <v>국민</v>
          </cell>
          <cell r="N793">
            <v>4</v>
          </cell>
          <cell r="P793">
            <v>59200</v>
          </cell>
        </row>
        <row r="794">
          <cell r="K794" t="str">
            <v>국민</v>
          </cell>
          <cell r="N794">
            <v>377</v>
          </cell>
          <cell r="P794">
            <v>0</v>
          </cell>
        </row>
        <row r="795">
          <cell r="K795" t="str">
            <v>국민</v>
          </cell>
          <cell r="N795">
            <v>377</v>
          </cell>
          <cell r="P795">
            <v>0</v>
          </cell>
        </row>
        <row r="796">
          <cell r="K796" t="str">
            <v>국민</v>
          </cell>
          <cell r="N796" t="str">
            <v>na</v>
          </cell>
          <cell r="P796">
            <v>0</v>
          </cell>
        </row>
        <row r="797">
          <cell r="K797" t="str">
            <v>국민</v>
          </cell>
          <cell r="N797">
            <v>10</v>
          </cell>
          <cell r="P797">
            <v>20000</v>
          </cell>
        </row>
        <row r="798">
          <cell r="K798" t="str">
            <v>국민</v>
          </cell>
          <cell r="N798">
            <v>1</v>
          </cell>
          <cell r="P798">
            <v>25000</v>
          </cell>
        </row>
        <row r="799">
          <cell r="K799" t="str">
            <v>국민</v>
          </cell>
          <cell r="N799">
            <v>58</v>
          </cell>
          <cell r="P799">
            <v>3770</v>
          </cell>
        </row>
        <row r="800">
          <cell r="K800" t="str">
            <v>국민</v>
          </cell>
          <cell r="N800">
            <v>28</v>
          </cell>
          <cell r="P800">
            <v>27000</v>
          </cell>
        </row>
        <row r="801">
          <cell r="K801" t="str">
            <v>국민</v>
          </cell>
          <cell r="N801">
            <v>4</v>
          </cell>
          <cell r="P801">
            <v>32148</v>
          </cell>
        </row>
        <row r="802">
          <cell r="K802" t="str">
            <v>국민</v>
          </cell>
          <cell r="N802">
            <v>152</v>
          </cell>
          <cell r="P802">
            <v>7000</v>
          </cell>
        </row>
        <row r="803">
          <cell r="K803" t="str">
            <v>국민</v>
          </cell>
          <cell r="N803">
            <v>1</v>
          </cell>
          <cell r="P803">
            <v>75000</v>
          </cell>
        </row>
        <row r="804">
          <cell r="K804" t="str">
            <v>국민</v>
          </cell>
          <cell r="N804">
            <v>45</v>
          </cell>
          <cell r="P804">
            <v>29000</v>
          </cell>
        </row>
        <row r="805">
          <cell r="K805" t="str">
            <v>국민</v>
          </cell>
          <cell r="N805">
            <v>41</v>
          </cell>
          <cell r="P805">
            <v>0</v>
          </cell>
        </row>
        <row r="806">
          <cell r="K806" t="str">
            <v>국민</v>
          </cell>
          <cell r="N806">
            <v>41</v>
          </cell>
          <cell r="P806">
            <v>54000</v>
          </cell>
        </row>
        <row r="807">
          <cell r="K807" t="str">
            <v>국민</v>
          </cell>
          <cell r="N807">
            <v>1</v>
          </cell>
          <cell r="P807">
            <v>7136</v>
          </cell>
        </row>
        <row r="808">
          <cell r="K808" t="str">
            <v>국민</v>
          </cell>
          <cell r="N808">
            <v>19</v>
          </cell>
          <cell r="P808">
            <v>71500</v>
          </cell>
        </row>
        <row r="809">
          <cell r="K809" t="str">
            <v>국민</v>
          </cell>
          <cell r="N809">
            <v>19</v>
          </cell>
          <cell r="P809">
            <v>10000</v>
          </cell>
        </row>
        <row r="810">
          <cell r="K810" t="str">
            <v>국민</v>
          </cell>
          <cell r="N810" t="str">
            <v>na</v>
          </cell>
          <cell r="P810">
            <v>0</v>
          </cell>
        </row>
        <row r="811">
          <cell r="K811" t="str">
            <v>국민</v>
          </cell>
          <cell r="N811">
            <v>12</v>
          </cell>
          <cell r="P811">
            <v>12906</v>
          </cell>
        </row>
        <row r="812">
          <cell r="K812" t="str">
            <v>국민</v>
          </cell>
          <cell r="N812" t="str">
            <v>na</v>
          </cell>
          <cell r="P812">
            <v>9000</v>
          </cell>
        </row>
        <row r="813">
          <cell r="K813" t="str">
            <v>국민</v>
          </cell>
          <cell r="N813">
            <v>35</v>
          </cell>
          <cell r="P813">
            <v>15000</v>
          </cell>
        </row>
        <row r="814">
          <cell r="K814" t="str">
            <v>국민</v>
          </cell>
          <cell r="N814">
            <v>322</v>
          </cell>
          <cell r="P814">
            <v>1311</v>
          </cell>
        </row>
        <row r="815">
          <cell r="K815" t="str">
            <v>국민</v>
          </cell>
          <cell r="N815">
            <v>5</v>
          </cell>
          <cell r="P815">
            <v>3026.4</v>
          </cell>
        </row>
        <row r="816">
          <cell r="K816" t="str">
            <v>국민</v>
          </cell>
          <cell r="N816">
            <v>5</v>
          </cell>
          <cell r="P816">
            <v>1040.0754440000001</v>
          </cell>
        </row>
        <row r="817">
          <cell r="K817" t="str">
            <v>국민</v>
          </cell>
          <cell r="N817">
            <v>101</v>
          </cell>
          <cell r="P817">
            <v>11700</v>
          </cell>
        </row>
        <row r="818">
          <cell r="K818" t="str">
            <v>국민</v>
          </cell>
          <cell r="N818">
            <v>194</v>
          </cell>
          <cell r="P818">
            <v>12000</v>
          </cell>
        </row>
        <row r="819">
          <cell r="K819" t="str">
            <v>국민</v>
          </cell>
          <cell r="N819">
            <v>43</v>
          </cell>
          <cell r="P819">
            <v>10000</v>
          </cell>
        </row>
        <row r="820">
          <cell r="K820" t="str">
            <v>국민</v>
          </cell>
          <cell r="N820">
            <v>38</v>
          </cell>
          <cell r="P820">
            <v>8000</v>
          </cell>
        </row>
        <row r="821">
          <cell r="K821" t="str">
            <v>국민</v>
          </cell>
          <cell r="N821">
            <v>2</v>
          </cell>
          <cell r="P821">
            <v>165186</v>
          </cell>
        </row>
        <row r="822">
          <cell r="K822" t="str">
            <v>국민</v>
          </cell>
          <cell r="N822" t="str">
            <v>na</v>
          </cell>
          <cell r="P822">
            <v>0</v>
          </cell>
        </row>
        <row r="823">
          <cell r="K823" t="str">
            <v>국민</v>
          </cell>
          <cell r="N823">
            <v>60</v>
          </cell>
          <cell r="P823">
            <v>35000</v>
          </cell>
        </row>
        <row r="824">
          <cell r="K824" t="str">
            <v>국민</v>
          </cell>
          <cell r="N824">
            <v>80</v>
          </cell>
          <cell r="P824">
            <v>35000</v>
          </cell>
        </row>
        <row r="825">
          <cell r="K825" t="str">
            <v>국민</v>
          </cell>
          <cell r="N825">
            <v>12</v>
          </cell>
          <cell r="P825">
            <v>71458</v>
          </cell>
        </row>
        <row r="826">
          <cell r="K826" t="str">
            <v>국민</v>
          </cell>
          <cell r="N826">
            <v>12</v>
          </cell>
          <cell r="P826">
            <v>17340</v>
          </cell>
        </row>
        <row r="827">
          <cell r="K827" t="str">
            <v>국민</v>
          </cell>
          <cell r="N827">
            <v>60</v>
          </cell>
          <cell r="P827">
            <v>35200</v>
          </cell>
        </row>
        <row r="828">
          <cell r="K828" t="str">
            <v>국민</v>
          </cell>
          <cell r="N828">
            <v>14</v>
          </cell>
          <cell r="P828">
            <v>29295</v>
          </cell>
        </row>
        <row r="829">
          <cell r="K829" t="str">
            <v>국민</v>
          </cell>
          <cell r="N829" t="str">
            <v>na</v>
          </cell>
          <cell r="P829">
            <v>0</v>
          </cell>
        </row>
        <row r="830">
          <cell r="K830" t="str">
            <v>국민</v>
          </cell>
          <cell r="N830">
            <v>9</v>
          </cell>
          <cell r="P830">
            <v>40000</v>
          </cell>
        </row>
        <row r="831">
          <cell r="K831" t="str">
            <v>국민</v>
          </cell>
          <cell r="N831" t="str">
            <v>na</v>
          </cell>
          <cell r="P831">
            <v>0</v>
          </cell>
        </row>
        <row r="832">
          <cell r="K832" t="str">
            <v>국민</v>
          </cell>
          <cell r="N832" t="str">
            <v>na</v>
          </cell>
          <cell r="P832">
            <v>0</v>
          </cell>
        </row>
        <row r="833">
          <cell r="K833" t="str">
            <v>국민</v>
          </cell>
          <cell r="N833" t="str">
            <v>na</v>
          </cell>
          <cell r="P833">
            <v>0</v>
          </cell>
        </row>
        <row r="834">
          <cell r="K834" t="str">
            <v>국민</v>
          </cell>
          <cell r="N834" t="str">
            <v>na</v>
          </cell>
          <cell r="P834">
            <v>0</v>
          </cell>
        </row>
        <row r="835">
          <cell r="K835" t="str">
            <v>국민</v>
          </cell>
          <cell r="N835" t="str">
            <v>na</v>
          </cell>
          <cell r="P835">
            <v>0</v>
          </cell>
        </row>
        <row r="836">
          <cell r="K836" t="str">
            <v>국민</v>
          </cell>
          <cell r="N836" t="str">
            <v>na</v>
          </cell>
          <cell r="P836">
            <v>15000</v>
          </cell>
        </row>
        <row r="837">
          <cell r="K837" t="str">
            <v>국민</v>
          </cell>
          <cell r="N837">
            <v>34</v>
          </cell>
          <cell r="P837">
            <v>15000</v>
          </cell>
        </row>
        <row r="838">
          <cell r="K838" t="str">
            <v>국민</v>
          </cell>
          <cell r="N838" t="str">
            <v>na</v>
          </cell>
          <cell r="P838">
            <v>0</v>
          </cell>
        </row>
        <row r="839">
          <cell r="K839" t="str">
            <v>국민</v>
          </cell>
          <cell r="N839" t="str">
            <v>na</v>
          </cell>
          <cell r="P839">
            <v>0</v>
          </cell>
        </row>
        <row r="840">
          <cell r="K840" t="str">
            <v>국민</v>
          </cell>
          <cell r="N840" t="str">
            <v>na</v>
          </cell>
          <cell r="P840">
            <v>0</v>
          </cell>
        </row>
        <row r="841">
          <cell r="K841" t="str">
            <v>국민</v>
          </cell>
          <cell r="N841" t="str">
            <v>na</v>
          </cell>
          <cell r="P841">
            <v>0</v>
          </cell>
        </row>
        <row r="842">
          <cell r="K842" t="str">
            <v>국민</v>
          </cell>
          <cell r="N842" t="str">
            <v>na</v>
          </cell>
          <cell r="P842">
            <v>0</v>
          </cell>
        </row>
        <row r="843">
          <cell r="K843" t="str">
            <v>국민</v>
          </cell>
          <cell r="N843">
            <v>272</v>
          </cell>
          <cell r="P843">
            <v>5396</v>
          </cell>
        </row>
        <row r="844">
          <cell r="K844" t="str">
            <v>국민</v>
          </cell>
          <cell r="N844" t="str">
            <v>na</v>
          </cell>
          <cell r="P844">
            <v>0</v>
          </cell>
        </row>
        <row r="845">
          <cell r="K845" t="str">
            <v>국민</v>
          </cell>
          <cell r="N845">
            <v>272</v>
          </cell>
          <cell r="P845">
            <v>6271</v>
          </cell>
        </row>
        <row r="846">
          <cell r="K846" t="str">
            <v>국민</v>
          </cell>
          <cell r="N846">
            <v>138</v>
          </cell>
          <cell r="P846">
            <v>0</v>
          </cell>
        </row>
        <row r="847">
          <cell r="K847" t="str">
            <v>국민</v>
          </cell>
          <cell r="N847" t="str">
            <v>na</v>
          </cell>
          <cell r="P847">
            <v>0</v>
          </cell>
        </row>
        <row r="848">
          <cell r="K848" t="str">
            <v>국민</v>
          </cell>
          <cell r="N848" t="str">
            <v>na</v>
          </cell>
          <cell r="P848">
            <v>0</v>
          </cell>
        </row>
        <row r="849">
          <cell r="K849" t="str">
            <v>국민</v>
          </cell>
          <cell r="N849">
            <v>10</v>
          </cell>
          <cell r="P849">
            <v>126000</v>
          </cell>
        </row>
        <row r="850">
          <cell r="K850" t="str">
            <v>국민</v>
          </cell>
          <cell r="N850">
            <v>32</v>
          </cell>
          <cell r="P850">
            <v>41137</v>
          </cell>
        </row>
        <row r="851">
          <cell r="K851" t="str">
            <v>국민</v>
          </cell>
          <cell r="N851" t="str">
            <v>na</v>
          </cell>
          <cell r="P851">
            <v>14615</v>
          </cell>
        </row>
        <row r="852">
          <cell r="K852" t="str">
            <v>국민</v>
          </cell>
          <cell r="N852">
            <v>34</v>
          </cell>
          <cell r="P852">
            <v>14615</v>
          </cell>
        </row>
        <row r="853">
          <cell r="K853" t="str">
            <v>국민</v>
          </cell>
          <cell r="N853" t="str">
            <v>na</v>
          </cell>
          <cell r="P853">
            <v>0</v>
          </cell>
        </row>
        <row r="854">
          <cell r="K854" t="str">
            <v>국민</v>
          </cell>
          <cell r="N854">
            <v>35</v>
          </cell>
          <cell r="P854">
            <v>0</v>
          </cell>
        </row>
        <row r="855">
          <cell r="K855" t="str">
            <v>국민</v>
          </cell>
          <cell r="N855">
            <v>79</v>
          </cell>
          <cell r="P855">
            <v>20800</v>
          </cell>
        </row>
        <row r="856">
          <cell r="K856" t="str">
            <v>국민</v>
          </cell>
          <cell r="N856">
            <v>10</v>
          </cell>
          <cell r="P856">
            <v>60000</v>
          </cell>
        </row>
        <row r="857">
          <cell r="K857" t="str">
            <v>국민</v>
          </cell>
          <cell r="N857">
            <v>108</v>
          </cell>
          <cell r="P857">
            <v>16250</v>
          </cell>
        </row>
        <row r="858">
          <cell r="K858" t="str">
            <v>국민</v>
          </cell>
          <cell r="N858">
            <v>36</v>
          </cell>
          <cell r="P858">
            <v>34400</v>
          </cell>
        </row>
        <row r="859">
          <cell r="K859" t="str">
            <v>국민</v>
          </cell>
          <cell r="N859">
            <v>32</v>
          </cell>
          <cell r="P859">
            <v>57000</v>
          </cell>
        </row>
        <row r="860">
          <cell r="K860" t="str">
            <v>국민</v>
          </cell>
          <cell r="N860">
            <v>22</v>
          </cell>
          <cell r="P860">
            <v>26400</v>
          </cell>
        </row>
        <row r="861">
          <cell r="K861" t="str">
            <v>국민</v>
          </cell>
          <cell r="N861" t="str">
            <v>na</v>
          </cell>
          <cell r="P861">
            <v>0</v>
          </cell>
        </row>
        <row r="862">
          <cell r="K862" t="str">
            <v>국민</v>
          </cell>
          <cell r="N862" t="str">
            <v>na</v>
          </cell>
          <cell r="P862">
            <v>0</v>
          </cell>
        </row>
        <row r="863">
          <cell r="K863" t="str">
            <v>국민</v>
          </cell>
          <cell r="N863" t="str">
            <v>na</v>
          </cell>
          <cell r="P863">
            <v>0</v>
          </cell>
        </row>
        <row r="864">
          <cell r="K864" t="str">
            <v>국민</v>
          </cell>
          <cell r="N864">
            <v>3</v>
          </cell>
          <cell r="P864">
            <v>0</v>
          </cell>
        </row>
        <row r="865">
          <cell r="K865" t="str">
            <v>국민</v>
          </cell>
          <cell r="N865" t="str">
            <v>na</v>
          </cell>
          <cell r="P865">
            <v>0</v>
          </cell>
        </row>
        <row r="866">
          <cell r="K866" t="str">
            <v>국민</v>
          </cell>
          <cell r="N866" t="str">
            <v>na</v>
          </cell>
          <cell r="P866">
            <v>23000</v>
          </cell>
        </row>
        <row r="867">
          <cell r="K867" t="str">
            <v>국민</v>
          </cell>
          <cell r="N867">
            <v>14</v>
          </cell>
          <cell r="P867">
            <v>41430</v>
          </cell>
        </row>
        <row r="868">
          <cell r="K868" t="str">
            <v>국민</v>
          </cell>
          <cell r="N868">
            <v>8</v>
          </cell>
          <cell r="P868">
            <v>15600</v>
          </cell>
        </row>
        <row r="869">
          <cell r="K869" t="str">
            <v>국민</v>
          </cell>
          <cell r="N869" t="str">
            <v>na</v>
          </cell>
          <cell r="P869">
            <v>0</v>
          </cell>
        </row>
        <row r="870">
          <cell r="K870" t="str">
            <v>국민</v>
          </cell>
          <cell r="N870">
            <v>272</v>
          </cell>
          <cell r="P870">
            <v>0</v>
          </cell>
        </row>
        <row r="871">
          <cell r="K871" t="str">
            <v>국민</v>
          </cell>
          <cell r="N871" t="str">
            <v>na</v>
          </cell>
          <cell r="P871">
            <v>0</v>
          </cell>
        </row>
        <row r="872">
          <cell r="K872" t="str">
            <v>국민</v>
          </cell>
          <cell r="N872">
            <v>343</v>
          </cell>
          <cell r="P872">
            <v>11200</v>
          </cell>
        </row>
        <row r="873">
          <cell r="K873" t="str">
            <v>국민</v>
          </cell>
          <cell r="N873">
            <v>108</v>
          </cell>
          <cell r="P873">
            <v>0</v>
          </cell>
        </row>
        <row r="874">
          <cell r="K874" t="str">
            <v>국민</v>
          </cell>
          <cell r="N874">
            <v>10</v>
          </cell>
          <cell r="P874">
            <v>0</v>
          </cell>
        </row>
        <row r="875">
          <cell r="K875" t="str">
            <v>국민</v>
          </cell>
          <cell r="N875">
            <v>40</v>
          </cell>
          <cell r="P875">
            <v>34000</v>
          </cell>
        </row>
        <row r="876">
          <cell r="K876" t="str">
            <v>국민</v>
          </cell>
          <cell r="N876" t="str">
            <v>na</v>
          </cell>
          <cell r="P876">
            <v>0</v>
          </cell>
        </row>
        <row r="877">
          <cell r="K877" t="str">
            <v>국민</v>
          </cell>
          <cell r="N877">
            <v>34</v>
          </cell>
          <cell r="P877">
            <v>0</v>
          </cell>
        </row>
        <row r="878">
          <cell r="K878" t="str">
            <v>국민</v>
          </cell>
          <cell r="N878" t="str">
            <v>na</v>
          </cell>
          <cell r="P878">
            <v>0</v>
          </cell>
        </row>
        <row r="879">
          <cell r="K879" t="str">
            <v>국민</v>
          </cell>
          <cell r="N879">
            <v>8</v>
          </cell>
          <cell r="P879">
            <v>2000</v>
          </cell>
        </row>
        <row r="880">
          <cell r="K880" t="str">
            <v>국민</v>
          </cell>
          <cell r="N880">
            <v>4</v>
          </cell>
          <cell r="P880">
            <v>3689.9869020000001</v>
          </cell>
        </row>
        <row r="881">
          <cell r="K881" t="str">
            <v>국민</v>
          </cell>
          <cell r="N881">
            <v>4</v>
          </cell>
          <cell r="P881">
            <v>23609</v>
          </cell>
        </row>
        <row r="882">
          <cell r="K882" t="str">
            <v>국민</v>
          </cell>
          <cell r="N882">
            <v>4</v>
          </cell>
          <cell r="P882">
            <v>13651</v>
          </cell>
        </row>
        <row r="883">
          <cell r="K883" t="str">
            <v>국민</v>
          </cell>
          <cell r="N883">
            <v>4</v>
          </cell>
          <cell r="P883">
            <v>16615</v>
          </cell>
        </row>
        <row r="884">
          <cell r="K884" t="str">
            <v>국민</v>
          </cell>
          <cell r="N884">
            <v>12</v>
          </cell>
          <cell r="P884">
            <v>1847</v>
          </cell>
        </row>
        <row r="885">
          <cell r="K885" t="str">
            <v>국민</v>
          </cell>
          <cell r="N885">
            <v>12</v>
          </cell>
          <cell r="P885">
            <v>2570</v>
          </cell>
        </row>
        <row r="886">
          <cell r="K886" t="str">
            <v>국민</v>
          </cell>
          <cell r="N886">
            <v>30</v>
          </cell>
          <cell r="P886">
            <v>2897.6834570000001</v>
          </cell>
        </row>
        <row r="887">
          <cell r="K887" t="str">
            <v>국민</v>
          </cell>
          <cell r="N887">
            <v>12</v>
          </cell>
          <cell r="P887">
            <v>33602</v>
          </cell>
        </row>
        <row r="888">
          <cell r="K888" t="str">
            <v>국민</v>
          </cell>
          <cell r="N888">
            <v>12</v>
          </cell>
          <cell r="P888">
            <v>2982.1960350000004</v>
          </cell>
        </row>
        <row r="889">
          <cell r="K889" t="str">
            <v>국민</v>
          </cell>
          <cell r="N889">
            <v>5</v>
          </cell>
          <cell r="P889">
            <v>18841</v>
          </cell>
        </row>
        <row r="890">
          <cell r="K890" t="str">
            <v>국민</v>
          </cell>
          <cell r="N890">
            <v>7</v>
          </cell>
          <cell r="P890">
            <v>4432</v>
          </cell>
        </row>
        <row r="891">
          <cell r="K891" t="str">
            <v>국민</v>
          </cell>
          <cell r="N891">
            <v>3</v>
          </cell>
          <cell r="P891">
            <v>12477.79</v>
          </cell>
        </row>
        <row r="892">
          <cell r="K892" t="str">
            <v>국민</v>
          </cell>
          <cell r="N892">
            <v>12</v>
          </cell>
          <cell r="P892">
            <v>10573</v>
          </cell>
        </row>
        <row r="893">
          <cell r="K893" t="str">
            <v>국민</v>
          </cell>
          <cell r="N893">
            <v>7</v>
          </cell>
          <cell r="P893">
            <v>0</v>
          </cell>
        </row>
        <row r="894">
          <cell r="K894" t="str">
            <v>국민</v>
          </cell>
          <cell r="N894">
            <v>8</v>
          </cell>
          <cell r="P894">
            <v>7382.5825089999998</v>
          </cell>
        </row>
        <row r="895">
          <cell r="K895" t="str">
            <v>국민</v>
          </cell>
          <cell r="N895">
            <v>13</v>
          </cell>
          <cell r="P895">
            <v>11960</v>
          </cell>
        </row>
        <row r="896">
          <cell r="K896" t="str">
            <v>국민</v>
          </cell>
          <cell r="N896">
            <v>3</v>
          </cell>
          <cell r="P896">
            <v>650</v>
          </cell>
        </row>
        <row r="897">
          <cell r="K897" t="str">
            <v>국민</v>
          </cell>
          <cell r="N897">
            <v>3</v>
          </cell>
          <cell r="P897">
            <v>3900</v>
          </cell>
        </row>
        <row r="898">
          <cell r="K898" t="str">
            <v>국민</v>
          </cell>
          <cell r="N898">
            <v>226</v>
          </cell>
          <cell r="P898">
            <v>1870.9</v>
          </cell>
        </row>
        <row r="899">
          <cell r="K899" t="str">
            <v>국민</v>
          </cell>
          <cell r="N899">
            <v>2</v>
          </cell>
          <cell r="P899">
            <v>22750</v>
          </cell>
        </row>
        <row r="900">
          <cell r="K900" t="str">
            <v>국민</v>
          </cell>
          <cell r="N900">
            <v>12</v>
          </cell>
          <cell r="P900">
            <v>12290</v>
          </cell>
        </row>
        <row r="901">
          <cell r="K901" t="str">
            <v>국민</v>
          </cell>
          <cell r="N901">
            <v>4</v>
          </cell>
          <cell r="P901">
            <v>16109.525436</v>
          </cell>
        </row>
        <row r="902">
          <cell r="K902" t="str">
            <v>국민</v>
          </cell>
          <cell r="N902">
            <v>4</v>
          </cell>
          <cell r="P902">
            <v>25616</v>
          </cell>
        </row>
        <row r="903">
          <cell r="K903" t="str">
            <v>국민</v>
          </cell>
          <cell r="N903">
            <v>18</v>
          </cell>
          <cell r="P903">
            <v>2124.1999999999998</v>
          </cell>
        </row>
        <row r="904">
          <cell r="K904" t="str">
            <v>국민</v>
          </cell>
          <cell r="N904">
            <v>18</v>
          </cell>
          <cell r="P904">
            <v>5000</v>
          </cell>
        </row>
        <row r="905">
          <cell r="K905" t="str">
            <v>국민</v>
          </cell>
          <cell r="N905">
            <v>12</v>
          </cell>
          <cell r="P905">
            <v>4755.6036480000002</v>
          </cell>
        </row>
        <row r="906">
          <cell r="K906" t="str">
            <v>국민</v>
          </cell>
          <cell r="N906">
            <v>50</v>
          </cell>
          <cell r="P906">
            <v>9000</v>
          </cell>
        </row>
        <row r="907">
          <cell r="K907" t="str">
            <v>국민</v>
          </cell>
          <cell r="N907">
            <v>47</v>
          </cell>
          <cell r="P907">
            <v>10000</v>
          </cell>
        </row>
        <row r="908">
          <cell r="K908" t="str">
            <v>국민</v>
          </cell>
          <cell r="N908">
            <v>50</v>
          </cell>
          <cell r="P908">
            <v>20000</v>
          </cell>
        </row>
        <row r="909">
          <cell r="K909" t="str">
            <v>국민</v>
          </cell>
          <cell r="N909">
            <v>182</v>
          </cell>
          <cell r="P909">
            <v>9000</v>
          </cell>
        </row>
        <row r="910">
          <cell r="K910" t="str">
            <v>국민</v>
          </cell>
          <cell r="N910">
            <v>48</v>
          </cell>
          <cell r="P910">
            <v>0</v>
          </cell>
        </row>
        <row r="911">
          <cell r="K911" t="str">
            <v>국민</v>
          </cell>
          <cell r="N911">
            <v>48</v>
          </cell>
          <cell r="P911">
            <v>17940</v>
          </cell>
        </row>
        <row r="912">
          <cell r="K912" t="str">
            <v>국민</v>
          </cell>
          <cell r="N912">
            <v>51</v>
          </cell>
          <cell r="P912">
            <v>90000</v>
          </cell>
        </row>
        <row r="913">
          <cell r="K913" t="str">
            <v>국민</v>
          </cell>
          <cell r="N913">
            <v>47</v>
          </cell>
          <cell r="P913">
            <v>40000</v>
          </cell>
        </row>
        <row r="914">
          <cell r="K914" t="str">
            <v>국민</v>
          </cell>
          <cell r="N914">
            <v>50</v>
          </cell>
          <cell r="P914">
            <v>58500</v>
          </cell>
        </row>
        <row r="915">
          <cell r="K915" t="str">
            <v>국민</v>
          </cell>
          <cell r="N915">
            <v>340</v>
          </cell>
          <cell r="P915">
            <v>6600</v>
          </cell>
        </row>
        <row r="916">
          <cell r="K916" t="str">
            <v>국민</v>
          </cell>
          <cell r="N916">
            <v>86</v>
          </cell>
          <cell r="P916">
            <v>0</v>
          </cell>
        </row>
        <row r="917">
          <cell r="K917" t="str">
            <v>국민</v>
          </cell>
          <cell r="N917">
            <v>48</v>
          </cell>
          <cell r="P917">
            <v>0</v>
          </cell>
        </row>
        <row r="918">
          <cell r="K918" t="str">
            <v>국민</v>
          </cell>
          <cell r="N918">
            <v>50</v>
          </cell>
          <cell r="P918">
            <v>28600</v>
          </cell>
        </row>
        <row r="919">
          <cell r="K919" t="str">
            <v>국민</v>
          </cell>
          <cell r="N919">
            <v>165</v>
          </cell>
          <cell r="P919">
            <v>44000</v>
          </cell>
        </row>
        <row r="920">
          <cell r="K920" t="str">
            <v>국민</v>
          </cell>
          <cell r="N920">
            <v>50</v>
          </cell>
          <cell r="P920">
            <v>80000</v>
          </cell>
        </row>
        <row r="921">
          <cell r="K921" t="str">
            <v>국민</v>
          </cell>
          <cell r="N921">
            <v>34</v>
          </cell>
          <cell r="P921">
            <v>160000</v>
          </cell>
        </row>
        <row r="922">
          <cell r="K922" t="str">
            <v>국민</v>
          </cell>
          <cell r="N922">
            <v>86</v>
          </cell>
          <cell r="P922">
            <v>0</v>
          </cell>
        </row>
        <row r="923">
          <cell r="K923" t="str">
            <v>국민</v>
          </cell>
          <cell r="N923">
            <v>34</v>
          </cell>
          <cell r="P923">
            <v>82000</v>
          </cell>
        </row>
        <row r="924">
          <cell r="K924" t="str">
            <v>국민</v>
          </cell>
          <cell r="N924">
            <v>51</v>
          </cell>
          <cell r="P924">
            <v>4745</v>
          </cell>
        </row>
        <row r="925">
          <cell r="K925" t="str">
            <v>국민</v>
          </cell>
          <cell r="N925">
            <v>127</v>
          </cell>
          <cell r="P925">
            <v>100000</v>
          </cell>
        </row>
        <row r="926">
          <cell r="K926" t="str">
            <v>국민</v>
          </cell>
          <cell r="N926">
            <v>51</v>
          </cell>
          <cell r="P926">
            <v>65000</v>
          </cell>
        </row>
        <row r="927">
          <cell r="K927" t="str">
            <v>국민</v>
          </cell>
          <cell r="N927">
            <v>34</v>
          </cell>
          <cell r="P927">
            <v>43290</v>
          </cell>
        </row>
        <row r="928">
          <cell r="K928" t="str">
            <v>국민</v>
          </cell>
          <cell r="N928">
            <v>73</v>
          </cell>
          <cell r="P928">
            <v>16914.956999999999</v>
          </cell>
        </row>
        <row r="929">
          <cell r="K929" t="str">
            <v>국민</v>
          </cell>
          <cell r="N929">
            <v>8</v>
          </cell>
          <cell r="P929">
            <v>5000</v>
          </cell>
        </row>
        <row r="930">
          <cell r="K930" t="str">
            <v>국민</v>
          </cell>
          <cell r="N930">
            <v>8</v>
          </cell>
          <cell r="P930">
            <v>6472.0375329999997</v>
          </cell>
        </row>
        <row r="931">
          <cell r="K931" t="str">
            <v>국민</v>
          </cell>
          <cell r="N931">
            <v>16</v>
          </cell>
          <cell r="P931">
            <v>14865.069667</v>
          </cell>
        </row>
        <row r="932">
          <cell r="K932" t="str">
            <v>국민</v>
          </cell>
          <cell r="N932">
            <v>12</v>
          </cell>
          <cell r="P932">
            <v>14865.069667</v>
          </cell>
        </row>
        <row r="933">
          <cell r="K933" t="str">
            <v>국민</v>
          </cell>
          <cell r="N933">
            <v>35</v>
          </cell>
          <cell r="P933">
            <v>5700</v>
          </cell>
        </row>
        <row r="934">
          <cell r="K934" t="str">
            <v>국민</v>
          </cell>
          <cell r="N934">
            <v>1</v>
          </cell>
          <cell r="P934">
            <v>874.35581000000002</v>
          </cell>
        </row>
        <row r="935">
          <cell r="K935" t="str">
            <v>국민</v>
          </cell>
          <cell r="N935">
            <v>15</v>
          </cell>
          <cell r="P935">
            <v>46160.186324200004</v>
          </cell>
        </row>
        <row r="936">
          <cell r="K936" t="str">
            <v>국민</v>
          </cell>
          <cell r="N936">
            <v>18</v>
          </cell>
          <cell r="P936">
            <v>5353.9386400000003</v>
          </cell>
        </row>
        <row r="937">
          <cell r="K937" t="str">
            <v>국민</v>
          </cell>
          <cell r="N937" t="str">
            <v>na</v>
          </cell>
          <cell r="P937">
            <v>4645.6355400000002</v>
          </cell>
        </row>
        <row r="938">
          <cell r="K938" t="str">
            <v>국민</v>
          </cell>
          <cell r="N938">
            <v>8</v>
          </cell>
          <cell r="P938">
            <v>3287</v>
          </cell>
        </row>
        <row r="939">
          <cell r="K939" t="str">
            <v>국민</v>
          </cell>
          <cell r="N939">
            <v>24</v>
          </cell>
          <cell r="P939">
            <v>20710.36</v>
          </cell>
        </row>
        <row r="940">
          <cell r="K940" t="str">
            <v>국민</v>
          </cell>
          <cell r="N940">
            <v>161</v>
          </cell>
          <cell r="P940">
            <v>12086.624</v>
          </cell>
        </row>
        <row r="941">
          <cell r="K941" t="str">
            <v>국민</v>
          </cell>
          <cell r="N941">
            <v>35</v>
          </cell>
          <cell r="P941">
            <v>3000</v>
          </cell>
        </row>
        <row r="942">
          <cell r="K942" t="str">
            <v>국민</v>
          </cell>
          <cell r="N942">
            <v>24</v>
          </cell>
          <cell r="P942">
            <v>32346</v>
          </cell>
        </row>
        <row r="943">
          <cell r="K943" t="str">
            <v>국민</v>
          </cell>
          <cell r="N943">
            <v>8</v>
          </cell>
          <cell r="P943">
            <v>0</v>
          </cell>
        </row>
        <row r="944">
          <cell r="K944" t="str">
            <v>국민</v>
          </cell>
          <cell r="N944">
            <v>9</v>
          </cell>
          <cell r="P944">
            <v>30560</v>
          </cell>
        </row>
        <row r="945">
          <cell r="K945" t="str">
            <v>국민</v>
          </cell>
          <cell r="N945">
            <v>24</v>
          </cell>
          <cell r="P945">
            <v>38000</v>
          </cell>
        </row>
        <row r="946">
          <cell r="K946" t="str">
            <v>국민</v>
          </cell>
          <cell r="N946">
            <v>35</v>
          </cell>
          <cell r="P946">
            <v>20000</v>
          </cell>
        </row>
        <row r="947">
          <cell r="K947" t="str">
            <v>국민</v>
          </cell>
          <cell r="N947">
            <v>35</v>
          </cell>
          <cell r="P947">
            <v>30000</v>
          </cell>
        </row>
        <row r="948">
          <cell r="K948" t="str">
            <v>국민</v>
          </cell>
          <cell r="N948">
            <v>1</v>
          </cell>
          <cell r="P948">
            <v>21100</v>
          </cell>
        </row>
        <row r="949">
          <cell r="K949" t="str">
            <v>국민</v>
          </cell>
          <cell r="N949">
            <v>12</v>
          </cell>
          <cell r="P949">
            <v>5000</v>
          </cell>
        </row>
        <row r="950">
          <cell r="K950" t="str">
            <v>국민</v>
          </cell>
          <cell r="N950" t="str">
            <v>na</v>
          </cell>
          <cell r="P950">
            <v>1700</v>
          </cell>
        </row>
        <row r="951">
          <cell r="K951" t="str">
            <v>국민</v>
          </cell>
          <cell r="N951">
            <v>125</v>
          </cell>
          <cell r="P951">
            <v>50000</v>
          </cell>
        </row>
        <row r="952">
          <cell r="K952" t="str">
            <v>국민</v>
          </cell>
          <cell r="N952">
            <v>2</v>
          </cell>
          <cell r="P952">
            <v>35000</v>
          </cell>
        </row>
        <row r="953">
          <cell r="K953" t="str">
            <v>국민</v>
          </cell>
          <cell r="N953">
            <v>2</v>
          </cell>
          <cell r="P953">
            <v>41200</v>
          </cell>
        </row>
        <row r="954">
          <cell r="K954" t="str">
            <v>국민</v>
          </cell>
          <cell r="N954">
            <v>45</v>
          </cell>
          <cell r="P954">
            <v>7500</v>
          </cell>
        </row>
        <row r="955">
          <cell r="K955" t="str">
            <v>국민</v>
          </cell>
          <cell r="N955">
            <v>35</v>
          </cell>
          <cell r="P955">
            <v>0</v>
          </cell>
        </row>
        <row r="956">
          <cell r="K956" t="str">
            <v>국민</v>
          </cell>
          <cell r="N956">
            <v>39</v>
          </cell>
          <cell r="P956">
            <v>3900</v>
          </cell>
        </row>
        <row r="957">
          <cell r="K957" t="str">
            <v>국민</v>
          </cell>
          <cell r="N957">
            <v>23</v>
          </cell>
          <cell r="P957">
            <v>15000</v>
          </cell>
        </row>
        <row r="958">
          <cell r="K958" t="str">
            <v>국민</v>
          </cell>
          <cell r="N958">
            <v>7</v>
          </cell>
          <cell r="P958">
            <v>185000</v>
          </cell>
        </row>
        <row r="959">
          <cell r="K959" t="str">
            <v>국민</v>
          </cell>
          <cell r="N959">
            <v>7</v>
          </cell>
          <cell r="P959">
            <v>16500</v>
          </cell>
        </row>
        <row r="960">
          <cell r="K960" t="str">
            <v>국민</v>
          </cell>
          <cell r="N960">
            <v>7</v>
          </cell>
          <cell r="P960">
            <v>0</v>
          </cell>
        </row>
        <row r="961">
          <cell r="K961" t="str">
            <v>국민</v>
          </cell>
          <cell r="N961">
            <v>7</v>
          </cell>
          <cell r="P961">
            <v>52743.470947000002</v>
          </cell>
        </row>
        <row r="962">
          <cell r="K962" t="str">
            <v>국민</v>
          </cell>
          <cell r="N962">
            <v>7</v>
          </cell>
          <cell r="P962">
            <v>31417.007137000001</v>
          </cell>
        </row>
        <row r="963">
          <cell r="K963" t="str">
            <v>국민</v>
          </cell>
          <cell r="N963">
            <v>4</v>
          </cell>
          <cell r="P963">
            <v>44000</v>
          </cell>
        </row>
        <row r="964">
          <cell r="K964" t="str">
            <v>국민</v>
          </cell>
          <cell r="N964">
            <v>8</v>
          </cell>
          <cell r="P964">
            <v>49984.494796999999</v>
          </cell>
        </row>
        <row r="965">
          <cell r="K965" t="str">
            <v>국민</v>
          </cell>
          <cell r="N965">
            <v>2</v>
          </cell>
          <cell r="P965">
            <v>36700</v>
          </cell>
        </row>
        <row r="966">
          <cell r="K966" t="str">
            <v>국민</v>
          </cell>
          <cell r="N966">
            <v>7</v>
          </cell>
          <cell r="P966">
            <v>6581.4782279999999</v>
          </cell>
        </row>
        <row r="967">
          <cell r="K967" t="str">
            <v>국민</v>
          </cell>
          <cell r="N967">
            <v>7</v>
          </cell>
          <cell r="P967">
            <v>15828.388916</v>
          </cell>
        </row>
        <row r="968">
          <cell r="K968" t="str">
            <v>국민</v>
          </cell>
          <cell r="N968">
            <v>12</v>
          </cell>
          <cell r="P968">
            <v>5721.8700289999997</v>
          </cell>
        </row>
        <row r="969">
          <cell r="K969" t="str">
            <v>국민</v>
          </cell>
          <cell r="N969">
            <v>18</v>
          </cell>
          <cell r="P969">
            <v>14966.804122</v>
          </cell>
        </row>
        <row r="970">
          <cell r="K970" t="str">
            <v>국민</v>
          </cell>
          <cell r="N970">
            <v>12</v>
          </cell>
          <cell r="P970">
            <v>20216.928892</v>
          </cell>
        </row>
        <row r="971">
          <cell r="K971" t="str">
            <v>국민</v>
          </cell>
          <cell r="N971">
            <v>7</v>
          </cell>
          <cell r="P971">
            <v>19.5</v>
          </cell>
        </row>
        <row r="972">
          <cell r="K972" t="str">
            <v>국민</v>
          </cell>
          <cell r="N972">
            <v>7</v>
          </cell>
          <cell r="P972">
            <v>23820.064374600002</v>
          </cell>
        </row>
        <row r="973">
          <cell r="K973" t="str">
            <v>국민</v>
          </cell>
          <cell r="N973">
            <v>18</v>
          </cell>
          <cell r="P973">
            <v>15014.887535</v>
          </cell>
        </row>
        <row r="974">
          <cell r="K974" t="str">
            <v>국민</v>
          </cell>
          <cell r="N974">
            <v>18</v>
          </cell>
          <cell r="P974">
            <v>8566.6317710000003</v>
          </cell>
        </row>
        <row r="975">
          <cell r="K975" t="str">
            <v>국민</v>
          </cell>
          <cell r="N975">
            <v>6</v>
          </cell>
          <cell r="P975">
            <v>2443</v>
          </cell>
        </row>
        <row r="976">
          <cell r="K976" t="str">
            <v>국민</v>
          </cell>
          <cell r="N976">
            <v>7</v>
          </cell>
          <cell r="P976">
            <v>12087.767034</v>
          </cell>
        </row>
        <row r="977">
          <cell r="K977" t="str">
            <v>국민</v>
          </cell>
          <cell r="N977">
            <v>8</v>
          </cell>
          <cell r="P977">
            <v>8810.8152420000006</v>
          </cell>
        </row>
        <row r="978">
          <cell r="K978" t="str">
            <v>국민</v>
          </cell>
          <cell r="N978">
            <v>18</v>
          </cell>
          <cell r="P978">
            <v>9855.0739229999999</v>
          </cell>
        </row>
        <row r="979">
          <cell r="K979" t="str">
            <v>국민</v>
          </cell>
          <cell r="N979">
            <v>18</v>
          </cell>
          <cell r="P979">
            <v>4060</v>
          </cell>
        </row>
        <row r="980">
          <cell r="K980" t="str">
            <v>국민</v>
          </cell>
          <cell r="N980">
            <v>56</v>
          </cell>
          <cell r="P980">
            <v>24000</v>
          </cell>
        </row>
        <row r="981">
          <cell r="K981" t="str">
            <v>국민</v>
          </cell>
          <cell r="N981">
            <v>56</v>
          </cell>
          <cell r="P981">
            <v>56000</v>
          </cell>
        </row>
        <row r="982">
          <cell r="K982" t="str">
            <v>국민</v>
          </cell>
          <cell r="N982">
            <v>338</v>
          </cell>
          <cell r="P982">
            <v>2000</v>
          </cell>
        </row>
        <row r="983">
          <cell r="K983" t="str">
            <v>국민</v>
          </cell>
          <cell r="N983">
            <v>56</v>
          </cell>
          <cell r="P983">
            <v>23000</v>
          </cell>
        </row>
        <row r="984">
          <cell r="K984" t="str">
            <v>국민</v>
          </cell>
          <cell r="N984">
            <v>133</v>
          </cell>
          <cell r="P984">
            <v>12000</v>
          </cell>
        </row>
        <row r="985">
          <cell r="K985" t="str">
            <v>국민</v>
          </cell>
          <cell r="N985">
            <v>1</v>
          </cell>
          <cell r="P985">
            <v>48500</v>
          </cell>
        </row>
        <row r="986">
          <cell r="K986" t="str">
            <v>국민</v>
          </cell>
          <cell r="N986">
            <v>108</v>
          </cell>
          <cell r="P986">
            <v>9100</v>
          </cell>
        </row>
        <row r="987">
          <cell r="K987" t="str">
            <v>국민</v>
          </cell>
          <cell r="N987">
            <v>133</v>
          </cell>
          <cell r="P987">
            <v>28000</v>
          </cell>
        </row>
        <row r="988">
          <cell r="K988" t="str">
            <v>국민</v>
          </cell>
          <cell r="N988">
            <v>133</v>
          </cell>
          <cell r="P988">
            <v>5200</v>
          </cell>
        </row>
        <row r="989">
          <cell r="K989" t="str">
            <v>국민</v>
          </cell>
          <cell r="N989">
            <v>23</v>
          </cell>
          <cell r="P989">
            <v>31000</v>
          </cell>
        </row>
        <row r="990">
          <cell r="K990" t="str">
            <v>국민</v>
          </cell>
          <cell r="N990">
            <v>32</v>
          </cell>
          <cell r="P990">
            <v>31000</v>
          </cell>
        </row>
        <row r="991">
          <cell r="K991" t="str">
            <v>국민</v>
          </cell>
          <cell r="N991">
            <v>23</v>
          </cell>
          <cell r="P991">
            <v>10530</v>
          </cell>
        </row>
        <row r="992">
          <cell r="K992" t="str">
            <v>국민</v>
          </cell>
          <cell r="N992">
            <v>151</v>
          </cell>
          <cell r="P992">
            <v>3000</v>
          </cell>
        </row>
        <row r="993">
          <cell r="K993" t="str">
            <v>국민</v>
          </cell>
          <cell r="N993">
            <v>151</v>
          </cell>
          <cell r="P993">
            <v>2500</v>
          </cell>
        </row>
        <row r="994">
          <cell r="K994" t="str">
            <v>국민</v>
          </cell>
          <cell r="N994">
            <v>28</v>
          </cell>
          <cell r="P994">
            <v>9800</v>
          </cell>
        </row>
        <row r="995">
          <cell r="K995" t="str">
            <v>국민</v>
          </cell>
          <cell r="N995">
            <v>171</v>
          </cell>
          <cell r="P995">
            <v>7000</v>
          </cell>
        </row>
        <row r="996">
          <cell r="K996" t="str">
            <v>국민</v>
          </cell>
          <cell r="N996">
            <v>151</v>
          </cell>
          <cell r="P996">
            <v>2000</v>
          </cell>
        </row>
        <row r="997">
          <cell r="K997" t="str">
            <v>국민</v>
          </cell>
          <cell r="N997">
            <v>8</v>
          </cell>
          <cell r="P997">
            <v>1921.2</v>
          </cell>
        </row>
        <row r="998">
          <cell r="K998" t="str">
            <v>국민</v>
          </cell>
          <cell r="N998">
            <v>8</v>
          </cell>
          <cell r="P998">
            <v>18307.5660131</v>
          </cell>
        </row>
        <row r="999">
          <cell r="K999" t="str">
            <v>국민</v>
          </cell>
          <cell r="N999">
            <v>8</v>
          </cell>
          <cell r="P999">
            <v>2600</v>
          </cell>
        </row>
        <row r="1000">
          <cell r="K1000" t="str">
            <v>국민</v>
          </cell>
          <cell r="N1000">
            <v>23</v>
          </cell>
          <cell r="P1000">
            <v>60000</v>
          </cell>
        </row>
        <row r="1001">
          <cell r="K1001" t="str">
            <v>국민</v>
          </cell>
          <cell r="N1001">
            <v>8</v>
          </cell>
          <cell r="P1001">
            <v>3710.6738863999999</v>
          </cell>
        </row>
        <row r="1002">
          <cell r="K1002" t="str">
            <v>국민</v>
          </cell>
          <cell r="N1002">
            <v>8</v>
          </cell>
          <cell r="P1002">
            <v>3388.0778780000001</v>
          </cell>
        </row>
        <row r="1003">
          <cell r="K1003" t="str">
            <v>국민</v>
          </cell>
          <cell r="N1003">
            <v>8</v>
          </cell>
          <cell r="P1003">
            <v>9135.5203070000007</v>
          </cell>
        </row>
        <row r="1004">
          <cell r="K1004" t="str">
            <v>국민</v>
          </cell>
          <cell r="N1004">
            <v>23</v>
          </cell>
          <cell r="P1004">
            <v>3900</v>
          </cell>
        </row>
        <row r="1005">
          <cell r="K1005" t="str">
            <v>국민</v>
          </cell>
          <cell r="N1005">
            <v>58</v>
          </cell>
          <cell r="P1005">
            <v>37959.073013000001</v>
          </cell>
        </row>
        <row r="1006">
          <cell r="K1006" t="str">
            <v>국민</v>
          </cell>
          <cell r="N1006">
            <v>79</v>
          </cell>
          <cell r="P1006">
            <v>4000</v>
          </cell>
        </row>
        <row r="1007">
          <cell r="K1007" t="str">
            <v>국민</v>
          </cell>
          <cell r="N1007">
            <v>36</v>
          </cell>
          <cell r="P1007">
            <v>23000</v>
          </cell>
        </row>
        <row r="1008">
          <cell r="K1008" t="str">
            <v>국민</v>
          </cell>
          <cell r="N1008">
            <v>108</v>
          </cell>
          <cell r="P1008">
            <v>6000</v>
          </cell>
        </row>
        <row r="1009">
          <cell r="K1009" t="str">
            <v>국민</v>
          </cell>
          <cell r="N1009" t="str">
            <v>na</v>
          </cell>
          <cell r="P1009">
            <v>6000</v>
          </cell>
        </row>
        <row r="1010">
          <cell r="K1010" t="str">
            <v>국민</v>
          </cell>
          <cell r="N1010">
            <v>98</v>
          </cell>
          <cell r="P1010">
            <v>18900.589424000002</v>
          </cell>
        </row>
        <row r="1011">
          <cell r="K1011" t="str">
            <v>국민</v>
          </cell>
          <cell r="N1011">
            <v>108</v>
          </cell>
          <cell r="P1011">
            <v>40833</v>
          </cell>
        </row>
        <row r="1012">
          <cell r="K1012" t="str">
            <v>국민</v>
          </cell>
          <cell r="N1012" t="str">
            <v>na</v>
          </cell>
          <cell r="P1012">
            <v>40833</v>
          </cell>
        </row>
        <row r="1013">
          <cell r="K1013" t="str">
            <v>국민</v>
          </cell>
          <cell r="N1013" t="str">
            <v>na</v>
          </cell>
          <cell r="P1013">
            <v>8000</v>
          </cell>
        </row>
        <row r="1014">
          <cell r="K1014" t="str">
            <v>국민</v>
          </cell>
          <cell r="N1014">
            <v>51</v>
          </cell>
          <cell r="P1014">
            <v>4401</v>
          </cell>
        </row>
        <row r="1015">
          <cell r="K1015" t="str">
            <v>국민</v>
          </cell>
          <cell r="N1015">
            <v>51</v>
          </cell>
          <cell r="P1015">
            <v>438</v>
          </cell>
        </row>
        <row r="1016">
          <cell r="K1016" t="str">
            <v>국민</v>
          </cell>
          <cell r="N1016">
            <v>19</v>
          </cell>
          <cell r="P1016">
            <v>8500</v>
          </cell>
        </row>
        <row r="1017">
          <cell r="K1017" t="str">
            <v>국민</v>
          </cell>
          <cell r="N1017">
            <v>10</v>
          </cell>
          <cell r="P1017">
            <v>79400</v>
          </cell>
        </row>
        <row r="1018">
          <cell r="K1018" t="str">
            <v>국민</v>
          </cell>
          <cell r="N1018">
            <v>1</v>
          </cell>
          <cell r="P1018">
            <v>17802.328609000004</v>
          </cell>
        </row>
        <row r="1019">
          <cell r="K1019" t="str">
            <v>신한</v>
          </cell>
          <cell r="N1019" t="str">
            <v>na</v>
          </cell>
          <cell r="P1019">
            <v>0</v>
          </cell>
        </row>
        <row r="1020">
          <cell r="K1020" t="str">
            <v>신한</v>
          </cell>
          <cell r="N1020">
            <v>50</v>
          </cell>
          <cell r="P1020">
            <v>8600</v>
          </cell>
        </row>
        <row r="1021">
          <cell r="K1021" t="str">
            <v>신한</v>
          </cell>
          <cell r="N1021">
            <v>13</v>
          </cell>
          <cell r="P1021">
            <v>14000</v>
          </cell>
        </row>
        <row r="1022">
          <cell r="K1022" t="str">
            <v>신한</v>
          </cell>
          <cell r="N1022">
            <v>51</v>
          </cell>
          <cell r="P1022">
            <v>19000</v>
          </cell>
        </row>
        <row r="1023">
          <cell r="K1023" t="str">
            <v>신한</v>
          </cell>
          <cell r="N1023">
            <v>51</v>
          </cell>
          <cell r="P1023">
            <v>7690</v>
          </cell>
        </row>
        <row r="1024">
          <cell r="K1024" t="str">
            <v>신한</v>
          </cell>
          <cell r="N1024">
            <v>41</v>
          </cell>
          <cell r="P1024">
            <v>6898</v>
          </cell>
        </row>
        <row r="1025">
          <cell r="K1025" t="str">
            <v>신한</v>
          </cell>
          <cell r="N1025">
            <v>1</v>
          </cell>
          <cell r="P1025">
            <v>0</v>
          </cell>
        </row>
        <row r="1026">
          <cell r="K1026" t="str">
            <v>신한</v>
          </cell>
          <cell r="N1026">
            <v>179</v>
          </cell>
          <cell r="P1026">
            <v>0</v>
          </cell>
        </row>
        <row r="1027">
          <cell r="K1027" t="str">
            <v>신한</v>
          </cell>
          <cell r="N1027">
            <v>3</v>
          </cell>
          <cell r="P1027">
            <v>47100</v>
          </cell>
        </row>
        <row r="1028">
          <cell r="K1028" t="str">
            <v>신한</v>
          </cell>
          <cell r="N1028">
            <v>33</v>
          </cell>
          <cell r="P1028">
            <v>15200</v>
          </cell>
        </row>
        <row r="1029">
          <cell r="K1029" t="str">
            <v>신한</v>
          </cell>
          <cell r="N1029">
            <v>33</v>
          </cell>
          <cell r="P1029">
            <v>2860</v>
          </cell>
        </row>
        <row r="1030">
          <cell r="K1030" t="str">
            <v>신한</v>
          </cell>
          <cell r="N1030">
            <v>105</v>
          </cell>
          <cell r="P1030">
            <v>10800</v>
          </cell>
        </row>
        <row r="1031">
          <cell r="K1031" t="str">
            <v>신한</v>
          </cell>
          <cell r="N1031">
            <v>28</v>
          </cell>
          <cell r="P1031">
            <v>8000</v>
          </cell>
        </row>
        <row r="1032">
          <cell r="K1032" t="str">
            <v>신한</v>
          </cell>
          <cell r="N1032">
            <v>123</v>
          </cell>
          <cell r="P1032">
            <v>4900</v>
          </cell>
        </row>
        <row r="1033">
          <cell r="K1033" t="str">
            <v>신한</v>
          </cell>
          <cell r="N1033">
            <v>23</v>
          </cell>
          <cell r="P1033">
            <v>97600</v>
          </cell>
        </row>
        <row r="1034">
          <cell r="K1034" t="str">
            <v>신한</v>
          </cell>
          <cell r="N1034">
            <v>23</v>
          </cell>
          <cell r="P1034">
            <v>53500</v>
          </cell>
        </row>
        <row r="1035">
          <cell r="K1035" t="str">
            <v>신한</v>
          </cell>
          <cell r="N1035">
            <v>19</v>
          </cell>
          <cell r="P1035">
            <v>30000</v>
          </cell>
        </row>
        <row r="1036">
          <cell r="K1036" t="str">
            <v>신한</v>
          </cell>
          <cell r="N1036">
            <v>39</v>
          </cell>
          <cell r="P1036">
            <v>5500</v>
          </cell>
        </row>
        <row r="1037">
          <cell r="K1037" t="str">
            <v>신한</v>
          </cell>
          <cell r="N1037">
            <v>79</v>
          </cell>
          <cell r="P1037">
            <v>23228</v>
          </cell>
        </row>
        <row r="1038">
          <cell r="K1038" t="str">
            <v>신한</v>
          </cell>
          <cell r="N1038">
            <v>13</v>
          </cell>
          <cell r="P1038">
            <v>11000</v>
          </cell>
        </row>
        <row r="1039">
          <cell r="K1039" t="str">
            <v>신한</v>
          </cell>
          <cell r="N1039">
            <v>33</v>
          </cell>
          <cell r="P1039">
            <v>5270</v>
          </cell>
        </row>
        <row r="1040">
          <cell r="K1040" t="str">
            <v>신한</v>
          </cell>
          <cell r="N1040">
            <v>13</v>
          </cell>
          <cell r="P1040">
            <v>50000</v>
          </cell>
        </row>
        <row r="1041">
          <cell r="K1041" t="str">
            <v>신한</v>
          </cell>
          <cell r="N1041">
            <v>54</v>
          </cell>
          <cell r="P1041">
            <v>19573</v>
          </cell>
        </row>
        <row r="1042">
          <cell r="K1042" t="str">
            <v>신한</v>
          </cell>
          <cell r="N1042">
            <v>39</v>
          </cell>
          <cell r="P1042">
            <v>90000</v>
          </cell>
        </row>
        <row r="1043">
          <cell r="K1043" t="str">
            <v>신한</v>
          </cell>
          <cell r="N1043">
            <v>41</v>
          </cell>
          <cell r="P1043">
            <v>55255</v>
          </cell>
        </row>
        <row r="1044">
          <cell r="K1044" t="str">
            <v>신한</v>
          </cell>
          <cell r="N1044">
            <v>179</v>
          </cell>
          <cell r="P1044">
            <v>0</v>
          </cell>
        </row>
        <row r="1045">
          <cell r="K1045" t="str">
            <v>신한</v>
          </cell>
          <cell r="N1045">
            <v>30</v>
          </cell>
          <cell r="P1045">
            <v>25000</v>
          </cell>
        </row>
        <row r="1046">
          <cell r="K1046" t="str">
            <v>신한</v>
          </cell>
          <cell r="N1046">
            <v>9</v>
          </cell>
          <cell r="P1046">
            <v>300</v>
          </cell>
        </row>
        <row r="1047">
          <cell r="K1047" t="str">
            <v>신한</v>
          </cell>
          <cell r="N1047">
            <v>13</v>
          </cell>
          <cell r="P1047">
            <v>18800</v>
          </cell>
        </row>
        <row r="1048">
          <cell r="K1048" t="str">
            <v>신한</v>
          </cell>
          <cell r="N1048">
            <v>22</v>
          </cell>
          <cell r="P1048">
            <v>30000</v>
          </cell>
        </row>
        <row r="1049">
          <cell r="K1049" t="str">
            <v>신한</v>
          </cell>
          <cell r="N1049">
            <v>101</v>
          </cell>
          <cell r="P1049">
            <v>14000</v>
          </cell>
        </row>
        <row r="1050">
          <cell r="K1050" t="str">
            <v>신한</v>
          </cell>
          <cell r="N1050">
            <v>48</v>
          </cell>
          <cell r="P1050">
            <v>7000</v>
          </cell>
        </row>
        <row r="1051">
          <cell r="K1051" t="str">
            <v>신한</v>
          </cell>
          <cell r="N1051">
            <v>9</v>
          </cell>
          <cell r="P1051">
            <v>5200</v>
          </cell>
        </row>
        <row r="1052">
          <cell r="K1052" t="str">
            <v>신한</v>
          </cell>
          <cell r="N1052">
            <v>12</v>
          </cell>
          <cell r="P1052">
            <v>91227</v>
          </cell>
        </row>
        <row r="1053">
          <cell r="K1053" t="str">
            <v>신한</v>
          </cell>
          <cell r="N1053">
            <v>3</v>
          </cell>
          <cell r="P1053">
            <v>96800</v>
          </cell>
        </row>
        <row r="1054">
          <cell r="K1054" t="str">
            <v>신한</v>
          </cell>
          <cell r="N1054">
            <v>48</v>
          </cell>
          <cell r="P1054">
            <v>6000</v>
          </cell>
        </row>
        <row r="1055">
          <cell r="K1055" t="str">
            <v>신한</v>
          </cell>
          <cell r="N1055" t="str">
            <v>na</v>
          </cell>
          <cell r="P1055">
            <v>0</v>
          </cell>
        </row>
        <row r="1056">
          <cell r="K1056" t="str">
            <v>신한</v>
          </cell>
          <cell r="N1056" t="str">
            <v>na</v>
          </cell>
          <cell r="P1056">
            <v>0</v>
          </cell>
        </row>
        <row r="1057">
          <cell r="K1057" t="str">
            <v>신한</v>
          </cell>
          <cell r="N1057">
            <v>3</v>
          </cell>
          <cell r="P1057">
            <v>32963</v>
          </cell>
        </row>
        <row r="1058">
          <cell r="K1058" t="str">
            <v>신한</v>
          </cell>
          <cell r="N1058">
            <v>42</v>
          </cell>
          <cell r="P1058">
            <v>0</v>
          </cell>
        </row>
        <row r="1059">
          <cell r="K1059" t="str">
            <v>신한</v>
          </cell>
          <cell r="N1059">
            <v>32</v>
          </cell>
          <cell r="P1059">
            <v>44429</v>
          </cell>
        </row>
        <row r="1060">
          <cell r="K1060" t="str">
            <v>신한</v>
          </cell>
          <cell r="N1060">
            <v>17</v>
          </cell>
          <cell r="P1060">
            <v>34500</v>
          </cell>
        </row>
        <row r="1061">
          <cell r="K1061" t="str">
            <v>신한</v>
          </cell>
          <cell r="N1061">
            <v>10</v>
          </cell>
          <cell r="P1061">
            <v>15300</v>
          </cell>
        </row>
        <row r="1062">
          <cell r="K1062" t="str">
            <v>신한</v>
          </cell>
          <cell r="N1062">
            <v>33</v>
          </cell>
          <cell r="P1062">
            <v>35000</v>
          </cell>
        </row>
        <row r="1063">
          <cell r="K1063" t="str">
            <v>신한</v>
          </cell>
          <cell r="N1063">
            <v>45</v>
          </cell>
          <cell r="P1063">
            <v>14000</v>
          </cell>
        </row>
        <row r="1064">
          <cell r="K1064" t="str">
            <v>신한</v>
          </cell>
          <cell r="N1064">
            <v>41</v>
          </cell>
          <cell r="P1064">
            <v>60000</v>
          </cell>
        </row>
        <row r="1065">
          <cell r="K1065" t="str">
            <v>신한</v>
          </cell>
          <cell r="N1065">
            <v>9</v>
          </cell>
          <cell r="P1065">
            <v>66920</v>
          </cell>
        </row>
        <row r="1066">
          <cell r="K1066" t="str">
            <v>신한</v>
          </cell>
          <cell r="N1066">
            <v>120</v>
          </cell>
          <cell r="P1066">
            <v>15000</v>
          </cell>
        </row>
        <row r="1067">
          <cell r="K1067" t="str">
            <v>신한</v>
          </cell>
          <cell r="N1067">
            <v>1</v>
          </cell>
          <cell r="P1067">
            <v>0</v>
          </cell>
        </row>
        <row r="1068">
          <cell r="K1068" t="str">
            <v>신한</v>
          </cell>
          <cell r="N1068">
            <v>46</v>
          </cell>
          <cell r="P1068">
            <v>16460</v>
          </cell>
        </row>
        <row r="1069">
          <cell r="K1069" t="str">
            <v>신한</v>
          </cell>
          <cell r="N1069">
            <v>12</v>
          </cell>
          <cell r="P1069">
            <v>90000</v>
          </cell>
        </row>
        <row r="1070">
          <cell r="K1070" t="str">
            <v>신한</v>
          </cell>
          <cell r="N1070">
            <v>4</v>
          </cell>
          <cell r="P1070">
            <v>41220</v>
          </cell>
        </row>
        <row r="1071">
          <cell r="K1071" t="str">
            <v>신한</v>
          </cell>
          <cell r="N1071">
            <v>200</v>
          </cell>
          <cell r="P1071">
            <v>13267</v>
          </cell>
        </row>
        <row r="1072">
          <cell r="K1072" t="str">
            <v>신한</v>
          </cell>
          <cell r="N1072">
            <v>10</v>
          </cell>
          <cell r="P1072">
            <v>40573</v>
          </cell>
        </row>
        <row r="1073">
          <cell r="K1073" t="str">
            <v>신한</v>
          </cell>
          <cell r="N1073">
            <v>105</v>
          </cell>
          <cell r="P1073">
            <v>12560</v>
          </cell>
        </row>
        <row r="1074">
          <cell r="K1074" t="str">
            <v>신한</v>
          </cell>
          <cell r="N1074">
            <v>41</v>
          </cell>
          <cell r="P1074">
            <v>73040</v>
          </cell>
        </row>
        <row r="1075">
          <cell r="K1075" t="str">
            <v>신한</v>
          </cell>
          <cell r="N1075">
            <v>1</v>
          </cell>
          <cell r="P1075">
            <v>35238</v>
          </cell>
        </row>
        <row r="1076">
          <cell r="K1076" t="str">
            <v>신한</v>
          </cell>
          <cell r="N1076">
            <v>18</v>
          </cell>
          <cell r="P1076">
            <v>13500</v>
          </cell>
        </row>
        <row r="1077">
          <cell r="K1077" t="str">
            <v>신한</v>
          </cell>
          <cell r="N1077">
            <v>12</v>
          </cell>
          <cell r="P1077">
            <v>57700</v>
          </cell>
        </row>
        <row r="1078">
          <cell r="K1078" t="str">
            <v>신한</v>
          </cell>
          <cell r="N1078">
            <v>140</v>
          </cell>
          <cell r="P1078">
            <v>0</v>
          </cell>
        </row>
        <row r="1079">
          <cell r="K1079" t="str">
            <v>신한</v>
          </cell>
          <cell r="N1079">
            <v>9</v>
          </cell>
          <cell r="P1079">
            <v>30000</v>
          </cell>
        </row>
        <row r="1080">
          <cell r="K1080" t="str">
            <v>신한</v>
          </cell>
          <cell r="N1080">
            <v>10</v>
          </cell>
          <cell r="P1080">
            <v>20000</v>
          </cell>
        </row>
        <row r="1081">
          <cell r="K1081" t="str">
            <v>신한</v>
          </cell>
          <cell r="N1081">
            <v>10</v>
          </cell>
          <cell r="P1081">
            <v>22500</v>
          </cell>
        </row>
        <row r="1082">
          <cell r="K1082" t="str">
            <v>신한</v>
          </cell>
          <cell r="N1082">
            <v>17</v>
          </cell>
          <cell r="P1082">
            <v>70800</v>
          </cell>
        </row>
        <row r="1083">
          <cell r="K1083" t="str">
            <v>신한</v>
          </cell>
          <cell r="N1083">
            <v>17</v>
          </cell>
          <cell r="P1083">
            <v>55700</v>
          </cell>
        </row>
        <row r="1084">
          <cell r="K1084" t="str">
            <v>신한</v>
          </cell>
          <cell r="N1084" t="str">
            <v>na</v>
          </cell>
          <cell r="P1084">
            <v>0</v>
          </cell>
        </row>
        <row r="1085">
          <cell r="K1085" t="str">
            <v>신한</v>
          </cell>
          <cell r="N1085">
            <v>3</v>
          </cell>
          <cell r="P1085">
            <v>7000</v>
          </cell>
        </row>
        <row r="1086">
          <cell r="K1086" t="str">
            <v>신한</v>
          </cell>
          <cell r="N1086">
            <v>27</v>
          </cell>
          <cell r="P1086">
            <v>0</v>
          </cell>
        </row>
        <row r="1087">
          <cell r="K1087" t="str">
            <v>신한</v>
          </cell>
          <cell r="N1087">
            <v>45</v>
          </cell>
          <cell r="P1087">
            <v>15000</v>
          </cell>
        </row>
        <row r="1088">
          <cell r="K1088" t="str">
            <v>신한</v>
          </cell>
          <cell r="N1088">
            <v>45</v>
          </cell>
          <cell r="P1088">
            <v>15400</v>
          </cell>
        </row>
        <row r="1089">
          <cell r="K1089" t="str">
            <v>신한</v>
          </cell>
          <cell r="N1089">
            <v>141</v>
          </cell>
          <cell r="P1089">
            <v>31300</v>
          </cell>
        </row>
        <row r="1090">
          <cell r="K1090" t="str">
            <v>신한</v>
          </cell>
          <cell r="N1090">
            <v>51</v>
          </cell>
          <cell r="P1090">
            <v>40000</v>
          </cell>
        </row>
        <row r="1091">
          <cell r="K1091" t="str">
            <v>신한</v>
          </cell>
          <cell r="N1091">
            <v>51</v>
          </cell>
          <cell r="P1091">
            <v>26250</v>
          </cell>
        </row>
        <row r="1092">
          <cell r="K1092" t="str">
            <v>신한</v>
          </cell>
          <cell r="N1092">
            <v>3</v>
          </cell>
          <cell r="P1092">
            <v>25000</v>
          </cell>
        </row>
        <row r="1093">
          <cell r="K1093" t="str">
            <v>신한</v>
          </cell>
          <cell r="N1093">
            <v>441</v>
          </cell>
          <cell r="P1093">
            <v>40000</v>
          </cell>
        </row>
        <row r="1094">
          <cell r="K1094" t="str">
            <v>신한</v>
          </cell>
          <cell r="N1094">
            <v>23</v>
          </cell>
          <cell r="P1094">
            <v>23700</v>
          </cell>
        </row>
        <row r="1095">
          <cell r="K1095" t="str">
            <v>신한</v>
          </cell>
          <cell r="N1095">
            <v>138</v>
          </cell>
          <cell r="P1095">
            <v>50000</v>
          </cell>
        </row>
        <row r="1096">
          <cell r="K1096" t="str">
            <v>신한</v>
          </cell>
          <cell r="N1096" t="str">
            <v>na</v>
          </cell>
          <cell r="P1096">
            <v>0</v>
          </cell>
        </row>
        <row r="1097">
          <cell r="K1097" t="str">
            <v>신한</v>
          </cell>
          <cell r="N1097">
            <v>25</v>
          </cell>
          <cell r="P1097">
            <v>5000</v>
          </cell>
        </row>
        <row r="1098">
          <cell r="K1098" t="str">
            <v>신한</v>
          </cell>
          <cell r="N1098">
            <v>23</v>
          </cell>
          <cell r="P1098">
            <v>15000</v>
          </cell>
        </row>
        <row r="1099">
          <cell r="K1099" t="str">
            <v>신한</v>
          </cell>
          <cell r="N1099">
            <v>61</v>
          </cell>
          <cell r="P1099">
            <v>10860</v>
          </cell>
        </row>
        <row r="1100">
          <cell r="K1100" t="str">
            <v>신한</v>
          </cell>
          <cell r="N1100">
            <v>8</v>
          </cell>
          <cell r="P1100">
            <v>0</v>
          </cell>
        </row>
        <row r="1101">
          <cell r="K1101" t="str">
            <v>신한</v>
          </cell>
          <cell r="N1101">
            <v>61</v>
          </cell>
          <cell r="P1101">
            <v>9000</v>
          </cell>
        </row>
        <row r="1102">
          <cell r="K1102" t="str">
            <v>신한</v>
          </cell>
          <cell r="N1102">
            <v>28</v>
          </cell>
          <cell r="P1102">
            <v>22500</v>
          </cell>
        </row>
        <row r="1103">
          <cell r="K1103" t="str">
            <v>신한</v>
          </cell>
          <cell r="N1103" t="str">
            <v>na</v>
          </cell>
          <cell r="P1103">
            <v>0</v>
          </cell>
        </row>
        <row r="1104">
          <cell r="K1104" t="str">
            <v>신한</v>
          </cell>
          <cell r="N1104">
            <v>182</v>
          </cell>
          <cell r="P1104">
            <v>15000</v>
          </cell>
        </row>
        <row r="1105">
          <cell r="K1105" t="str">
            <v>신한</v>
          </cell>
          <cell r="N1105" t="str">
            <v>na</v>
          </cell>
          <cell r="P1105">
            <v>0</v>
          </cell>
        </row>
        <row r="1106">
          <cell r="K1106" t="str">
            <v>신한</v>
          </cell>
          <cell r="N1106" t="str">
            <v>na</v>
          </cell>
          <cell r="P1106">
            <v>15000</v>
          </cell>
        </row>
        <row r="1107">
          <cell r="K1107" t="str">
            <v>신한</v>
          </cell>
          <cell r="N1107">
            <v>40</v>
          </cell>
          <cell r="P1107">
            <v>5994</v>
          </cell>
        </row>
        <row r="1108">
          <cell r="K1108" t="str">
            <v>신한</v>
          </cell>
          <cell r="N1108">
            <v>23</v>
          </cell>
          <cell r="P1108">
            <v>47000</v>
          </cell>
        </row>
        <row r="1109">
          <cell r="K1109" t="str">
            <v>신한</v>
          </cell>
          <cell r="N1109">
            <v>13</v>
          </cell>
          <cell r="P1109">
            <v>7000</v>
          </cell>
        </row>
        <row r="1110">
          <cell r="K1110" t="str">
            <v>신한</v>
          </cell>
          <cell r="N1110">
            <v>108</v>
          </cell>
          <cell r="P1110">
            <v>82500</v>
          </cell>
        </row>
        <row r="1111">
          <cell r="K1111" t="str">
            <v>신한</v>
          </cell>
          <cell r="N1111">
            <v>3</v>
          </cell>
          <cell r="P1111">
            <v>34276</v>
          </cell>
        </row>
        <row r="1112">
          <cell r="K1112" t="str">
            <v>신한</v>
          </cell>
          <cell r="N1112">
            <v>3</v>
          </cell>
          <cell r="P1112">
            <v>1300</v>
          </cell>
        </row>
        <row r="1113">
          <cell r="K1113" t="str">
            <v>신한</v>
          </cell>
          <cell r="N1113">
            <v>94</v>
          </cell>
          <cell r="P1113">
            <v>9900</v>
          </cell>
        </row>
        <row r="1114">
          <cell r="K1114" t="str">
            <v>신한</v>
          </cell>
          <cell r="N1114">
            <v>22</v>
          </cell>
          <cell r="P1114">
            <v>20000</v>
          </cell>
        </row>
        <row r="1115">
          <cell r="K1115" t="str">
            <v>신한</v>
          </cell>
          <cell r="N1115">
            <v>138</v>
          </cell>
          <cell r="P1115">
            <v>19000</v>
          </cell>
        </row>
        <row r="1116">
          <cell r="K1116" t="str">
            <v>신한</v>
          </cell>
          <cell r="N1116" t="str">
            <v>na</v>
          </cell>
          <cell r="P1116">
            <v>0</v>
          </cell>
        </row>
        <row r="1117">
          <cell r="K1117" t="str">
            <v>신한</v>
          </cell>
          <cell r="N1117">
            <v>14</v>
          </cell>
          <cell r="P1117">
            <v>6285</v>
          </cell>
        </row>
        <row r="1118">
          <cell r="K1118" t="str">
            <v>신한</v>
          </cell>
          <cell r="N1118">
            <v>62</v>
          </cell>
          <cell r="P1118">
            <v>10000</v>
          </cell>
        </row>
        <row r="1119">
          <cell r="K1119" t="str">
            <v>신한</v>
          </cell>
          <cell r="N1119" t="str">
            <v>na</v>
          </cell>
          <cell r="P1119">
            <v>111000</v>
          </cell>
        </row>
        <row r="1120">
          <cell r="K1120" t="str">
            <v>신한</v>
          </cell>
          <cell r="N1120">
            <v>98</v>
          </cell>
          <cell r="P1120">
            <v>75123</v>
          </cell>
        </row>
        <row r="1121">
          <cell r="K1121" t="str">
            <v>신한</v>
          </cell>
          <cell r="N1121">
            <v>111</v>
          </cell>
          <cell r="P1121">
            <v>14400</v>
          </cell>
        </row>
        <row r="1122">
          <cell r="K1122" t="str">
            <v>신한</v>
          </cell>
          <cell r="N1122">
            <v>76</v>
          </cell>
          <cell r="P1122">
            <v>95000</v>
          </cell>
        </row>
        <row r="1123">
          <cell r="K1123" t="str">
            <v>신한</v>
          </cell>
          <cell r="N1123">
            <v>98</v>
          </cell>
          <cell r="P1123">
            <v>88604</v>
          </cell>
        </row>
        <row r="1124">
          <cell r="K1124" t="str">
            <v>신한</v>
          </cell>
          <cell r="N1124">
            <v>33</v>
          </cell>
          <cell r="P1124">
            <v>12730</v>
          </cell>
        </row>
        <row r="1125">
          <cell r="K1125" t="str">
            <v>신한</v>
          </cell>
          <cell r="N1125">
            <v>26</v>
          </cell>
          <cell r="P1125">
            <v>0</v>
          </cell>
        </row>
        <row r="1126">
          <cell r="K1126" t="str">
            <v>신한</v>
          </cell>
          <cell r="N1126">
            <v>17</v>
          </cell>
          <cell r="P1126">
            <v>37800</v>
          </cell>
        </row>
        <row r="1127">
          <cell r="K1127" t="str">
            <v>신한</v>
          </cell>
          <cell r="N1127">
            <v>30</v>
          </cell>
          <cell r="P1127">
            <v>24302</v>
          </cell>
        </row>
        <row r="1128">
          <cell r="K1128" t="str">
            <v>신한</v>
          </cell>
          <cell r="N1128" t="str">
            <v>na</v>
          </cell>
          <cell r="P1128">
            <v>44400</v>
          </cell>
        </row>
        <row r="1129">
          <cell r="K1129" t="str">
            <v>신한</v>
          </cell>
          <cell r="N1129">
            <v>9</v>
          </cell>
          <cell r="P1129">
            <v>44676</v>
          </cell>
        </row>
        <row r="1130">
          <cell r="K1130" t="str">
            <v>신한</v>
          </cell>
          <cell r="N1130" t="str">
            <v>na</v>
          </cell>
          <cell r="P1130">
            <v>0</v>
          </cell>
        </row>
        <row r="1131">
          <cell r="K1131" t="str">
            <v>신한</v>
          </cell>
          <cell r="N1131">
            <v>13</v>
          </cell>
          <cell r="P1131">
            <v>65000</v>
          </cell>
        </row>
        <row r="1132">
          <cell r="K1132" t="str">
            <v>신한</v>
          </cell>
          <cell r="N1132">
            <v>28</v>
          </cell>
          <cell r="P1132">
            <v>29460</v>
          </cell>
        </row>
        <row r="1133">
          <cell r="K1133" t="str">
            <v>신한</v>
          </cell>
          <cell r="N1133">
            <v>32</v>
          </cell>
          <cell r="P1133">
            <v>44450</v>
          </cell>
        </row>
        <row r="1134">
          <cell r="K1134" t="str">
            <v>신한</v>
          </cell>
          <cell r="N1134">
            <v>9</v>
          </cell>
          <cell r="P1134">
            <v>8522</v>
          </cell>
        </row>
        <row r="1135">
          <cell r="K1135" t="str">
            <v>신한</v>
          </cell>
          <cell r="N1135">
            <v>79</v>
          </cell>
          <cell r="P1135">
            <v>11000</v>
          </cell>
        </row>
        <row r="1136">
          <cell r="K1136" t="str">
            <v>신한</v>
          </cell>
          <cell r="N1136">
            <v>98</v>
          </cell>
          <cell r="P1136">
            <v>25000</v>
          </cell>
        </row>
        <row r="1137">
          <cell r="K1137" t="str">
            <v>신한</v>
          </cell>
          <cell r="N1137" t="str">
            <v>na</v>
          </cell>
          <cell r="P1137">
            <v>0</v>
          </cell>
        </row>
        <row r="1138">
          <cell r="K1138" t="str">
            <v>신한</v>
          </cell>
          <cell r="N1138">
            <v>410</v>
          </cell>
          <cell r="P1138">
            <v>0</v>
          </cell>
        </row>
        <row r="1139">
          <cell r="K1139" t="str">
            <v>신한</v>
          </cell>
          <cell r="N1139" t="str">
            <v>na</v>
          </cell>
          <cell r="P1139">
            <v>0</v>
          </cell>
        </row>
        <row r="1140">
          <cell r="K1140" t="str">
            <v>신한</v>
          </cell>
          <cell r="N1140">
            <v>18</v>
          </cell>
          <cell r="P1140">
            <v>45000</v>
          </cell>
        </row>
        <row r="1141">
          <cell r="K1141" t="str">
            <v>신한</v>
          </cell>
          <cell r="N1141" t="str">
            <v>na</v>
          </cell>
          <cell r="P1141">
            <v>0</v>
          </cell>
        </row>
        <row r="1142">
          <cell r="K1142" t="str">
            <v>신한</v>
          </cell>
          <cell r="N1142">
            <v>66</v>
          </cell>
          <cell r="P1142">
            <v>40000</v>
          </cell>
        </row>
        <row r="1143">
          <cell r="K1143" t="str">
            <v>신한</v>
          </cell>
          <cell r="N1143" t="str">
            <v>na</v>
          </cell>
          <cell r="P1143">
            <v>0</v>
          </cell>
        </row>
        <row r="1144">
          <cell r="K1144" t="str">
            <v>신한</v>
          </cell>
          <cell r="N1144">
            <v>108</v>
          </cell>
          <cell r="P1144">
            <v>35000</v>
          </cell>
        </row>
        <row r="1145">
          <cell r="K1145" t="str">
            <v>신한</v>
          </cell>
          <cell r="N1145">
            <v>30</v>
          </cell>
          <cell r="P1145">
            <v>10000</v>
          </cell>
        </row>
        <row r="1146">
          <cell r="K1146" t="str">
            <v>신한</v>
          </cell>
          <cell r="N1146">
            <v>155</v>
          </cell>
          <cell r="P1146">
            <v>20000</v>
          </cell>
        </row>
        <row r="1147">
          <cell r="K1147" t="str">
            <v>신한</v>
          </cell>
          <cell r="N1147">
            <v>78</v>
          </cell>
          <cell r="P1147">
            <v>0</v>
          </cell>
        </row>
        <row r="1148">
          <cell r="K1148" t="str">
            <v>신한</v>
          </cell>
          <cell r="N1148" t="str">
            <v>na</v>
          </cell>
          <cell r="P1148">
            <v>0</v>
          </cell>
        </row>
        <row r="1149">
          <cell r="K1149" t="str">
            <v>신한</v>
          </cell>
          <cell r="N1149">
            <v>165</v>
          </cell>
          <cell r="P1149">
            <v>20000</v>
          </cell>
        </row>
        <row r="1150">
          <cell r="K1150" t="str">
            <v>신한</v>
          </cell>
          <cell r="N1150">
            <v>79</v>
          </cell>
          <cell r="P1150">
            <v>40000</v>
          </cell>
        </row>
        <row r="1151">
          <cell r="K1151" t="str">
            <v>신한</v>
          </cell>
          <cell r="N1151">
            <v>12</v>
          </cell>
          <cell r="P1151">
            <v>9709</v>
          </cell>
        </row>
        <row r="1152">
          <cell r="K1152" t="str">
            <v>신한</v>
          </cell>
          <cell r="N1152" t="str">
            <v>na</v>
          </cell>
          <cell r="P1152">
            <v>0</v>
          </cell>
        </row>
        <row r="1153">
          <cell r="K1153" t="str">
            <v>신한</v>
          </cell>
          <cell r="N1153">
            <v>66</v>
          </cell>
          <cell r="P1153">
            <v>50400</v>
          </cell>
        </row>
        <row r="1154">
          <cell r="K1154" t="str">
            <v>신한</v>
          </cell>
          <cell r="N1154">
            <v>17</v>
          </cell>
          <cell r="P1154">
            <v>157300</v>
          </cell>
        </row>
        <row r="1155">
          <cell r="K1155" t="str">
            <v>신한</v>
          </cell>
          <cell r="N1155">
            <v>48</v>
          </cell>
          <cell r="P1155">
            <v>36000</v>
          </cell>
        </row>
        <row r="1156">
          <cell r="K1156" t="str">
            <v>신한</v>
          </cell>
          <cell r="N1156">
            <v>46</v>
          </cell>
          <cell r="P1156">
            <v>32000</v>
          </cell>
        </row>
        <row r="1157">
          <cell r="K1157" t="str">
            <v>신한</v>
          </cell>
          <cell r="N1157">
            <v>39</v>
          </cell>
          <cell r="P1157">
            <v>60400</v>
          </cell>
        </row>
        <row r="1158">
          <cell r="K1158" t="str">
            <v>신한</v>
          </cell>
          <cell r="N1158">
            <v>32</v>
          </cell>
          <cell r="P1158">
            <v>21800</v>
          </cell>
        </row>
        <row r="1159">
          <cell r="K1159" t="str">
            <v>신한</v>
          </cell>
          <cell r="N1159">
            <v>1</v>
          </cell>
          <cell r="P1159">
            <v>9000</v>
          </cell>
        </row>
        <row r="1160">
          <cell r="K1160" t="str">
            <v>신한</v>
          </cell>
          <cell r="N1160">
            <v>1</v>
          </cell>
          <cell r="P1160">
            <v>29000</v>
          </cell>
        </row>
        <row r="1161">
          <cell r="K1161" t="str">
            <v>신한</v>
          </cell>
          <cell r="N1161">
            <v>1</v>
          </cell>
          <cell r="P1161">
            <v>21000</v>
          </cell>
        </row>
        <row r="1162">
          <cell r="K1162" t="str">
            <v>신한</v>
          </cell>
          <cell r="N1162">
            <v>14</v>
          </cell>
          <cell r="P1162">
            <v>14000</v>
          </cell>
        </row>
        <row r="1163">
          <cell r="K1163" t="str">
            <v>신한</v>
          </cell>
          <cell r="N1163">
            <v>73</v>
          </cell>
          <cell r="P1163">
            <v>50000</v>
          </cell>
        </row>
        <row r="1164">
          <cell r="K1164" t="str">
            <v>신한</v>
          </cell>
          <cell r="N1164">
            <v>4</v>
          </cell>
          <cell r="P1164">
            <v>0</v>
          </cell>
        </row>
        <row r="1165">
          <cell r="K1165" t="str">
            <v>신한</v>
          </cell>
          <cell r="N1165">
            <v>10</v>
          </cell>
          <cell r="P1165">
            <v>24000</v>
          </cell>
        </row>
        <row r="1166">
          <cell r="K1166" t="str">
            <v>신한</v>
          </cell>
          <cell r="N1166">
            <v>10</v>
          </cell>
          <cell r="P1166">
            <v>7500</v>
          </cell>
        </row>
        <row r="1167">
          <cell r="K1167" t="str">
            <v>신한</v>
          </cell>
          <cell r="N1167">
            <v>9</v>
          </cell>
          <cell r="P1167">
            <v>9000</v>
          </cell>
        </row>
        <row r="1168">
          <cell r="K1168" t="str">
            <v>신한</v>
          </cell>
          <cell r="N1168">
            <v>10</v>
          </cell>
          <cell r="P1168">
            <v>11720</v>
          </cell>
        </row>
        <row r="1169">
          <cell r="K1169" t="str">
            <v>신한</v>
          </cell>
          <cell r="N1169" t="str">
            <v>na</v>
          </cell>
          <cell r="P1169">
            <v>0</v>
          </cell>
        </row>
        <row r="1170">
          <cell r="K1170" t="str">
            <v>신한</v>
          </cell>
          <cell r="N1170">
            <v>1</v>
          </cell>
          <cell r="P1170">
            <v>7500</v>
          </cell>
        </row>
        <row r="1171">
          <cell r="K1171" t="str">
            <v>신한</v>
          </cell>
          <cell r="N1171">
            <v>1</v>
          </cell>
          <cell r="P1171">
            <v>7500</v>
          </cell>
        </row>
        <row r="1172">
          <cell r="K1172" t="str">
            <v>신한</v>
          </cell>
          <cell r="N1172">
            <v>60</v>
          </cell>
          <cell r="P1172">
            <v>20000</v>
          </cell>
        </row>
        <row r="1173">
          <cell r="K1173" t="str">
            <v>신한</v>
          </cell>
          <cell r="N1173">
            <v>4</v>
          </cell>
          <cell r="P1173">
            <v>0</v>
          </cell>
        </row>
        <row r="1174">
          <cell r="K1174" t="str">
            <v>신한</v>
          </cell>
          <cell r="N1174">
            <v>13</v>
          </cell>
          <cell r="P1174">
            <v>20000</v>
          </cell>
        </row>
        <row r="1175">
          <cell r="K1175" t="str">
            <v>신한</v>
          </cell>
          <cell r="N1175">
            <v>45</v>
          </cell>
          <cell r="P1175">
            <v>43396</v>
          </cell>
        </row>
        <row r="1176">
          <cell r="K1176" t="str">
            <v>신한</v>
          </cell>
          <cell r="N1176" t="str">
            <v>na</v>
          </cell>
          <cell r="P1176">
            <v>0</v>
          </cell>
        </row>
        <row r="1177">
          <cell r="K1177" t="str">
            <v>신한</v>
          </cell>
          <cell r="N1177" t="str">
            <v>na</v>
          </cell>
          <cell r="P1177">
            <v>0</v>
          </cell>
        </row>
        <row r="1178">
          <cell r="K1178" t="str">
            <v>신한</v>
          </cell>
          <cell r="N1178">
            <v>98</v>
          </cell>
          <cell r="P1178">
            <v>9000</v>
          </cell>
        </row>
        <row r="1179">
          <cell r="K1179" t="str">
            <v>신한</v>
          </cell>
          <cell r="N1179">
            <v>45</v>
          </cell>
          <cell r="P1179">
            <v>40000</v>
          </cell>
        </row>
        <row r="1180">
          <cell r="K1180" t="str">
            <v>신한</v>
          </cell>
          <cell r="N1180" t="str">
            <v>na</v>
          </cell>
          <cell r="P1180">
            <v>0</v>
          </cell>
        </row>
        <row r="1181">
          <cell r="K1181" t="str">
            <v>신한</v>
          </cell>
          <cell r="N1181">
            <v>146</v>
          </cell>
          <cell r="P1181">
            <v>1518</v>
          </cell>
        </row>
        <row r="1182">
          <cell r="K1182" t="str">
            <v>신한</v>
          </cell>
          <cell r="N1182">
            <v>141</v>
          </cell>
          <cell r="P1182">
            <v>3700</v>
          </cell>
        </row>
        <row r="1183">
          <cell r="K1183" t="str">
            <v>신한</v>
          </cell>
          <cell r="N1183">
            <v>12</v>
          </cell>
          <cell r="P1183">
            <v>9028</v>
          </cell>
        </row>
        <row r="1184">
          <cell r="K1184" t="str">
            <v>신한</v>
          </cell>
          <cell r="N1184">
            <v>48</v>
          </cell>
          <cell r="P1184">
            <v>5000</v>
          </cell>
        </row>
        <row r="1185">
          <cell r="K1185" t="str">
            <v>신한</v>
          </cell>
          <cell r="N1185">
            <v>61</v>
          </cell>
          <cell r="P1185">
            <v>0</v>
          </cell>
        </row>
        <row r="1186">
          <cell r="K1186" t="str">
            <v>신한</v>
          </cell>
          <cell r="N1186">
            <v>3</v>
          </cell>
          <cell r="P1186">
            <v>1700</v>
          </cell>
        </row>
        <row r="1187">
          <cell r="K1187" t="str">
            <v>신한</v>
          </cell>
          <cell r="N1187">
            <v>441</v>
          </cell>
          <cell r="P1187">
            <v>3300</v>
          </cell>
        </row>
        <row r="1188">
          <cell r="K1188" t="str">
            <v>신한</v>
          </cell>
          <cell r="N1188">
            <v>47</v>
          </cell>
          <cell r="P1188">
            <v>7000</v>
          </cell>
        </row>
        <row r="1189">
          <cell r="K1189" t="str">
            <v>신한</v>
          </cell>
          <cell r="N1189">
            <v>30</v>
          </cell>
          <cell r="P1189">
            <v>3747</v>
          </cell>
        </row>
        <row r="1190">
          <cell r="K1190" t="str">
            <v>신한</v>
          </cell>
          <cell r="N1190">
            <v>5</v>
          </cell>
          <cell r="P1190">
            <v>3570</v>
          </cell>
        </row>
        <row r="1191">
          <cell r="K1191" t="str">
            <v>신한</v>
          </cell>
          <cell r="N1191">
            <v>29</v>
          </cell>
          <cell r="P1191">
            <v>0</v>
          </cell>
        </row>
        <row r="1192">
          <cell r="K1192" t="str">
            <v>신한</v>
          </cell>
          <cell r="N1192">
            <v>51</v>
          </cell>
          <cell r="P1192">
            <v>8050</v>
          </cell>
        </row>
        <row r="1193">
          <cell r="K1193" t="str">
            <v>신한</v>
          </cell>
          <cell r="N1193">
            <v>441</v>
          </cell>
          <cell r="P1193">
            <v>4800</v>
          </cell>
        </row>
        <row r="1194">
          <cell r="K1194" t="str">
            <v>신한</v>
          </cell>
          <cell r="N1194" t="str">
            <v>na</v>
          </cell>
          <cell r="P1194">
            <v>15000</v>
          </cell>
        </row>
        <row r="1195">
          <cell r="K1195" t="str">
            <v>신한</v>
          </cell>
          <cell r="N1195" t="str">
            <v>na</v>
          </cell>
          <cell r="P1195">
            <v>0</v>
          </cell>
        </row>
        <row r="1196">
          <cell r="K1196" t="str">
            <v>신한</v>
          </cell>
          <cell r="N1196">
            <v>125</v>
          </cell>
          <cell r="P1196">
            <v>15400</v>
          </cell>
        </row>
        <row r="1197">
          <cell r="K1197" t="str">
            <v>신한</v>
          </cell>
          <cell r="N1197">
            <v>365</v>
          </cell>
          <cell r="P1197">
            <v>5600</v>
          </cell>
        </row>
        <row r="1198">
          <cell r="K1198" t="str">
            <v>신한</v>
          </cell>
          <cell r="N1198" t="str">
            <v>na</v>
          </cell>
          <cell r="P1198">
            <v>13500</v>
          </cell>
        </row>
        <row r="1199">
          <cell r="K1199" t="str">
            <v>신한</v>
          </cell>
          <cell r="N1199">
            <v>61</v>
          </cell>
          <cell r="P1199">
            <v>8000</v>
          </cell>
        </row>
        <row r="1200">
          <cell r="K1200" t="str">
            <v>신한</v>
          </cell>
          <cell r="N1200">
            <v>78</v>
          </cell>
          <cell r="P1200">
            <v>4900</v>
          </cell>
        </row>
        <row r="1201">
          <cell r="K1201" t="str">
            <v>신한</v>
          </cell>
          <cell r="N1201">
            <v>78</v>
          </cell>
          <cell r="P1201">
            <v>4100</v>
          </cell>
        </row>
        <row r="1202">
          <cell r="K1202" t="str">
            <v>신한</v>
          </cell>
          <cell r="N1202" t="str">
            <v>na</v>
          </cell>
          <cell r="P1202">
            <v>0</v>
          </cell>
        </row>
        <row r="1203">
          <cell r="K1203" t="str">
            <v>신한</v>
          </cell>
          <cell r="N1203">
            <v>98</v>
          </cell>
          <cell r="P1203">
            <v>7000</v>
          </cell>
        </row>
        <row r="1204">
          <cell r="K1204" t="str">
            <v>신한</v>
          </cell>
          <cell r="N1204" t="str">
            <v>na</v>
          </cell>
          <cell r="P1204">
            <v>8500</v>
          </cell>
        </row>
        <row r="1205">
          <cell r="K1205" t="str">
            <v>신한</v>
          </cell>
          <cell r="N1205" t="str">
            <v>na</v>
          </cell>
          <cell r="P1205">
            <v>7500</v>
          </cell>
        </row>
        <row r="1206">
          <cell r="K1206" t="str">
            <v>신한</v>
          </cell>
          <cell r="N1206" t="str">
            <v>na</v>
          </cell>
          <cell r="P1206">
            <v>10600</v>
          </cell>
        </row>
        <row r="1207">
          <cell r="K1207" t="str">
            <v>신한</v>
          </cell>
          <cell r="N1207">
            <v>23</v>
          </cell>
          <cell r="P1207">
            <v>0</v>
          </cell>
        </row>
        <row r="1208">
          <cell r="K1208" t="str">
            <v>신한</v>
          </cell>
          <cell r="N1208">
            <v>141</v>
          </cell>
          <cell r="P1208">
            <v>7210</v>
          </cell>
        </row>
        <row r="1209">
          <cell r="K1209" t="str">
            <v>신한</v>
          </cell>
          <cell r="N1209">
            <v>61</v>
          </cell>
          <cell r="P1209">
            <v>0</v>
          </cell>
        </row>
        <row r="1210">
          <cell r="K1210" t="str">
            <v>신한</v>
          </cell>
          <cell r="N1210">
            <v>1</v>
          </cell>
          <cell r="P1210">
            <v>700</v>
          </cell>
        </row>
        <row r="1211">
          <cell r="K1211" t="str">
            <v>신한</v>
          </cell>
          <cell r="N1211" t="str">
            <v>na</v>
          </cell>
          <cell r="P1211">
            <v>15000</v>
          </cell>
        </row>
        <row r="1212">
          <cell r="K1212" t="str">
            <v>신한</v>
          </cell>
          <cell r="N1212" t="str">
            <v>na</v>
          </cell>
          <cell r="P1212">
            <v>12000</v>
          </cell>
        </row>
        <row r="1213">
          <cell r="K1213" t="str">
            <v>신한</v>
          </cell>
          <cell r="N1213">
            <v>264</v>
          </cell>
          <cell r="P1213">
            <v>6500</v>
          </cell>
        </row>
        <row r="1214">
          <cell r="K1214" t="str">
            <v>신한</v>
          </cell>
          <cell r="N1214" t="str">
            <v>na</v>
          </cell>
          <cell r="P1214">
            <v>0</v>
          </cell>
        </row>
        <row r="1215">
          <cell r="K1215" t="str">
            <v>신한</v>
          </cell>
          <cell r="N1215">
            <v>103</v>
          </cell>
          <cell r="P1215">
            <v>20000</v>
          </cell>
        </row>
        <row r="1216">
          <cell r="K1216" t="str">
            <v>신한</v>
          </cell>
          <cell r="N1216" t="str">
            <v>na</v>
          </cell>
          <cell r="P1216">
            <v>11300</v>
          </cell>
        </row>
        <row r="1217">
          <cell r="K1217" t="str">
            <v>신한</v>
          </cell>
          <cell r="N1217" t="str">
            <v>na</v>
          </cell>
          <cell r="P1217">
            <v>10000</v>
          </cell>
        </row>
        <row r="1218">
          <cell r="K1218" t="str">
            <v>신한</v>
          </cell>
          <cell r="N1218">
            <v>83</v>
          </cell>
          <cell r="P1218">
            <v>11818</v>
          </cell>
        </row>
        <row r="1219">
          <cell r="K1219" t="str">
            <v>신한</v>
          </cell>
          <cell r="N1219">
            <v>335</v>
          </cell>
          <cell r="P1219">
            <v>3000</v>
          </cell>
        </row>
        <row r="1220">
          <cell r="K1220" t="str">
            <v>신한</v>
          </cell>
          <cell r="N1220" t="str">
            <v>na</v>
          </cell>
          <cell r="P1220">
            <v>4000</v>
          </cell>
        </row>
        <row r="1221">
          <cell r="K1221" t="str">
            <v>신한</v>
          </cell>
          <cell r="N1221">
            <v>112</v>
          </cell>
          <cell r="P1221">
            <v>3000</v>
          </cell>
        </row>
        <row r="1222">
          <cell r="K1222" t="str">
            <v>신한</v>
          </cell>
          <cell r="N1222">
            <v>77</v>
          </cell>
          <cell r="P1222">
            <v>16000</v>
          </cell>
        </row>
        <row r="1223">
          <cell r="K1223" t="str">
            <v>신한</v>
          </cell>
          <cell r="N1223" t="str">
            <v>na</v>
          </cell>
          <cell r="P1223">
            <v>0</v>
          </cell>
        </row>
        <row r="1224">
          <cell r="K1224" t="str">
            <v>신한</v>
          </cell>
          <cell r="N1224">
            <v>21</v>
          </cell>
          <cell r="P1224">
            <v>0</v>
          </cell>
        </row>
        <row r="1225">
          <cell r="K1225" t="str">
            <v>신한</v>
          </cell>
          <cell r="N1225">
            <v>142</v>
          </cell>
          <cell r="P1225">
            <v>4587</v>
          </cell>
        </row>
        <row r="1226">
          <cell r="K1226" t="str">
            <v>신한</v>
          </cell>
          <cell r="N1226" t="str">
            <v>na</v>
          </cell>
          <cell r="P1226">
            <v>0</v>
          </cell>
        </row>
        <row r="1227">
          <cell r="K1227" t="str">
            <v>신한</v>
          </cell>
          <cell r="N1227" t="str">
            <v>na</v>
          </cell>
          <cell r="P1227">
            <v>0</v>
          </cell>
        </row>
        <row r="1228">
          <cell r="K1228" t="str">
            <v>신한</v>
          </cell>
          <cell r="N1228">
            <v>168</v>
          </cell>
          <cell r="P1228">
            <v>10000</v>
          </cell>
        </row>
        <row r="1229">
          <cell r="K1229" t="str">
            <v>신한</v>
          </cell>
          <cell r="N1229" t="str">
            <v>na</v>
          </cell>
          <cell r="P1229">
            <v>0</v>
          </cell>
        </row>
        <row r="1230">
          <cell r="K1230" t="str">
            <v>신한</v>
          </cell>
          <cell r="N1230">
            <v>264</v>
          </cell>
          <cell r="P1230">
            <v>8000</v>
          </cell>
        </row>
        <row r="1231">
          <cell r="K1231" t="str">
            <v>신한</v>
          </cell>
          <cell r="N1231">
            <v>175</v>
          </cell>
          <cell r="P1231">
            <v>7000</v>
          </cell>
        </row>
        <row r="1232">
          <cell r="K1232" t="str">
            <v>하나</v>
          </cell>
          <cell r="N1232">
            <v>2</v>
          </cell>
          <cell r="P1232">
            <v>13300</v>
          </cell>
        </row>
        <row r="1233">
          <cell r="K1233" t="str">
            <v>하나</v>
          </cell>
          <cell r="N1233">
            <v>169</v>
          </cell>
          <cell r="P1233">
            <v>15000</v>
          </cell>
        </row>
        <row r="1234">
          <cell r="K1234" t="str">
            <v>하나</v>
          </cell>
          <cell r="N1234">
            <v>76</v>
          </cell>
          <cell r="P1234">
            <v>21000</v>
          </cell>
        </row>
        <row r="1235">
          <cell r="K1235" t="str">
            <v>하나</v>
          </cell>
          <cell r="N1235">
            <v>10</v>
          </cell>
          <cell r="P1235">
            <v>3000</v>
          </cell>
        </row>
        <row r="1236">
          <cell r="K1236" t="str">
            <v>하나</v>
          </cell>
          <cell r="N1236">
            <v>71</v>
          </cell>
          <cell r="P1236">
            <v>9500</v>
          </cell>
        </row>
        <row r="1237">
          <cell r="K1237" t="str">
            <v>하나</v>
          </cell>
          <cell r="N1237">
            <v>3</v>
          </cell>
          <cell r="P1237">
            <v>27800</v>
          </cell>
        </row>
        <row r="1238">
          <cell r="K1238" t="str">
            <v>하나</v>
          </cell>
          <cell r="N1238">
            <v>98</v>
          </cell>
          <cell r="P1238">
            <v>30900</v>
          </cell>
        </row>
        <row r="1239">
          <cell r="K1239" t="str">
            <v>하나</v>
          </cell>
          <cell r="N1239">
            <v>13</v>
          </cell>
          <cell r="P1239">
            <v>28000</v>
          </cell>
        </row>
        <row r="1240">
          <cell r="K1240" t="str">
            <v>하나</v>
          </cell>
          <cell r="N1240" t="str">
            <v>na</v>
          </cell>
          <cell r="P1240">
            <v>9144</v>
          </cell>
        </row>
        <row r="1241">
          <cell r="K1241" t="str">
            <v>하나</v>
          </cell>
          <cell r="N1241">
            <v>69</v>
          </cell>
          <cell r="P1241">
            <v>18000</v>
          </cell>
        </row>
        <row r="1242">
          <cell r="K1242" t="str">
            <v>하나</v>
          </cell>
          <cell r="N1242">
            <v>3</v>
          </cell>
          <cell r="P1242">
            <v>0</v>
          </cell>
        </row>
        <row r="1243">
          <cell r="K1243" t="str">
            <v>하나</v>
          </cell>
          <cell r="N1243" t="str">
            <v>na</v>
          </cell>
          <cell r="P1243">
            <v>0</v>
          </cell>
        </row>
        <row r="1244">
          <cell r="K1244" t="str">
            <v>하나</v>
          </cell>
          <cell r="N1244">
            <v>87</v>
          </cell>
          <cell r="P1244">
            <v>2000</v>
          </cell>
        </row>
        <row r="1245">
          <cell r="K1245" t="str">
            <v>하나</v>
          </cell>
          <cell r="N1245">
            <v>48</v>
          </cell>
          <cell r="P1245">
            <v>20000</v>
          </cell>
        </row>
        <row r="1246">
          <cell r="K1246" t="str">
            <v>하나</v>
          </cell>
          <cell r="N1246">
            <v>56</v>
          </cell>
          <cell r="P1246">
            <v>48000</v>
          </cell>
        </row>
        <row r="1247">
          <cell r="K1247" t="str">
            <v>하나</v>
          </cell>
          <cell r="N1247">
            <v>138</v>
          </cell>
          <cell r="P1247">
            <v>10700</v>
          </cell>
        </row>
        <row r="1248">
          <cell r="K1248" t="str">
            <v>하나</v>
          </cell>
          <cell r="N1248">
            <v>56</v>
          </cell>
          <cell r="P1248">
            <v>32000</v>
          </cell>
        </row>
        <row r="1249">
          <cell r="K1249" t="str">
            <v>하나</v>
          </cell>
          <cell r="N1249">
            <v>3</v>
          </cell>
          <cell r="P1249">
            <v>68800</v>
          </cell>
        </row>
        <row r="1250">
          <cell r="K1250" t="str">
            <v>하나</v>
          </cell>
          <cell r="N1250">
            <v>71</v>
          </cell>
          <cell r="P1250">
            <v>12000</v>
          </cell>
        </row>
        <row r="1251">
          <cell r="K1251" t="str">
            <v>하나</v>
          </cell>
          <cell r="N1251">
            <v>3</v>
          </cell>
          <cell r="P1251">
            <v>1759</v>
          </cell>
        </row>
        <row r="1252">
          <cell r="K1252" t="str">
            <v>하나</v>
          </cell>
          <cell r="N1252">
            <v>74</v>
          </cell>
          <cell r="P1252">
            <v>26000</v>
          </cell>
        </row>
        <row r="1253">
          <cell r="K1253" t="str">
            <v>하나</v>
          </cell>
          <cell r="N1253">
            <v>408</v>
          </cell>
          <cell r="P1253">
            <v>81900</v>
          </cell>
        </row>
        <row r="1254">
          <cell r="K1254" t="str">
            <v>하나</v>
          </cell>
          <cell r="N1254">
            <v>39</v>
          </cell>
          <cell r="P1254">
            <v>2100</v>
          </cell>
        </row>
        <row r="1255">
          <cell r="K1255" t="str">
            <v>하나</v>
          </cell>
          <cell r="N1255">
            <v>29</v>
          </cell>
          <cell r="P1255">
            <v>11000</v>
          </cell>
        </row>
        <row r="1256">
          <cell r="K1256" t="str">
            <v>하나</v>
          </cell>
          <cell r="N1256" t="str">
            <v>na</v>
          </cell>
          <cell r="P1256">
            <v>0</v>
          </cell>
        </row>
        <row r="1257">
          <cell r="K1257" t="str">
            <v>하나</v>
          </cell>
          <cell r="N1257">
            <v>17</v>
          </cell>
          <cell r="P1257">
            <v>40000</v>
          </cell>
        </row>
        <row r="1258">
          <cell r="K1258" t="str">
            <v>하나</v>
          </cell>
          <cell r="N1258" t="str">
            <v>na</v>
          </cell>
          <cell r="P1258">
            <v>0</v>
          </cell>
        </row>
        <row r="1259">
          <cell r="K1259" t="str">
            <v>하나</v>
          </cell>
          <cell r="N1259">
            <v>125</v>
          </cell>
          <cell r="P1259">
            <v>8200</v>
          </cell>
        </row>
        <row r="1260">
          <cell r="K1260" t="str">
            <v>하나</v>
          </cell>
          <cell r="N1260">
            <v>3</v>
          </cell>
          <cell r="P1260">
            <v>46566</v>
          </cell>
        </row>
        <row r="1261">
          <cell r="K1261" t="str">
            <v>하나</v>
          </cell>
          <cell r="N1261">
            <v>3</v>
          </cell>
          <cell r="P1261">
            <v>27400</v>
          </cell>
        </row>
        <row r="1262">
          <cell r="K1262" t="str">
            <v>하나</v>
          </cell>
          <cell r="N1262">
            <v>3</v>
          </cell>
          <cell r="P1262">
            <v>11000</v>
          </cell>
        </row>
        <row r="1263">
          <cell r="K1263" t="str">
            <v>하나</v>
          </cell>
          <cell r="N1263">
            <v>46</v>
          </cell>
          <cell r="P1263">
            <v>24000</v>
          </cell>
        </row>
        <row r="1264">
          <cell r="K1264" t="str">
            <v>하나</v>
          </cell>
          <cell r="N1264">
            <v>1</v>
          </cell>
          <cell r="P1264">
            <v>65000</v>
          </cell>
        </row>
        <row r="1265">
          <cell r="K1265" t="str">
            <v>하나</v>
          </cell>
          <cell r="N1265">
            <v>24</v>
          </cell>
          <cell r="P1265">
            <v>15062</v>
          </cell>
        </row>
        <row r="1266">
          <cell r="K1266" t="str">
            <v>하나</v>
          </cell>
          <cell r="N1266">
            <v>46</v>
          </cell>
          <cell r="P1266">
            <v>155000</v>
          </cell>
        </row>
        <row r="1267">
          <cell r="K1267" t="str">
            <v>하나</v>
          </cell>
          <cell r="N1267">
            <v>24</v>
          </cell>
          <cell r="P1267">
            <v>8790</v>
          </cell>
        </row>
        <row r="1268">
          <cell r="K1268" t="str">
            <v>하나</v>
          </cell>
          <cell r="N1268">
            <v>13</v>
          </cell>
          <cell r="P1268">
            <v>58000</v>
          </cell>
        </row>
        <row r="1269">
          <cell r="K1269" t="str">
            <v>하나</v>
          </cell>
          <cell r="N1269">
            <v>46</v>
          </cell>
          <cell r="P1269">
            <v>70000</v>
          </cell>
        </row>
        <row r="1270">
          <cell r="K1270" t="str">
            <v>하나</v>
          </cell>
          <cell r="N1270">
            <v>47</v>
          </cell>
          <cell r="P1270">
            <v>6000</v>
          </cell>
        </row>
        <row r="1271">
          <cell r="K1271" t="str">
            <v>하나</v>
          </cell>
          <cell r="N1271">
            <v>125</v>
          </cell>
          <cell r="P1271">
            <v>10000</v>
          </cell>
        </row>
        <row r="1272">
          <cell r="K1272" t="str">
            <v>하나</v>
          </cell>
          <cell r="N1272">
            <v>49</v>
          </cell>
          <cell r="P1272">
            <v>40940</v>
          </cell>
        </row>
        <row r="1273">
          <cell r="K1273" t="str">
            <v>하나</v>
          </cell>
          <cell r="N1273">
            <v>3</v>
          </cell>
          <cell r="P1273">
            <v>23500</v>
          </cell>
        </row>
        <row r="1274">
          <cell r="K1274" t="str">
            <v>하나</v>
          </cell>
          <cell r="N1274">
            <v>3</v>
          </cell>
          <cell r="P1274">
            <v>20000</v>
          </cell>
        </row>
        <row r="1275">
          <cell r="K1275" t="str">
            <v>하나</v>
          </cell>
          <cell r="N1275">
            <v>94</v>
          </cell>
          <cell r="P1275">
            <v>36000</v>
          </cell>
        </row>
        <row r="1276">
          <cell r="K1276" t="str">
            <v>하나</v>
          </cell>
          <cell r="N1276">
            <v>2</v>
          </cell>
          <cell r="P1276">
            <v>75000</v>
          </cell>
        </row>
        <row r="1277">
          <cell r="K1277" t="str">
            <v>하나</v>
          </cell>
          <cell r="N1277" t="str">
            <v>na</v>
          </cell>
          <cell r="P1277">
            <v>9500</v>
          </cell>
        </row>
        <row r="1278">
          <cell r="K1278" t="str">
            <v>하나</v>
          </cell>
          <cell r="N1278">
            <v>108</v>
          </cell>
          <cell r="P1278">
            <v>7100</v>
          </cell>
        </row>
        <row r="1279">
          <cell r="K1279" t="str">
            <v>하나</v>
          </cell>
          <cell r="N1279">
            <v>25</v>
          </cell>
          <cell r="P1279">
            <v>40000</v>
          </cell>
        </row>
        <row r="1280">
          <cell r="K1280" t="str">
            <v>하나</v>
          </cell>
          <cell r="N1280">
            <v>41</v>
          </cell>
          <cell r="P1280">
            <v>12300</v>
          </cell>
        </row>
        <row r="1281">
          <cell r="K1281" t="str">
            <v>하나</v>
          </cell>
          <cell r="N1281">
            <v>13</v>
          </cell>
          <cell r="P1281">
            <v>17100</v>
          </cell>
        </row>
        <row r="1282">
          <cell r="K1282" t="str">
            <v>하나</v>
          </cell>
          <cell r="N1282">
            <v>72</v>
          </cell>
          <cell r="P1282">
            <v>18000</v>
          </cell>
        </row>
        <row r="1283">
          <cell r="K1283" t="str">
            <v>하나</v>
          </cell>
          <cell r="N1283" t="str">
            <v>na</v>
          </cell>
          <cell r="P1283">
            <v>4024</v>
          </cell>
        </row>
        <row r="1284">
          <cell r="K1284" t="str">
            <v>하나</v>
          </cell>
          <cell r="N1284" t="str">
            <v>na</v>
          </cell>
          <cell r="P1284">
            <v>3482</v>
          </cell>
        </row>
        <row r="1285">
          <cell r="K1285" t="str">
            <v>하나</v>
          </cell>
          <cell r="N1285">
            <v>75</v>
          </cell>
          <cell r="P1285">
            <v>49660</v>
          </cell>
        </row>
        <row r="1286">
          <cell r="K1286" t="str">
            <v>하나</v>
          </cell>
          <cell r="N1286">
            <v>77</v>
          </cell>
          <cell r="P1286">
            <v>33000</v>
          </cell>
        </row>
        <row r="1287">
          <cell r="K1287" t="str">
            <v>하나</v>
          </cell>
          <cell r="N1287">
            <v>23</v>
          </cell>
          <cell r="P1287">
            <v>30000</v>
          </cell>
        </row>
        <row r="1288">
          <cell r="K1288" t="str">
            <v>대구</v>
          </cell>
          <cell r="N1288">
            <v>170</v>
          </cell>
          <cell r="P1288">
            <v>17500</v>
          </cell>
        </row>
        <row r="1289">
          <cell r="K1289" t="str">
            <v>대구</v>
          </cell>
          <cell r="N1289">
            <v>10</v>
          </cell>
          <cell r="P1289">
            <v>7500</v>
          </cell>
        </row>
        <row r="1290">
          <cell r="K1290" t="str">
            <v>대구</v>
          </cell>
          <cell r="N1290">
            <v>10</v>
          </cell>
          <cell r="P1290">
            <v>15000</v>
          </cell>
        </row>
        <row r="1291">
          <cell r="K1291" t="str">
            <v>대구</v>
          </cell>
          <cell r="N1291">
            <v>9</v>
          </cell>
          <cell r="P1291">
            <v>20000</v>
          </cell>
        </row>
        <row r="1292">
          <cell r="K1292" t="str">
            <v>대구</v>
          </cell>
          <cell r="N1292">
            <v>245</v>
          </cell>
          <cell r="P1292">
            <v>24192</v>
          </cell>
        </row>
        <row r="1293">
          <cell r="K1293" t="str">
            <v>대구</v>
          </cell>
          <cell r="N1293">
            <v>170</v>
          </cell>
          <cell r="P1293">
            <v>15170</v>
          </cell>
        </row>
        <row r="1294">
          <cell r="K1294" t="str">
            <v>대구</v>
          </cell>
          <cell r="N1294">
            <v>194</v>
          </cell>
          <cell r="P1294">
            <v>30000</v>
          </cell>
        </row>
        <row r="1295">
          <cell r="K1295" t="str">
            <v>대구</v>
          </cell>
          <cell r="N1295">
            <v>101</v>
          </cell>
          <cell r="P1295">
            <v>45000</v>
          </cell>
        </row>
        <row r="1296">
          <cell r="K1296" t="str">
            <v>대구</v>
          </cell>
          <cell r="N1296">
            <v>101</v>
          </cell>
          <cell r="P1296">
            <v>5000</v>
          </cell>
        </row>
        <row r="1297">
          <cell r="K1297" t="str">
            <v>대구</v>
          </cell>
          <cell r="N1297">
            <v>101</v>
          </cell>
          <cell r="P1297">
            <v>2260</v>
          </cell>
        </row>
        <row r="1298">
          <cell r="K1298" t="str">
            <v>대구</v>
          </cell>
          <cell r="N1298">
            <v>272</v>
          </cell>
          <cell r="P1298">
            <v>13334</v>
          </cell>
        </row>
        <row r="1299">
          <cell r="K1299" t="str">
            <v>대구</v>
          </cell>
          <cell r="N1299">
            <v>94</v>
          </cell>
          <cell r="P1299">
            <v>12667</v>
          </cell>
        </row>
        <row r="1300">
          <cell r="K1300" t="str">
            <v>대구</v>
          </cell>
          <cell r="N1300">
            <v>19</v>
          </cell>
          <cell r="P1300">
            <v>10000</v>
          </cell>
        </row>
        <row r="1301">
          <cell r="K1301" t="str">
            <v>대구</v>
          </cell>
          <cell r="N1301">
            <v>150</v>
          </cell>
          <cell r="P1301">
            <v>20000</v>
          </cell>
        </row>
        <row r="1302">
          <cell r="K1302" t="str">
            <v>대구</v>
          </cell>
          <cell r="N1302">
            <v>3</v>
          </cell>
          <cell r="P1302">
            <v>0</v>
          </cell>
        </row>
        <row r="1303">
          <cell r="K1303" t="str">
            <v>대구</v>
          </cell>
          <cell r="N1303">
            <v>68</v>
          </cell>
          <cell r="P1303">
            <v>15000</v>
          </cell>
        </row>
        <row r="1304">
          <cell r="K1304" t="str">
            <v>대구</v>
          </cell>
          <cell r="N1304" t="str">
            <v>na</v>
          </cell>
          <cell r="P1304">
            <v>7541</v>
          </cell>
        </row>
        <row r="1305">
          <cell r="K1305" t="str">
            <v>대구</v>
          </cell>
          <cell r="N1305">
            <v>5</v>
          </cell>
          <cell r="P1305">
            <v>28000</v>
          </cell>
        </row>
        <row r="1306">
          <cell r="K1306" t="str">
            <v>대구</v>
          </cell>
          <cell r="N1306">
            <v>56</v>
          </cell>
          <cell r="P1306">
            <v>28800</v>
          </cell>
        </row>
        <row r="1307">
          <cell r="K1307" t="str">
            <v>대구</v>
          </cell>
          <cell r="N1307">
            <v>35</v>
          </cell>
          <cell r="P1307">
            <v>30000</v>
          </cell>
        </row>
        <row r="1308">
          <cell r="K1308" t="str">
            <v>대구</v>
          </cell>
          <cell r="N1308">
            <v>40</v>
          </cell>
          <cell r="P1308">
            <v>30000</v>
          </cell>
        </row>
        <row r="1309">
          <cell r="K1309" t="str">
            <v>대구</v>
          </cell>
          <cell r="N1309" t="str">
            <v>na</v>
          </cell>
          <cell r="P1309">
            <v>0</v>
          </cell>
        </row>
        <row r="1310">
          <cell r="K1310" t="str">
            <v>대구</v>
          </cell>
          <cell r="N1310">
            <v>68</v>
          </cell>
          <cell r="P1310">
            <v>7500</v>
          </cell>
        </row>
        <row r="1311">
          <cell r="K1311" t="str">
            <v>대구</v>
          </cell>
          <cell r="N1311">
            <v>194</v>
          </cell>
          <cell r="P1311">
            <v>7500</v>
          </cell>
        </row>
        <row r="1312">
          <cell r="K1312" t="str">
            <v>대구</v>
          </cell>
          <cell r="N1312">
            <v>49</v>
          </cell>
          <cell r="P1312">
            <v>9200</v>
          </cell>
        </row>
        <row r="1313">
          <cell r="K1313" t="str">
            <v>대구</v>
          </cell>
          <cell r="N1313">
            <v>60</v>
          </cell>
          <cell r="P1313">
            <v>22000</v>
          </cell>
        </row>
        <row r="1314">
          <cell r="K1314" t="str">
            <v>대구</v>
          </cell>
          <cell r="N1314">
            <v>6</v>
          </cell>
          <cell r="P1314">
            <v>32281</v>
          </cell>
        </row>
        <row r="1315">
          <cell r="K1315" t="str">
            <v>대구</v>
          </cell>
          <cell r="N1315">
            <v>108</v>
          </cell>
          <cell r="P1315">
            <v>17500</v>
          </cell>
        </row>
        <row r="1316">
          <cell r="K1316" t="str">
            <v>대구</v>
          </cell>
          <cell r="N1316">
            <v>54</v>
          </cell>
          <cell r="P1316">
            <v>7437</v>
          </cell>
        </row>
        <row r="1317">
          <cell r="K1317" t="str">
            <v>대구</v>
          </cell>
          <cell r="N1317">
            <v>245</v>
          </cell>
          <cell r="P1317">
            <v>24080</v>
          </cell>
        </row>
        <row r="1318">
          <cell r="K1318" t="str">
            <v>대구</v>
          </cell>
          <cell r="N1318">
            <v>148</v>
          </cell>
          <cell r="P1318">
            <v>10000</v>
          </cell>
        </row>
        <row r="1319">
          <cell r="K1319" t="str">
            <v>대구</v>
          </cell>
          <cell r="N1319">
            <v>148</v>
          </cell>
          <cell r="P1319">
            <v>8000</v>
          </cell>
        </row>
        <row r="1320">
          <cell r="K1320" t="str">
            <v>대구</v>
          </cell>
          <cell r="N1320">
            <v>58</v>
          </cell>
          <cell r="P1320">
            <v>10500</v>
          </cell>
        </row>
        <row r="1321">
          <cell r="K1321" t="str">
            <v>대구</v>
          </cell>
          <cell r="N1321">
            <v>98</v>
          </cell>
          <cell r="P1321">
            <v>10500</v>
          </cell>
        </row>
        <row r="1322">
          <cell r="K1322" t="str">
            <v>대구</v>
          </cell>
          <cell r="N1322">
            <v>17</v>
          </cell>
          <cell r="P1322">
            <v>9558</v>
          </cell>
        </row>
        <row r="1323">
          <cell r="K1323" t="str">
            <v>대구</v>
          </cell>
          <cell r="N1323">
            <v>12</v>
          </cell>
          <cell r="P1323">
            <v>45674</v>
          </cell>
        </row>
        <row r="1324">
          <cell r="K1324" t="str">
            <v>대구</v>
          </cell>
          <cell r="N1324" t="str">
            <v>na</v>
          </cell>
          <cell r="P1324">
            <v>24000</v>
          </cell>
        </row>
        <row r="1325">
          <cell r="K1325" t="str">
            <v>대구</v>
          </cell>
          <cell r="N1325" t="str">
            <v>na</v>
          </cell>
          <cell r="P1325">
            <v>24000</v>
          </cell>
        </row>
        <row r="1326">
          <cell r="K1326" t="str">
            <v>대구</v>
          </cell>
          <cell r="N1326">
            <v>40</v>
          </cell>
          <cell r="P1326">
            <v>1998</v>
          </cell>
        </row>
        <row r="1327">
          <cell r="K1327" t="str">
            <v>대구</v>
          </cell>
          <cell r="N1327">
            <v>98</v>
          </cell>
          <cell r="P1327">
            <v>19500</v>
          </cell>
        </row>
        <row r="1328">
          <cell r="K1328" t="str">
            <v>대구</v>
          </cell>
          <cell r="N1328">
            <v>39</v>
          </cell>
          <cell r="P1328">
            <v>20600</v>
          </cell>
        </row>
        <row r="1329">
          <cell r="K1329" t="str">
            <v>대구</v>
          </cell>
          <cell r="N1329">
            <v>51</v>
          </cell>
          <cell r="P1329">
            <v>30000</v>
          </cell>
        </row>
        <row r="1330">
          <cell r="K1330" t="str">
            <v>대구</v>
          </cell>
          <cell r="N1330">
            <v>333</v>
          </cell>
          <cell r="P1330">
            <v>10000</v>
          </cell>
        </row>
        <row r="1331">
          <cell r="K1331" t="str">
            <v>대구</v>
          </cell>
          <cell r="N1331">
            <v>49</v>
          </cell>
          <cell r="P1331">
            <v>34500</v>
          </cell>
        </row>
        <row r="1332">
          <cell r="K1332" t="str">
            <v>대구</v>
          </cell>
          <cell r="N1332" t="str">
            <v>na</v>
          </cell>
          <cell r="P1332">
            <v>2145</v>
          </cell>
        </row>
        <row r="1333">
          <cell r="K1333" t="str">
            <v>대구</v>
          </cell>
          <cell r="N1333">
            <v>10</v>
          </cell>
          <cell r="P1333">
            <v>15000</v>
          </cell>
        </row>
        <row r="1334">
          <cell r="K1334" t="str">
            <v>대구</v>
          </cell>
          <cell r="N1334">
            <v>16</v>
          </cell>
          <cell r="P1334">
            <v>15000</v>
          </cell>
        </row>
        <row r="1335">
          <cell r="K1335" t="str">
            <v>대구</v>
          </cell>
          <cell r="N1335">
            <v>10</v>
          </cell>
          <cell r="P1335">
            <v>4000</v>
          </cell>
        </row>
        <row r="1336">
          <cell r="K1336" t="str">
            <v>대구</v>
          </cell>
          <cell r="N1336">
            <v>16</v>
          </cell>
          <cell r="P1336">
            <v>4000</v>
          </cell>
        </row>
        <row r="1337">
          <cell r="K1337" t="str">
            <v>대구</v>
          </cell>
          <cell r="N1337">
            <v>6</v>
          </cell>
          <cell r="P1337">
            <v>8057</v>
          </cell>
        </row>
        <row r="1338">
          <cell r="K1338" t="str">
            <v>대구</v>
          </cell>
          <cell r="N1338">
            <v>68</v>
          </cell>
          <cell r="P1338">
            <v>8057</v>
          </cell>
        </row>
        <row r="1339">
          <cell r="K1339" t="str">
            <v>대구</v>
          </cell>
          <cell r="N1339">
            <v>10</v>
          </cell>
          <cell r="P1339">
            <v>13524</v>
          </cell>
        </row>
        <row r="1340">
          <cell r="K1340" t="str">
            <v>대구</v>
          </cell>
          <cell r="N1340">
            <v>17</v>
          </cell>
          <cell r="P1340">
            <v>8142</v>
          </cell>
        </row>
        <row r="1341">
          <cell r="K1341" t="str">
            <v>대구</v>
          </cell>
          <cell r="N1341">
            <v>9</v>
          </cell>
          <cell r="P1341">
            <v>28680</v>
          </cell>
        </row>
        <row r="1342">
          <cell r="K1342" t="str">
            <v>대구</v>
          </cell>
          <cell r="N1342">
            <v>54</v>
          </cell>
          <cell r="P1342">
            <v>11560</v>
          </cell>
        </row>
        <row r="1343">
          <cell r="K1343" t="str">
            <v>대구</v>
          </cell>
          <cell r="N1343">
            <v>49</v>
          </cell>
          <cell r="P1343">
            <v>0</v>
          </cell>
        </row>
        <row r="1344">
          <cell r="K1344" t="str">
            <v>대구</v>
          </cell>
          <cell r="N1344">
            <v>49</v>
          </cell>
          <cell r="P1344">
            <v>4027</v>
          </cell>
        </row>
        <row r="1345">
          <cell r="K1345" t="str">
            <v>대구</v>
          </cell>
          <cell r="N1345">
            <v>2</v>
          </cell>
          <cell r="P1345">
            <v>28979</v>
          </cell>
        </row>
        <row r="1346">
          <cell r="K1346" t="str">
            <v>대구</v>
          </cell>
          <cell r="N1346">
            <v>33</v>
          </cell>
          <cell r="P1346">
            <v>15100</v>
          </cell>
        </row>
        <row r="1347">
          <cell r="K1347" t="str">
            <v>대구</v>
          </cell>
          <cell r="N1347">
            <v>38</v>
          </cell>
          <cell r="P1347">
            <v>20000</v>
          </cell>
        </row>
        <row r="1348">
          <cell r="K1348" t="str">
            <v>대구</v>
          </cell>
          <cell r="N1348">
            <v>49</v>
          </cell>
          <cell r="P1348">
            <v>36000</v>
          </cell>
        </row>
        <row r="1349">
          <cell r="K1349" t="str">
            <v>대구</v>
          </cell>
          <cell r="N1349">
            <v>10</v>
          </cell>
          <cell r="P1349">
            <v>45000</v>
          </cell>
        </row>
        <row r="1350">
          <cell r="K1350" t="str">
            <v>대구</v>
          </cell>
          <cell r="N1350">
            <v>94</v>
          </cell>
          <cell r="P1350">
            <v>24545</v>
          </cell>
        </row>
        <row r="1351">
          <cell r="K1351" t="str">
            <v>대구</v>
          </cell>
          <cell r="N1351">
            <v>141</v>
          </cell>
          <cell r="P1351">
            <v>9150</v>
          </cell>
        </row>
        <row r="1352">
          <cell r="K1352" t="str">
            <v>대구</v>
          </cell>
          <cell r="N1352">
            <v>225</v>
          </cell>
          <cell r="P1352">
            <v>28000</v>
          </cell>
        </row>
        <row r="1353">
          <cell r="K1353" t="str">
            <v>대구</v>
          </cell>
          <cell r="N1353">
            <v>179</v>
          </cell>
          <cell r="P1353">
            <v>0</v>
          </cell>
        </row>
        <row r="1354">
          <cell r="K1354" t="str">
            <v>대구</v>
          </cell>
          <cell r="N1354">
            <v>33</v>
          </cell>
          <cell r="P1354">
            <v>2667</v>
          </cell>
        </row>
        <row r="1355">
          <cell r="K1355" t="str">
            <v>대구</v>
          </cell>
          <cell r="N1355">
            <v>33</v>
          </cell>
          <cell r="P1355">
            <v>10063</v>
          </cell>
        </row>
        <row r="1356">
          <cell r="K1356" t="str">
            <v>대구</v>
          </cell>
          <cell r="N1356" t="str">
            <v>na</v>
          </cell>
          <cell r="P1356">
            <v>0</v>
          </cell>
        </row>
        <row r="1357">
          <cell r="K1357" t="str">
            <v>대구</v>
          </cell>
          <cell r="N1357">
            <v>79</v>
          </cell>
          <cell r="P1357">
            <v>13899</v>
          </cell>
        </row>
        <row r="1358">
          <cell r="K1358" t="str">
            <v>대구</v>
          </cell>
          <cell r="N1358" t="str">
            <v>na</v>
          </cell>
          <cell r="P1358">
            <v>0</v>
          </cell>
        </row>
        <row r="1359">
          <cell r="K1359" t="str">
            <v>대구</v>
          </cell>
          <cell r="N1359" t="str">
            <v>na</v>
          </cell>
          <cell r="P1359">
            <v>0</v>
          </cell>
        </row>
        <row r="1360">
          <cell r="K1360" t="str">
            <v>대구</v>
          </cell>
          <cell r="N1360" t="str">
            <v>na</v>
          </cell>
          <cell r="P1360">
            <v>0</v>
          </cell>
        </row>
        <row r="1361">
          <cell r="K1361" t="str">
            <v>대구</v>
          </cell>
          <cell r="N1361" t="str">
            <v>na</v>
          </cell>
          <cell r="P1361">
            <v>0</v>
          </cell>
        </row>
        <row r="1362">
          <cell r="K1362" t="str">
            <v>대구</v>
          </cell>
          <cell r="N1362" t="str">
            <v>na</v>
          </cell>
          <cell r="P1362">
            <v>0</v>
          </cell>
        </row>
        <row r="1363">
          <cell r="K1363" t="str">
            <v>부산</v>
          </cell>
          <cell r="N1363">
            <v>6</v>
          </cell>
          <cell r="P1363">
            <v>0</v>
          </cell>
        </row>
        <row r="1364">
          <cell r="K1364" t="str">
            <v>부산</v>
          </cell>
          <cell r="N1364">
            <v>2</v>
          </cell>
          <cell r="P1364">
            <v>28979</v>
          </cell>
        </row>
        <row r="1365">
          <cell r="K1365" t="str">
            <v>부산</v>
          </cell>
          <cell r="N1365" t="str">
            <v>na</v>
          </cell>
          <cell r="P1365">
            <v>0</v>
          </cell>
        </row>
        <row r="1366">
          <cell r="K1366" t="str">
            <v>부산</v>
          </cell>
          <cell r="N1366" t="str">
            <v>na</v>
          </cell>
          <cell r="P1366">
            <v>31000</v>
          </cell>
        </row>
        <row r="1367">
          <cell r="K1367" t="str">
            <v>부산</v>
          </cell>
          <cell r="N1367">
            <v>12</v>
          </cell>
          <cell r="P1367">
            <v>45674</v>
          </cell>
        </row>
        <row r="1368">
          <cell r="K1368" t="str">
            <v>부산</v>
          </cell>
          <cell r="N1368">
            <v>29</v>
          </cell>
          <cell r="P1368">
            <v>30000</v>
          </cell>
        </row>
        <row r="1369">
          <cell r="K1369" t="str">
            <v>부산</v>
          </cell>
          <cell r="N1369">
            <v>39</v>
          </cell>
          <cell r="P1369">
            <v>30000</v>
          </cell>
        </row>
        <row r="1370">
          <cell r="K1370" t="str">
            <v>부산</v>
          </cell>
          <cell r="N1370" t="str">
            <v>na</v>
          </cell>
          <cell r="P1370">
            <v>0</v>
          </cell>
        </row>
        <row r="1371">
          <cell r="K1371" t="str">
            <v>부산</v>
          </cell>
          <cell r="N1371" t="str">
            <v>na</v>
          </cell>
          <cell r="P1371">
            <v>30000</v>
          </cell>
        </row>
        <row r="1372">
          <cell r="K1372" t="str">
            <v>부산</v>
          </cell>
          <cell r="N1372" t="str">
            <v>na</v>
          </cell>
          <cell r="P1372">
            <v>30000</v>
          </cell>
        </row>
        <row r="1373">
          <cell r="K1373" t="str">
            <v>부산</v>
          </cell>
          <cell r="N1373">
            <v>13</v>
          </cell>
          <cell r="P1373">
            <v>122524</v>
          </cell>
        </row>
        <row r="1374">
          <cell r="K1374" t="str">
            <v>부산</v>
          </cell>
          <cell r="N1374" t="str">
            <v>na</v>
          </cell>
          <cell r="P1374">
            <v>0</v>
          </cell>
        </row>
        <row r="1375">
          <cell r="K1375" t="str">
            <v>부산</v>
          </cell>
          <cell r="N1375">
            <v>12</v>
          </cell>
          <cell r="P1375">
            <v>49081</v>
          </cell>
        </row>
        <row r="1376">
          <cell r="K1376" t="str">
            <v>부산</v>
          </cell>
          <cell r="N1376" t="str">
            <v>na</v>
          </cell>
          <cell r="P1376">
            <v>0</v>
          </cell>
        </row>
        <row r="1377">
          <cell r="K1377" t="str">
            <v>부산</v>
          </cell>
          <cell r="N1377" t="str">
            <v>na</v>
          </cell>
          <cell r="P1377">
            <v>0</v>
          </cell>
        </row>
        <row r="1378">
          <cell r="K1378" t="str">
            <v>부산</v>
          </cell>
          <cell r="N1378">
            <v>1</v>
          </cell>
          <cell r="P1378">
            <v>8000</v>
          </cell>
        </row>
        <row r="1379">
          <cell r="K1379" t="str">
            <v>부산</v>
          </cell>
          <cell r="N1379">
            <v>4</v>
          </cell>
          <cell r="P1379">
            <v>0</v>
          </cell>
        </row>
        <row r="1380">
          <cell r="K1380" t="str">
            <v>부산</v>
          </cell>
          <cell r="N1380">
            <v>4</v>
          </cell>
          <cell r="P1380">
            <v>0</v>
          </cell>
        </row>
        <row r="1381">
          <cell r="K1381" t="str">
            <v>부산</v>
          </cell>
          <cell r="N1381" t="str">
            <v>na</v>
          </cell>
          <cell r="P1381">
            <v>0</v>
          </cell>
        </row>
        <row r="1382">
          <cell r="K1382" t="str">
            <v>부산</v>
          </cell>
          <cell r="N1382">
            <v>272</v>
          </cell>
          <cell r="P1382">
            <v>13334</v>
          </cell>
        </row>
        <row r="1383">
          <cell r="K1383" t="str">
            <v>부산</v>
          </cell>
          <cell r="N1383" t="str">
            <v>na</v>
          </cell>
          <cell r="P1383">
            <v>0</v>
          </cell>
        </row>
        <row r="1384">
          <cell r="K1384" t="str">
            <v>부산</v>
          </cell>
          <cell r="N1384" t="str">
            <v>na</v>
          </cell>
          <cell r="P1384">
            <v>0</v>
          </cell>
        </row>
        <row r="1385">
          <cell r="K1385" t="str">
            <v>광주</v>
          </cell>
          <cell r="N1385">
            <v>10</v>
          </cell>
          <cell r="P1385">
            <v>12100</v>
          </cell>
        </row>
        <row r="1386">
          <cell r="K1386" t="str">
            <v>광주</v>
          </cell>
          <cell r="N1386">
            <v>45</v>
          </cell>
          <cell r="P1386">
            <v>10000</v>
          </cell>
        </row>
        <row r="1387">
          <cell r="K1387" t="str">
            <v>광주</v>
          </cell>
          <cell r="N1387">
            <v>194</v>
          </cell>
          <cell r="P1387">
            <v>12000</v>
          </cell>
        </row>
        <row r="1388">
          <cell r="K1388" t="str">
            <v>광주</v>
          </cell>
          <cell r="N1388" t="str">
            <v>na</v>
          </cell>
          <cell r="P1388">
            <v>5000</v>
          </cell>
        </row>
        <row r="1389">
          <cell r="K1389" t="str">
            <v>광주</v>
          </cell>
          <cell r="N1389">
            <v>497</v>
          </cell>
          <cell r="P1389">
            <v>0</v>
          </cell>
        </row>
        <row r="1390">
          <cell r="K1390" t="str">
            <v>광주</v>
          </cell>
          <cell r="N1390">
            <v>79</v>
          </cell>
          <cell r="P1390">
            <v>3000</v>
          </cell>
        </row>
        <row r="1391">
          <cell r="K1391" t="str">
            <v>광주</v>
          </cell>
          <cell r="N1391">
            <v>2</v>
          </cell>
          <cell r="P1391">
            <v>11596</v>
          </cell>
        </row>
        <row r="1392">
          <cell r="K1392" t="str">
            <v>광주</v>
          </cell>
          <cell r="N1392">
            <v>61</v>
          </cell>
          <cell r="P1392">
            <v>9000</v>
          </cell>
        </row>
        <row r="1393">
          <cell r="K1393" t="str">
            <v>광주</v>
          </cell>
          <cell r="N1393">
            <v>19</v>
          </cell>
          <cell r="P1393">
            <v>16000</v>
          </cell>
        </row>
        <row r="1394">
          <cell r="K1394" t="str">
            <v>광주</v>
          </cell>
          <cell r="N1394">
            <v>19</v>
          </cell>
          <cell r="P1394">
            <v>14000</v>
          </cell>
        </row>
        <row r="1395">
          <cell r="K1395" t="str">
            <v>광주</v>
          </cell>
          <cell r="N1395">
            <v>45</v>
          </cell>
          <cell r="P1395">
            <v>10000</v>
          </cell>
        </row>
        <row r="1396">
          <cell r="K1396" t="str">
            <v>광주</v>
          </cell>
          <cell r="N1396">
            <v>10</v>
          </cell>
          <cell r="P1396">
            <v>2587.4119999999998</v>
          </cell>
        </row>
        <row r="1397">
          <cell r="K1397" t="str">
            <v>광주</v>
          </cell>
          <cell r="N1397">
            <v>3</v>
          </cell>
          <cell r="P1397">
            <v>0</v>
          </cell>
        </row>
        <row r="1398">
          <cell r="K1398" t="str">
            <v>광주</v>
          </cell>
          <cell r="N1398">
            <v>8</v>
          </cell>
          <cell r="P1398">
            <v>0</v>
          </cell>
        </row>
        <row r="1399">
          <cell r="K1399" t="str">
            <v>광주</v>
          </cell>
          <cell r="N1399">
            <v>60</v>
          </cell>
          <cell r="P1399">
            <v>8800</v>
          </cell>
        </row>
        <row r="1400">
          <cell r="K1400" t="str">
            <v>광주</v>
          </cell>
          <cell r="N1400">
            <v>19</v>
          </cell>
          <cell r="P1400">
            <v>10000</v>
          </cell>
        </row>
        <row r="1401">
          <cell r="K1401" t="str">
            <v>광주</v>
          </cell>
          <cell r="N1401">
            <v>98</v>
          </cell>
          <cell r="P1401">
            <v>5200</v>
          </cell>
        </row>
        <row r="1402">
          <cell r="K1402" t="str">
            <v>광주</v>
          </cell>
          <cell r="N1402">
            <v>33</v>
          </cell>
          <cell r="P1402">
            <v>15100</v>
          </cell>
        </row>
        <row r="1403">
          <cell r="K1403" t="str">
            <v>광주</v>
          </cell>
          <cell r="N1403">
            <v>13</v>
          </cell>
          <cell r="P1403">
            <v>28943</v>
          </cell>
        </row>
        <row r="1404">
          <cell r="K1404" t="str">
            <v>광주</v>
          </cell>
          <cell r="N1404">
            <v>40</v>
          </cell>
          <cell r="P1404">
            <v>20000</v>
          </cell>
        </row>
        <row r="1405">
          <cell r="K1405" t="str">
            <v>광주</v>
          </cell>
          <cell r="N1405">
            <v>35</v>
          </cell>
          <cell r="P1405">
            <v>20000</v>
          </cell>
        </row>
        <row r="1406">
          <cell r="K1406" t="str">
            <v>광주</v>
          </cell>
          <cell r="N1406">
            <v>9</v>
          </cell>
          <cell r="P1406">
            <v>19120</v>
          </cell>
        </row>
        <row r="1407">
          <cell r="K1407" t="str">
            <v>광주</v>
          </cell>
          <cell r="N1407">
            <v>120</v>
          </cell>
          <cell r="P1407">
            <v>5000</v>
          </cell>
        </row>
        <row r="1408">
          <cell r="K1408" t="str">
            <v>광주</v>
          </cell>
          <cell r="N1408">
            <v>120</v>
          </cell>
          <cell r="P1408">
            <v>5000</v>
          </cell>
        </row>
        <row r="1409">
          <cell r="K1409" t="str">
            <v>광주</v>
          </cell>
          <cell r="N1409">
            <v>10</v>
          </cell>
          <cell r="P1409">
            <v>13000</v>
          </cell>
        </row>
        <row r="1410">
          <cell r="K1410" t="str">
            <v>광주</v>
          </cell>
          <cell r="N1410" t="str">
            <v>na</v>
          </cell>
          <cell r="P1410">
            <v>16000</v>
          </cell>
        </row>
        <row r="1411">
          <cell r="K1411" t="str">
            <v>광주</v>
          </cell>
          <cell r="N1411">
            <v>12</v>
          </cell>
          <cell r="P1411">
            <v>15102.040817999999</v>
          </cell>
        </row>
        <row r="1412">
          <cell r="K1412" t="str">
            <v>광주</v>
          </cell>
          <cell r="N1412">
            <v>10</v>
          </cell>
          <cell r="P1412">
            <v>25000</v>
          </cell>
        </row>
        <row r="1413">
          <cell r="K1413" t="str">
            <v>광주</v>
          </cell>
          <cell r="N1413">
            <v>112</v>
          </cell>
          <cell r="P1413">
            <v>6670</v>
          </cell>
        </row>
        <row r="1414">
          <cell r="K1414" t="str">
            <v>광주</v>
          </cell>
          <cell r="N1414">
            <v>9</v>
          </cell>
          <cell r="P1414">
            <v>20000</v>
          </cell>
        </row>
        <row r="1415">
          <cell r="K1415" t="str">
            <v>광주</v>
          </cell>
          <cell r="N1415">
            <v>38</v>
          </cell>
          <cell r="P1415">
            <v>10000</v>
          </cell>
        </row>
        <row r="1416">
          <cell r="K1416" t="str">
            <v>광주</v>
          </cell>
          <cell r="N1416">
            <v>50</v>
          </cell>
          <cell r="P1416">
            <v>20000</v>
          </cell>
        </row>
        <row r="1417">
          <cell r="K1417" t="str">
            <v>광주</v>
          </cell>
          <cell r="N1417">
            <v>258</v>
          </cell>
          <cell r="P1417">
            <v>9500</v>
          </cell>
        </row>
        <row r="1418">
          <cell r="K1418" t="str">
            <v>광주</v>
          </cell>
          <cell r="N1418">
            <v>167</v>
          </cell>
          <cell r="P1418">
            <v>20000</v>
          </cell>
        </row>
        <row r="1419">
          <cell r="K1419" t="str">
            <v>광주</v>
          </cell>
          <cell r="N1419" t="str">
            <v>na</v>
          </cell>
          <cell r="P1419">
            <v>20000</v>
          </cell>
        </row>
        <row r="1420">
          <cell r="K1420" t="str">
            <v>광주</v>
          </cell>
          <cell r="N1420">
            <v>138</v>
          </cell>
          <cell r="P1420">
            <v>10797</v>
          </cell>
        </row>
        <row r="1421">
          <cell r="K1421" t="str">
            <v>광주</v>
          </cell>
          <cell r="N1421">
            <v>63</v>
          </cell>
          <cell r="P1421">
            <v>15000</v>
          </cell>
        </row>
        <row r="1422">
          <cell r="K1422" t="str">
            <v>광주</v>
          </cell>
          <cell r="N1422">
            <v>10</v>
          </cell>
          <cell r="P1422">
            <v>0</v>
          </cell>
        </row>
        <row r="1423">
          <cell r="K1423" t="str">
            <v>광주</v>
          </cell>
          <cell r="N1423" t="str">
            <v>na</v>
          </cell>
          <cell r="P1423">
            <v>0</v>
          </cell>
        </row>
        <row r="1424">
          <cell r="K1424" t="str">
            <v>광주</v>
          </cell>
          <cell r="N1424" t="str">
            <v>na</v>
          </cell>
          <cell r="P1424">
            <v>0</v>
          </cell>
        </row>
        <row r="1425">
          <cell r="K1425" t="str">
            <v>광주</v>
          </cell>
          <cell r="N1425" t="str">
            <v>na</v>
          </cell>
          <cell r="P1425">
            <v>0</v>
          </cell>
        </row>
        <row r="1426">
          <cell r="K1426" t="str">
            <v>광주</v>
          </cell>
          <cell r="N1426">
            <v>16</v>
          </cell>
          <cell r="P1426">
            <v>0</v>
          </cell>
        </row>
        <row r="1427">
          <cell r="K1427" t="str">
            <v>광주</v>
          </cell>
          <cell r="N1427" t="str">
            <v>na</v>
          </cell>
          <cell r="P1427">
            <v>0</v>
          </cell>
        </row>
        <row r="1428">
          <cell r="K1428" t="str">
            <v>광주</v>
          </cell>
          <cell r="N1428" t="str">
            <v>na</v>
          </cell>
          <cell r="P1428">
            <v>10109.582</v>
          </cell>
        </row>
        <row r="1429">
          <cell r="K1429" t="str">
            <v>광주</v>
          </cell>
          <cell r="N1429" t="str">
            <v>na</v>
          </cell>
          <cell r="P1429">
            <v>10109.582</v>
          </cell>
        </row>
        <row r="1430">
          <cell r="K1430" t="str">
            <v>광주</v>
          </cell>
          <cell r="N1430">
            <v>98</v>
          </cell>
          <cell r="P1430">
            <v>9354</v>
          </cell>
        </row>
        <row r="1431">
          <cell r="K1431" t="str">
            <v>광주</v>
          </cell>
          <cell r="N1431">
            <v>108</v>
          </cell>
          <cell r="P1431">
            <v>11667</v>
          </cell>
        </row>
        <row r="1432">
          <cell r="K1432" t="str">
            <v>광주</v>
          </cell>
          <cell r="N1432">
            <v>79</v>
          </cell>
          <cell r="P1432">
            <v>25000</v>
          </cell>
        </row>
        <row r="1433">
          <cell r="K1433" t="str">
            <v>광주</v>
          </cell>
          <cell r="N1433">
            <v>44</v>
          </cell>
          <cell r="P1433">
            <v>0</v>
          </cell>
        </row>
        <row r="1434">
          <cell r="K1434" t="str">
            <v>광주</v>
          </cell>
          <cell r="N1434">
            <v>25</v>
          </cell>
          <cell r="P1434">
            <v>0</v>
          </cell>
        </row>
        <row r="1435">
          <cell r="K1435" t="str">
            <v>광주</v>
          </cell>
          <cell r="N1435">
            <v>36</v>
          </cell>
          <cell r="P1435">
            <v>2773</v>
          </cell>
        </row>
        <row r="1436">
          <cell r="K1436" t="str">
            <v>광주</v>
          </cell>
          <cell r="N1436" t="str">
            <v>na</v>
          </cell>
          <cell r="P1436">
            <v>0</v>
          </cell>
        </row>
        <row r="1437">
          <cell r="K1437" t="str">
            <v>광주</v>
          </cell>
          <cell r="N1437" t="str">
            <v>na</v>
          </cell>
          <cell r="P1437">
            <v>10000</v>
          </cell>
        </row>
        <row r="1438">
          <cell r="K1438" t="str">
            <v>광주</v>
          </cell>
          <cell r="N1438">
            <v>43</v>
          </cell>
          <cell r="P1438">
            <v>11700</v>
          </cell>
        </row>
        <row r="1439">
          <cell r="K1439" t="str">
            <v>광주</v>
          </cell>
          <cell r="N1439">
            <v>127</v>
          </cell>
          <cell r="P1439">
            <v>0</v>
          </cell>
        </row>
        <row r="1440">
          <cell r="K1440" t="str">
            <v>광주</v>
          </cell>
          <cell r="N1440">
            <v>97</v>
          </cell>
          <cell r="P1440">
            <v>20000</v>
          </cell>
        </row>
        <row r="1441">
          <cell r="K1441" t="str">
            <v>광주</v>
          </cell>
          <cell r="N1441">
            <v>40</v>
          </cell>
          <cell r="P1441">
            <v>20000</v>
          </cell>
        </row>
        <row r="1442">
          <cell r="K1442" t="str">
            <v>광주</v>
          </cell>
          <cell r="N1442">
            <v>13</v>
          </cell>
          <cell r="P1442">
            <v>20000</v>
          </cell>
        </row>
        <row r="1443">
          <cell r="K1443" t="str">
            <v>광주</v>
          </cell>
          <cell r="N1443">
            <v>69</v>
          </cell>
          <cell r="P1443">
            <v>0</v>
          </cell>
        </row>
        <row r="1444">
          <cell r="K1444" t="str">
            <v>광주</v>
          </cell>
          <cell r="N1444">
            <v>22</v>
          </cell>
          <cell r="P1444">
            <v>2240</v>
          </cell>
        </row>
        <row r="1445">
          <cell r="K1445" t="str">
            <v>제주</v>
          </cell>
          <cell r="N1445">
            <v>51</v>
          </cell>
          <cell r="P1445">
            <v>3850</v>
          </cell>
        </row>
        <row r="1446">
          <cell r="K1446" t="str">
            <v>제주</v>
          </cell>
          <cell r="N1446">
            <v>123</v>
          </cell>
          <cell r="P1446">
            <v>1550</v>
          </cell>
        </row>
        <row r="1447">
          <cell r="K1447" t="str">
            <v>제주</v>
          </cell>
          <cell r="N1447">
            <v>79</v>
          </cell>
          <cell r="P1447">
            <v>4646</v>
          </cell>
        </row>
        <row r="1448">
          <cell r="K1448" t="str">
            <v>제주</v>
          </cell>
          <cell r="N1448">
            <v>179</v>
          </cell>
          <cell r="P1448">
            <v>5700</v>
          </cell>
        </row>
        <row r="1449">
          <cell r="K1449" t="str">
            <v>제주</v>
          </cell>
          <cell r="N1449">
            <v>141</v>
          </cell>
          <cell r="P1449">
            <v>500</v>
          </cell>
        </row>
        <row r="1450">
          <cell r="K1450" t="str">
            <v>제주</v>
          </cell>
          <cell r="N1450">
            <v>14</v>
          </cell>
          <cell r="P1450">
            <v>10000</v>
          </cell>
        </row>
        <row r="1451">
          <cell r="K1451" t="str">
            <v>제주</v>
          </cell>
          <cell r="N1451">
            <v>1</v>
          </cell>
          <cell r="P1451">
            <v>0</v>
          </cell>
        </row>
        <row r="1452">
          <cell r="K1452" t="str">
            <v>제주</v>
          </cell>
          <cell r="N1452">
            <v>13</v>
          </cell>
          <cell r="P1452">
            <v>20000</v>
          </cell>
        </row>
        <row r="1453">
          <cell r="K1453" t="str">
            <v>제주</v>
          </cell>
          <cell r="N1453">
            <v>17</v>
          </cell>
          <cell r="P1453">
            <v>3266</v>
          </cell>
        </row>
        <row r="1454">
          <cell r="K1454" t="str">
            <v>제주</v>
          </cell>
          <cell r="N1454">
            <v>17</v>
          </cell>
          <cell r="P1454">
            <v>3834</v>
          </cell>
        </row>
        <row r="1455">
          <cell r="K1455" t="str">
            <v>제주</v>
          </cell>
          <cell r="N1455">
            <v>105</v>
          </cell>
          <cell r="P1455">
            <v>10080</v>
          </cell>
        </row>
        <row r="1456">
          <cell r="K1456" t="str">
            <v>제주</v>
          </cell>
          <cell r="N1456">
            <v>12</v>
          </cell>
          <cell r="P1456">
            <v>0</v>
          </cell>
        </row>
        <row r="1457">
          <cell r="K1457" t="str">
            <v>제주</v>
          </cell>
          <cell r="N1457">
            <v>10</v>
          </cell>
          <cell r="P1457">
            <v>15000</v>
          </cell>
        </row>
        <row r="1458">
          <cell r="K1458" t="str">
            <v>제주</v>
          </cell>
          <cell r="N1458" t="str">
            <v>na</v>
          </cell>
          <cell r="P1458">
            <v>0</v>
          </cell>
        </row>
        <row r="1459">
          <cell r="K1459" t="str">
            <v>제주</v>
          </cell>
          <cell r="N1459">
            <v>45</v>
          </cell>
          <cell r="P1459">
            <v>3840</v>
          </cell>
        </row>
        <row r="1460">
          <cell r="K1460" t="str">
            <v>제주</v>
          </cell>
          <cell r="N1460">
            <v>141</v>
          </cell>
          <cell r="P1460">
            <v>6750</v>
          </cell>
        </row>
        <row r="1461">
          <cell r="K1461" t="str">
            <v>제주</v>
          </cell>
          <cell r="N1461">
            <v>61</v>
          </cell>
          <cell r="P1461">
            <v>5000</v>
          </cell>
        </row>
        <row r="1462">
          <cell r="K1462" t="str">
            <v>제주</v>
          </cell>
          <cell r="N1462">
            <v>22</v>
          </cell>
          <cell r="P1462">
            <v>15000</v>
          </cell>
        </row>
        <row r="1463">
          <cell r="K1463" t="str">
            <v>제주</v>
          </cell>
          <cell r="N1463" t="str">
            <v>na</v>
          </cell>
          <cell r="P1463">
            <v>0</v>
          </cell>
        </row>
        <row r="1464">
          <cell r="K1464" t="str">
            <v>전북</v>
          </cell>
          <cell r="N1464">
            <v>6</v>
          </cell>
          <cell r="P1464">
            <v>0</v>
          </cell>
        </row>
        <row r="1465">
          <cell r="K1465" t="str">
            <v>전북</v>
          </cell>
          <cell r="N1465" t="str">
            <v>na</v>
          </cell>
          <cell r="P1465">
            <v>20000</v>
          </cell>
        </row>
        <row r="1466">
          <cell r="K1466" t="str">
            <v>전북</v>
          </cell>
          <cell r="N1466">
            <v>6</v>
          </cell>
          <cell r="P1466">
            <v>0</v>
          </cell>
        </row>
        <row r="1467">
          <cell r="K1467" t="str">
            <v>전북</v>
          </cell>
          <cell r="N1467">
            <v>13</v>
          </cell>
          <cell r="P1467">
            <v>4659</v>
          </cell>
        </row>
        <row r="1468">
          <cell r="K1468" t="str">
            <v>전북</v>
          </cell>
          <cell r="N1468">
            <v>34</v>
          </cell>
          <cell r="P1468">
            <v>4385</v>
          </cell>
        </row>
        <row r="1469">
          <cell r="K1469" t="str">
            <v>전북</v>
          </cell>
          <cell r="N1469">
            <v>75</v>
          </cell>
          <cell r="P1469">
            <v>5340</v>
          </cell>
        </row>
        <row r="1470">
          <cell r="K1470" t="str">
            <v>전북</v>
          </cell>
          <cell r="N1470">
            <v>13</v>
          </cell>
          <cell r="P1470">
            <v>10000</v>
          </cell>
        </row>
        <row r="1471">
          <cell r="K1471" t="str">
            <v>경남</v>
          </cell>
          <cell r="N1471">
            <v>2</v>
          </cell>
          <cell r="P1471">
            <v>15436</v>
          </cell>
        </row>
        <row r="1472">
          <cell r="K1472" t="str">
            <v>경남</v>
          </cell>
          <cell r="N1472">
            <v>161</v>
          </cell>
          <cell r="P1472">
            <v>11296</v>
          </cell>
        </row>
        <row r="1473">
          <cell r="K1473" t="str">
            <v>경남</v>
          </cell>
          <cell r="N1473">
            <v>24</v>
          </cell>
          <cell r="P1473">
            <v>6592</v>
          </cell>
        </row>
        <row r="1474">
          <cell r="K1474" t="str">
            <v>경남</v>
          </cell>
          <cell r="N1474">
            <v>410</v>
          </cell>
          <cell r="P1474">
            <v>3529</v>
          </cell>
        </row>
        <row r="1475">
          <cell r="K1475" t="str">
            <v>경남</v>
          </cell>
          <cell r="N1475">
            <v>33</v>
          </cell>
          <cell r="P1475">
            <v>4230</v>
          </cell>
        </row>
        <row r="1476">
          <cell r="K1476" t="str">
            <v>경남</v>
          </cell>
          <cell r="N1476">
            <v>61</v>
          </cell>
          <cell r="P1476">
            <v>13930</v>
          </cell>
        </row>
        <row r="1477">
          <cell r="K1477" t="str">
            <v>경남</v>
          </cell>
          <cell r="N1477">
            <v>3</v>
          </cell>
          <cell r="P1477">
            <v>65000</v>
          </cell>
        </row>
        <row r="1478">
          <cell r="K1478" t="str">
            <v>경남</v>
          </cell>
          <cell r="N1478">
            <v>263</v>
          </cell>
          <cell r="P1478">
            <v>3500</v>
          </cell>
        </row>
        <row r="1479">
          <cell r="K1479" t="str">
            <v>경남</v>
          </cell>
          <cell r="N1479">
            <v>19</v>
          </cell>
          <cell r="P1479">
            <v>20000</v>
          </cell>
        </row>
        <row r="1480">
          <cell r="K1480" t="str">
            <v>경남</v>
          </cell>
          <cell r="N1480">
            <v>14</v>
          </cell>
          <cell r="P1480">
            <v>35000</v>
          </cell>
        </row>
        <row r="1481">
          <cell r="K1481" t="str">
            <v>경남</v>
          </cell>
          <cell r="N1481">
            <v>50</v>
          </cell>
          <cell r="P1481">
            <v>20000</v>
          </cell>
        </row>
        <row r="1482">
          <cell r="K1482" t="str">
            <v>경남</v>
          </cell>
          <cell r="N1482">
            <v>85</v>
          </cell>
          <cell r="P1482">
            <v>20000</v>
          </cell>
        </row>
        <row r="1483">
          <cell r="K1483" t="str">
            <v>경남</v>
          </cell>
          <cell r="N1483">
            <v>34</v>
          </cell>
          <cell r="P1483">
            <v>19000</v>
          </cell>
        </row>
        <row r="1484">
          <cell r="K1484" t="str">
            <v>경남</v>
          </cell>
          <cell r="N1484">
            <v>9</v>
          </cell>
          <cell r="P1484">
            <v>20000</v>
          </cell>
        </row>
        <row r="1485">
          <cell r="K1485" t="str">
            <v>경남</v>
          </cell>
          <cell r="N1485">
            <v>38</v>
          </cell>
          <cell r="P1485">
            <v>10000</v>
          </cell>
        </row>
        <row r="1486">
          <cell r="K1486" t="str">
            <v>경남</v>
          </cell>
          <cell r="N1486">
            <v>4</v>
          </cell>
          <cell r="P1486">
            <v>95000</v>
          </cell>
        </row>
        <row r="1487">
          <cell r="K1487" t="str">
            <v>경남</v>
          </cell>
          <cell r="N1487">
            <v>76</v>
          </cell>
          <cell r="P1487">
            <v>10000</v>
          </cell>
        </row>
        <row r="1488">
          <cell r="K1488" t="str">
            <v>경남</v>
          </cell>
          <cell r="N1488">
            <v>4</v>
          </cell>
          <cell r="P1488">
            <v>94800</v>
          </cell>
        </row>
        <row r="1489">
          <cell r="K1489" t="str">
            <v>경남</v>
          </cell>
          <cell r="N1489">
            <v>50</v>
          </cell>
          <cell r="P1489">
            <v>20000</v>
          </cell>
        </row>
        <row r="1490">
          <cell r="K1490" t="str">
            <v>경남</v>
          </cell>
          <cell r="N1490">
            <v>44</v>
          </cell>
          <cell r="P1490">
            <v>9581</v>
          </cell>
        </row>
        <row r="1491">
          <cell r="K1491" t="str">
            <v>경남</v>
          </cell>
          <cell r="N1491">
            <v>1</v>
          </cell>
          <cell r="P1491">
            <v>85000</v>
          </cell>
        </row>
        <row r="1492">
          <cell r="K1492" t="str">
            <v>경남</v>
          </cell>
          <cell r="N1492">
            <v>1</v>
          </cell>
          <cell r="P1492">
            <v>85000</v>
          </cell>
        </row>
        <row r="1493">
          <cell r="K1493" t="str">
            <v>경남</v>
          </cell>
          <cell r="N1493">
            <v>289</v>
          </cell>
          <cell r="P1493">
            <v>7000</v>
          </cell>
        </row>
        <row r="1494">
          <cell r="K1494" t="str">
            <v>경남</v>
          </cell>
          <cell r="N1494">
            <v>8</v>
          </cell>
          <cell r="P1494">
            <v>103000</v>
          </cell>
        </row>
        <row r="1495">
          <cell r="K1495" t="str">
            <v>경남</v>
          </cell>
          <cell r="N1495" t="str">
            <v>na</v>
          </cell>
          <cell r="P1495">
            <v>10000</v>
          </cell>
        </row>
        <row r="1496">
          <cell r="K1496" t="str">
            <v>경남</v>
          </cell>
          <cell r="N1496" t="str">
            <v>na</v>
          </cell>
          <cell r="P1496">
            <v>10000</v>
          </cell>
        </row>
        <row r="1497">
          <cell r="K1497" t="str">
            <v>경남</v>
          </cell>
          <cell r="N1497">
            <v>41</v>
          </cell>
          <cell r="P1497">
            <v>50000</v>
          </cell>
        </row>
        <row r="1498">
          <cell r="K1498" t="str">
            <v>경남</v>
          </cell>
          <cell r="N1498">
            <v>8</v>
          </cell>
          <cell r="P1498">
            <v>10000</v>
          </cell>
        </row>
        <row r="1499">
          <cell r="K1499" t="str">
            <v>경남</v>
          </cell>
          <cell r="N1499">
            <v>44</v>
          </cell>
          <cell r="P1499">
            <v>28000</v>
          </cell>
        </row>
        <row r="1500">
          <cell r="K1500" t="str">
            <v>경남</v>
          </cell>
          <cell r="N1500">
            <v>41</v>
          </cell>
          <cell r="P1500">
            <v>20000</v>
          </cell>
        </row>
        <row r="1501">
          <cell r="K1501" t="str">
            <v>경남</v>
          </cell>
          <cell r="N1501">
            <v>8</v>
          </cell>
          <cell r="P1501">
            <v>0</v>
          </cell>
        </row>
        <row r="1502">
          <cell r="K1502" t="str">
            <v>기업</v>
          </cell>
          <cell r="N1502">
            <v>1</v>
          </cell>
          <cell r="P1502">
            <v>4000</v>
          </cell>
        </row>
        <row r="1503">
          <cell r="K1503" t="str">
            <v>기업</v>
          </cell>
          <cell r="N1503" t="str">
            <v>na</v>
          </cell>
          <cell r="P1503">
            <v>14670</v>
          </cell>
        </row>
        <row r="1504">
          <cell r="K1504" t="str">
            <v>기업</v>
          </cell>
          <cell r="N1504">
            <v>432</v>
          </cell>
          <cell r="P1504">
            <v>5800</v>
          </cell>
        </row>
        <row r="1505">
          <cell r="K1505" t="str">
            <v>기업</v>
          </cell>
          <cell r="N1505">
            <v>22</v>
          </cell>
          <cell r="P1505">
            <v>180000</v>
          </cell>
        </row>
        <row r="1506">
          <cell r="K1506" t="str">
            <v>기업</v>
          </cell>
          <cell r="N1506">
            <v>4</v>
          </cell>
          <cell r="P1506">
            <v>28500</v>
          </cell>
        </row>
        <row r="1507">
          <cell r="K1507" t="str">
            <v>기업</v>
          </cell>
          <cell r="N1507">
            <v>120</v>
          </cell>
          <cell r="P1507">
            <v>6000</v>
          </cell>
        </row>
        <row r="1508">
          <cell r="K1508" t="str">
            <v>기업</v>
          </cell>
          <cell r="N1508">
            <v>60</v>
          </cell>
          <cell r="P1508">
            <v>17350</v>
          </cell>
        </row>
        <row r="1509">
          <cell r="K1509" t="str">
            <v>기업</v>
          </cell>
          <cell r="N1509">
            <v>60</v>
          </cell>
          <cell r="P1509">
            <v>19000</v>
          </cell>
        </row>
        <row r="1510">
          <cell r="K1510" t="str">
            <v>기업</v>
          </cell>
          <cell r="N1510">
            <v>45</v>
          </cell>
          <cell r="P1510">
            <v>15000</v>
          </cell>
        </row>
        <row r="1511">
          <cell r="K1511" t="str">
            <v>기업</v>
          </cell>
          <cell r="N1511">
            <v>23</v>
          </cell>
          <cell r="P1511">
            <v>15220</v>
          </cell>
        </row>
        <row r="1512">
          <cell r="K1512" t="str">
            <v>기업</v>
          </cell>
          <cell r="N1512" t="str">
            <v>na</v>
          </cell>
          <cell r="P1512">
            <v>7800</v>
          </cell>
        </row>
        <row r="1513">
          <cell r="K1513" t="str">
            <v>기업</v>
          </cell>
          <cell r="N1513">
            <v>53</v>
          </cell>
          <cell r="P1513">
            <v>50250</v>
          </cell>
        </row>
        <row r="1514">
          <cell r="K1514" t="str">
            <v>기업</v>
          </cell>
          <cell r="N1514">
            <v>55</v>
          </cell>
          <cell r="P1514">
            <v>60106</v>
          </cell>
        </row>
        <row r="1515">
          <cell r="K1515" t="str">
            <v>기업</v>
          </cell>
          <cell r="N1515">
            <v>54</v>
          </cell>
          <cell r="P1515">
            <v>50000</v>
          </cell>
        </row>
        <row r="1516">
          <cell r="K1516" t="str">
            <v>기업</v>
          </cell>
          <cell r="N1516">
            <v>199</v>
          </cell>
          <cell r="P1516">
            <v>7400</v>
          </cell>
        </row>
        <row r="1517">
          <cell r="K1517" t="str">
            <v>기업</v>
          </cell>
          <cell r="N1517">
            <v>45</v>
          </cell>
          <cell r="P1517">
            <v>50000</v>
          </cell>
        </row>
        <row r="1518">
          <cell r="K1518" t="str">
            <v>기업</v>
          </cell>
          <cell r="N1518">
            <v>100</v>
          </cell>
          <cell r="P1518">
            <v>13000</v>
          </cell>
        </row>
        <row r="1519">
          <cell r="K1519" t="str">
            <v>기업</v>
          </cell>
          <cell r="N1519">
            <v>80</v>
          </cell>
          <cell r="P1519">
            <v>15755</v>
          </cell>
        </row>
        <row r="1520">
          <cell r="K1520" t="str">
            <v>기업</v>
          </cell>
          <cell r="N1520">
            <v>61</v>
          </cell>
          <cell r="P1520">
            <v>55000</v>
          </cell>
        </row>
        <row r="1521">
          <cell r="K1521" t="str">
            <v>기업</v>
          </cell>
          <cell r="N1521">
            <v>40</v>
          </cell>
          <cell r="P1521">
            <v>6000</v>
          </cell>
        </row>
        <row r="1522">
          <cell r="K1522" t="str">
            <v>기업</v>
          </cell>
          <cell r="N1522">
            <v>35</v>
          </cell>
          <cell r="P1522">
            <v>100000</v>
          </cell>
        </row>
        <row r="1523">
          <cell r="K1523" t="str">
            <v>기업</v>
          </cell>
          <cell r="N1523">
            <v>40</v>
          </cell>
          <cell r="P1523">
            <v>100000</v>
          </cell>
        </row>
        <row r="1524">
          <cell r="K1524" t="str">
            <v>기업</v>
          </cell>
          <cell r="N1524">
            <v>50</v>
          </cell>
          <cell r="P1524">
            <v>70000</v>
          </cell>
        </row>
        <row r="1525">
          <cell r="K1525" t="str">
            <v>기업</v>
          </cell>
          <cell r="N1525">
            <v>53</v>
          </cell>
          <cell r="P1525">
            <v>31400</v>
          </cell>
        </row>
        <row r="1526">
          <cell r="K1526" t="str">
            <v>기업</v>
          </cell>
          <cell r="N1526" t="str">
            <v>na</v>
          </cell>
          <cell r="P1526">
            <v>114000</v>
          </cell>
        </row>
        <row r="1527">
          <cell r="K1527" t="str">
            <v>기업</v>
          </cell>
          <cell r="N1527">
            <v>235</v>
          </cell>
          <cell r="P1527">
            <v>35000</v>
          </cell>
        </row>
        <row r="1528">
          <cell r="K1528" t="str">
            <v>기업</v>
          </cell>
          <cell r="N1528">
            <v>38</v>
          </cell>
          <cell r="P1528">
            <v>50000</v>
          </cell>
        </row>
        <row r="1529">
          <cell r="K1529" t="str">
            <v>기업</v>
          </cell>
          <cell r="N1529">
            <v>45</v>
          </cell>
          <cell r="P1529">
            <v>15400</v>
          </cell>
        </row>
        <row r="1530">
          <cell r="K1530" t="str">
            <v>기업</v>
          </cell>
          <cell r="N1530">
            <v>50</v>
          </cell>
          <cell r="P1530">
            <v>120000</v>
          </cell>
        </row>
        <row r="1531">
          <cell r="K1531" t="str">
            <v>기업</v>
          </cell>
          <cell r="N1531">
            <v>40</v>
          </cell>
          <cell r="P1531">
            <v>35000</v>
          </cell>
        </row>
        <row r="1532">
          <cell r="K1532" t="str">
            <v>기업</v>
          </cell>
          <cell r="N1532">
            <v>94</v>
          </cell>
          <cell r="P1532">
            <v>11000</v>
          </cell>
        </row>
        <row r="1533">
          <cell r="K1533" t="str">
            <v>기업</v>
          </cell>
          <cell r="N1533">
            <v>273</v>
          </cell>
          <cell r="P1533">
            <v>16000</v>
          </cell>
        </row>
        <row r="1534">
          <cell r="K1534" t="str">
            <v>기업</v>
          </cell>
          <cell r="N1534">
            <v>99</v>
          </cell>
          <cell r="P1534">
            <v>40000</v>
          </cell>
        </row>
        <row r="1535">
          <cell r="K1535" t="str">
            <v>기업</v>
          </cell>
          <cell r="N1535" t="str">
            <v>na</v>
          </cell>
          <cell r="P1535">
            <v>5000</v>
          </cell>
        </row>
        <row r="1536">
          <cell r="K1536" t="str">
            <v>기업</v>
          </cell>
          <cell r="N1536">
            <v>23</v>
          </cell>
          <cell r="P1536">
            <v>12600</v>
          </cell>
        </row>
        <row r="1537">
          <cell r="K1537" t="str">
            <v>기업</v>
          </cell>
          <cell r="N1537">
            <v>23</v>
          </cell>
          <cell r="P1537">
            <v>18000</v>
          </cell>
        </row>
        <row r="1538">
          <cell r="K1538" t="str">
            <v>기업</v>
          </cell>
          <cell r="N1538">
            <v>235</v>
          </cell>
          <cell r="P1538">
            <v>22000</v>
          </cell>
        </row>
        <row r="1539">
          <cell r="K1539" t="str">
            <v>기업</v>
          </cell>
          <cell r="N1539">
            <v>34</v>
          </cell>
          <cell r="P1539">
            <v>15500</v>
          </cell>
        </row>
        <row r="1540">
          <cell r="K1540" t="str">
            <v>기업</v>
          </cell>
          <cell r="N1540" t="str">
            <v>na</v>
          </cell>
          <cell r="P1540">
            <v>12000</v>
          </cell>
        </row>
        <row r="1541">
          <cell r="K1541" t="str">
            <v>기업</v>
          </cell>
          <cell r="N1541" t="str">
            <v>na</v>
          </cell>
          <cell r="P1541">
            <v>3900</v>
          </cell>
        </row>
        <row r="1542">
          <cell r="K1542" t="str">
            <v>기업</v>
          </cell>
          <cell r="N1542">
            <v>48</v>
          </cell>
          <cell r="P1542">
            <v>56248</v>
          </cell>
        </row>
        <row r="1543">
          <cell r="K1543" t="str">
            <v>기업</v>
          </cell>
          <cell r="N1543" t="str">
            <v>na</v>
          </cell>
          <cell r="P1543">
            <v>23000</v>
          </cell>
        </row>
        <row r="1544">
          <cell r="K1544" t="str">
            <v>기업</v>
          </cell>
          <cell r="N1544">
            <v>6</v>
          </cell>
          <cell r="P1544">
            <v>0</v>
          </cell>
        </row>
        <row r="1545">
          <cell r="K1545" t="str">
            <v>기업</v>
          </cell>
          <cell r="N1545" t="str">
            <v>na</v>
          </cell>
          <cell r="P1545">
            <v>0</v>
          </cell>
        </row>
        <row r="1546">
          <cell r="K1546" t="str">
            <v>기업</v>
          </cell>
          <cell r="N1546">
            <v>71</v>
          </cell>
          <cell r="P1546">
            <v>13615</v>
          </cell>
        </row>
        <row r="1547">
          <cell r="K1547" t="str">
            <v>기업</v>
          </cell>
          <cell r="N1547" t="str">
            <v>na</v>
          </cell>
          <cell r="P1547">
            <v>0</v>
          </cell>
        </row>
        <row r="1548">
          <cell r="K1548" t="str">
            <v>기업</v>
          </cell>
          <cell r="N1548" t="str">
            <v>na</v>
          </cell>
          <cell r="P1548">
            <v>0</v>
          </cell>
        </row>
        <row r="1549">
          <cell r="K1549" t="str">
            <v>기업</v>
          </cell>
          <cell r="N1549">
            <v>10</v>
          </cell>
          <cell r="P1549">
            <v>0</v>
          </cell>
        </row>
        <row r="1550">
          <cell r="K1550" t="str">
            <v>농협</v>
          </cell>
          <cell r="N1550">
            <v>77</v>
          </cell>
          <cell r="P1550">
            <v>0</v>
          </cell>
        </row>
        <row r="1551">
          <cell r="K1551" t="str">
            <v>농협</v>
          </cell>
          <cell r="N1551">
            <v>293</v>
          </cell>
          <cell r="P1551">
            <v>0</v>
          </cell>
        </row>
        <row r="1552">
          <cell r="K1552" t="str">
            <v>농협</v>
          </cell>
          <cell r="N1552" t="str">
            <v>na</v>
          </cell>
          <cell r="P1552">
            <v>0</v>
          </cell>
        </row>
        <row r="1553">
          <cell r="K1553" t="str">
            <v>농협</v>
          </cell>
          <cell r="N1553">
            <v>159</v>
          </cell>
          <cell r="P1553">
            <v>0</v>
          </cell>
        </row>
        <row r="1554">
          <cell r="K1554" t="str">
            <v>농협</v>
          </cell>
          <cell r="N1554" t="str">
            <v>na</v>
          </cell>
          <cell r="P1554">
            <v>0</v>
          </cell>
        </row>
        <row r="1555">
          <cell r="K1555" t="str">
            <v>농협</v>
          </cell>
          <cell r="N1555">
            <v>200</v>
          </cell>
          <cell r="P1555">
            <v>0</v>
          </cell>
        </row>
        <row r="1556">
          <cell r="K1556" t="str">
            <v>농협</v>
          </cell>
          <cell r="N1556">
            <v>112</v>
          </cell>
          <cell r="P1556">
            <v>28325</v>
          </cell>
        </row>
        <row r="1557">
          <cell r="K1557" t="str">
            <v>농협</v>
          </cell>
          <cell r="N1557">
            <v>65</v>
          </cell>
          <cell r="P1557">
            <v>0</v>
          </cell>
        </row>
        <row r="1558">
          <cell r="K1558" t="str">
            <v>농협</v>
          </cell>
          <cell r="N1558" t="str">
            <v>na</v>
          </cell>
          <cell r="P1558">
            <v>0</v>
          </cell>
        </row>
        <row r="1559">
          <cell r="K1559" t="str">
            <v>농협</v>
          </cell>
          <cell r="N1559" t="str">
            <v>na</v>
          </cell>
          <cell r="P1559">
            <v>0</v>
          </cell>
        </row>
        <row r="1560">
          <cell r="K1560" t="str">
            <v>농협</v>
          </cell>
          <cell r="N1560">
            <v>33</v>
          </cell>
          <cell r="P1560">
            <v>0</v>
          </cell>
        </row>
        <row r="1561">
          <cell r="K1561" t="str">
            <v>농협</v>
          </cell>
          <cell r="N1561" t="str">
            <v>na</v>
          </cell>
          <cell r="P1561">
            <v>0</v>
          </cell>
        </row>
        <row r="1562">
          <cell r="K1562" t="str">
            <v>농협</v>
          </cell>
          <cell r="N1562">
            <v>4</v>
          </cell>
          <cell r="P1562">
            <v>17432</v>
          </cell>
        </row>
        <row r="1563">
          <cell r="K1563" t="str">
            <v>농협</v>
          </cell>
          <cell r="N1563">
            <v>19</v>
          </cell>
          <cell r="P1563">
            <v>3300</v>
          </cell>
        </row>
        <row r="1564">
          <cell r="K1564" t="str">
            <v>농협</v>
          </cell>
          <cell r="N1564">
            <v>345</v>
          </cell>
          <cell r="P1564">
            <v>300</v>
          </cell>
        </row>
        <row r="1565">
          <cell r="K1565" t="str">
            <v>농협</v>
          </cell>
          <cell r="N1565">
            <v>6</v>
          </cell>
          <cell r="P1565">
            <v>30000</v>
          </cell>
        </row>
        <row r="1566">
          <cell r="K1566" t="str">
            <v>농협</v>
          </cell>
          <cell r="N1566">
            <v>50</v>
          </cell>
          <cell r="P1566">
            <v>0</v>
          </cell>
        </row>
        <row r="1567">
          <cell r="K1567" t="str">
            <v>농협</v>
          </cell>
          <cell r="N1567" t="str">
            <v>na</v>
          </cell>
          <cell r="P1567">
            <v>0</v>
          </cell>
        </row>
        <row r="1568">
          <cell r="K1568" t="str">
            <v>농협</v>
          </cell>
          <cell r="N1568">
            <v>16</v>
          </cell>
          <cell r="P1568">
            <v>12000</v>
          </cell>
        </row>
        <row r="1569">
          <cell r="K1569" t="str">
            <v>농협</v>
          </cell>
          <cell r="N1569">
            <v>32</v>
          </cell>
          <cell r="P1569">
            <v>3500</v>
          </cell>
        </row>
        <row r="1570">
          <cell r="K1570" t="str">
            <v>농협</v>
          </cell>
          <cell r="N1570">
            <v>54</v>
          </cell>
          <cell r="P1570">
            <v>17200</v>
          </cell>
        </row>
        <row r="1571">
          <cell r="K1571" t="str">
            <v>농협</v>
          </cell>
          <cell r="N1571">
            <v>24</v>
          </cell>
          <cell r="P1571">
            <v>17200</v>
          </cell>
        </row>
        <row r="1572">
          <cell r="K1572" t="str">
            <v>농협</v>
          </cell>
          <cell r="N1572">
            <v>46</v>
          </cell>
          <cell r="P1572">
            <v>14000</v>
          </cell>
        </row>
        <row r="1573">
          <cell r="K1573" t="str">
            <v>농협</v>
          </cell>
          <cell r="N1573">
            <v>345</v>
          </cell>
          <cell r="P1573">
            <v>4800</v>
          </cell>
        </row>
        <row r="1574">
          <cell r="K1574" t="str">
            <v>농협</v>
          </cell>
          <cell r="N1574">
            <v>54</v>
          </cell>
          <cell r="P1574">
            <v>46758</v>
          </cell>
        </row>
        <row r="1575">
          <cell r="K1575" t="str">
            <v>농협</v>
          </cell>
          <cell r="N1575">
            <v>49</v>
          </cell>
          <cell r="P1575">
            <v>46758</v>
          </cell>
        </row>
        <row r="1576">
          <cell r="K1576" t="str">
            <v>농협</v>
          </cell>
          <cell r="N1576">
            <v>12</v>
          </cell>
          <cell r="P1576">
            <v>15000</v>
          </cell>
        </row>
        <row r="1577">
          <cell r="K1577" t="str">
            <v>농협</v>
          </cell>
          <cell r="N1577">
            <v>205</v>
          </cell>
          <cell r="P1577">
            <v>28000</v>
          </cell>
        </row>
        <row r="1578">
          <cell r="K1578" t="str">
            <v>농협</v>
          </cell>
          <cell r="N1578" t="str">
            <v>na</v>
          </cell>
          <cell r="P1578">
            <v>35000</v>
          </cell>
        </row>
        <row r="1579">
          <cell r="K1579" t="str">
            <v>농협</v>
          </cell>
          <cell r="N1579">
            <v>194</v>
          </cell>
          <cell r="P1579">
            <v>50000</v>
          </cell>
        </row>
        <row r="1580">
          <cell r="K1580" t="str">
            <v>농협</v>
          </cell>
          <cell r="N1580">
            <v>54</v>
          </cell>
          <cell r="P1580">
            <v>22061</v>
          </cell>
        </row>
        <row r="1581">
          <cell r="K1581" t="str">
            <v>농협</v>
          </cell>
          <cell r="N1581">
            <v>24</v>
          </cell>
          <cell r="P1581">
            <v>22061</v>
          </cell>
        </row>
        <row r="1582">
          <cell r="K1582" t="str">
            <v>농협</v>
          </cell>
          <cell r="N1582">
            <v>54</v>
          </cell>
          <cell r="P1582">
            <v>57690</v>
          </cell>
        </row>
        <row r="1583">
          <cell r="K1583" t="str">
            <v>농협</v>
          </cell>
          <cell r="N1583">
            <v>49</v>
          </cell>
          <cell r="P1583">
            <v>57690</v>
          </cell>
        </row>
        <row r="1584">
          <cell r="K1584" t="str">
            <v>농협</v>
          </cell>
          <cell r="N1584">
            <v>54</v>
          </cell>
          <cell r="P1584">
            <v>34319</v>
          </cell>
        </row>
        <row r="1585">
          <cell r="K1585" t="str">
            <v>농협</v>
          </cell>
          <cell r="N1585">
            <v>49</v>
          </cell>
          <cell r="P1585">
            <v>34319</v>
          </cell>
        </row>
        <row r="1586">
          <cell r="K1586" t="str">
            <v>농협</v>
          </cell>
          <cell r="N1586">
            <v>17</v>
          </cell>
          <cell r="P1586">
            <v>5200</v>
          </cell>
        </row>
        <row r="1587">
          <cell r="K1587" t="str">
            <v>농협</v>
          </cell>
          <cell r="N1587">
            <v>54</v>
          </cell>
          <cell r="P1587">
            <v>24600</v>
          </cell>
        </row>
        <row r="1588">
          <cell r="K1588" t="str">
            <v>농협</v>
          </cell>
          <cell r="N1588">
            <v>24</v>
          </cell>
          <cell r="P1588">
            <v>24600</v>
          </cell>
        </row>
        <row r="1589">
          <cell r="K1589" t="str">
            <v>농협</v>
          </cell>
          <cell r="N1589">
            <v>47</v>
          </cell>
          <cell r="P1589">
            <v>5000</v>
          </cell>
        </row>
        <row r="1590">
          <cell r="K1590" t="str">
            <v>농협</v>
          </cell>
          <cell r="N1590">
            <v>10</v>
          </cell>
          <cell r="P1590">
            <v>8000</v>
          </cell>
        </row>
        <row r="1591">
          <cell r="K1591" t="str">
            <v>농협</v>
          </cell>
          <cell r="N1591">
            <v>140</v>
          </cell>
          <cell r="P1591">
            <v>7400</v>
          </cell>
        </row>
        <row r="1592">
          <cell r="K1592" t="str">
            <v>농협</v>
          </cell>
          <cell r="N1592">
            <v>34</v>
          </cell>
          <cell r="P1592">
            <v>50000</v>
          </cell>
        </row>
        <row r="1593">
          <cell r="K1593" t="str">
            <v>농협</v>
          </cell>
          <cell r="N1593" t="str">
            <v>na</v>
          </cell>
          <cell r="P1593">
            <v>25000</v>
          </cell>
        </row>
        <row r="1594">
          <cell r="K1594" t="str">
            <v>농협</v>
          </cell>
          <cell r="N1594">
            <v>145</v>
          </cell>
          <cell r="P1594">
            <v>3221</v>
          </cell>
        </row>
        <row r="1595">
          <cell r="K1595" t="str">
            <v>농협</v>
          </cell>
          <cell r="N1595">
            <v>86</v>
          </cell>
          <cell r="P1595">
            <v>30000</v>
          </cell>
        </row>
        <row r="1596">
          <cell r="K1596" t="str">
            <v>농협</v>
          </cell>
          <cell r="N1596" t="str">
            <v>na</v>
          </cell>
          <cell r="P1596">
            <v>38000</v>
          </cell>
        </row>
        <row r="1597">
          <cell r="K1597" t="str">
            <v>농협</v>
          </cell>
          <cell r="N1597">
            <v>123</v>
          </cell>
          <cell r="P1597">
            <v>6429</v>
          </cell>
        </row>
        <row r="1598">
          <cell r="K1598" t="str">
            <v>농협</v>
          </cell>
          <cell r="N1598">
            <v>32</v>
          </cell>
          <cell r="P1598">
            <v>7000</v>
          </cell>
        </row>
        <row r="1599">
          <cell r="K1599" t="str">
            <v>농협</v>
          </cell>
          <cell r="N1599">
            <v>49</v>
          </cell>
          <cell r="P1599">
            <v>36000</v>
          </cell>
        </row>
        <row r="1600">
          <cell r="K1600" t="str">
            <v>농협</v>
          </cell>
          <cell r="N1600">
            <v>68</v>
          </cell>
          <cell r="P1600">
            <v>0</v>
          </cell>
        </row>
        <row r="1601">
          <cell r="K1601" t="str">
            <v>농협</v>
          </cell>
          <cell r="N1601">
            <v>86</v>
          </cell>
          <cell r="P1601">
            <v>55000</v>
          </cell>
        </row>
        <row r="1602">
          <cell r="K1602" t="str">
            <v>농협</v>
          </cell>
          <cell r="N1602">
            <v>201</v>
          </cell>
          <cell r="P1602">
            <v>9000</v>
          </cell>
        </row>
        <row r="1603">
          <cell r="K1603" t="str">
            <v>농협</v>
          </cell>
          <cell r="N1603" t="str">
            <v>na</v>
          </cell>
          <cell r="P1603">
            <v>19000</v>
          </cell>
        </row>
        <row r="1604">
          <cell r="K1604" t="str">
            <v>농협</v>
          </cell>
          <cell r="N1604">
            <v>1</v>
          </cell>
          <cell r="P1604">
            <v>33500</v>
          </cell>
        </row>
        <row r="1605">
          <cell r="K1605" t="str">
            <v>농협</v>
          </cell>
          <cell r="N1605">
            <v>66</v>
          </cell>
          <cell r="P1605">
            <v>50000</v>
          </cell>
        </row>
        <row r="1606">
          <cell r="K1606" t="str">
            <v>농협</v>
          </cell>
          <cell r="N1606">
            <v>68</v>
          </cell>
          <cell r="P1606">
            <v>7000</v>
          </cell>
        </row>
        <row r="1607">
          <cell r="K1607" t="str">
            <v>농협</v>
          </cell>
          <cell r="N1607">
            <v>1</v>
          </cell>
          <cell r="P1607">
            <v>58700</v>
          </cell>
        </row>
        <row r="1608">
          <cell r="K1608" t="str">
            <v>농협</v>
          </cell>
          <cell r="N1608">
            <v>120</v>
          </cell>
          <cell r="P1608">
            <v>20256</v>
          </cell>
        </row>
        <row r="1609">
          <cell r="K1609" t="str">
            <v>농협</v>
          </cell>
          <cell r="N1609">
            <v>68</v>
          </cell>
          <cell r="P1609">
            <v>38000</v>
          </cell>
        </row>
        <row r="1610">
          <cell r="K1610" t="str">
            <v>농협</v>
          </cell>
          <cell r="N1610">
            <v>14</v>
          </cell>
          <cell r="P1610">
            <v>75000</v>
          </cell>
        </row>
        <row r="1611">
          <cell r="K1611" t="str">
            <v>농협</v>
          </cell>
          <cell r="N1611">
            <v>63</v>
          </cell>
          <cell r="P1611">
            <v>110000</v>
          </cell>
        </row>
        <row r="1612">
          <cell r="K1612" t="str">
            <v>농협</v>
          </cell>
          <cell r="N1612">
            <v>12</v>
          </cell>
          <cell r="P1612">
            <v>45674</v>
          </cell>
        </row>
        <row r="1613">
          <cell r="K1613" t="str">
            <v>농협</v>
          </cell>
          <cell r="N1613">
            <v>98</v>
          </cell>
          <cell r="P1613">
            <v>62818</v>
          </cell>
        </row>
        <row r="1614">
          <cell r="K1614" t="str">
            <v>농협</v>
          </cell>
          <cell r="N1614">
            <v>120</v>
          </cell>
          <cell r="P1614">
            <v>7050</v>
          </cell>
        </row>
        <row r="1615">
          <cell r="K1615" t="str">
            <v>농협</v>
          </cell>
          <cell r="N1615">
            <v>200</v>
          </cell>
          <cell r="P1615">
            <v>33500</v>
          </cell>
        </row>
        <row r="1616">
          <cell r="K1616" t="str">
            <v>농협</v>
          </cell>
          <cell r="N1616">
            <v>145</v>
          </cell>
          <cell r="P1616">
            <v>18000</v>
          </cell>
        </row>
        <row r="1617">
          <cell r="K1617" t="str">
            <v>농협</v>
          </cell>
          <cell r="N1617" t="str">
            <v>na</v>
          </cell>
          <cell r="P1617">
            <v>18000</v>
          </cell>
        </row>
        <row r="1618">
          <cell r="K1618" t="str">
            <v>농협</v>
          </cell>
          <cell r="N1618">
            <v>29</v>
          </cell>
          <cell r="P1618">
            <v>21440</v>
          </cell>
        </row>
        <row r="1619">
          <cell r="K1619" t="str">
            <v>농협</v>
          </cell>
          <cell r="N1619">
            <v>153</v>
          </cell>
          <cell r="P1619">
            <v>21000</v>
          </cell>
        </row>
        <row r="1620">
          <cell r="K1620" t="str">
            <v>농협</v>
          </cell>
          <cell r="N1620">
            <v>47</v>
          </cell>
          <cell r="P1620">
            <v>8000</v>
          </cell>
        </row>
        <row r="1621">
          <cell r="K1621" t="str">
            <v>농협</v>
          </cell>
          <cell r="N1621">
            <v>1</v>
          </cell>
          <cell r="P1621">
            <v>8500</v>
          </cell>
        </row>
        <row r="1622">
          <cell r="K1622" t="str">
            <v>농협</v>
          </cell>
          <cell r="N1622">
            <v>61</v>
          </cell>
          <cell r="P1622">
            <v>3000</v>
          </cell>
        </row>
        <row r="1623">
          <cell r="K1623" t="str">
            <v>농협</v>
          </cell>
          <cell r="N1623">
            <v>61</v>
          </cell>
          <cell r="P1623">
            <v>5000</v>
          </cell>
        </row>
        <row r="1624">
          <cell r="K1624" t="str">
            <v>농협</v>
          </cell>
          <cell r="N1624">
            <v>16</v>
          </cell>
          <cell r="P1624">
            <v>10590</v>
          </cell>
        </row>
        <row r="1625">
          <cell r="K1625" t="str">
            <v>농협</v>
          </cell>
          <cell r="N1625">
            <v>86</v>
          </cell>
          <cell r="P1625">
            <v>30000</v>
          </cell>
        </row>
        <row r="1626">
          <cell r="K1626" t="str">
            <v>농협</v>
          </cell>
          <cell r="N1626">
            <v>200</v>
          </cell>
          <cell r="P1626">
            <v>85270</v>
          </cell>
        </row>
        <row r="1627">
          <cell r="K1627" t="str">
            <v>농협</v>
          </cell>
          <cell r="N1627">
            <v>68</v>
          </cell>
          <cell r="P1627">
            <v>8878</v>
          </cell>
        </row>
        <row r="1628">
          <cell r="K1628" t="str">
            <v>농협</v>
          </cell>
          <cell r="N1628" t="str">
            <v>na</v>
          </cell>
          <cell r="P1628">
            <v>28000</v>
          </cell>
        </row>
        <row r="1629">
          <cell r="K1629" t="str">
            <v>농협</v>
          </cell>
          <cell r="N1629">
            <v>54</v>
          </cell>
          <cell r="P1629">
            <v>23118</v>
          </cell>
        </row>
        <row r="1630">
          <cell r="K1630" t="str">
            <v>농협</v>
          </cell>
          <cell r="N1630">
            <v>86</v>
          </cell>
          <cell r="P1630">
            <v>60000</v>
          </cell>
        </row>
        <row r="1631">
          <cell r="K1631" t="str">
            <v>농협</v>
          </cell>
          <cell r="N1631">
            <v>35</v>
          </cell>
          <cell r="P1631">
            <v>180000</v>
          </cell>
        </row>
        <row r="1632">
          <cell r="K1632" t="str">
            <v>농협</v>
          </cell>
          <cell r="N1632">
            <v>40</v>
          </cell>
          <cell r="P1632">
            <v>180000</v>
          </cell>
        </row>
        <row r="1633">
          <cell r="K1633" t="str">
            <v>농협</v>
          </cell>
          <cell r="N1633">
            <v>9</v>
          </cell>
          <cell r="P1633">
            <v>95600</v>
          </cell>
        </row>
        <row r="1634">
          <cell r="K1634" t="str">
            <v>농협</v>
          </cell>
          <cell r="N1634">
            <v>45</v>
          </cell>
          <cell r="P1634">
            <v>18000</v>
          </cell>
        </row>
        <row r="1635">
          <cell r="K1635" t="str">
            <v>농협</v>
          </cell>
          <cell r="N1635">
            <v>68</v>
          </cell>
          <cell r="P1635">
            <v>14000</v>
          </cell>
        </row>
        <row r="1636">
          <cell r="K1636" t="str">
            <v>농협</v>
          </cell>
          <cell r="N1636">
            <v>4</v>
          </cell>
          <cell r="P1636">
            <v>29713</v>
          </cell>
        </row>
        <row r="1637">
          <cell r="K1637" t="str">
            <v>농협</v>
          </cell>
          <cell r="N1637">
            <v>21</v>
          </cell>
          <cell r="P1637">
            <v>15000</v>
          </cell>
        </row>
        <row r="1638">
          <cell r="K1638" t="str">
            <v>농협</v>
          </cell>
          <cell r="N1638">
            <v>154</v>
          </cell>
          <cell r="P1638">
            <v>30000</v>
          </cell>
        </row>
        <row r="1639">
          <cell r="K1639" t="str">
            <v>농협</v>
          </cell>
          <cell r="N1639" t="str">
            <v>na</v>
          </cell>
          <cell r="P1639">
            <v>0</v>
          </cell>
        </row>
        <row r="1640">
          <cell r="K1640" t="str">
            <v>농협</v>
          </cell>
          <cell r="N1640">
            <v>1</v>
          </cell>
          <cell r="P1640">
            <v>70000</v>
          </cell>
        </row>
        <row r="1641">
          <cell r="K1641" t="str">
            <v>농협</v>
          </cell>
          <cell r="N1641">
            <v>10</v>
          </cell>
          <cell r="P1641">
            <v>70000</v>
          </cell>
        </row>
        <row r="1642">
          <cell r="K1642" t="str">
            <v>농협</v>
          </cell>
          <cell r="N1642">
            <v>23</v>
          </cell>
          <cell r="P1642">
            <v>70000</v>
          </cell>
        </row>
        <row r="1643">
          <cell r="K1643" t="str">
            <v>농협</v>
          </cell>
          <cell r="N1643">
            <v>40</v>
          </cell>
          <cell r="P1643">
            <v>55000</v>
          </cell>
        </row>
        <row r="1644">
          <cell r="K1644" t="str">
            <v>농협</v>
          </cell>
          <cell r="N1644">
            <v>12</v>
          </cell>
          <cell r="P1644">
            <v>30204</v>
          </cell>
        </row>
        <row r="1645">
          <cell r="K1645" t="str">
            <v>농협</v>
          </cell>
          <cell r="N1645">
            <v>105</v>
          </cell>
          <cell r="P1645">
            <v>44050</v>
          </cell>
        </row>
        <row r="1646">
          <cell r="K1646" t="str">
            <v>농협</v>
          </cell>
          <cell r="N1646">
            <v>47</v>
          </cell>
          <cell r="P1646">
            <v>55000</v>
          </cell>
        </row>
        <row r="1647">
          <cell r="K1647" t="str">
            <v>농협</v>
          </cell>
          <cell r="N1647">
            <v>14</v>
          </cell>
          <cell r="P1647">
            <v>32200</v>
          </cell>
        </row>
        <row r="1648">
          <cell r="K1648" t="str">
            <v>농협</v>
          </cell>
          <cell r="N1648">
            <v>54</v>
          </cell>
          <cell r="P1648">
            <v>19833</v>
          </cell>
        </row>
        <row r="1649">
          <cell r="K1649" t="str">
            <v>농협</v>
          </cell>
          <cell r="N1649">
            <v>47</v>
          </cell>
          <cell r="P1649">
            <v>30000</v>
          </cell>
        </row>
        <row r="1650">
          <cell r="K1650" t="str">
            <v>농협</v>
          </cell>
          <cell r="N1650">
            <v>123</v>
          </cell>
          <cell r="P1650">
            <v>50000</v>
          </cell>
        </row>
        <row r="1651">
          <cell r="K1651" t="str">
            <v>농협</v>
          </cell>
          <cell r="N1651">
            <v>86</v>
          </cell>
          <cell r="P1651">
            <v>30000</v>
          </cell>
        </row>
        <row r="1652">
          <cell r="K1652" t="str">
            <v>농협</v>
          </cell>
          <cell r="N1652">
            <v>86</v>
          </cell>
          <cell r="P1652">
            <v>15000</v>
          </cell>
        </row>
        <row r="1653">
          <cell r="K1653" t="str">
            <v>농협</v>
          </cell>
          <cell r="N1653">
            <v>61</v>
          </cell>
          <cell r="P1653">
            <v>65000</v>
          </cell>
        </row>
        <row r="1654">
          <cell r="K1654" t="str">
            <v>농협</v>
          </cell>
          <cell r="N1654">
            <v>10</v>
          </cell>
          <cell r="P1654">
            <v>46000</v>
          </cell>
        </row>
        <row r="1655">
          <cell r="K1655" t="str">
            <v>농협</v>
          </cell>
          <cell r="N1655">
            <v>16</v>
          </cell>
          <cell r="P1655">
            <v>46000</v>
          </cell>
        </row>
        <row r="1656">
          <cell r="K1656" t="str">
            <v>농협</v>
          </cell>
          <cell r="N1656">
            <v>99</v>
          </cell>
          <cell r="P1656">
            <v>35000</v>
          </cell>
        </row>
        <row r="1657">
          <cell r="K1657" t="str">
            <v>농협</v>
          </cell>
          <cell r="N1657">
            <v>12</v>
          </cell>
          <cell r="P1657">
            <v>0</v>
          </cell>
        </row>
        <row r="1658">
          <cell r="K1658" t="str">
            <v>농협</v>
          </cell>
          <cell r="N1658" t="str">
            <v>na</v>
          </cell>
          <cell r="P1658">
            <v>9760</v>
          </cell>
        </row>
        <row r="1659">
          <cell r="K1659" t="str">
            <v>농협</v>
          </cell>
          <cell r="N1659" t="str">
            <v>na</v>
          </cell>
          <cell r="P1659">
            <v>50000</v>
          </cell>
        </row>
        <row r="1660">
          <cell r="K1660" t="str">
            <v>농협</v>
          </cell>
          <cell r="N1660">
            <v>150</v>
          </cell>
          <cell r="P1660">
            <v>40000</v>
          </cell>
        </row>
        <row r="1661">
          <cell r="K1661" t="str">
            <v>농협</v>
          </cell>
          <cell r="N1661">
            <v>68</v>
          </cell>
          <cell r="P1661">
            <v>29125</v>
          </cell>
        </row>
        <row r="1662">
          <cell r="K1662" t="str">
            <v>농협</v>
          </cell>
          <cell r="N1662">
            <v>1</v>
          </cell>
          <cell r="P1662">
            <v>86000</v>
          </cell>
        </row>
        <row r="1663">
          <cell r="K1663" t="str">
            <v>농협</v>
          </cell>
          <cell r="N1663">
            <v>50</v>
          </cell>
          <cell r="P1663">
            <v>120000</v>
          </cell>
        </row>
        <row r="1664">
          <cell r="K1664" t="str">
            <v>농협</v>
          </cell>
          <cell r="N1664">
            <v>45</v>
          </cell>
          <cell r="P1664">
            <v>45000</v>
          </cell>
        </row>
        <row r="1665">
          <cell r="K1665" t="str">
            <v>농협</v>
          </cell>
          <cell r="N1665">
            <v>169</v>
          </cell>
          <cell r="P1665">
            <v>35192</v>
          </cell>
        </row>
        <row r="1666">
          <cell r="K1666" t="str">
            <v>농협</v>
          </cell>
          <cell r="N1666">
            <v>63</v>
          </cell>
          <cell r="P1666">
            <v>17200</v>
          </cell>
        </row>
        <row r="1667">
          <cell r="K1667" t="str">
            <v>농협</v>
          </cell>
          <cell r="N1667">
            <v>51</v>
          </cell>
          <cell r="P1667">
            <v>0</v>
          </cell>
        </row>
        <row r="1668">
          <cell r="K1668" t="str">
            <v>농협</v>
          </cell>
          <cell r="N1668">
            <v>201</v>
          </cell>
          <cell r="P1668">
            <v>28000</v>
          </cell>
        </row>
        <row r="1669">
          <cell r="K1669" t="str">
            <v>농협</v>
          </cell>
          <cell r="N1669" t="str">
            <v>na</v>
          </cell>
          <cell r="P1669">
            <v>0</v>
          </cell>
        </row>
        <row r="1670">
          <cell r="K1670" t="str">
            <v>농협</v>
          </cell>
          <cell r="N1670" t="str">
            <v>na</v>
          </cell>
          <cell r="P1670">
            <v>70000</v>
          </cell>
        </row>
        <row r="1671">
          <cell r="K1671" t="str">
            <v>농협</v>
          </cell>
          <cell r="N1671">
            <v>139</v>
          </cell>
          <cell r="P1671">
            <v>29000</v>
          </cell>
        </row>
        <row r="1672">
          <cell r="K1672" t="str">
            <v>농협</v>
          </cell>
          <cell r="N1672">
            <v>4</v>
          </cell>
          <cell r="P1672">
            <v>48050</v>
          </cell>
        </row>
        <row r="1673">
          <cell r="K1673" t="str">
            <v>농협</v>
          </cell>
          <cell r="N1673">
            <v>154</v>
          </cell>
          <cell r="P1673">
            <v>0</v>
          </cell>
        </row>
        <row r="1674">
          <cell r="K1674" t="str">
            <v>농협</v>
          </cell>
          <cell r="N1674">
            <v>153</v>
          </cell>
          <cell r="P1674">
            <v>16000</v>
          </cell>
        </row>
        <row r="1675">
          <cell r="K1675" t="str">
            <v>농협</v>
          </cell>
          <cell r="N1675">
            <v>23</v>
          </cell>
          <cell r="P1675">
            <v>0</v>
          </cell>
        </row>
        <row r="1676">
          <cell r="K1676" t="str">
            <v>농협</v>
          </cell>
          <cell r="N1676">
            <v>99</v>
          </cell>
          <cell r="P1676">
            <v>36500</v>
          </cell>
        </row>
        <row r="1677">
          <cell r="K1677" t="str">
            <v>농협</v>
          </cell>
          <cell r="N1677">
            <v>56</v>
          </cell>
          <cell r="P1677">
            <v>50000</v>
          </cell>
        </row>
        <row r="1678">
          <cell r="K1678" t="str">
            <v>농협</v>
          </cell>
          <cell r="N1678">
            <v>68</v>
          </cell>
          <cell r="P1678">
            <v>2500</v>
          </cell>
        </row>
        <row r="1679">
          <cell r="K1679" t="str">
            <v>농협</v>
          </cell>
          <cell r="N1679">
            <v>221</v>
          </cell>
          <cell r="P1679">
            <v>33058</v>
          </cell>
        </row>
        <row r="1680">
          <cell r="K1680" t="str">
            <v>농협</v>
          </cell>
          <cell r="N1680">
            <v>99</v>
          </cell>
          <cell r="P1680">
            <v>70000</v>
          </cell>
        </row>
        <row r="1681">
          <cell r="K1681" t="str">
            <v>농협</v>
          </cell>
          <cell r="N1681">
            <v>50</v>
          </cell>
          <cell r="P1681">
            <v>50000</v>
          </cell>
        </row>
        <row r="1682">
          <cell r="K1682" t="str">
            <v>농협</v>
          </cell>
          <cell r="N1682">
            <v>99</v>
          </cell>
          <cell r="P1682">
            <v>0</v>
          </cell>
        </row>
        <row r="1683">
          <cell r="K1683" t="str">
            <v>농협</v>
          </cell>
          <cell r="N1683">
            <v>50</v>
          </cell>
          <cell r="P1683">
            <v>66408</v>
          </cell>
        </row>
        <row r="1684">
          <cell r="K1684" t="str">
            <v>농협</v>
          </cell>
          <cell r="N1684" t="str">
            <v>na</v>
          </cell>
          <cell r="P1684">
            <v>15000</v>
          </cell>
        </row>
        <row r="1685">
          <cell r="K1685" t="str">
            <v>농협</v>
          </cell>
          <cell r="N1685">
            <v>40</v>
          </cell>
          <cell r="P1685">
            <v>50000</v>
          </cell>
        </row>
        <row r="1686">
          <cell r="K1686" t="str">
            <v>농협</v>
          </cell>
          <cell r="N1686">
            <v>99</v>
          </cell>
          <cell r="P1686">
            <v>22000</v>
          </cell>
        </row>
        <row r="1687">
          <cell r="K1687" t="str">
            <v>농협</v>
          </cell>
          <cell r="N1687">
            <v>80</v>
          </cell>
          <cell r="P1687">
            <v>68244</v>
          </cell>
        </row>
        <row r="1688">
          <cell r="K1688" t="str">
            <v>농협</v>
          </cell>
          <cell r="N1688">
            <v>82</v>
          </cell>
          <cell r="P1688">
            <v>18500</v>
          </cell>
        </row>
        <row r="1689">
          <cell r="K1689" t="str">
            <v>농협</v>
          </cell>
          <cell r="N1689">
            <v>86</v>
          </cell>
          <cell r="P1689">
            <v>46000</v>
          </cell>
        </row>
        <row r="1690">
          <cell r="K1690" t="str">
            <v>농협</v>
          </cell>
          <cell r="N1690">
            <v>86</v>
          </cell>
          <cell r="P1690">
            <v>23900</v>
          </cell>
        </row>
        <row r="1691">
          <cell r="K1691" t="str">
            <v>농협</v>
          </cell>
          <cell r="N1691">
            <v>86</v>
          </cell>
          <cell r="P1691">
            <v>36119</v>
          </cell>
        </row>
        <row r="1692">
          <cell r="K1692" t="str">
            <v>농협</v>
          </cell>
          <cell r="N1692">
            <v>63</v>
          </cell>
          <cell r="P1692">
            <v>116700</v>
          </cell>
        </row>
        <row r="1693">
          <cell r="K1693" t="str">
            <v>농협</v>
          </cell>
          <cell r="N1693">
            <v>63</v>
          </cell>
          <cell r="P1693">
            <v>65054</v>
          </cell>
        </row>
        <row r="1694">
          <cell r="K1694" t="str">
            <v>농협</v>
          </cell>
          <cell r="N1694">
            <v>48</v>
          </cell>
          <cell r="P1694">
            <v>0</v>
          </cell>
        </row>
        <row r="1695">
          <cell r="K1695" t="str">
            <v>농협</v>
          </cell>
          <cell r="N1695">
            <v>48</v>
          </cell>
          <cell r="P1695">
            <v>0</v>
          </cell>
        </row>
        <row r="1696">
          <cell r="K1696" t="str">
            <v>농협</v>
          </cell>
          <cell r="N1696">
            <v>10</v>
          </cell>
          <cell r="P1696">
            <v>77900</v>
          </cell>
        </row>
        <row r="1697">
          <cell r="K1697" t="str">
            <v>농협</v>
          </cell>
          <cell r="N1697">
            <v>50</v>
          </cell>
          <cell r="P1697">
            <v>45000</v>
          </cell>
        </row>
        <row r="1698">
          <cell r="K1698" t="str">
            <v>농협</v>
          </cell>
          <cell r="N1698">
            <v>272</v>
          </cell>
          <cell r="P1698">
            <v>33331</v>
          </cell>
        </row>
        <row r="1699">
          <cell r="K1699" t="str">
            <v>농협</v>
          </cell>
          <cell r="N1699">
            <v>6</v>
          </cell>
          <cell r="P1699">
            <v>0</v>
          </cell>
        </row>
        <row r="1700">
          <cell r="K1700" t="str">
            <v>농협</v>
          </cell>
          <cell r="N1700" t="str">
            <v>na</v>
          </cell>
          <cell r="P1700">
            <v>0</v>
          </cell>
        </row>
        <row r="1701">
          <cell r="K1701" t="str">
            <v>농협</v>
          </cell>
          <cell r="N1701">
            <v>35</v>
          </cell>
          <cell r="P1701">
            <v>0</v>
          </cell>
        </row>
        <row r="1702">
          <cell r="K1702" t="str">
            <v>농협</v>
          </cell>
          <cell r="N1702">
            <v>50</v>
          </cell>
          <cell r="P1702">
            <v>26620</v>
          </cell>
        </row>
        <row r="1703">
          <cell r="K1703" t="str">
            <v>농협</v>
          </cell>
          <cell r="N1703">
            <v>10</v>
          </cell>
          <cell r="P1703">
            <v>50000</v>
          </cell>
        </row>
        <row r="1704">
          <cell r="K1704" t="str">
            <v>농협</v>
          </cell>
          <cell r="N1704">
            <v>25</v>
          </cell>
          <cell r="P1704">
            <v>140000</v>
          </cell>
        </row>
        <row r="1705">
          <cell r="K1705" t="str">
            <v>농협</v>
          </cell>
          <cell r="N1705">
            <v>68</v>
          </cell>
          <cell r="P1705">
            <v>0</v>
          </cell>
        </row>
        <row r="1706">
          <cell r="K1706" t="str">
            <v>농협</v>
          </cell>
          <cell r="N1706">
            <v>40</v>
          </cell>
          <cell r="P1706">
            <v>86000</v>
          </cell>
        </row>
        <row r="1707">
          <cell r="K1707" t="str">
            <v>농협</v>
          </cell>
          <cell r="N1707">
            <v>76</v>
          </cell>
          <cell r="P1707">
            <v>0</v>
          </cell>
        </row>
        <row r="1708">
          <cell r="K1708" t="str">
            <v>농협</v>
          </cell>
          <cell r="N1708">
            <v>176</v>
          </cell>
          <cell r="P1708">
            <v>0</v>
          </cell>
        </row>
        <row r="1709">
          <cell r="K1709" t="str">
            <v>농협</v>
          </cell>
          <cell r="N1709">
            <v>85</v>
          </cell>
          <cell r="P1709">
            <v>31000</v>
          </cell>
        </row>
        <row r="1710">
          <cell r="K1710" t="str">
            <v>농협</v>
          </cell>
          <cell r="N1710">
            <v>63</v>
          </cell>
          <cell r="P1710">
            <v>10347</v>
          </cell>
        </row>
        <row r="1711">
          <cell r="K1711" t="str">
            <v>농협</v>
          </cell>
          <cell r="N1711">
            <v>98</v>
          </cell>
          <cell r="P1711">
            <v>46822</v>
          </cell>
        </row>
        <row r="1712">
          <cell r="K1712" t="str">
            <v>농협</v>
          </cell>
          <cell r="N1712">
            <v>79</v>
          </cell>
          <cell r="P1712">
            <v>61000</v>
          </cell>
        </row>
        <row r="1713">
          <cell r="K1713" t="str">
            <v>농협</v>
          </cell>
          <cell r="N1713">
            <v>65</v>
          </cell>
          <cell r="P1713">
            <v>22000</v>
          </cell>
        </row>
        <row r="1714">
          <cell r="K1714" t="str">
            <v>농협</v>
          </cell>
          <cell r="N1714">
            <v>98</v>
          </cell>
          <cell r="P1714">
            <v>34500</v>
          </cell>
        </row>
        <row r="1715">
          <cell r="K1715" t="str">
            <v>농협</v>
          </cell>
          <cell r="N1715">
            <v>105</v>
          </cell>
          <cell r="P1715">
            <v>5000</v>
          </cell>
        </row>
        <row r="1716">
          <cell r="K1716" t="str">
            <v>농협</v>
          </cell>
          <cell r="N1716">
            <v>25</v>
          </cell>
          <cell r="P1716">
            <v>120000</v>
          </cell>
        </row>
        <row r="1717">
          <cell r="K1717" t="str">
            <v>농협</v>
          </cell>
          <cell r="N1717">
            <v>35</v>
          </cell>
          <cell r="P1717">
            <v>150000</v>
          </cell>
        </row>
        <row r="1718">
          <cell r="K1718" t="str">
            <v>농협</v>
          </cell>
          <cell r="N1718">
            <v>35</v>
          </cell>
          <cell r="P1718">
            <v>50000</v>
          </cell>
        </row>
        <row r="1719">
          <cell r="K1719" t="str">
            <v>농협</v>
          </cell>
          <cell r="N1719">
            <v>6</v>
          </cell>
          <cell r="P1719">
            <v>50000</v>
          </cell>
        </row>
        <row r="1720">
          <cell r="K1720" t="str">
            <v>농협</v>
          </cell>
          <cell r="N1720">
            <v>120</v>
          </cell>
          <cell r="P1720">
            <v>22162</v>
          </cell>
        </row>
        <row r="1721">
          <cell r="K1721" t="str">
            <v>농협</v>
          </cell>
          <cell r="N1721">
            <v>165</v>
          </cell>
          <cell r="P1721">
            <v>22162</v>
          </cell>
        </row>
        <row r="1722">
          <cell r="K1722" t="str">
            <v>농협</v>
          </cell>
          <cell r="N1722">
            <v>120</v>
          </cell>
          <cell r="P1722">
            <v>42863</v>
          </cell>
        </row>
        <row r="1723">
          <cell r="K1723" t="str">
            <v>농협</v>
          </cell>
          <cell r="N1723">
            <v>165</v>
          </cell>
          <cell r="P1723">
            <v>42863</v>
          </cell>
        </row>
        <row r="1724">
          <cell r="K1724" t="str">
            <v>농협</v>
          </cell>
          <cell r="N1724" t="str">
            <v>na</v>
          </cell>
          <cell r="P1724">
            <v>56248</v>
          </cell>
        </row>
        <row r="1725">
          <cell r="K1725" t="str">
            <v>농협</v>
          </cell>
          <cell r="N1725">
            <v>48</v>
          </cell>
          <cell r="P1725">
            <v>56248</v>
          </cell>
        </row>
        <row r="1726">
          <cell r="K1726" t="str">
            <v>농협</v>
          </cell>
          <cell r="N1726">
            <v>32</v>
          </cell>
          <cell r="P1726">
            <v>31750</v>
          </cell>
        </row>
        <row r="1727">
          <cell r="K1727" t="str">
            <v>농협</v>
          </cell>
          <cell r="N1727">
            <v>14</v>
          </cell>
          <cell r="P1727">
            <v>35000</v>
          </cell>
        </row>
        <row r="1728">
          <cell r="K1728" t="str">
            <v>농협</v>
          </cell>
          <cell r="N1728">
            <v>63</v>
          </cell>
          <cell r="P1728">
            <v>84635</v>
          </cell>
        </row>
        <row r="1729">
          <cell r="K1729" t="str">
            <v>농협</v>
          </cell>
          <cell r="N1729">
            <v>52</v>
          </cell>
          <cell r="P1729">
            <v>140000</v>
          </cell>
        </row>
        <row r="1730">
          <cell r="K1730" t="str">
            <v>농협</v>
          </cell>
          <cell r="N1730">
            <v>86</v>
          </cell>
          <cell r="P1730">
            <v>9000</v>
          </cell>
        </row>
        <row r="1731">
          <cell r="K1731" t="str">
            <v>농협</v>
          </cell>
          <cell r="N1731">
            <v>21</v>
          </cell>
          <cell r="P1731">
            <v>18000</v>
          </cell>
        </row>
        <row r="1732">
          <cell r="K1732" t="str">
            <v>농협</v>
          </cell>
          <cell r="N1732">
            <v>44</v>
          </cell>
          <cell r="P1732">
            <v>50000</v>
          </cell>
        </row>
        <row r="1733">
          <cell r="K1733" t="str">
            <v>농협</v>
          </cell>
          <cell r="N1733">
            <v>1</v>
          </cell>
          <cell r="P1733">
            <v>68000</v>
          </cell>
        </row>
        <row r="1734">
          <cell r="K1734" t="str">
            <v>농협</v>
          </cell>
          <cell r="N1734">
            <v>54</v>
          </cell>
          <cell r="P1734">
            <v>7836</v>
          </cell>
        </row>
        <row r="1735">
          <cell r="K1735" t="str">
            <v>농협</v>
          </cell>
          <cell r="N1735">
            <v>49</v>
          </cell>
          <cell r="P1735">
            <v>7836</v>
          </cell>
        </row>
        <row r="1736">
          <cell r="K1736" t="str">
            <v>농협</v>
          </cell>
          <cell r="N1736">
            <v>54</v>
          </cell>
          <cell r="P1736">
            <v>25316</v>
          </cell>
        </row>
        <row r="1737">
          <cell r="K1737" t="str">
            <v>농협</v>
          </cell>
          <cell r="N1737">
            <v>49</v>
          </cell>
          <cell r="P1737">
            <v>25316</v>
          </cell>
        </row>
        <row r="1738">
          <cell r="K1738" t="str">
            <v>농협</v>
          </cell>
          <cell r="N1738">
            <v>54</v>
          </cell>
          <cell r="P1738">
            <v>28368</v>
          </cell>
        </row>
        <row r="1739">
          <cell r="K1739" t="str">
            <v>농협</v>
          </cell>
          <cell r="N1739">
            <v>49</v>
          </cell>
          <cell r="P1739">
            <v>28368</v>
          </cell>
        </row>
        <row r="1740">
          <cell r="K1740" t="str">
            <v>농협</v>
          </cell>
          <cell r="N1740">
            <v>56</v>
          </cell>
          <cell r="P1740">
            <v>20000</v>
          </cell>
        </row>
        <row r="1741">
          <cell r="K1741" t="str">
            <v>농협</v>
          </cell>
          <cell r="N1741">
            <v>28</v>
          </cell>
          <cell r="P1741">
            <v>29000</v>
          </cell>
        </row>
        <row r="1742">
          <cell r="K1742" t="str">
            <v>농협</v>
          </cell>
          <cell r="N1742">
            <v>63</v>
          </cell>
          <cell r="P1742">
            <v>18987</v>
          </cell>
        </row>
        <row r="1743">
          <cell r="K1743" t="str">
            <v>농협</v>
          </cell>
          <cell r="N1743">
            <v>140</v>
          </cell>
          <cell r="P1743">
            <v>15000</v>
          </cell>
        </row>
        <row r="1744">
          <cell r="K1744" t="str">
            <v>농협</v>
          </cell>
          <cell r="N1744">
            <v>63</v>
          </cell>
          <cell r="P1744">
            <v>21800</v>
          </cell>
        </row>
        <row r="1745">
          <cell r="K1745" t="str">
            <v>농협</v>
          </cell>
          <cell r="N1745">
            <v>63</v>
          </cell>
          <cell r="P1745">
            <v>47322</v>
          </cell>
        </row>
        <row r="1746">
          <cell r="K1746" t="str">
            <v>농협</v>
          </cell>
          <cell r="N1746">
            <v>63</v>
          </cell>
          <cell r="P1746">
            <v>51425</v>
          </cell>
        </row>
        <row r="1747">
          <cell r="K1747" t="str">
            <v>농협</v>
          </cell>
          <cell r="N1747" t="str">
            <v>na</v>
          </cell>
          <cell r="P1747">
            <v>0</v>
          </cell>
        </row>
        <row r="1748">
          <cell r="K1748" t="str">
            <v>농협</v>
          </cell>
          <cell r="N1748">
            <v>21</v>
          </cell>
          <cell r="P1748">
            <v>16000</v>
          </cell>
        </row>
        <row r="1749">
          <cell r="K1749" t="str">
            <v>농협</v>
          </cell>
          <cell r="N1749">
            <v>34</v>
          </cell>
          <cell r="P1749">
            <v>48000</v>
          </cell>
        </row>
        <row r="1750">
          <cell r="K1750" t="str">
            <v>농협</v>
          </cell>
          <cell r="N1750">
            <v>36</v>
          </cell>
          <cell r="P1750">
            <v>24962</v>
          </cell>
        </row>
        <row r="1751">
          <cell r="K1751" t="str">
            <v>농협</v>
          </cell>
          <cell r="N1751">
            <v>103</v>
          </cell>
          <cell r="P1751">
            <v>25000</v>
          </cell>
        </row>
        <row r="1752">
          <cell r="K1752" t="str">
            <v>농협</v>
          </cell>
          <cell r="N1752" t="str">
            <v>na</v>
          </cell>
          <cell r="P1752">
            <v>0</v>
          </cell>
        </row>
        <row r="1753">
          <cell r="K1753" t="str">
            <v>농협</v>
          </cell>
          <cell r="N1753">
            <v>112</v>
          </cell>
          <cell r="P1753">
            <v>12000</v>
          </cell>
        </row>
        <row r="1754">
          <cell r="K1754" t="str">
            <v>농협</v>
          </cell>
          <cell r="N1754">
            <v>13</v>
          </cell>
          <cell r="P1754">
            <v>33000</v>
          </cell>
        </row>
        <row r="1755">
          <cell r="K1755" t="str">
            <v>농협</v>
          </cell>
          <cell r="N1755">
            <v>79</v>
          </cell>
          <cell r="P1755">
            <v>30000</v>
          </cell>
        </row>
        <row r="1756">
          <cell r="K1756" t="str">
            <v>농협</v>
          </cell>
          <cell r="N1756">
            <v>52</v>
          </cell>
          <cell r="P1756">
            <v>65000</v>
          </cell>
        </row>
        <row r="1757">
          <cell r="K1757" t="str">
            <v>농협</v>
          </cell>
          <cell r="N1757">
            <v>54</v>
          </cell>
          <cell r="P1757">
            <v>38400</v>
          </cell>
        </row>
        <row r="1758">
          <cell r="K1758" t="str">
            <v>농협</v>
          </cell>
          <cell r="N1758">
            <v>24</v>
          </cell>
          <cell r="P1758">
            <v>38400</v>
          </cell>
        </row>
        <row r="1759">
          <cell r="K1759" t="str">
            <v>농협</v>
          </cell>
          <cell r="N1759">
            <v>1</v>
          </cell>
          <cell r="P1759">
            <v>26000</v>
          </cell>
        </row>
        <row r="1760">
          <cell r="K1760" t="str">
            <v>농협</v>
          </cell>
          <cell r="N1760">
            <v>1</v>
          </cell>
          <cell r="P1760">
            <v>19000</v>
          </cell>
        </row>
        <row r="1761">
          <cell r="K1761" t="str">
            <v>농협</v>
          </cell>
          <cell r="N1761">
            <v>35</v>
          </cell>
          <cell r="P1761">
            <v>0</v>
          </cell>
        </row>
        <row r="1762">
          <cell r="K1762" t="str">
            <v>농협</v>
          </cell>
          <cell r="N1762">
            <v>54</v>
          </cell>
          <cell r="P1762">
            <v>16974</v>
          </cell>
        </row>
        <row r="1763">
          <cell r="K1763" t="str">
            <v>농협</v>
          </cell>
          <cell r="N1763">
            <v>24</v>
          </cell>
          <cell r="P1763">
            <v>16974</v>
          </cell>
        </row>
        <row r="1764">
          <cell r="K1764" t="str">
            <v>농협</v>
          </cell>
          <cell r="N1764">
            <v>14</v>
          </cell>
          <cell r="P1764">
            <v>35000</v>
          </cell>
        </row>
        <row r="1765">
          <cell r="K1765" t="str">
            <v>농협</v>
          </cell>
          <cell r="N1765">
            <v>52</v>
          </cell>
          <cell r="P1765">
            <v>49000</v>
          </cell>
        </row>
        <row r="1766">
          <cell r="K1766" t="str">
            <v>농협</v>
          </cell>
          <cell r="N1766">
            <v>33</v>
          </cell>
          <cell r="P1766">
            <v>14000</v>
          </cell>
        </row>
        <row r="1767">
          <cell r="K1767" t="str">
            <v>농협</v>
          </cell>
          <cell r="N1767">
            <v>34</v>
          </cell>
          <cell r="P1767">
            <v>43900</v>
          </cell>
        </row>
        <row r="1768">
          <cell r="K1768" t="str">
            <v>농협</v>
          </cell>
          <cell r="N1768">
            <v>1</v>
          </cell>
          <cell r="P1768">
            <v>43038</v>
          </cell>
        </row>
        <row r="1769">
          <cell r="K1769" t="str">
            <v>농협</v>
          </cell>
          <cell r="N1769">
            <v>12</v>
          </cell>
          <cell r="P1769">
            <v>65100</v>
          </cell>
        </row>
        <row r="1770">
          <cell r="K1770" t="str">
            <v>농협</v>
          </cell>
          <cell r="N1770">
            <v>10</v>
          </cell>
          <cell r="P1770">
            <v>0</v>
          </cell>
        </row>
        <row r="1771">
          <cell r="K1771" t="str">
            <v>농협</v>
          </cell>
          <cell r="N1771" t="str">
            <v>na</v>
          </cell>
          <cell r="P1771">
            <v>18000</v>
          </cell>
        </row>
        <row r="1772">
          <cell r="K1772" t="str">
            <v>농협</v>
          </cell>
          <cell r="N1772">
            <v>205</v>
          </cell>
          <cell r="P1772">
            <v>8500</v>
          </cell>
        </row>
        <row r="1773">
          <cell r="K1773" t="str">
            <v>농협</v>
          </cell>
          <cell r="N1773">
            <v>41</v>
          </cell>
          <cell r="P1773">
            <v>18000</v>
          </cell>
        </row>
        <row r="1774">
          <cell r="K1774" t="str">
            <v>농협</v>
          </cell>
          <cell r="N1774">
            <v>56</v>
          </cell>
          <cell r="P1774">
            <v>30000</v>
          </cell>
        </row>
        <row r="1775">
          <cell r="K1775" t="str">
            <v>농협</v>
          </cell>
          <cell r="N1775">
            <v>1</v>
          </cell>
          <cell r="P1775">
            <v>0</v>
          </cell>
        </row>
        <row r="1776">
          <cell r="K1776" t="str">
            <v>농협</v>
          </cell>
          <cell r="N1776">
            <v>462</v>
          </cell>
          <cell r="P1776">
            <v>7000</v>
          </cell>
        </row>
        <row r="1777">
          <cell r="K1777" t="str">
            <v>농협</v>
          </cell>
          <cell r="N1777" t="str">
            <v>na</v>
          </cell>
          <cell r="P1777">
            <v>15000</v>
          </cell>
        </row>
        <row r="1778">
          <cell r="K1778" t="str">
            <v>농협</v>
          </cell>
          <cell r="N1778">
            <v>6</v>
          </cell>
          <cell r="P1778">
            <v>0</v>
          </cell>
        </row>
        <row r="1779">
          <cell r="K1779" t="str">
            <v>농협</v>
          </cell>
          <cell r="N1779" t="str">
            <v>na</v>
          </cell>
          <cell r="P1779">
            <v>17000</v>
          </cell>
        </row>
        <row r="1780">
          <cell r="K1780" t="str">
            <v>농협</v>
          </cell>
          <cell r="N1780">
            <v>343</v>
          </cell>
          <cell r="P1780">
            <v>9300</v>
          </cell>
        </row>
        <row r="1781">
          <cell r="K1781" t="str">
            <v>농협</v>
          </cell>
          <cell r="N1781">
            <v>153</v>
          </cell>
          <cell r="P1781">
            <v>8000</v>
          </cell>
        </row>
        <row r="1782">
          <cell r="K1782" t="str">
            <v>농협</v>
          </cell>
          <cell r="N1782" t="str">
            <v>na</v>
          </cell>
          <cell r="P1782">
            <v>0</v>
          </cell>
        </row>
        <row r="1783">
          <cell r="K1783" t="str">
            <v>농협</v>
          </cell>
          <cell r="N1783" t="str">
            <v>na</v>
          </cell>
          <cell r="P1783">
            <v>0</v>
          </cell>
        </row>
        <row r="1784">
          <cell r="K1784" t="str">
            <v>농협</v>
          </cell>
          <cell r="N1784">
            <v>79</v>
          </cell>
          <cell r="P1784">
            <v>29920</v>
          </cell>
        </row>
        <row r="1785">
          <cell r="K1785" t="str">
            <v>농협</v>
          </cell>
          <cell r="N1785">
            <v>21</v>
          </cell>
          <cell r="P1785">
            <v>90000</v>
          </cell>
        </row>
        <row r="1786">
          <cell r="K1786" t="str">
            <v>농협</v>
          </cell>
          <cell r="N1786">
            <v>50</v>
          </cell>
          <cell r="P1786">
            <v>20000</v>
          </cell>
        </row>
        <row r="1787">
          <cell r="K1787" t="str">
            <v>농협</v>
          </cell>
          <cell r="N1787">
            <v>32</v>
          </cell>
          <cell r="P1787">
            <v>10000</v>
          </cell>
        </row>
        <row r="1788">
          <cell r="K1788" t="str">
            <v>농협</v>
          </cell>
          <cell r="N1788">
            <v>32</v>
          </cell>
          <cell r="P1788">
            <v>6600</v>
          </cell>
        </row>
        <row r="1789">
          <cell r="K1789" t="str">
            <v>농협</v>
          </cell>
          <cell r="N1789">
            <v>12</v>
          </cell>
          <cell r="P1789">
            <v>23800</v>
          </cell>
        </row>
        <row r="1790">
          <cell r="K1790" t="str">
            <v>농협</v>
          </cell>
          <cell r="N1790" t="str">
            <v>na</v>
          </cell>
          <cell r="P1790">
            <v>24400</v>
          </cell>
        </row>
        <row r="1791">
          <cell r="K1791" t="str">
            <v>농협</v>
          </cell>
          <cell r="N1791">
            <v>79</v>
          </cell>
          <cell r="P1791">
            <v>13500</v>
          </cell>
        </row>
        <row r="1792">
          <cell r="K1792" t="str">
            <v>농협</v>
          </cell>
          <cell r="N1792">
            <v>34</v>
          </cell>
          <cell r="P1792">
            <v>68500</v>
          </cell>
        </row>
        <row r="1793">
          <cell r="K1793" t="str">
            <v>농협</v>
          </cell>
          <cell r="N1793">
            <v>462</v>
          </cell>
          <cell r="P1793">
            <v>19600</v>
          </cell>
        </row>
        <row r="1794">
          <cell r="K1794" t="str">
            <v>농협</v>
          </cell>
          <cell r="N1794">
            <v>48</v>
          </cell>
          <cell r="P1794">
            <v>0</v>
          </cell>
        </row>
        <row r="1795">
          <cell r="K1795" t="str">
            <v>농협</v>
          </cell>
          <cell r="N1795" t="str">
            <v>na</v>
          </cell>
          <cell r="P1795">
            <v>67</v>
          </cell>
        </row>
        <row r="1796">
          <cell r="K1796" t="str">
            <v>농협</v>
          </cell>
          <cell r="N1796">
            <v>260</v>
          </cell>
          <cell r="P1796">
            <v>3742</v>
          </cell>
        </row>
        <row r="1797">
          <cell r="K1797" t="str">
            <v>농협</v>
          </cell>
          <cell r="N1797">
            <v>260</v>
          </cell>
          <cell r="P1797">
            <v>1315</v>
          </cell>
        </row>
        <row r="1798">
          <cell r="K1798" t="str">
            <v>농협</v>
          </cell>
          <cell r="N1798">
            <v>260</v>
          </cell>
          <cell r="P1798">
            <v>4396</v>
          </cell>
        </row>
        <row r="1799">
          <cell r="K1799" t="str">
            <v>농협</v>
          </cell>
          <cell r="N1799" t="str">
            <v>na</v>
          </cell>
          <cell r="P1799">
            <v>4200</v>
          </cell>
        </row>
        <row r="1800">
          <cell r="K1800" t="str">
            <v>농협</v>
          </cell>
          <cell r="N1800">
            <v>260</v>
          </cell>
          <cell r="P1800">
            <v>5680</v>
          </cell>
        </row>
        <row r="1801">
          <cell r="K1801" t="str">
            <v>농협</v>
          </cell>
          <cell r="N1801" t="str">
            <v>na</v>
          </cell>
          <cell r="P1801">
            <v>3000</v>
          </cell>
        </row>
        <row r="1802">
          <cell r="K1802" t="str">
            <v>농협</v>
          </cell>
          <cell r="N1802">
            <v>12</v>
          </cell>
          <cell r="P1802">
            <v>2916</v>
          </cell>
        </row>
        <row r="1803">
          <cell r="K1803" t="str">
            <v>농협</v>
          </cell>
          <cell r="N1803">
            <v>60</v>
          </cell>
          <cell r="P1803">
            <v>4400</v>
          </cell>
        </row>
        <row r="1804">
          <cell r="K1804" t="str">
            <v>농협</v>
          </cell>
          <cell r="N1804">
            <v>152</v>
          </cell>
          <cell r="P1804">
            <v>7000</v>
          </cell>
        </row>
        <row r="1805">
          <cell r="K1805" t="str">
            <v>농협</v>
          </cell>
          <cell r="N1805">
            <v>195</v>
          </cell>
          <cell r="P1805">
            <v>6000</v>
          </cell>
        </row>
        <row r="1806">
          <cell r="K1806" t="str">
            <v>농협</v>
          </cell>
          <cell r="N1806" t="str">
            <v>na</v>
          </cell>
          <cell r="P1806">
            <v>6000</v>
          </cell>
        </row>
        <row r="1807">
          <cell r="K1807" t="str">
            <v>농협</v>
          </cell>
          <cell r="N1807">
            <v>345</v>
          </cell>
          <cell r="P1807">
            <v>4400</v>
          </cell>
        </row>
        <row r="1808">
          <cell r="K1808" t="str">
            <v>농협</v>
          </cell>
          <cell r="N1808">
            <v>182</v>
          </cell>
          <cell r="P1808">
            <v>3100</v>
          </cell>
        </row>
        <row r="1809">
          <cell r="K1809" t="str">
            <v>농협</v>
          </cell>
          <cell r="N1809">
            <v>144</v>
          </cell>
          <cell r="P1809">
            <v>5000</v>
          </cell>
        </row>
        <row r="1810">
          <cell r="K1810" t="str">
            <v>수협</v>
          </cell>
          <cell r="N1810">
            <v>13</v>
          </cell>
          <cell r="P1810">
            <v>21000</v>
          </cell>
        </row>
        <row r="1811">
          <cell r="K1811" t="str">
            <v>수협</v>
          </cell>
          <cell r="N1811">
            <v>6</v>
          </cell>
          <cell r="P1811">
            <v>28000</v>
          </cell>
        </row>
        <row r="1812">
          <cell r="K1812" t="str">
            <v>수협</v>
          </cell>
          <cell r="N1812">
            <v>9</v>
          </cell>
          <cell r="P1812">
            <v>20000</v>
          </cell>
        </row>
        <row r="1813">
          <cell r="K1813" t="str">
            <v>수협</v>
          </cell>
          <cell r="N1813">
            <v>6</v>
          </cell>
          <cell r="P1813">
            <v>20000</v>
          </cell>
        </row>
        <row r="1814">
          <cell r="K1814" t="str">
            <v>수협</v>
          </cell>
          <cell r="N1814">
            <v>27</v>
          </cell>
          <cell r="P1814">
            <v>9000</v>
          </cell>
        </row>
        <row r="1815">
          <cell r="K1815" t="str">
            <v>수협</v>
          </cell>
          <cell r="N1815">
            <v>27</v>
          </cell>
          <cell r="P1815">
            <v>1550</v>
          </cell>
        </row>
        <row r="1816">
          <cell r="K1816" t="str">
            <v>수협</v>
          </cell>
          <cell r="N1816">
            <v>194</v>
          </cell>
          <cell r="P1816">
            <v>36000</v>
          </cell>
        </row>
        <row r="1817">
          <cell r="K1817" t="str">
            <v>수협</v>
          </cell>
          <cell r="N1817">
            <v>35</v>
          </cell>
          <cell r="P1817">
            <v>3000</v>
          </cell>
        </row>
        <row r="1818">
          <cell r="K1818" t="str">
            <v>수협</v>
          </cell>
          <cell r="N1818">
            <v>24</v>
          </cell>
          <cell r="P1818">
            <v>0</v>
          </cell>
        </row>
        <row r="1819">
          <cell r="K1819" t="str">
            <v>수협</v>
          </cell>
          <cell r="N1819">
            <v>24</v>
          </cell>
          <cell r="P1819">
            <v>12226.14</v>
          </cell>
        </row>
        <row r="1820">
          <cell r="K1820" t="str">
            <v>수협</v>
          </cell>
          <cell r="N1820" t="str">
            <v>na</v>
          </cell>
          <cell r="P1820">
            <v>15000</v>
          </cell>
        </row>
        <row r="1821">
          <cell r="K1821" t="str">
            <v>수협</v>
          </cell>
          <cell r="N1821">
            <v>194</v>
          </cell>
          <cell r="P1821">
            <v>15000</v>
          </cell>
        </row>
        <row r="1822">
          <cell r="K1822" t="str">
            <v>수협</v>
          </cell>
          <cell r="N1822">
            <v>13</v>
          </cell>
          <cell r="P1822">
            <v>57533</v>
          </cell>
        </row>
        <row r="1823">
          <cell r="K1823" t="str">
            <v>수협</v>
          </cell>
          <cell r="N1823">
            <v>60</v>
          </cell>
          <cell r="P1823">
            <v>12350</v>
          </cell>
        </row>
        <row r="1824">
          <cell r="K1824" t="str">
            <v>수협</v>
          </cell>
          <cell r="N1824">
            <v>23</v>
          </cell>
          <cell r="P1824">
            <v>19200</v>
          </cell>
        </row>
        <row r="1825">
          <cell r="K1825" t="str">
            <v>수협</v>
          </cell>
          <cell r="N1825">
            <v>12</v>
          </cell>
          <cell r="P1825">
            <v>11084</v>
          </cell>
        </row>
        <row r="1826">
          <cell r="K1826" t="str">
            <v>수협</v>
          </cell>
          <cell r="N1826">
            <v>2</v>
          </cell>
          <cell r="P1826">
            <v>46369</v>
          </cell>
        </row>
        <row r="1827">
          <cell r="K1827" t="str">
            <v>수협</v>
          </cell>
          <cell r="N1827">
            <v>123</v>
          </cell>
          <cell r="P1827">
            <v>6428.5714280000002</v>
          </cell>
        </row>
        <row r="1828">
          <cell r="K1828" t="str">
            <v>수협</v>
          </cell>
          <cell r="N1828">
            <v>23</v>
          </cell>
          <cell r="P1828">
            <v>8750</v>
          </cell>
        </row>
        <row r="1829">
          <cell r="K1829" t="str">
            <v>수협</v>
          </cell>
          <cell r="N1829">
            <v>23</v>
          </cell>
          <cell r="P1829">
            <v>2250</v>
          </cell>
        </row>
        <row r="1830">
          <cell r="K1830" t="str">
            <v>수협</v>
          </cell>
          <cell r="N1830">
            <v>45</v>
          </cell>
          <cell r="P1830">
            <v>6428</v>
          </cell>
        </row>
        <row r="1831">
          <cell r="K1831" t="str">
            <v>수협</v>
          </cell>
          <cell r="N1831">
            <v>179</v>
          </cell>
          <cell r="P1831">
            <v>0</v>
          </cell>
        </row>
        <row r="1832">
          <cell r="K1832" t="str">
            <v>수협</v>
          </cell>
          <cell r="N1832">
            <v>179</v>
          </cell>
          <cell r="P1832">
            <v>0</v>
          </cell>
        </row>
        <row r="1833">
          <cell r="K1833" t="str">
            <v>수협</v>
          </cell>
          <cell r="N1833">
            <v>78</v>
          </cell>
          <cell r="P1833">
            <v>18000</v>
          </cell>
        </row>
        <row r="1834">
          <cell r="K1834" t="str">
            <v>수협</v>
          </cell>
          <cell r="N1834">
            <v>8</v>
          </cell>
          <cell r="P1834">
            <v>10000</v>
          </cell>
        </row>
        <row r="1835">
          <cell r="K1835" t="str">
            <v>수협</v>
          </cell>
          <cell r="N1835">
            <v>21</v>
          </cell>
          <cell r="P1835">
            <v>30000</v>
          </cell>
        </row>
        <row r="1836">
          <cell r="K1836" t="str">
            <v>수협</v>
          </cell>
          <cell r="N1836">
            <v>54</v>
          </cell>
          <cell r="P1836">
            <v>10000</v>
          </cell>
        </row>
        <row r="1837">
          <cell r="K1837" t="str">
            <v>수협</v>
          </cell>
          <cell r="N1837">
            <v>17</v>
          </cell>
          <cell r="P1837">
            <v>20000</v>
          </cell>
        </row>
        <row r="1838">
          <cell r="K1838" t="str">
            <v>수협</v>
          </cell>
          <cell r="N1838">
            <v>153</v>
          </cell>
          <cell r="P1838">
            <v>13300</v>
          </cell>
        </row>
        <row r="1839">
          <cell r="K1839" t="str">
            <v>수협</v>
          </cell>
          <cell r="N1839">
            <v>21</v>
          </cell>
          <cell r="P1839">
            <v>0</v>
          </cell>
        </row>
        <row r="1840">
          <cell r="K1840" t="str">
            <v>수협</v>
          </cell>
          <cell r="N1840">
            <v>21</v>
          </cell>
          <cell r="P1840">
            <v>0</v>
          </cell>
        </row>
        <row r="1841">
          <cell r="K1841" t="str">
            <v>수협</v>
          </cell>
          <cell r="N1841">
            <v>41</v>
          </cell>
          <cell r="P1841">
            <v>5000</v>
          </cell>
        </row>
        <row r="1842">
          <cell r="K1842" t="str">
            <v>수협</v>
          </cell>
          <cell r="N1842">
            <v>41</v>
          </cell>
          <cell r="P1842">
            <v>5000</v>
          </cell>
        </row>
        <row r="1843">
          <cell r="K1843" t="str">
            <v>수협</v>
          </cell>
          <cell r="N1843">
            <v>41</v>
          </cell>
          <cell r="P1843">
            <v>15000</v>
          </cell>
        </row>
        <row r="1844">
          <cell r="K1844" t="str">
            <v>수협</v>
          </cell>
          <cell r="N1844">
            <v>40</v>
          </cell>
          <cell r="P1844">
            <v>9000</v>
          </cell>
        </row>
        <row r="1845">
          <cell r="K1845" t="str">
            <v>수협</v>
          </cell>
          <cell r="N1845">
            <v>45</v>
          </cell>
          <cell r="P1845">
            <v>3500</v>
          </cell>
        </row>
        <row r="1846">
          <cell r="K1846" t="str">
            <v>수협</v>
          </cell>
          <cell r="N1846">
            <v>35</v>
          </cell>
          <cell r="P1846">
            <v>50000</v>
          </cell>
        </row>
        <row r="1847">
          <cell r="K1847" t="str">
            <v>수협</v>
          </cell>
          <cell r="N1847">
            <v>40</v>
          </cell>
          <cell r="P1847">
            <v>50000</v>
          </cell>
        </row>
        <row r="1848">
          <cell r="K1848" t="str">
            <v>수협</v>
          </cell>
          <cell r="N1848">
            <v>9</v>
          </cell>
          <cell r="P1848">
            <v>66920</v>
          </cell>
        </row>
        <row r="1849">
          <cell r="K1849" t="str">
            <v>수협</v>
          </cell>
          <cell r="N1849">
            <v>77</v>
          </cell>
          <cell r="P1849">
            <v>29000</v>
          </cell>
        </row>
        <row r="1850">
          <cell r="K1850" t="str">
            <v>수협</v>
          </cell>
          <cell r="N1850">
            <v>47</v>
          </cell>
          <cell r="P1850">
            <v>24000</v>
          </cell>
        </row>
        <row r="1851">
          <cell r="K1851" t="str">
            <v>수협</v>
          </cell>
          <cell r="N1851">
            <v>10</v>
          </cell>
          <cell r="P1851">
            <v>20000</v>
          </cell>
        </row>
        <row r="1852">
          <cell r="K1852" t="str">
            <v>수협</v>
          </cell>
          <cell r="N1852">
            <v>16</v>
          </cell>
          <cell r="P1852">
            <v>20000</v>
          </cell>
        </row>
        <row r="1853">
          <cell r="K1853" t="str">
            <v>수협</v>
          </cell>
          <cell r="N1853">
            <v>9</v>
          </cell>
          <cell r="P1853">
            <v>15000</v>
          </cell>
        </row>
        <row r="1854">
          <cell r="K1854" t="str">
            <v>수협</v>
          </cell>
          <cell r="N1854">
            <v>50</v>
          </cell>
          <cell r="P1854">
            <v>50000</v>
          </cell>
        </row>
        <row r="1855">
          <cell r="K1855" t="str">
            <v>수협</v>
          </cell>
          <cell r="N1855">
            <v>10</v>
          </cell>
          <cell r="P1855">
            <v>15000</v>
          </cell>
        </row>
        <row r="1856">
          <cell r="K1856" t="str">
            <v>수협</v>
          </cell>
          <cell r="N1856">
            <v>34</v>
          </cell>
          <cell r="P1856">
            <v>18000</v>
          </cell>
        </row>
        <row r="1857">
          <cell r="K1857" t="str">
            <v>수협</v>
          </cell>
          <cell r="N1857">
            <v>172</v>
          </cell>
          <cell r="P1857">
            <v>7000</v>
          </cell>
        </row>
        <row r="1858">
          <cell r="K1858" t="str">
            <v>수협</v>
          </cell>
          <cell r="N1858">
            <v>441</v>
          </cell>
          <cell r="P1858">
            <v>26680</v>
          </cell>
        </row>
        <row r="1859">
          <cell r="K1859" t="str">
            <v>수협</v>
          </cell>
          <cell r="N1859" t="str">
            <v>na</v>
          </cell>
          <cell r="P1859">
            <v>40000</v>
          </cell>
        </row>
        <row r="1860">
          <cell r="K1860" t="str">
            <v>수협</v>
          </cell>
          <cell r="N1860" t="str">
            <v>na</v>
          </cell>
          <cell r="P1860">
            <v>40000</v>
          </cell>
        </row>
        <row r="1861">
          <cell r="K1861" t="str">
            <v>수협</v>
          </cell>
          <cell r="N1861">
            <v>38</v>
          </cell>
          <cell r="P1861">
            <v>25000</v>
          </cell>
        </row>
        <row r="1862">
          <cell r="K1862" t="str">
            <v>수협</v>
          </cell>
          <cell r="N1862">
            <v>2</v>
          </cell>
          <cell r="P1862">
            <v>12605</v>
          </cell>
        </row>
        <row r="1863">
          <cell r="K1863" t="str">
            <v>수협</v>
          </cell>
          <cell r="N1863">
            <v>56</v>
          </cell>
          <cell r="P1863">
            <v>35000</v>
          </cell>
        </row>
        <row r="1864">
          <cell r="K1864" t="str">
            <v>수협</v>
          </cell>
          <cell r="N1864">
            <v>27</v>
          </cell>
          <cell r="P1864">
            <v>20000</v>
          </cell>
        </row>
        <row r="1865">
          <cell r="K1865" t="str">
            <v>수협</v>
          </cell>
          <cell r="N1865">
            <v>41</v>
          </cell>
          <cell r="P1865">
            <v>18000</v>
          </cell>
        </row>
        <row r="1866">
          <cell r="K1866" t="str">
            <v>수협</v>
          </cell>
          <cell r="N1866">
            <v>41</v>
          </cell>
          <cell r="P1866">
            <v>22000</v>
          </cell>
        </row>
        <row r="1867">
          <cell r="K1867" t="str">
            <v>수협</v>
          </cell>
          <cell r="N1867">
            <v>33</v>
          </cell>
          <cell r="P1867">
            <v>31120</v>
          </cell>
        </row>
        <row r="1868">
          <cell r="K1868" t="str">
            <v>수협</v>
          </cell>
          <cell r="N1868" t="str">
            <v>na</v>
          </cell>
          <cell r="P1868">
            <v>0</v>
          </cell>
        </row>
        <row r="1869">
          <cell r="K1869" t="str">
            <v>수협</v>
          </cell>
          <cell r="N1869">
            <v>40</v>
          </cell>
          <cell r="P1869">
            <v>1998</v>
          </cell>
        </row>
        <row r="1870">
          <cell r="K1870" t="str">
            <v>수협</v>
          </cell>
          <cell r="N1870">
            <v>13</v>
          </cell>
          <cell r="P1870">
            <v>10000</v>
          </cell>
        </row>
        <row r="1871">
          <cell r="K1871" t="str">
            <v>수협</v>
          </cell>
          <cell r="N1871">
            <v>13</v>
          </cell>
          <cell r="P1871">
            <v>10000</v>
          </cell>
        </row>
        <row r="1872">
          <cell r="K1872" t="str">
            <v>수협</v>
          </cell>
          <cell r="N1872">
            <v>89</v>
          </cell>
          <cell r="P1872">
            <v>0</v>
          </cell>
        </row>
        <row r="1873">
          <cell r="K1873" t="str">
            <v>수협</v>
          </cell>
          <cell r="N1873">
            <v>34</v>
          </cell>
          <cell r="P1873">
            <v>41300</v>
          </cell>
        </row>
        <row r="1874">
          <cell r="K1874" t="str">
            <v>수협</v>
          </cell>
          <cell r="N1874">
            <v>86</v>
          </cell>
          <cell r="P1874">
            <v>0</v>
          </cell>
        </row>
        <row r="1875">
          <cell r="K1875" t="str">
            <v>수협</v>
          </cell>
          <cell r="N1875">
            <v>16</v>
          </cell>
          <cell r="P1875">
            <v>5358.6335419999996</v>
          </cell>
        </row>
        <row r="1876">
          <cell r="K1876" t="str">
            <v>수협</v>
          </cell>
          <cell r="N1876">
            <v>52</v>
          </cell>
          <cell r="P1876">
            <v>45000</v>
          </cell>
        </row>
        <row r="1877">
          <cell r="K1877" t="str">
            <v>수협</v>
          </cell>
          <cell r="N1877">
            <v>51</v>
          </cell>
          <cell r="P1877">
            <v>48246</v>
          </cell>
        </row>
        <row r="1878">
          <cell r="K1878" t="str">
            <v>수협</v>
          </cell>
          <cell r="N1878">
            <v>58</v>
          </cell>
          <cell r="P1878">
            <v>17400</v>
          </cell>
        </row>
        <row r="1879">
          <cell r="K1879" t="str">
            <v>수협</v>
          </cell>
          <cell r="N1879">
            <v>35</v>
          </cell>
          <cell r="P1879">
            <v>50000</v>
          </cell>
        </row>
        <row r="1880">
          <cell r="K1880" t="str">
            <v>산업</v>
          </cell>
          <cell r="N1880">
            <v>9</v>
          </cell>
          <cell r="P1880">
            <v>22110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외형(하)"/>
      <sheetName val="수익(하)"/>
      <sheetName val="이수관_07하"/>
      <sheetName val="수출입외형_속보"/>
      <sheetName val="수출입수익_속보"/>
      <sheetName val="외형(연)"/>
      <sheetName val="수익(연)"/>
      <sheetName val="특수요인등록"/>
      <sheetName val="통폐합"/>
      <sheetName val="이수관data변경"/>
      <sheetName val="11월점별"/>
      <sheetName val="11월고객별"/>
      <sheetName val="총괄속보(07상)"/>
      <sheetName val="이수관_07상"/>
      <sheetName val="R data - PF대출(건별)"/>
      <sheetName val="대환취급"/>
      <sheetName val="수익증권평가"/>
      <sheetName val="조달운용"/>
      <sheetName val="주식평가"/>
      <sheetName val="채권상각"/>
    </sheetNames>
    <sheetDataSet>
      <sheetData sheetId="0"/>
      <sheetData sheetId="1" refreshError="1"/>
      <sheetData sheetId="2"/>
      <sheetData sheetId="3">
        <row r="4">
          <cell r="D4">
            <v>5204</v>
          </cell>
          <cell r="E4" t="str">
            <v xml:space="preserve">기업영업부          </v>
          </cell>
          <cell r="F4">
            <v>8</v>
          </cell>
          <cell r="G4">
            <v>471</v>
          </cell>
          <cell r="H4">
            <v>0</v>
          </cell>
          <cell r="I4">
            <v>1</v>
          </cell>
          <cell r="J4">
            <v>0</v>
          </cell>
          <cell r="K4">
            <v>425</v>
          </cell>
          <cell r="L4">
            <v>511</v>
          </cell>
          <cell r="M4">
            <v>40</v>
          </cell>
          <cell r="N4">
            <v>90</v>
          </cell>
          <cell r="O4">
            <v>8.6</v>
          </cell>
          <cell r="P4">
            <v>57</v>
          </cell>
          <cell r="Q4">
            <v>147</v>
          </cell>
        </row>
        <row r="5">
          <cell r="D5">
            <v>5412</v>
          </cell>
          <cell r="E5" t="str">
            <v xml:space="preserve">시화MC              </v>
          </cell>
          <cell r="F5">
            <v>10</v>
          </cell>
          <cell r="G5">
            <v>138</v>
          </cell>
          <cell r="H5">
            <v>0</v>
          </cell>
          <cell r="I5">
            <v>1</v>
          </cell>
          <cell r="J5">
            <v>0</v>
          </cell>
          <cell r="K5">
            <v>125</v>
          </cell>
          <cell r="L5">
            <v>150</v>
          </cell>
          <cell r="M5">
            <v>12</v>
          </cell>
          <cell r="N5">
            <v>82</v>
          </cell>
          <cell r="O5">
            <v>9.0500000000000007</v>
          </cell>
          <cell r="P5">
            <v>57</v>
          </cell>
          <cell r="Q5">
            <v>139</v>
          </cell>
        </row>
        <row r="6">
          <cell r="D6">
            <v>5237</v>
          </cell>
          <cell r="E6" t="str">
            <v xml:space="preserve">여의도JYMC          </v>
          </cell>
          <cell r="F6">
            <v>1</v>
          </cell>
          <cell r="G6">
            <v>150</v>
          </cell>
          <cell r="H6">
            <v>0</v>
          </cell>
          <cell r="I6">
            <v>11</v>
          </cell>
          <cell r="J6">
            <v>0</v>
          </cell>
          <cell r="K6">
            <v>222</v>
          </cell>
          <cell r="L6">
            <v>280</v>
          </cell>
          <cell r="M6">
            <v>130</v>
          </cell>
          <cell r="N6">
            <v>115</v>
          </cell>
          <cell r="O6">
            <v>87.14</v>
          </cell>
          <cell r="P6">
            <v>90</v>
          </cell>
          <cell r="Q6">
            <v>205</v>
          </cell>
        </row>
        <row r="7">
          <cell r="D7">
            <v>5410</v>
          </cell>
          <cell r="E7" t="str">
            <v xml:space="preserve">남동공단MC          </v>
          </cell>
          <cell r="F7">
            <v>4</v>
          </cell>
          <cell r="G7">
            <v>151</v>
          </cell>
          <cell r="H7">
            <v>1</v>
          </cell>
          <cell r="I7">
            <v>1</v>
          </cell>
          <cell r="J7">
            <v>0</v>
          </cell>
          <cell r="K7">
            <v>169</v>
          </cell>
          <cell r="L7">
            <v>204</v>
          </cell>
          <cell r="M7">
            <v>54</v>
          </cell>
          <cell r="N7">
            <v>93</v>
          </cell>
          <cell r="O7">
            <v>35.47</v>
          </cell>
          <cell r="P7">
            <v>69</v>
          </cell>
          <cell r="Q7">
            <v>162</v>
          </cell>
        </row>
        <row r="8">
          <cell r="D8">
            <v>5259</v>
          </cell>
          <cell r="E8" t="str">
            <v xml:space="preserve">광교기업영업부      </v>
          </cell>
          <cell r="F8">
            <v>5</v>
          </cell>
          <cell r="G8">
            <v>207</v>
          </cell>
          <cell r="H8">
            <v>-2</v>
          </cell>
          <cell r="I8">
            <v>0</v>
          </cell>
          <cell r="J8">
            <v>0</v>
          </cell>
          <cell r="K8">
            <v>219</v>
          </cell>
          <cell r="L8">
            <v>261</v>
          </cell>
          <cell r="M8">
            <v>54</v>
          </cell>
          <cell r="N8">
            <v>94</v>
          </cell>
          <cell r="O8">
            <v>26.2</v>
          </cell>
          <cell r="P8">
            <v>65</v>
          </cell>
          <cell r="Q8">
            <v>158</v>
          </cell>
        </row>
        <row r="9">
          <cell r="D9">
            <v>5222</v>
          </cell>
          <cell r="E9" t="str">
            <v xml:space="preserve">역삼동MC            </v>
          </cell>
          <cell r="F9">
            <v>3</v>
          </cell>
          <cell r="G9">
            <v>380</v>
          </cell>
          <cell r="H9">
            <v>1</v>
          </cell>
          <cell r="I9">
            <v>1</v>
          </cell>
          <cell r="J9">
            <v>0</v>
          </cell>
          <cell r="K9">
            <v>390</v>
          </cell>
          <cell r="L9">
            <v>469</v>
          </cell>
          <cell r="M9">
            <v>89</v>
          </cell>
          <cell r="N9">
            <v>103</v>
          </cell>
          <cell r="O9">
            <v>23.37</v>
          </cell>
          <cell r="P9">
            <v>64</v>
          </cell>
          <cell r="Q9">
            <v>167</v>
          </cell>
        </row>
        <row r="10">
          <cell r="D10">
            <v>5236</v>
          </cell>
          <cell r="E10" t="str">
            <v xml:space="preserve">강남JYMC            </v>
          </cell>
          <cell r="F10">
            <v>7</v>
          </cell>
          <cell r="G10">
            <v>172</v>
          </cell>
          <cell r="H10">
            <v>2</v>
          </cell>
          <cell r="I10">
            <v>1</v>
          </cell>
          <cell r="J10">
            <v>0</v>
          </cell>
          <cell r="K10">
            <v>168</v>
          </cell>
          <cell r="L10">
            <v>205</v>
          </cell>
          <cell r="M10">
            <v>33</v>
          </cell>
          <cell r="N10">
            <v>88</v>
          </cell>
          <cell r="O10">
            <v>19.18</v>
          </cell>
          <cell r="P10">
            <v>62</v>
          </cell>
          <cell r="Q10">
            <v>149</v>
          </cell>
        </row>
        <row r="11">
          <cell r="D11">
            <v>5405</v>
          </cell>
          <cell r="E11" t="str">
            <v xml:space="preserve">평촌MC              </v>
          </cell>
          <cell r="F11">
            <v>6</v>
          </cell>
          <cell r="G11">
            <v>195</v>
          </cell>
          <cell r="H11">
            <v>0</v>
          </cell>
          <cell r="I11">
            <v>1</v>
          </cell>
          <cell r="J11">
            <v>0</v>
          </cell>
          <cell r="K11">
            <v>204</v>
          </cell>
          <cell r="L11">
            <v>246</v>
          </cell>
          <cell r="M11">
            <v>51</v>
          </cell>
          <cell r="N11">
            <v>93</v>
          </cell>
          <cell r="O11">
            <v>26.4</v>
          </cell>
          <cell r="P11">
            <v>65</v>
          </cell>
          <cell r="Q11">
            <v>158</v>
          </cell>
        </row>
        <row r="12">
          <cell r="D12">
            <v>5235</v>
          </cell>
          <cell r="E12" t="str">
            <v xml:space="preserve">양재동MC            </v>
          </cell>
          <cell r="F12">
            <v>9</v>
          </cell>
          <cell r="G12">
            <v>344</v>
          </cell>
          <cell r="H12">
            <v>-1</v>
          </cell>
          <cell r="I12">
            <v>1</v>
          </cell>
          <cell r="J12">
            <v>0</v>
          </cell>
          <cell r="K12">
            <v>305</v>
          </cell>
          <cell r="L12">
            <v>366</v>
          </cell>
          <cell r="M12">
            <v>22</v>
          </cell>
          <cell r="N12">
            <v>85</v>
          </cell>
          <cell r="O12">
            <v>6.54</v>
          </cell>
          <cell r="P12">
            <v>56</v>
          </cell>
          <cell r="Q12">
            <v>141</v>
          </cell>
        </row>
        <row r="13">
          <cell r="D13">
            <v>5217</v>
          </cell>
          <cell r="E13" t="str">
            <v xml:space="preserve">종로MC              </v>
          </cell>
          <cell r="F13">
            <v>11</v>
          </cell>
          <cell r="G13">
            <v>230</v>
          </cell>
          <cell r="H13">
            <v>0</v>
          </cell>
          <cell r="I13">
            <v>2</v>
          </cell>
          <cell r="J13">
            <v>0</v>
          </cell>
          <cell r="K13">
            <v>148</v>
          </cell>
          <cell r="L13">
            <v>180</v>
          </cell>
          <cell r="M13">
            <v>-50</v>
          </cell>
          <cell r="N13">
            <v>65</v>
          </cell>
          <cell r="O13">
            <v>-21.79</v>
          </cell>
          <cell r="P13">
            <v>44</v>
          </cell>
          <cell r="Q13">
            <v>109</v>
          </cell>
        </row>
        <row r="14">
          <cell r="D14">
            <v>5276</v>
          </cell>
          <cell r="E14" t="str">
            <v xml:space="preserve">남산MC              </v>
          </cell>
          <cell r="F14">
            <v>2</v>
          </cell>
          <cell r="G14">
            <v>446</v>
          </cell>
          <cell r="H14">
            <v>0</v>
          </cell>
          <cell r="I14">
            <v>0</v>
          </cell>
          <cell r="J14">
            <v>0</v>
          </cell>
          <cell r="K14">
            <v>508</v>
          </cell>
          <cell r="L14">
            <v>610</v>
          </cell>
          <cell r="M14">
            <v>164</v>
          </cell>
          <cell r="N14">
            <v>124</v>
          </cell>
          <cell r="O14">
            <v>36.78</v>
          </cell>
          <cell r="P14">
            <v>69</v>
          </cell>
          <cell r="Q14">
            <v>193</v>
          </cell>
        </row>
        <row r="15">
          <cell r="D15">
            <v>5218</v>
          </cell>
          <cell r="E15" t="str">
            <v xml:space="preserve">학동MC              </v>
          </cell>
          <cell r="F15">
            <v>12</v>
          </cell>
          <cell r="G15">
            <v>388</v>
          </cell>
          <cell r="H15">
            <v>1</v>
          </cell>
          <cell r="I15">
            <v>0</v>
          </cell>
          <cell r="J15">
            <v>0</v>
          </cell>
          <cell r="K15">
            <v>236</v>
          </cell>
          <cell r="L15">
            <v>284</v>
          </cell>
          <cell r="M15">
            <v>-103</v>
          </cell>
          <cell r="N15">
            <v>50</v>
          </cell>
          <cell r="O15">
            <v>-26.65</v>
          </cell>
          <cell r="P15">
            <v>42</v>
          </cell>
          <cell r="Q15">
            <v>92</v>
          </cell>
        </row>
        <row r="16">
          <cell r="D16">
            <v>9998</v>
          </cell>
          <cell r="E16" t="str">
            <v xml:space="preserve">M01군2소계          </v>
          </cell>
          <cell r="F16">
            <v>0</v>
          </cell>
          <cell r="G16">
            <v>3271</v>
          </cell>
          <cell r="H16">
            <v>1</v>
          </cell>
          <cell r="I16">
            <v>20</v>
          </cell>
          <cell r="J16">
            <v>0</v>
          </cell>
          <cell r="K16">
            <v>3119</v>
          </cell>
          <cell r="L16">
            <v>3768</v>
          </cell>
          <cell r="M16">
            <v>497</v>
          </cell>
          <cell r="N16">
            <v>0</v>
          </cell>
          <cell r="O16">
            <v>15.2</v>
          </cell>
          <cell r="P16">
            <v>0</v>
          </cell>
          <cell r="Q16">
            <v>0</v>
          </cell>
        </row>
        <row r="17">
          <cell r="D17">
            <v>9999</v>
          </cell>
          <cell r="E17" t="str">
            <v xml:space="preserve">M01군1소계          </v>
          </cell>
          <cell r="F17">
            <v>0</v>
          </cell>
          <cell r="G17">
            <v>3271</v>
          </cell>
          <cell r="H17">
            <v>1</v>
          </cell>
          <cell r="I17">
            <v>20</v>
          </cell>
          <cell r="J17">
            <v>0</v>
          </cell>
          <cell r="K17">
            <v>3119</v>
          </cell>
          <cell r="L17">
            <v>3768</v>
          </cell>
          <cell r="M17">
            <v>497</v>
          </cell>
          <cell r="N17">
            <v>0</v>
          </cell>
          <cell r="O17">
            <v>15.2</v>
          </cell>
          <cell r="P17">
            <v>0</v>
          </cell>
          <cell r="Q17">
            <v>0</v>
          </cell>
        </row>
        <row r="18">
          <cell r="D18">
            <v>5208</v>
          </cell>
          <cell r="E18" t="str">
            <v xml:space="preserve">성수동MC            </v>
          </cell>
          <cell r="F18">
            <v>5</v>
          </cell>
          <cell r="G18">
            <v>191</v>
          </cell>
          <cell r="H18">
            <v>1</v>
          </cell>
          <cell r="I18">
            <v>0</v>
          </cell>
          <cell r="J18">
            <v>0</v>
          </cell>
          <cell r="K18">
            <v>180</v>
          </cell>
          <cell r="L18">
            <v>217</v>
          </cell>
          <cell r="M18">
            <v>26</v>
          </cell>
          <cell r="N18">
            <v>91</v>
          </cell>
          <cell r="O18">
            <v>13.73</v>
          </cell>
          <cell r="P18">
            <v>62</v>
          </cell>
          <cell r="Q18">
            <v>153</v>
          </cell>
        </row>
        <row r="19">
          <cell r="D19">
            <v>5440</v>
          </cell>
          <cell r="E19" t="str">
            <v xml:space="preserve">시화JYMC            </v>
          </cell>
          <cell r="F19">
            <v>10</v>
          </cell>
          <cell r="G19">
            <v>39</v>
          </cell>
          <cell r="H19">
            <v>0</v>
          </cell>
          <cell r="I19">
            <v>1</v>
          </cell>
          <cell r="J19">
            <v>0</v>
          </cell>
          <cell r="K19">
            <v>34</v>
          </cell>
          <cell r="L19">
            <v>42</v>
          </cell>
          <cell r="M19">
            <v>3</v>
          </cell>
          <cell r="N19">
            <v>77</v>
          </cell>
          <cell r="O19">
            <v>8.09</v>
          </cell>
          <cell r="P19">
            <v>55</v>
          </cell>
          <cell r="Q19">
            <v>133</v>
          </cell>
        </row>
        <row r="20">
          <cell r="D20">
            <v>5227</v>
          </cell>
          <cell r="E20" t="str">
            <v xml:space="preserve">서여의도MC          </v>
          </cell>
          <cell r="F20">
            <v>3</v>
          </cell>
          <cell r="G20">
            <v>101</v>
          </cell>
          <cell r="H20">
            <v>0</v>
          </cell>
          <cell r="I20">
            <v>5</v>
          </cell>
          <cell r="J20">
            <v>0</v>
          </cell>
          <cell r="K20">
            <v>107</v>
          </cell>
          <cell r="L20">
            <v>134</v>
          </cell>
          <cell r="M20">
            <v>34</v>
          </cell>
          <cell r="N20">
            <v>96</v>
          </cell>
          <cell r="O20">
            <v>33.270000000000003</v>
          </cell>
          <cell r="P20">
            <v>85</v>
          </cell>
          <cell r="Q20">
            <v>181</v>
          </cell>
        </row>
        <row r="21">
          <cell r="D21">
            <v>5240</v>
          </cell>
          <cell r="E21" t="str">
            <v xml:space="preserve">무교MC              </v>
          </cell>
          <cell r="F21">
            <v>12</v>
          </cell>
          <cell r="G21">
            <v>250</v>
          </cell>
          <cell r="H21">
            <v>-5</v>
          </cell>
          <cell r="I21">
            <v>0</v>
          </cell>
          <cell r="J21">
            <v>0</v>
          </cell>
          <cell r="K21">
            <v>191</v>
          </cell>
          <cell r="L21">
            <v>223</v>
          </cell>
          <cell r="M21">
            <v>-27</v>
          </cell>
          <cell r="N21">
            <v>60</v>
          </cell>
          <cell r="O21">
            <v>-10.79</v>
          </cell>
          <cell r="P21">
            <v>33</v>
          </cell>
          <cell r="Q21">
            <v>92</v>
          </cell>
        </row>
        <row r="22">
          <cell r="D22">
            <v>5228</v>
          </cell>
          <cell r="E22" t="str">
            <v xml:space="preserve">무역센터MC          </v>
          </cell>
          <cell r="F22">
            <v>4</v>
          </cell>
          <cell r="G22">
            <v>294</v>
          </cell>
          <cell r="H22">
            <v>0</v>
          </cell>
          <cell r="I22">
            <v>0</v>
          </cell>
          <cell r="J22">
            <v>0</v>
          </cell>
          <cell r="K22">
            <v>279</v>
          </cell>
          <cell r="L22">
            <v>335</v>
          </cell>
          <cell r="M22">
            <v>41</v>
          </cell>
          <cell r="N22">
            <v>100</v>
          </cell>
          <cell r="O22">
            <v>13.8</v>
          </cell>
          <cell r="P22">
            <v>62</v>
          </cell>
          <cell r="Q22">
            <v>162</v>
          </cell>
        </row>
        <row r="23">
          <cell r="D23">
            <v>5234</v>
          </cell>
          <cell r="E23" t="str">
            <v xml:space="preserve">선릉JYMC            </v>
          </cell>
          <cell r="F23">
            <v>2</v>
          </cell>
          <cell r="G23">
            <v>333</v>
          </cell>
          <cell r="H23">
            <v>0</v>
          </cell>
          <cell r="I23">
            <v>1</v>
          </cell>
          <cell r="J23">
            <v>0</v>
          </cell>
          <cell r="K23">
            <v>337</v>
          </cell>
          <cell r="L23">
            <v>405</v>
          </cell>
          <cell r="M23">
            <v>72</v>
          </cell>
          <cell r="N23">
            <v>118</v>
          </cell>
          <cell r="O23">
            <v>21.52</v>
          </cell>
          <cell r="P23">
            <v>71</v>
          </cell>
          <cell r="Q23">
            <v>190</v>
          </cell>
        </row>
        <row r="24">
          <cell r="D24">
            <v>5210</v>
          </cell>
          <cell r="E24" t="str">
            <v xml:space="preserve">논현동MC            </v>
          </cell>
          <cell r="F24">
            <v>1</v>
          </cell>
          <cell r="G24">
            <v>435</v>
          </cell>
          <cell r="H24">
            <v>0</v>
          </cell>
          <cell r="I24">
            <v>2</v>
          </cell>
          <cell r="J24">
            <v>0</v>
          </cell>
          <cell r="K24">
            <v>428</v>
          </cell>
          <cell r="L24">
            <v>515</v>
          </cell>
          <cell r="M24">
            <v>80</v>
          </cell>
          <cell r="N24">
            <v>123</v>
          </cell>
          <cell r="O24">
            <v>18.46</v>
          </cell>
          <cell r="P24">
            <v>68</v>
          </cell>
          <cell r="Q24">
            <v>191</v>
          </cell>
        </row>
        <row r="25">
          <cell r="D25">
            <v>5229</v>
          </cell>
          <cell r="E25" t="str">
            <v xml:space="preserve">마포JYMC            </v>
          </cell>
          <cell r="F25">
            <v>6</v>
          </cell>
          <cell r="G25">
            <v>241</v>
          </cell>
          <cell r="H25">
            <v>0</v>
          </cell>
          <cell r="I25">
            <v>0</v>
          </cell>
          <cell r="J25">
            <v>0</v>
          </cell>
          <cell r="K25">
            <v>224</v>
          </cell>
          <cell r="L25">
            <v>270</v>
          </cell>
          <cell r="M25">
            <v>29</v>
          </cell>
          <cell r="N25">
            <v>93</v>
          </cell>
          <cell r="O25">
            <v>11.97</v>
          </cell>
          <cell r="P25">
            <v>60</v>
          </cell>
          <cell r="Q25">
            <v>153</v>
          </cell>
        </row>
        <row r="26">
          <cell r="D26">
            <v>5251</v>
          </cell>
          <cell r="E26" t="str">
            <v xml:space="preserve">동여의도MC          </v>
          </cell>
          <cell r="F26">
            <v>8</v>
          </cell>
          <cell r="G26">
            <v>100</v>
          </cell>
          <cell r="H26">
            <v>0</v>
          </cell>
          <cell r="I26">
            <v>0</v>
          </cell>
          <cell r="J26">
            <v>0</v>
          </cell>
          <cell r="K26">
            <v>88</v>
          </cell>
          <cell r="L26">
            <v>107</v>
          </cell>
          <cell r="M26">
            <v>7</v>
          </cell>
          <cell r="N26">
            <v>80</v>
          </cell>
          <cell r="O26">
            <v>6.98</v>
          </cell>
          <cell r="P26">
            <v>54</v>
          </cell>
          <cell r="Q26">
            <v>134</v>
          </cell>
        </row>
        <row r="27">
          <cell r="D27">
            <v>5407</v>
          </cell>
          <cell r="E27" t="str">
            <v xml:space="preserve">안산SbirdMC         </v>
          </cell>
          <cell r="F27">
            <v>7</v>
          </cell>
          <cell r="G27">
            <v>179</v>
          </cell>
          <cell r="H27">
            <v>1</v>
          </cell>
          <cell r="I27">
            <v>1</v>
          </cell>
          <cell r="J27">
            <v>0</v>
          </cell>
          <cell r="K27">
            <v>158</v>
          </cell>
          <cell r="L27">
            <v>191</v>
          </cell>
          <cell r="M27">
            <v>12</v>
          </cell>
          <cell r="N27">
            <v>83</v>
          </cell>
          <cell r="O27">
            <v>6.57</v>
          </cell>
          <cell r="P27">
            <v>54</v>
          </cell>
          <cell r="Q27">
            <v>136</v>
          </cell>
        </row>
        <row r="28">
          <cell r="D28">
            <v>5201</v>
          </cell>
          <cell r="E28" t="str">
            <v xml:space="preserve">삼성YMC             </v>
          </cell>
          <cell r="F28">
            <v>9</v>
          </cell>
          <cell r="G28">
            <v>195</v>
          </cell>
          <cell r="H28">
            <v>0</v>
          </cell>
          <cell r="I28">
            <v>6</v>
          </cell>
          <cell r="J28">
            <v>0</v>
          </cell>
          <cell r="K28">
            <v>165</v>
          </cell>
          <cell r="L28">
            <v>205</v>
          </cell>
          <cell r="M28">
            <v>10</v>
          </cell>
          <cell r="N28">
            <v>82</v>
          </cell>
          <cell r="O28">
            <v>5.15</v>
          </cell>
          <cell r="P28">
            <v>52</v>
          </cell>
          <cell r="Q28">
            <v>133</v>
          </cell>
        </row>
        <row r="29">
          <cell r="D29">
            <v>5604</v>
          </cell>
          <cell r="E29" t="str">
            <v xml:space="preserve">창원MC              </v>
          </cell>
          <cell r="F29">
            <v>11</v>
          </cell>
          <cell r="G29">
            <v>63</v>
          </cell>
          <cell r="H29">
            <v>-2</v>
          </cell>
          <cell r="I29">
            <v>0</v>
          </cell>
          <cell r="J29">
            <v>0</v>
          </cell>
          <cell r="K29">
            <v>57</v>
          </cell>
          <cell r="L29">
            <v>67</v>
          </cell>
          <cell r="M29">
            <v>4</v>
          </cell>
          <cell r="N29">
            <v>78</v>
          </cell>
          <cell r="O29">
            <v>6.2</v>
          </cell>
          <cell r="P29">
            <v>53</v>
          </cell>
          <cell r="Q29">
            <v>131</v>
          </cell>
        </row>
        <row r="30">
          <cell r="D30">
            <v>9998</v>
          </cell>
          <cell r="E30" t="str">
            <v xml:space="preserve">M02군2소계          </v>
          </cell>
          <cell r="F30">
            <v>0</v>
          </cell>
          <cell r="G30">
            <v>2421</v>
          </cell>
          <cell r="H30">
            <v>-5</v>
          </cell>
          <cell r="I30">
            <v>16</v>
          </cell>
          <cell r="J30">
            <v>0</v>
          </cell>
          <cell r="K30">
            <v>2248</v>
          </cell>
          <cell r="L30">
            <v>2711</v>
          </cell>
          <cell r="M30">
            <v>290</v>
          </cell>
          <cell r="N30">
            <v>0</v>
          </cell>
          <cell r="O30">
            <v>11.98</v>
          </cell>
          <cell r="P30">
            <v>0</v>
          </cell>
          <cell r="Q30">
            <v>0</v>
          </cell>
        </row>
        <row r="31">
          <cell r="D31">
            <v>9999</v>
          </cell>
          <cell r="E31" t="str">
            <v xml:space="preserve">M02군1소계          </v>
          </cell>
          <cell r="F31">
            <v>0</v>
          </cell>
          <cell r="G31">
            <v>2421</v>
          </cell>
          <cell r="H31">
            <v>-5</v>
          </cell>
          <cell r="I31">
            <v>16</v>
          </cell>
          <cell r="J31">
            <v>0</v>
          </cell>
          <cell r="K31">
            <v>2248</v>
          </cell>
          <cell r="L31">
            <v>2711</v>
          </cell>
          <cell r="M31">
            <v>290</v>
          </cell>
          <cell r="N31">
            <v>0</v>
          </cell>
          <cell r="O31">
            <v>11.98</v>
          </cell>
          <cell r="P31">
            <v>0</v>
          </cell>
          <cell r="Q31">
            <v>0</v>
          </cell>
        </row>
        <row r="32">
          <cell r="D32">
            <v>5216</v>
          </cell>
          <cell r="E32" t="str">
            <v xml:space="preserve">광화문JYMC          </v>
          </cell>
          <cell r="F32">
            <v>2</v>
          </cell>
          <cell r="G32">
            <v>176</v>
          </cell>
          <cell r="H32">
            <v>9</v>
          </cell>
          <cell r="I32">
            <v>14</v>
          </cell>
          <cell r="J32">
            <v>0</v>
          </cell>
          <cell r="K32">
            <v>167</v>
          </cell>
          <cell r="L32">
            <v>228</v>
          </cell>
          <cell r="M32">
            <v>51</v>
          </cell>
          <cell r="N32">
            <v>131</v>
          </cell>
          <cell r="O32">
            <v>29.16</v>
          </cell>
          <cell r="P32">
            <v>75</v>
          </cell>
          <cell r="Q32">
            <v>206</v>
          </cell>
        </row>
        <row r="33">
          <cell r="D33">
            <v>5213</v>
          </cell>
          <cell r="E33" t="str">
            <v xml:space="preserve">충무로극동 MC       </v>
          </cell>
          <cell r="F33">
            <v>4</v>
          </cell>
          <cell r="G33">
            <v>129</v>
          </cell>
          <cell r="H33">
            <v>-81</v>
          </cell>
          <cell r="I33">
            <v>1</v>
          </cell>
          <cell r="J33">
            <v>0</v>
          </cell>
          <cell r="K33">
            <v>208</v>
          </cell>
          <cell r="L33">
            <v>153</v>
          </cell>
          <cell r="M33">
            <v>24</v>
          </cell>
          <cell r="N33">
            <v>98</v>
          </cell>
          <cell r="O33">
            <v>18.670000000000002</v>
          </cell>
          <cell r="P33">
            <v>67</v>
          </cell>
          <cell r="Q33">
            <v>165</v>
          </cell>
        </row>
        <row r="34">
          <cell r="D34">
            <v>5215</v>
          </cell>
          <cell r="E34" t="str">
            <v xml:space="preserve">디지털센터MC        </v>
          </cell>
          <cell r="F34">
            <v>1</v>
          </cell>
          <cell r="G34">
            <v>320</v>
          </cell>
          <cell r="H34">
            <v>0</v>
          </cell>
          <cell r="I34">
            <v>0</v>
          </cell>
          <cell r="J34">
            <v>0</v>
          </cell>
          <cell r="K34">
            <v>342</v>
          </cell>
          <cell r="L34">
            <v>410</v>
          </cell>
          <cell r="M34">
            <v>90</v>
          </cell>
          <cell r="N34">
            <v>135</v>
          </cell>
          <cell r="O34">
            <v>28.18</v>
          </cell>
          <cell r="P34">
            <v>75</v>
          </cell>
          <cell r="Q34">
            <v>210</v>
          </cell>
        </row>
        <row r="35">
          <cell r="D35">
            <v>5221</v>
          </cell>
          <cell r="E35" t="str">
            <v xml:space="preserve">서교동MC            </v>
          </cell>
          <cell r="F35">
            <v>11</v>
          </cell>
          <cell r="G35">
            <v>259</v>
          </cell>
          <cell r="H35">
            <v>1</v>
          </cell>
          <cell r="I35">
            <v>1</v>
          </cell>
          <cell r="J35">
            <v>0</v>
          </cell>
          <cell r="K35">
            <v>217</v>
          </cell>
          <cell r="L35">
            <v>263</v>
          </cell>
          <cell r="M35">
            <v>4</v>
          </cell>
          <cell r="N35">
            <v>74</v>
          </cell>
          <cell r="O35">
            <v>1.47</v>
          </cell>
          <cell r="P35">
            <v>52</v>
          </cell>
          <cell r="Q35">
            <v>127</v>
          </cell>
        </row>
        <row r="36">
          <cell r="D36">
            <v>5223</v>
          </cell>
          <cell r="E36" t="str">
            <v xml:space="preserve">영동MC              </v>
          </cell>
          <cell r="F36">
            <v>6</v>
          </cell>
          <cell r="G36">
            <v>120</v>
          </cell>
          <cell r="H36">
            <v>-5</v>
          </cell>
          <cell r="I36">
            <v>0</v>
          </cell>
          <cell r="J36">
            <v>0</v>
          </cell>
          <cell r="K36">
            <v>119</v>
          </cell>
          <cell r="L36">
            <v>137</v>
          </cell>
          <cell r="M36">
            <v>16</v>
          </cell>
          <cell r="N36">
            <v>89</v>
          </cell>
          <cell r="O36">
            <v>13.43</v>
          </cell>
          <cell r="P36">
            <v>62</v>
          </cell>
          <cell r="Q36">
            <v>151</v>
          </cell>
        </row>
        <row r="37">
          <cell r="D37">
            <v>5232</v>
          </cell>
          <cell r="E37" t="str">
            <v xml:space="preserve">강서MC              </v>
          </cell>
          <cell r="F37">
            <v>12</v>
          </cell>
          <cell r="G37">
            <v>122</v>
          </cell>
          <cell r="H37">
            <v>-20</v>
          </cell>
          <cell r="I37">
            <v>0</v>
          </cell>
          <cell r="J37">
            <v>0</v>
          </cell>
          <cell r="K37">
            <v>109</v>
          </cell>
          <cell r="L37">
            <v>107</v>
          </cell>
          <cell r="M37">
            <v>-15</v>
          </cell>
          <cell r="N37">
            <v>53</v>
          </cell>
          <cell r="O37">
            <v>-11.96</v>
          </cell>
          <cell r="P37">
            <v>41</v>
          </cell>
          <cell r="Q37">
            <v>94</v>
          </cell>
        </row>
        <row r="38">
          <cell r="D38">
            <v>5409</v>
          </cell>
          <cell r="E38" t="str">
            <v xml:space="preserve">성남공단MC          </v>
          </cell>
          <cell r="F38">
            <v>3</v>
          </cell>
          <cell r="G38">
            <v>144</v>
          </cell>
          <cell r="H38">
            <v>0</v>
          </cell>
          <cell r="I38">
            <v>2</v>
          </cell>
          <cell r="J38">
            <v>0</v>
          </cell>
          <cell r="K38">
            <v>142</v>
          </cell>
          <cell r="L38">
            <v>173</v>
          </cell>
          <cell r="M38">
            <v>29</v>
          </cell>
          <cell r="N38">
            <v>104</v>
          </cell>
          <cell r="O38">
            <v>20.29</v>
          </cell>
          <cell r="P38">
            <v>68</v>
          </cell>
          <cell r="Q38">
            <v>172</v>
          </cell>
        </row>
        <row r="39">
          <cell r="D39">
            <v>5207</v>
          </cell>
          <cell r="E39" t="str">
            <v xml:space="preserve">여의도MC            </v>
          </cell>
          <cell r="F39">
            <v>10</v>
          </cell>
          <cell r="G39">
            <v>157</v>
          </cell>
          <cell r="H39">
            <v>0</v>
          </cell>
          <cell r="I39">
            <v>1</v>
          </cell>
          <cell r="J39">
            <v>0</v>
          </cell>
          <cell r="K39">
            <v>139</v>
          </cell>
          <cell r="L39">
            <v>167</v>
          </cell>
          <cell r="M39">
            <v>11</v>
          </cell>
          <cell r="N39">
            <v>82</v>
          </cell>
          <cell r="O39">
            <v>6.74</v>
          </cell>
          <cell r="P39">
            <v>57</v>
          </cell>
          <cell r="Q39">
            <v>139</v>
          </cell>
        </row>
        <row r="40">
          <cell r="D40">
            <v>5602</v>
          </cell>
          <cell r="E40" t="str">
            <v xml:space="preserve">울산MC              </v>
          </cell>
          <cell r="F40">
            <v>7</v>
          </cell>
          <cell r="G40">
            <v>24</v>
          </cell>
          <cell r="H40">
            <v>0</v>
          </cell>
          <cell r="I40">
            <v>0</v>
          </cell>
          <cell r="J40">
            <v>0</v>
          </cell>
          <cell r="K40">
            <v>24</v>
          </cell>
          <cell r="L40">
            <v>29</v>
          </cell>
          <cell r="M40">
            <v>6</v>
          </cell>
          <cell r="N40">
            <v>77</v>
          </cell>
          <cell r="O40">
            <v>25.13</v>
          </cell>
          <cell r="P40">
            <v>72</v>
          </cell>
          <cell r="Q40">
            <v>149</v>
          </cell>
        </row>
        <row r="41">
          <cell r="D41">
            <v>5212</v>
          </cell>
          <cell r="E41" t="str">
            <v xml:space="preserve">방배JYMC            </v>
          </cell>
          <cell r="F41">
            <v>5</v>
          </cell>
          <cell r="G41">
            <v>103</v>
          </cell>
          <cell r="H41">
            <v>0</v>
          </cell>
          <cell r="I41">
            <v>0</v>
          </cell>
          <cell r="J41">
            <v>0</v>
          </cell>
          <cell r="K41">
            <v>103</v>
          </cell>
          <cell r="L41">
            <v>123</v>
          </cell>
          <cell r="M41">
            <v>20</v>
          </cell>
          <cell r="N41">
            <v>94</v>
          </cell>
          <cell r="O41">
            <v>19.59</v>
          </cell>
          <cell r="P41">
            <v>67</v>
          </cell>
          <cell r="Q41">
            <v>161</v>
          </cell>
        </row>
        <row r="42">
          <cell r="D42">
            <v>5608</v>
          </cell>
          <cell r="E42" t="str">
            <v xml:space="preserve">신평MC              </v>
          </cell>
          <cell r="F42">
            <v>9</v>
          </cell>
          <cell r="G42">
            <v>510</v>
          </cell>
          <cell r="H42">
            <v>0</v>
          </cell>
          <cell r="I42">
            <v>1</v>
          </cell>
          <cell r="J42">
            <v>0</v>
          </cell>
          <cell r="K42">
            <v>441</v>
          </cell>
          <cell r="L42">
            <v>529</v>
          </cell>
          <cell r="M42">
            <v>19</v>
          </cell>
          <cell r="N42">
            <v>93</v>
          </cell>
          <cell r="O42">
            <v>3.79</v>
          </cell>
          <cell r="P42">
            <v>54</v>
          </cell>
          <cell r="Q42">
            <v>147</v>
          </cell>
        </row>
        <row r="43">
          <cell r="D43">
            <v>5246</v>
          </cell>
          <cell r="E43" t="str">
            <v xml:space="preserve">선릉MC              </v>
          </cell>
          <cell r="F43">
            <v>8</v>
          </cell>
          <cell r="G43">
            <v>547</v>
          </cell>
          <cell r="H43">
            <v>0</v>
          </cell>
          <cell r="I43">
            <v>0</v>
          </cell>
          <cell r="J43">
            <v>0</v>
          </cell>
          <cell r="K43">
            <v>473</v>
          </cell>
          <cell r="L43">
            <v>568</v>
          </cell>
          <cell r="M43">
            <v>21</v>
          </cell>
          <cell r="N43">
            <v>94</v>
          </cell>
          <cell r="O43">
            <v>3.76</v>
          </cell>
          <cell r="P43">
            <v>54</v>
          </cell>
          <cell r="Q43">
            <v>149</v>
          </cell>
        </row>
        <row r="44">
          <cell r="D44">
            <v>9998</v>
          </cell>
          <cell r="E44" t="str">
            <v xml:space="preserve">M03군2소계          </v>
          </cell>
          <cell r="F44">
            <v>0</v>
          </cell>
          <cell r="G44">
            <v>2291</v>
          </cell>
          <cell r="H44">
            <v>-97</v>
          </cell>
          <cell r="I44">
            <v>20</v>
          </cell>
          <cell r="J44">
            <v>0</v>
          </cell>
          <cell r="K44">
            <v>2141</v>
          </cell>
          <cell r="L44">
            <v>2477</v>
          </cell>
          <cell r="M44">
            <v>187</v>
          </cell>
          <cell r="N44">
            <v>0</v>
          </cell>
          <cell r="O44">
            <v>8.15</v>
          </cell>
          <cell r="P44">
            <v>0</v>
          </cell>
          <cell r="Q44">
            <v>0</v>
          </cell>
        </row>
        <row r="45">
          <cell r="D45">
            <v>9999</v>
          </cell>
          <cell r="E45" t="str">
            <v xml:space="preserve">M03군1소계          </v>
          </cell>
          <cell r="F45">
            <v>0</v>
          </cell>
          <cell r="G45">
            <v>2611</v>
          </cell>
          <cell r="H45">
            <v>-97</v>
          </cell>
          <cell r="I45">
            <v>20</v>
          </cell>
          <cell r="J45">
            <v>0</v>
          </cell>
          <cell r="K45">
            <v>2483</v>
          </cell>
          <cell r="L45">
            <v>2888</v>
          </cell>
          <cell r="M45">
            <v>277</v>
          </cell>
          <cell r="N45">
            <v>0</v>
          </cell>
          <cell r="O45">
            <v>10.61</v>
          </cell>
          <cell r="P45">
            <v>0</v>
          </cell>
          <cell r="Q45">
            <v>0</v>
          </cell>
        </row>
        <row r="46">
          <cell r="D46">
            <v>5247</v>
          </cell>
          <cell r="E46" t="str">
            <v xml:space="preserve">코엑스MC            </v>
          </cell>
          <cell r="F46">
            <v>12</v>
          </cell>
          <cell r="G46">
            <v>159</v>
          </cell>
          <cell r="H46">
            <v>0</v>
          </cell>
          <cell r="I46">
            <v>1</v>
          </cell>
          <cell r="J46">
            <v>0</v>
          </cell>
          <cell r="K46">
            <v>83</v>
          </cell>
          <cell r="L46">
            <v>101</v>
          </cell>
          <cell r="M46">
            <v>-58</v>
          </cell>
          <cell r="N46">
            <v>45</v>
          </cell>
          <cell r="O46">
            <v>-36.54</v>
          </cell>
          <cell r="P46">
            <v>40</v>
          </cell>
          <cell r="Q46">
            <v>85</v>
          </cell>
        </row>
        <row r="47">
          <cell r="D47">
            <v>5402</v>
          </cell>
          <cell r="E47" t="str">
            <v xml:space="preserve">인천남동MC          </v>
          </cell>
          <cell r="F47">
            <v>4</v>
          </cell>
          <cell r="G47">
            <v>72</v>
          </cell>
          <cell r="H47">
            <v>0</v>
          </cell>
          <cell r="I47">
            <v>0</v>
          </cell>
          <cell r="J47">
            <v>0</v>
          </cell>
          <cell r="K47">
            <v>69</v>
          </cell>
          <cell r="L47">
            <v>84</v>
          </cell>
          <cell r="M47">
            <v>12</v>
          </cell>
          <cell r="N47">
            <v>98</v>
          </cell>
          <cell r="O47">
            <v>15.96</v>
          </cell>
          <cell r="P47">
            <v>65</v>
          </cell>
          <cell r="Q47">
            <v>163</v>
          </cell>
        </row>
        <row r="48">
          <cell r="D48">
            <v>5209</v>
          </cell>
          <cell r="E48" t="str">
            <v xml:space="preserve">잠실MC              </v>
          </cell>
          <cell r="F48">
            <v>7</v>
          </cell>
          <cell r="G48">
            <v>231</v>
          </cell>
          <cell r="H48">
            <v>0</v>
          </cell>
          <cell r="I48">
            <v>0</v>
          </cell>
          <cell r="J48">
            <v>0</v>
          </cell>
          <cell r="K48">
            <v>199</v>
          </cell>
          <cell r="L48">
            <v>239</v>
          </cell>
          <cell r="M48">
            <v>8</v>
          </cell>
          <cell r="N48">
            <v>96</v>
          </cell>
          <cell r="O48">
            <v>3.43</v>
          </cell>
          <cell r="P48">
            <v>59</v>
          </cell>
          <cell r="Q48">
            <v>155</v>
          </cell>
        </row>
        <row r="49">
          <cell r="D49">
            <v>5404</v>
          </cell>
          <cell r="E49" t="str">
            <v xml:space="preserve">수원JYMC            </v>
          </cell>
          <cell r="F49">
            <v>6</v>
          </cell>
          <cell r="G49">
            <v>80</v>
          </cell>
          <cell r="H49">
            <v>0</v>
          </cell>
          <cell r="I49">
            <v>1</v>
          </cell>
          <cell r="J49">
            <v>0</v>
          </cell>
          <cell r="K49">
            <v>74</v>
          </cell>
          <cell r="L49">
            <v>89</v>
          </cell>
          <cell r="M49">
            <v>9</v>
          </cell>
          <cell r="N49">
            <v>97</v>
          </cell>
          <cell r="O49">
            <v>11.51</v>
          </cell>
          <cell r="P49">
            <v>63</v>
          </cell>
          <cell r="Q49">
            <v>160</v>
          </cell>
        </row>
        <row r="50">
          <cell r="D50">
            <v>5413</v>
          </cell>
          <cell r="E50" t="str">
            <v xml:space="preserve">일산MC              </v>
          </cell>
          <cell r="F50">
            <v>9</v>
          </cell>
          <cell r="G50">
            <v>116</v>
          </cell>
          <cell r="H50">
            <v>0</v>
          </cell>
          <cell r="I50">
            <v>1</v>
          </cell>
          <cell r="J50">
            <v>0</v>
          </cell>
          <cell r="K50">
            <v>97</v>
          </cell>
          <cell r="L50">
            <v>117</v>
          </cell>
          <cell r="M50">
            <v>1</v>
          </cell>
          <cell r="N50">
            <v>90</v>
          </cell>
          <cell r="O50">
            <v>0.99</v>
          </cell>
          <cell r="P50">
            <v>58</v>
          </cell>
          <cell r="Q50">
            <v>148</v>
          </cell>
        </row>
        <row r="51">
          <cell r="D51">
            <v>5603</v>
          </cell>
          <cell r="E51" t="str">
            <v xml:space="preserve">양산MC              </v>
          </cell>
          <cell r="F51">
            <v>8</v>
          </cell>
          <cell r="G51">
            <v>274</v>
          </cell>
          <cell r="H51">
            <v>-3</v>
          </cell>
          <cell r="I51">
            <v>1</v>
          </cell>
          <cell r="J51">
            <v>0</v>
          </cell>
          <cell r="K51">
            <v>236</v>
          </cell>
          <cell r="L51">
            <v>280</v>
          </cell>
          <cell r="M51">
            <v>6</v>
          </cell>
          <cell r="N51">
            <v>94</v>
          </cell>
          <cell r="O51">
            <v>2.17</v>
          </cell>
          <cell r="P51">
            <v>59</v>
          </cell>
          <cell r="Q51">
            <v>153</v>
          </cell>
        </row>
        <row r="52">
          <cell r="D52">
            <v>5225</v>
          </cell>
          <cell r="E52" t="str">
            <v xml:space="preserve">용산전자MC          </v>
          </cell>
          <cell r="F52">
            <v>10</v>
          </cell>
          <cell r="G52">
            <v>245</v>
          </cell>
          <cell r="H52">
            <v>0</v>
          </cell>
          <cell r="I52">
            <v>0</v>
          </cell>
          <cell r="J52">
            <v>0</v>
          </cell>
          <cell r="K52">
            <v>190</v>
          </cell>
          <cell r="L52">
            <v>228</v>
          </cell>
          <cell r="M52">
            <v>-16</v>
          </cell>
          <cell r="N52">
            <v>77</v>
          </cell>
          <cell r="O52">
            <v>-6.66</v>
          </cell>
          <cell r="P52">
            <v>54</v>
          </cell>
          <cell r="Q52">
            <v>131</v>
          </cell>
        </row>
        <row r="53">
          <cell r="D53">
            <v>5205</v>
          </cell>
          <cell r="E53" t="str">
            <v xml:space="preserve">명동MC              </v>
          </cell>
          <cell r="F53">
            <v>1</v>
          </cell>
          <cell r="G53">
            <v>126</v>
          </cell>
          <cell r="H53">
            <v>3</v>
          </cell>
          <cell r="I53">
            <v>0</v>
          </cell>
          <cell r="J53">
            <v>0</v>
          </cell>
          <cell r="K53">
            <v>172</v>
          </cell>
          <cell r="L53">
            <v>210</v>
          </cell>
          <cell r="M53">
            <v>84</v>
          </cell>
          <cell r="N53">
            <v>135</v>
          </cell>
          <cell r="O53">
            <v>67.11</v>
          </cell>
          <cell r="P53">
            <v>89</v>
          </cell>
          <cell r="Q53">
            <v>224</v>
          </cell>
        </row>
        <row r="54">
          <cell r="D54">
            <v>5503</v>
          </cell>
          <cell r="E54" t="str">
            <v xml:space="preserve">천안MC              </v>
          </cell>
          <cell r="F54">
            <v>2</v>
          </cell>
          <cell r="G54">
            <v>93</v>
          </cell>
          <cell r="H54">
            <v>-65</v>
          </cell>
          <cell r="I54">
            <v>3</v>
          </cell>
          <cell r="J54">
            <v>0</v>
          </cell>
          <cell r="K54">
            <v>170</v>
          </cell>
          <cell r="L54">
            <v>129</v>
          </cell>
          <cell r="M54">
            <v>36</v>
          </cell>
          <cell r="N54">
            <v>118</v>
          </cell>
          <cell r="O54">
            <v>39.369999999999997</v>
          </cell>
          <cell r="P54">
            <v>76</v>
          </cell>
          <cell r="Q54">
            <v>194</v>
          </cell>
        </row>
        <row r="55">
          <cell r="D55">
            <v>5203</v>
          </cell>
          <cell r="E55" t="str">
            <v xml:space="preserve">서초남MC            </v>
          </cell>
          <cell r="F55">
            <v>11</v>
          </cell>
          <cell r="G55">
            <v>120</v>
          </cell>
          <cell r="H55">
            <v>1</v>
          </cell>
          <cell r="I55">
            <v>0</v>
          </cell>
          <cell r="J55">
            <v>0</v>
          </cell>
          <cell r="K55">
            <v>83</v>
          </cell>
          <cell r="L55">
            <v>100</v>
          </cell>
          <cell r="M55">
            <v>-20</v>
          </cell>
          <cell r="N55">
            <v>74</v>
          </cell>
          <cell r="O55">
            <v>-16.350000000000001</v>
          </cell>
          <cell r="P55">
            <v>50</v>
          </cell>
          <cell r="Q55">
            <v>124</v>
          </cell>
        </row>
        <row r="56">
          <cell r="D56">
            <v>5219</v>
          </cell>
          <cell r="E56" t="str">
            <v xml:space="preserve">신사동MC            </v>
          </cell>
          <cell r="F56">
            <v>5</v>
          </cell>
          <cell r="G56">
            <v>150</v>
          </cell>
          <cell r="H56">
            <v>15</v>
          </cell>
          <cell r="I56">
            <v>0</v>
          </cell>
          <cell r="J56">
            <v>0</v>
          </cell>
          <cell r="K56">
            <v>121</v>
          </cell>
          <cell r="L56">
            <v>164</v>
          </cell>
          <cell r="M56">
            <v>14</v>
          </cell>
          <cell r="N56">
            <v>100</v>
          </cell>
          <cell r="O56">
            <v>9.3699999999999992</v>
          </cell>
          <cell r="P56">
            <v>62</v>
          </cell>
          <cell r="Q56">
            <v>162</v>
          </cell>
        </row>
        <row r="57">
          <cell r="D57">
            <v>5419</v>
          </cell>
          <cell r="E57" t="str">
            <v xml:space="preserve">수원MC              </v>
          </cell>
          <cell r="F57">
            <v>3</v>
          </cell>
          <cell r="G57">
            <v>43</v>
          </cell>
          <cell r="H57">
            <v>0</v>
          </cell>
          <cell r="I57">
            <v>0</v>
          </cell>
          <cell r="J57">
            <v>0</v>
          </cell>
          <cell r="K57">
            <v>48</v>
          </cell>
          <cell r="L57">
            <v>57</v>
          </cell>
          <cell r="M57">
            <v>15</v>
          </cell>
          <cell r="N57">
            <v>101</v>
          </cell>
          <cell r="O57">
            <v>34.39</v>
          </cell>
          <cell r="P57">
            <v>74</v>
          </cell>
          <cell r="Q57">
            <v>174</v>
          </cell>
        </row>
        <row r="58">
          <cell r="D58">
            <v>9998</v>
          </cell>
          <cell r="E58" t="str">
            <v xml:space="preserve">M04군2소계          </v>
          </cell>
          <cell r="F58">
            <v>0</v>
          </cell>
          <cell r="G58">
            <v>1582</v>
          </cell>
          <cell r="H58">
            <v>-52</v>
          </cell>
          <cell r="I58">
            <v>7</v>
          </cell>
          <cell r="J58">
            <v>0</v>
          </cell>
          <cell r="K58">
            <v>1370</v>
          </cell>
          <cell r="L58">
            <v>1589</v>
          </cell>
          <cell r="M58">
            <v>7</v>
          </cell>
          <cell r="N58">
            <v>0</v>
          </cell>
          <cell r="O58">
            <v>0.43</v>
          </cell>
          <cell r="P58">
            <v>0</v>
          </cell>
          <cell r="Q58">
            <v>0</v>
          </cell>
        </row>
        <row r="59">
          <cell r="D59">
            <v>9999</v>
          </cell>
          <cell r="E59" t="str">
            <v xml:space="preserve">M04군1소계          </v>
          </cell>
          <cell r="F59">
            <v>0</v>
          </cell>
          <cell r="G59">
            <v>1708</v>
          </cell>
          <cell r="H59">
            <v>-49</v>
          </cell>
          <cell r="I59">
            <v>7</v>
          </cell>
          <cell r="J59">
            <v>0</v>
          </cell>
          <cell r="K59">
            <v>1541</v>
          </cell>
          <cell r="L59">
            <v>1799</v>
          </cell>
          <cell r="M59">
            <v>91</v>
          </cell>
          <cell r="N59">
            <v>0</v>
          </cell>
          <cell r="O59">
            <v>5.34</v>
          </cell>
          <cell r="P59">
            <v>0</v>
          </cell>
          <cell r="Q59">
            <v>0</v>
          </cell>
        </row>
        <row r="60">
          <cell r="D60">
            <v>5606</v>
          </cell>
          <cell r="E60" t="str">
            <v xml:space="preserve">부산서면MC          </v>
          </cell>
          <cell r="F60">
            <v>2</v>
          </cell>
          <cell r="G60">
            <v>200</v>
          </cell>
          <cell r="H60">
            <v>0</v>
          </cell>
          <cell r="I60">
            <v>5</v>
          </cell>
          <cell r="J60">
            <v>0</v>
          </cell>
          <cell r="K60">
            <v>224</v>
          </cell>
          <cell r="L60">
            <v>275</v>
          </cell>
          <cell r="M60">
            <v>75</v>
          </cell>
          <cell r="N60">
            <v>131</v>
          </cell>
          <cell r="O60">
            <v>37.58</v>
          </cell>
          <cell r="P60">
            <v>71</v>
          </cell>
          <cell r="Q60">
            <v>202</v>
          </cell>
        </row>
        <row r="61">
          <cell r="D61">
            <v>5214</v>
          </cell>
          <cell r="E61" t="str">
            <v xml:space="preserve">장한평MC            </v>
          </cell>
          <cell r="F61">
            <v>7</v>
          </cell>
          <cell r="G61">
            <v>195</v>
          </cell>
          <cell r="H61">
            <v>5</v>
          </cell>
          <cell r="I61">
            <v>0</v>
          </cell>
          <cell r="J61">
            <v>0</v>
          </cell>
          <cell r="K61">
            <v>171</v>
          </cell>
          <cell r="L61">
            <v>212</v>
          </cell>
          <cell r="M61">
            <v>17</v>
          </cell>
          <cell r="N61">
            <v>93</v>
          </cell>
          <cell r="O61">
            <v>8.8800000000000008</v>
          </cell>
          <cell r="P61">
            <v>57</v>
          </cell>
          <cell r="Q61">
            <v>150</v>
          </cell>
        </row>
        <row r="62">
          <cell r="D62">
            <v>5601</v>
          </cell>
          <cell r="E62" t="str">
            <v xml:space="preserve">마산MC              </v>
          </cell>
          <cell r="F62">
            <v>4</v>
          </cell>
          <cell r="G62">
            <v>275</v>
          </cell>
          <cell r="H62">
            <v>15</v>
          </cell>
          <cell r="I62">
            <v>0</v>
          </cell>
          <cell r="J62">
            <v>0</v>
          </cell>
          <cell r="K62">
            <v>242</v>
          </cell>
          <cell r="L62">
            <v>308</v>
          </cell>
          <cell r="M62">
            <v>33</v>
          </cell>
          <cell r="N62">
            <v>104</v>
          </cell>
          <cell r="O62">
            <v>12.12</v>
          </cell>
          <cell r="P62">
            <v>58</v>
          </cell>
          <cell r="Q62">
            <v>162</v>
          </cell>
        </row>
        <row r="63">
          <cell r="D63">
            <v>5401</v>
          </cell>
          <cell r="E63" t="str">
            <v xml:space="preserve">반월MC              </v>
          </cell>
          <cell r="F63">
            <v>10</v>
          </cell>
          <cell r="G63">
            <v>156</v>
          </cell>
          <cell r="H63">
            <v>0</v>
          </cell>
          <cell r="I63">
            <v>0</v>
          </cell>
          <cell r="J63">
            <v>0</v>
          </cell>
          <cell r="K63">
            <v>123</v>
          </cell>
          <cell r="L63">
            <v>148</v>
          </cell>
          <cell r="M63">
            <v>-8</v>
          </cell>
          <cell r="N63">
            <v>76</v>
          </cell>
          <cell r="O63">
            <v>-5.32</v>
          </cell>
          <cell r="P63">
            <v>50</v>
          </cell>
          <cell r="Q63">
            <v>126</v>
          </cell>
        </row>
        <row r="64">
          <cell r="D64">
            <v>5239</v>
          </cell>
          <cell r="E64" t="str">
            <v xml:space="preserve">구로MC              </v>
          </cell>
          <cell r="F64">
            <v>6</v>
          </cell>
          <cell r="G64">
            <v>79</v>
          </cell>
          <cell r="H64">
            <v>-13</v>
          </cell>
          <cell r="I64">
            <v>1</v>
          </cell>
          <cell r="J64">
            <v>0</v>
          </cell>
          <cell r="K64">
            <v>91</v>
          </cell>
          <cell r="L64">
            <v>95</v>
          </cell>
          <cell r="M64">
            <v>16</v>
          </cell>
          <cell r="N64">
            <v>92</v>
          </cell>
          <cell r="O64">
            <v>20.96</v>
          </cell>
          <cell r="P64">
            <v>63</v>
          </cell>
          <cell r="Q64">
            <v>155</v>
          </cell>
        </row>
        <row r="65">
          <cell r="D65">
            <v>5411</v>
          </cell>
          <cell r="E65" t="str">
            <v xml:space="preserve">평택MC              </v>
          </cell>
          <cell r="F65">
            <v>11</v>
          </cell>
          <cell r="G65">
            <v>165</v>
          </cell>
          <cell r="H65">
            <v>0</v>
          </cell>
          <cell r="I65">
            <v>0</v>
          </cell>
          <cell r="J65">
            <v>0</v>
          </cell>
          <cell r="K65">
            <v>123</v>
          </cell>
          <cell r="L65">
            <v>148</v>
          </cell>
          <cell r="M65">
            <v>-17</v>
          </cell>
          <cell r="N65">
            <v>70</v>
          </cell>
          <cell r="O65">
            <v>-10.46</v>
          </cell>
          <cell r="P65">
            <v>47</v>
          </cell>
          <cell r="Q65">
            <v>118</v>
          </cell>
        </row>
        <row r="66">
          <cell r="D66">
            <v>5260</v>
          </cell>
          <cell r="E66" t="str">
            <v xml:space="preserve">소공동 MC           </v>
          </cell>
          <cell r="F66">
            <v>5</v>
          </cell>
          <cell r="G66">
            <v>94</v>
          </cell>
          <cell r="H66">
            <v>0</v>
          </cell>
          <cell r="I66">
            <v>0</v>
          </cell>
          <cell r="J66">
            <v>0</v>
          </cell>
          <cell r="K66">
            <v>94</v>
          </cell>
          <cell r="L66">
            <v>113</v>
          </cell>
          <cell r="M66">
            <v>18</v>
          </cell>
          <cell r="N66">
            <v>94</v>
          </cell>
          <cell r="O66">
            <v>19.32</v>
          </cell>
          <cell r="P66">
            <v>62</v>
          </cell>
          <cell r="Q66">
            <v>155</v>
          </cell>
        </row>
        <row r="67">
          <cell r="D67">
            <v>5403</v>
          </cell>
          <cell r="E67" t="str">
            <v xml:space="preserve">인천MC              </v>
          </cell>
          <cell r="F67">
            <v>9</v>
          </cell>
          <cell r="G67">
            <v>114</v>
          </cell>
          <cell r="H67">
            <v>1</v>
          </cell>
          <cell r="I67">
            <v>1</v>
          </cell>
          <cell r="J67">
            <v>0</v>
          </cell>
          <cell r="K67">
            <v>90</v>
          </cell>
          <cell r="L67">
            <v>110</v>
          </cell>
          <cell r="M67">
            <v>-4</v>
          </cell>
          <cell r="N67">
            <v>79</v>
          </cell>
          <cell r="O67">
            <v>-3.71</v>
          </cell>
          <cell r="P67">
            <v>51</v>
          </cell>
          <cell r="Q67">
            <v>129</v>
          </cell>
        </row>
        <row r="68">
          <cell r="D68">
            <v>5806</v>
          </cell>
          <cell r="E68" t="str">
            <v xml:space="preserve">광주MC              </v>
          </cell>
          <cell r="F68">
            <v>8</v>
          </cell>
          <cell r="G68">
            <v>46</v>
          </cell>
          <cell r="H68">
            <v>0</v>
          </cell>
          <cell r="I68">
            <v>1</v>
          </cell>
          <cell r="J68">
            <v>0</v>
          </cell>
          <cell r="K68">
            <v>36</v>
          </cell>
          <cell r="L68">
            <v>45</v>
          </cell>
          <cell r="M68">
            <v>-1</v>
          </cell>
          <cell r="N68">
            <v>81</v>
          </cell>
          <cell r="O68">
            <v>-2.36</v>
          </cell>
          <cell r="P68">
            <v>51</v>
          </cell>
          <cell r="Q68">
            <v>132</v>
          </cell>
        </row>
        <row r="69">
          <cell r="D69">
            <v>5206</v>
          </cell>
          <cell r="E69" t="str">
            <v xml:space="preserve">영등포JYMC          </v>
          </cell>
          <cell r="F69">
            <v>12</v>
          </cell>
          <cell r="G69">
            <v>118</v>
          </cell>
          <cell r="H69">
            <v>1</v>
          </cell>
          <cell r="I69">
            <v>0</v>
          </cell>
          <cell r="J69">
            <v>0</v>
          </cell>
          <cell r="K69">
            <v>83</v>
          </cell>
          <cell r="L69">
            <v>101</v>
          </cell>
          <cell r="M69">
            <v>-17</v>
          </cell>
          <cell r="N69">
            <v>70</v>
          </cell>
          <cell r="O69">
            <v>-14.43</v>
          </cell>
          <cell r="P69">
            <v>46</v>
          </cell>
          <cell r="Q69">
            <v>116</v>
          </cell>
        </row>
        <row r="70">
          <cell r="D70">
            <v>5211</v>
          </cell>
          <cell r="E70" t="str">
            <v xml:space="preserve">한남동MC            </v>
          </cell>
          <cell r="F70">
            <v>3</v>
          </cell>
          <cell r="G70">
            <v>132</v>
          </cell>
          <cell r="H70">
            <v>2</v>
          </cell>
          <cell r="I70">
            <v>0</v>
          </cell>
          <cell r="J70">
            <v>0</v>
          </cell>
          <cell r="K70">
            <v>132</v>
          </cell>
          <cell r="L70">
            <v>160</v>
          </cell>
          <cell r="M70">
            <v>29</v>
          </cell>
          <cell r="N70">
            <v>101</v>
          </cell>
          <cell r="O70">
            <v>21.84</v>
          </cell>
          <cell r="P70">
            <v>63</v>
          </cell>
          <cell r="Q70">
            <v>164</v>
          </cell>
        </row>
        <row r="71">
          <cell r="D71">
            <v>5263</v>
          </cell>
          <cell r="E71" t="str">
            <v xml:space="preserve">반도MC              </v>
          </cell>
          <cell r="F71">
            <v>1</v>
          </cell>
          <cell r="G71">
            <v>167</v>
          </cell>
          <cell r="H71">
            <v>0</v>
          </cell>
          <cell r="I71">
            <v>0</v>
          </cell>
          <cell r="J71">
            <v>0</v>
          </cell>
          <cell r="K71">
            <v>249</v>
          </cell>
          <cell r="L71">
            <v>299</v>
          </cell>
          <cell r="M71">
            <v>132</v>
          </cell>
          <cell r="N71">
            <v>135</v>
          </cell>
          <cell r="O71">
            <v>78.59</v>
          </cell>
          <cell r="P71">
            <v>90</v>
          </cell>
          <cell r="Q71">
            <v>225</v>
          </cell>
        </row>
        <row r="72">
          <cell r="D72">
            <v>9998</v>
          </cell>
          <cell r="E72" t="str">
            <v xml:space="preserve">M05군2소계          </v>
          </cell>
          <cell r="F72">
            <v>0</v>
          </cell>
          <cell r="G72">
            <v>1574</v>
          </cell>
          <cell r="H72">
            <v>11</v>
          </cell>
          <cell r="I72">
            <v>10</v>
          </cell>
          <cell r="J72">
            <v>0</v>
          </cell>
          <cell r="K72">
            <v>1408</v>
          </cell>
          <cell r="L72">
            <v>1715</v>
          </cell>
          <cell r="M72">
            <v>141</v>
          </cell>
          <cell r="N72">
            <v>0</v>
          </cell>
          <cell r="O72">
            <v>8.9700000000000006</v>
          </cell>
          <cell r="P72">
            <v>0</v>
          </cell>
          <cell r="Q72">
            <v>0</v>
          </cell>
        </row>
        <row r="73">
          <cell r="D73">
            <v>9999</v>
          </cell>
          <cell r="E73" t="str">
            <v xml:space="preserve">M05군1소계          </v>
          </cell>
          <cell r="F73">
            <v>0</v>
          </cell>
          <cell r="G73">
            <v>1741</v>
          </cell>
          <cell r="H73">
            <v>11</v>
          </cell>
          <cell r="I73">
            <v>10</v>
          </cell>
          <cell r="J73">
            <v>0</v>
          </cell>
          <cell r="K73">
            <v>1657</v>
          </cell>
          <cell r="L73">
            <v>2014</v>
          </cell>
          <cell r="M73">
            <v>273</v>
          </cell>
          <cell r="N73">
            <v>0</v>
          </cell>
          <cell r="O73">
            <v>15.67</v>
          </cell>
          <cell r="P73">
            <v>0</v>
          </cell>
          <cell r="Q73">
            <v>0</v>
          </cell>
        </row>
        <row r="74">
          <cell r="D74">
            <v>5238</v>
          </cell>
          <cell r="E74" t="str">
            <v xml:space="preserve">용산MC              </v>
          </cell>
          <cell r="F74">
            <v>12</v>
          </cell>
          <cell r="G74">
            <v>244</v>
          </cell>
          <cell r="H74">
            <v>0</v>
          </cell>
          <cell r="I74">
            <v>1</v>
          </cell>
          <cell r="J74">
            <v>0</v>
          </cell>
          <cell r="K74">
            <v>128</v>
          </cell>
          <cell r="L74">
            <v>155</v>
          </cell>
          <cell r="M74">
            <v>-90</v>
          </cell>
          <cell r="N74">
            <v>45</v>
          </cell>
          <cell r="O74">
            <v>-36.72</v>
          </cell>
          <cell r="P74">
            <v>45</v>
          </cell>
          <cell r="Q74">
            <v>90</v>
          </cell>
        </row>
        <row r="75">
          <cell r="D75">
            <v>5615</v>
          </cell>
          <cell r="E75" t="str">
            <v xml:space="preserve">울산JYMC            </v>
          </cell>
          <cell r="F75">
            <v>8</v>
          </cell>
          <cell r="G75">
            <v>74</v>
          </cell>
          <cell r="H75">
            <v>0</v>
          </cell>
          <cell r="I75">
            <v>1</v>
          </cell>
          <cell r="J75">
            <v>0</v>
          </cell>
          <cell r="K75">
            <v>60</v>
          </cell>
          <cell r="L75">
            <v>73</v>
          </cell>
          <cell r="M75">
            <v>-1</v>
          </cell>
          <cell r="N75">
            <v>80</v>
          </cell>
          <cell r="O75">
            <v>-0.69</v>
          </cell>
          <cell r="P75">
            <v>58</v>
          </cell>
          <cell r="Q75">
            <v>138</v>
          </cell>
        </row>
        <row r="76">
          <cell r="D76">
            <v>5805</v>
          </cell>
          <cell r="E76" t="str">
            <v xml:space="preserve">광산MC              </v>
          </cell>
          <cell r="F76">
            <v>2</v>
          </cell>
          <cell r="G76">
            <v>29</v>
          </cell>
          <cell r="H76">
            <v>0</v>
          </cell>
          <cell r="I76">
            <v>1</v>
          </cell>
          <cell r="J76">
            <v>0</v>
          </cell>
          <cell r="K76">
            <v>44</v>
          </cell>
          <cell r="L76">
            <v>54</v>
          </cell>
          <cell r="M76">
            <v>24</v>
          </cell>
          <cell r="N76">
            <v>98</v>
          </cell>
          <cell r="O76">
            <v>83.33</v>
          </cell>
          <cell r="P76">
            <v>90</v>
          </cell>
          <cell r="Q76">
            <v>188</v>
          </cell>
        </row>
        <row r="77">
          <cell r="D77">
            <v>5253</v>
          </cell>
          <cell r="E77" t="str">
            <v xml:space="preserve">테헤란로MC          </v>
          </cell>
          <cell r="F77">
            <v>5</v>
          </cell>
          <cell r="G77">
            <v>147</v>
          </cell>
          <cell r="H77">
            <v>0</v>
          </cell>
          <cell r="I77">
            <v>0</v>
          </cell>
          <cell r="J77">
            <v>0</v>
          </cell>
          <cell r="K77">
            <v>131</v>
          </cell>
          <cell r="L77">
            <v>157</v>
          </cell>
          <cell r="M77">
            <v>10</v>
          </cell>
          <cell r="N77">
            <v>88</v>
          </cell>
          <cell r="O77">
            <v>7.13</v>
          </cell>
          <cell r="P77">
            <v>61</v>
          </cell>
          <cell r="Q77">
            <v>149</v>
          </cell>
        </row>
        <row r="78">
          <cell r="D78">
            <v>5220</v>
          </cell>
          <cell r="E78" t="str">
            <v xml:space="preserve">명동역MC            </v>
          </cell>
          <cell r="F78">
            <v>1</v>
          </cell>
          <cell r="G78">
            <v>103</v>
          </cell>
          <cell r="H78">
            <v>4</v>
          </cell>
          <cell r="I78">
            <v>1</v>
          </cell>
          <cell r="J78">
            <v>0</v>
          </cell>
          <cell r="K78">
            <v>123</v>
          </cell>
          <cell r="L78">
            <v>154</v>
          </cell>
          <cell r="M78">
            <v>51</v>
          </cell>
          <cell r="N78">
            <v>118</v>
          </cell>
          <cell r="O78">
            <v>49.32</v>
          </cell>
          <cell r="P78">
            <v>77</v>
          </cell>
          <cell r="Q78">
            <v>195</v>
          </cell>
        </row>
        <row r="79">
          <cell r="D79">
            <v>5224</v>
          </cell>
          <cell r="E79" t="str">
            <v xml:space="preserve">독산동MC            </v>
          </cell>
          <cell r="F79">
            <v>9</v>
          </cell>
          <cell r="G79">
            <v>148</v>
          </cell>
          <cell r="H79">
            <v>0</v>
          </cell>
          <cell r="I79">
            <v>0</v>
          </cell>
          <cell r="J79">
            <v>0</v>
          </cell>
          <cell r="K79">
            <v>121</v>
          </cell>
          <cell r="L79">
            <v>146</v>
          </cell>
          <cell r="M79">
            <v>-2</v>
          </cell>
          <cell r="N79">
            <v>79</v>
          </cell>
          <cell r="O79">
            <v>-1.41</v>
          </cell>
          <cell r="P79">
            <v>58</v>
          </cell>
          <cell r="Q79">
            <v>137</v>
          </cell>
        </row>
        <row r="80">
          <cell r="D80">
            <v>5704</v>
          </cell>
          <cell r="E80" t="str">
            <v xml:space="preserve">성서MC              </v>
          </cell>
          <cell r="F80">
            <v>10</v>
          </cell>
          <cell r="G80">
            <v>132</v>
          </cell>
          <cell r="H80">
            <v>0</v>
          </cell>
          <cell r="I80">
            <v>1</v>
          </cell>
          <cell r="J80">
            <v>0</v>
          </cell>
          <cell r="K80">
            <v>106</v>
          </cell>
          <cell r="L80">
            <v>128</v>
          </cell>
          <cell r="M80">
            <v>-4</v>
          </cell>
          <cell r="N80">
            <v>78</v>
          </cell>
          <cell r="O80">
            <v>-3.07</v>
          </cell>
          <cell r="P80">
            <v>57</v>
          </cell>
          <cell r="Q80">
            <v>135</v>
          </cell>
        </row>
        <row r="81">
          <cell r="D81">
            <v>5414</v>
          </cell>
          <cell r="E81" t="str">
            <v xml:space="preserve">분당MC              </v>
          </cell>
          <cell r="F81">
            <v>4</v>
          </cell>
          <cell r="G81">
            <v>201</v>
          </cell>
          <cell r="H81">
            <v>0</v>
          </cell>
          <cell r="I81">
            <v>0</v>
          </cell>
          <cell r="J81">
            <v>0</v>
          </cell>
          <cell r="K81">
            <v>204</v>
          </cell>
          <cell r="L81">
            <v>244</v>
          </cell>
          <cell r="M81">
            <v>44</v>
          </cell>
          <cell r="N81">
            <v>112</v>
          </cell>
          <cell r="O81">
            <v>21.77</v>
          </cell>
          <cell r="P81">
            <v>67</v>
          </cell>
          <cell r="Q81">
            <v>179</v>
          </cell>
        </row>
        <row r="82">
          <cell r="D82">
            <v>5264</v>
          </cell>
          <cell r="E82" t="str">
            <v xml:space="preserve">압구정역MC          </v>
          </cell>
          <cell r="F82">
            <v>3</v>
          </cell>
          <cell r="G82">
            <v>59</v>
          </cell>
          <cell r="H82">
            <v>-15</v>
          </cell>
          <cell r="I82">
            <v>0</v>
          </cell>
          <cell r="J82">
            <v>0</v>
          </cell>
          <cell r="K82">
            <v>93</v>
          </cell>
          <cell r="L82">
            <v>94</v>
          </cell>
          <cell r="M82">
            <v>35</v>
          </cell>
          <cell r="N82">
            <v>106</v>
          </cell>
          <cell r="O82">
            <v>58.11</v>
          </cell>
          <cell r="P82">
            <v>81</v>
          </cell>
          <cell r="Q82">
            <v>186</v>
          </cell>
        </row>
        <row r="83">
          <cell r="D83">
            <v>5417</v>
          </cell>
          <cell r="E83" t="str">
            <v xml:space="preserve">안산MC              </v>
          </cell>
          <cell r="F83">
            <v>11</v>
          </cell>
          <cell r="G83">
            <v>113</v>
          </cell>
          <cell r="H83">
            <v>0</v>
          </cell>
          <cell r="I83">
            <v>1</v>
          </cell>
          <cell r="J83">
            <v>0</v>
          </cell>
          <cell r="K83">
            <v>77</v>
          </cell>
          <cell r="L83">
            <v>93</v>
          </cell>
          <cell r="M83">
            <v>-19</v>
          </cell>
          <cell r="N83">
            <v>66</v>
          </cell>
          <cell r="O83">
            <v>-17.3</v>
          </cell>
          <cell r="P83">
            <v>52</v>
          </cell>
          <cell r="Q83">
            <v>118</v>
          </cell>
        </row>
        <row r="84">
          <cell r="D84">
            <v>5226</v>
          </cell>
          <cell r="E84" t="str">
            <v xml:space="preserve">당산동MC            </v>
          </cell>
          <cell r="F84">
            <v>6</v>
          </cell>
          <cell r="G84">
            <v>92</v>
          </cell>
          <cell r="H84">
            <v>1</v>
          </cell>
          <cell r="I84">
            <v>0</v>
          </cell>
          <cell r="J84">
            <v>0</v>
          </cell>
          <cell r="K84">
            <v>79</v>
          </cell>
          <cell r="L84">
            <v>96</v>
          </cell>
          <cell r="M84">
            <v>5</v>
          </cell>
          <cell r="N84">
            <v>84</v>
          </cell>
          <cell r="O84">
            <v>5.03</v>
          </cell>
          <cell r="P84">
            <v>60</v>
          </cell>
          <cell r="Q84">
            <v>144</v>
          </cell>
        </row>
        <row r="85">
          <cell r="D85">
            <v>5801</v>
          </cell>
          <cell r="E85" t="str">
            <v xml:space="preserve">전주MC              </v>
          </cell>
          <cell r="F85">
            <v>7</v>
          </cell>
          <cell r="G85">
            <v>46</v>
          </cell>
          <cell r="H85">
            <v>0</v>
          </cell>
          <cell r="I85">
            <v>0</v>
          </cell>
          <cell r="J85">
            <v>0</v>
          </cell>
          <cell r="K85">
            <v>38</v>
          </cell>
          <cell r="L85">
            <v>46</v>
          </cell>
          <cell r="M85">
            <v>0</v>
          </cell>
          <cell r="N85">
            <v>81</v>
          </cell>
          <cell r="O85">
            <v>0.77</v>
          </cell>
          <cell r="P85">
            <v>59</v>
          </cell>
          <cell r="Q85">
            <v>140</v>
          </cell>
        </row>
        <row r="86">
          <cell r="D86">
            <v>9998</v>
          </cell>
          <cell r="E86" t="str">
            <v xml:space="preserve">M06군2소계          </v>
          </cell>
          <cell r="F86">
            <v>0</v>
          </cell>
          <cell r="G86">
            <v>1142</v>
          </cell>
          <cell r="H86">
            <v>-10</v>
          </cell>
          <cell r="I86">
            <v>5</v>
          </cell>
          <cell r="J86">
            <v>0</v>
          </cell>
          <cell r="K86">
            <v>1076</v>
          </cell>
          <cell r="L86">
            <v>1285</v>
          </cell>
          <cell r="M86">
            <v>143</v>
          </cell>
          <cell r="N86">
            <v>0</v>
          </cell>
          <cell r="O86">
            <v>12.49</v>
          </cell>
          <cell r="P86">
            <v>0</v>
          </cell>
          <cell r="Q86">
            <v>0</v>
          </cell>
        </row>
        <row r="87">
          <cell r="D87">
            <v>9999</v>
          </cell>
          <cell r="E87" t="str">
            <v xml:space="preserve">M06군1소계          </v>
          </cell>
          <cell r="F87">
            <v>0</v>
          </cell>
          <cell r="G87">
            <v>1387</v>
          </cell>
          <cell r="H87">
            <v>-10</v>
          </cell>
          <cell r="I87">
            <v>6</v>
          </cell>
          <cell r="J87">
            <v>0</v>
          </cell>
          <cell r="K87">
            <v>1204</v>
          </cell>
          <cell r="L87">
            <v>1440</v>
          </cell>
          <cell r="M87">
            <v>53</v>
          </cell>
          <cell r="N87">
            <v>0</v>
          </cell>
          <cell r="O87">
            <v>3.82</v>
          </cell>
          <cell r="P87">
            <v>0</v>
          </cell>
          <cell r="Q87">
            <v>0</v>
          </cell>
        </row>
        <row r="88">
          <cell r="D88">
            <v>5408</v>
          </cell>
          <cell r="E88" t="str">
            <v xml:space="preserve">부천MC              </v>
          </cell>
          <cell r="F88">
            <v>8</v>
          </cell>
          <cell r="G88">
            <v>76</v>
          </cell>
          <cell r="H88">
            <v>0</v>
          </cell>
          <cell r="I88">
            <v>0</v>
          </cell>
          <cell r="J88">
            <v>0</v>
          </cell>
          <cell r="K88">
            <v>64</v>
          </cell>
          <cell r="L88">
            <v>78</v>
          </cell>
          <cell r="M88">
            <v>2</v>
          </cell>
          <cell r="N88">
            <v>82</v>
          </cell>
          <cell r="O88">
            <v>2.68</v>
          </cell>
          <cell r="P88">
            <v>55</v>
          </cell>
          <cell r="Q88">
            <v>137</v>
          </cell>
        </row>
        <row r="89">
          <cell r="D89">
            <v>5406</v>
          </cell>
          <cell r="E89" t="str">
            <v xml:space="preserve">부평JYMC            </v>
          </cell>
          <cell r="F89">
            <v>7</v>
          </cell>
          <cell r="G89">
            <v>64</v>
          </cell>
          <cell r="H89">
            <v>0</v>
          </cell>
          <cell r="I89">
            <v>0</v>
          </cell>
          <cell r="J89">
            <v>0</v>
          </cell>
          <cell r="K89">
            <v>59</v>
          </cell>
          <cell r="L89">
            <v>71</v>
          </cell>
          <cell r="M89">
            <v>7</v>
          </cell>
          <cell r="N89">
            <v>85</v>
          </cell>
          <cell r="O89">
            <v>10.92</v>
          </cell>
          <cell r="P89">
            <v>58</v>
          </cell>
          <cell r="Q89">
            <v>143</v>
          </cell>
        </row>
        <row r="90">
          <cell r="D90">
            <v>5277</v>
          </cell>
          <cell r="E90" t="str">
            <v xml:space="preserve">광화문MC            </v>
          </cell>
          <cell r="F90">
            <v>2</v>
          </cell>
          <cell r="G90">
            <v>26</v>
          </cell>
          <cell r="H90">
            <v>0</v>
          </cell>
          <cell r="I90">
            <v>0</v>
          </cell>
          <cell r="J90">
            <v>0</v>
          </cell>
          <cell r="K90">
            <v>40</v>
          </cell>
          <cell r="L90">
            <v>48</v>
          </cell>
          <cell r="M90">
            <v>22</v>
          </cell>
          <cell r="N90">
            <v>95</v>
          </cell>
          <cell r="O90">
            <v>84</v>
          </cell>
          <cell r="P90">
            <v>80</v>
          </cell>
          <cell r="Q90">
            <v>175</v>
          </cell>
        </row>
        <row r="91">
          <cell r="D91">
            <v>5249</v>
          </cell>
          <cell r="E91" t="str">
            <v xml:space="preserve">GS타워MC            </v>
          </cell>
          <cell r="F91">
            <v>5</v>
          </cell>
          <cell r="G91">
            <v>113</v>
          </cell>
          <cell r="H91">
            <v>0</v>
          </cell>
          <cell r="I91">
            <v>0</v>
          </cell>
          <cell r="J91">
            <v>0</v>
          </cell>
          <cell r="K91">
            <v>108</v>
          </cell>
          <cell r="L91">
            <v>130</v>
          </cell>
          <cell r="M91">
            <v>17</v>
          </cell>
          <cell r="N91">
            <v>92</v>
          </cell>
          <cell r="O91">
            <v>15.52</v>
          </cell>
          <cell r="P91">
            <v>59</v>
          </cell>
          <cell r="Q91">
            <v>151</v>
          </cell>
        </row>
        <row r="92">
          <cell r="D92">
            <v>5255</v>
          </cell>
          <cell r="E92" t="str">
            <v xml:space="preserve">영등포MC            </v>
          </cell>
          <cell r="F92">
            <v>1</v>
          </cell>
          <cell r="G92">
            <v>78</v>
          </cell>
          <cell r="H92">
            <v>0</v>
          </cell>
          <cell r="I92">
            <v>0</v>
          </cell>
          <cell r="J92">
            <v>0</v>
          </cell>
          <cell r="K92">
            <v>127</v>
          </cell>
          <cell r="L92">
            <v>153</v>
          </cell>
          <cell r="M92">
            <v>75</v>
          </cell>
          <cell r="N92">
            <v>131</v>
          </cell>
          <cell r="O92">
            <v>96.21</v>
          </cell>
          <cell r="P92">
            <v>83</v>
          </cell>
          <cell r="Q92">
            <v>215</v>
          </cell>
        </row>
        <row r="93">
          <cell r="D93">
            <v>5438</v>
          </cell>
          <cell r="E93" t="str">
            <v xml:space="preserve">오산MC              </v>
          </cell>
          <cell r="F93">
            <v>10</v>
          </cell>
          <cell r="G93">
            <v>139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96</v>
          </cell>
          <cell r="M93">
            <v>-42</v>
          </cell>
          <cell r="N93">
            <v>52</v>
          </cell>
          <cell r="O93">
            <v>-30.56</v>
          </cell>
          <cell r="P93">
            <v>45</v>
          </cell>
          <cell r="Q93">
            <v>97</v>
          </cell>
        </row>
        <row r="94">
          <cell r="D94">
            <v>5270</v>
          </cell>
          <cell r="E94" t="str">
            <v xml:space="preserve">강남대로MC          </v>
          </cell>
          <cell r="F94">
            <v>3</v>
          </cell>
          <cell r="G94">
            <v>108</v>
          </cell>
          <cell r="H94">
            <v>0</v>
          </cell>
          <cell r="I94">
            <v>0</v>
          </cell>
          <cell r="J94">
            <v>0</v>
          </cell>
          <cell r="K94">
            <v>125</v>
          </cell>
          <cell r="L94">
            <v>150</v>
          </cell>
          <cell r="M94">
            <v>42</v>
          </cell>
          <cell r="N94">
            <v>109</v>
          </cell>
          <cell r="O94">
            <v>38.58</v>
          </cell>
          <cell r="P94">
            <v>66</v>
          </cell>
          <cell r="Q94">
            <v>175</v>
          </cell>
        </row>
        <row r="95">
          <cell r="D95">
            <v>5420</v>
          </cell>
          <cell r="E95" t="str">
            <v xml:space="preserve">구리MC              </v>
          </cell>
          <cell r="F95">
            <v>4</v>
          </cell>
          <cell r="G95">
            <v>31</v>
          </cell>
          <cell r="H95">
            <v>0</v>
          </cell>
          <cell r="I95">
            <v>0</v>
          </cell>
          <cell r="J95">
            <v>0</v>
          </cell>
          <cell r="K95">
            <v>36</v>
          </cell>
          <cell r="L95">
            <v>44</v>
          </cell>
          <cell r="M95">
            <v>12</v>
          </cell>
          <cell r="N95">
            <v>89</v>
          </cell>
          <cell r="O95">
            <v>38.99</v>
          </cell>
          <cell r="P95">
            <v>66</v>
          </cell>
          <cell r="Q95">
            <v>155</v>
          </cell>
        </row>
        <row r="96">
          <cell r="D96">
            <v>5507</v>
          </cell>
          <cell r="E96" t="str">
            <v xml:space="preserve">충북기업영업부      </v>
          </cell>
          <cell r="F96">
            <v>9</v>
          </cell>
          <cell r="G96">
            <v>36</v>
          </cell>
          <cell r="H96">
            <v>0</v>
          </cell>
          <cell r="I96">
            <v>0</v>
          </cell>
          <cell r="J96">
            <v>0</v>
          </cell>
          <cell r="K96">
            <v>25</v>
          </cell>
          <cell r="L96">
            <v>31</v>
          </cell>
          <cell r="M96">
            <v>-5</v>
          </cell>
          <cell r="N96">
            <v>77</v>
          </cell>
          <cell r="O96">
            <v>-14.63</v>
          </cell>
          <cell r="P96">
            <v>50</v>
          </cell>
          <cell r="Q96">
            <v>127</v>
          </cell>
        </row>
        <row r="97">
          <cell r="D97">
            <v>5267</v>
          </cell>
          <cell r="E97" t="str">
            <v xml:space="preserve">장안동MC            </v>
          </cell>
          <cell r="F97">
            <v>6</v>
          </cell>
          <cell r="G97">
            <v>77</v>
          </cell>
          <cell r="H97">
            <v>0</v>
          </cell>
          <cell r="I97">
            <v>0</v>
          </cell>
          <cell r="J97">
            <v>0</v>
          </cell>
          <cell r="K97">
            <v>74</v>
          </cell>
          <cell r="L97">
            <v>89</v>
          </cell>
          <cell r="M97">
            <v>12</v>
          </cell>
          <cell r="N97">
            <v>89</v>
          </cell>
          <cell r="O97">
            <v>15.71</v>
          </cell>
          <cell r="P97">
            <v>59</v>
          </cell>
          <cell r="Q97">
            <v>148</v>
          </cell>
        </row>
        <row r="98">
          <cell r="D98">
            <v>9998</v>
          </cell>
          <cell r="E98" t="str">
            <v xml:space="preserve">M07군2소계          </v>
          </cell>
          <cell r="F98">
            <v>0</v>
          </cell>
          <cell r="G98">
            <v>747</v>
          </cell>
          <cell r="H98">
            <v>0</v>
          </cell>
          <cell r="I98">
            <v>2</v>
          </cell>
          <cell r="J98">
            <v>0</v>
          </cell>
          <cell r="K98">
            <v>739</v>
          </cell>
          <cell r="L98">
            <v>888</v>
          </cell>
          <cell r="M98">
            <v>142</v>
          </cell>
          <cell r="N98">
            <v>0</v>
          </cell>
          <cell r="O98">
            <v>18.96</v>
          </cell>
          <cell r="P98">
            <v>0</v>
          </cell>
          <cell r="Q98">
            <v>0</v>
          </cell>
        </row>
        <row r="99">
          <cell r="D99">
            <v>9999</v>
          </cell>
          <cell r="E99" t="str">
            <v xml:space="preserve">M07군1소계          </v>
          </cell>
          <cell r="F99">
            <v>0</v>
          </cell>
          <cell r="G99">
            <v>747</v>
          </cell>
          <cell r="H99">
            <v>0</v>
          </cell>
          <cell r="I99">
            <v>2</v>
          </cell>
          <cell r="J99">
            <v>0</v>
          </cell>
          <cell r="K99">
            <v>739</v>
          </cell>
          <cell r="L99">
            <v>888</v>
          </cell>
          <cell r="M99">
            <v>142</v>
          </cell>
          <cell r="N99">
            <v>0</v>
          </cell>
          <cell r="O99">
            <v>18.96</v>
          </cell>
          <cell r="P99">
            <v>0</v>
          </cell>
          <cell r="Q99">
            <v>0</v>
          </cell>
        </row>
        <row r="100">
          <cell r="D100">
            <v>5428</v>
          </cell>
          <cell r="E100" t="str">
            <v xml:space="preserve">평촌역MC            </v>
          </cell>
          <cell r="F100">
            <v>6</v>
          </cell>
          <cell r="G100">
            <v>72</v>
          </cell>
          <cell r="H100">
            <v>-1</v>
          </cell>
          <cell r="I100">
            <v>1</v>
          </cell>
          <cell r="J100">
            <v>0</v>
          </cell>
          <cell r="K100">
            <v>63</v>
          </cell>
          <cell r="L100">
            <v>76</v>
          </cell>
          <cell r="M100">
            <v>4</v>
          </cell>
          <cell r="N100">
            <v>86</v>
          </cell>
          <cell r="O100">
            <v>6.02</v>
          </cell>
          <cell r="P100">
            <v>63</v>
          </cell>
          <cell r="Q100">
            <v>149</v>
          </cell>
        </row>
        <row r="101">
          <cell r="D101">
            <v>5415</v>
          </cell>
          <cell r="E101" t="str">
            <v xml:space="preserve">파주 LCD MC         </v>
          </cell>
          <cell r="F101">
            <v>2</v>
          </cell>
          <cell r="G101">
            <v>213</v>
          </cell>
          <cell r="H101">
            <v>1</v>
          </cell>
          <cell r="I101">
            <v>0</v>
          </cell>
          <cell r="J101">
            <v>0</v>
          </cell>
          <cell r="K101">
            <v>201</v>
          </cell>
          <cell r="L101">
            <v>242</v>
          </cell>
          <cell r="M101">
            <v>29</v>
          </cell>
          <cell r="N101">
            <v>120</v>
          </cell>
          <cell r="O101">
            <v>13.71</v>
          </cell>
          <cell r="P101">
            <v>71</v>
          </cell>
          <cell r="Q101">
            <v>191</v>
          </cell>
        </row>
        <row r="102">
          <cell r="D102">
            <v>5248</v>
          </cell>
          <cell r="E102" t="str">
            <v xml:space="preserve">테헤란로JYMC        </v>
          </cell>
          <cell r="F102">
            <v>1</v>
          </cell>
          <cell r="G102">
            <v>73</v>
          </cell>
          <cell r="H102">
            <v>0</v>
          </cell>
          <cell r="I102">
            <v>0</v>
          </cell>
          <cell r="J102">
            <v>0</v>
          </cell>
          <cell r="K102">
            <v>90</v>
          </cell>
          <cell r="L102">
            <v>107</v>
          </cell>
          <cell r="M102">
            <v>35</v>
          </cell>
          <cell r="N102">
            <v>127</v>
          </cell>
          <cell r="O102">
            <v>47.55</v>
          </cell>
          <cell r="P102">
            <v>90</v>
          </cell>
          <cell r="Q102">
            <v>217</v>
          </cell>
        </row>
        <row r="103">
          <cell r="D103">
            <v>5437</v>
          </cell>
          <cell r="E103" t="str">
            <v xml:space="preserve">남동JYMC            </v>
          </cell>
          <cell r="F103">
            <v>8</v>
          </cell>
          <cell r="G103">
            <v>63</v>
          </cell>
          <cell r="H103">
            <v>0</v>
          </cell>
          <cell r="I103">
            <v>0</v>
          </cell>
          <cell r="J103">
            <v>0</v>
          </cell>
          <cell r="K103">
            <v>55</v>
          </cell>
          <cell r="L103">
            <v>66</v>
          </cell>
          <cell r="M103">
            <v>3</v>
          </cell>
          <cell r="N103">
            <v>85</v>
          </cell>
          <cell r="O103">
            <v>5</v>
          </cell>
          <cell r="P103">
            <v>61</v>
          </cell>
          <cell r="Q103">
            <v>146</v>
          </cell>
        </row>
        <row r="104">
          <cell r="D104">
            <v>5284</v>
          </cell>
          <cell r="E104" t="str">
            <v xml:space="preserve">강남역MC            </v>
          </cell>
          <cell r="F104">
            <v>12</v>
          </cell>
          <cell r="G104">
            <v>35</v>
          </cell>
          <cell r="H104">
            <v>-2</v>
          </cell>
          <cell r="I104">
            <v>0</v>
          </cell>
          <cell r="J104">
            <v>0</v>
          </cell>
          <cell r="K104">
            <v>22</v>
          </cell>
          <cell r="L104">
            <v>24</v>
          </cell>
          <cell r="M104">
            <v>-11</v>
          </cell>
          <cell r="N104">
            <v>66</v>
          </cell>
          <cell r="O104">
            <v>-31.57</v>
          </cell>
          <cell r="P104">
            <v>30</v>
          </cell>
          <cell r="Q104">
            <v>96</v>
          </cell>
        </row>
        <row r="105">
          <cell r="D105">
            <v>5703</v>
          </cell>
          <cell r="E105" t="str">
            <v xml:space="preserve">구미MC              </v>
          </cell>
          <cell r="F105">
            <v>11</v>
          </cell>
          <cell r="G105">
            <v>248</v>
          </cell>
          <cell r="H105">
            <v>1</v>
          </cell>
          <cell r="I105">
            <v>0</v>
          </cell>
          <cell r="J105">
            <v>0</v>
          </cell>
          <cell r="K105">
            <v>199</v>
          </cell>
          <cell r="L105">
            <v>240</v>
          </cell>
          <cell r="M105">
            <v>-7</v>
          </cell>
          <cell r="N105">
            <v>71</v>
          </cell>
          <cell r="O105">
            <v>-3</v>
          </cell>
          <cell r="P105">
            <v>52</v>
          </cell>
          <cell r="Q105">
            <v>123</v>
          </cell>
        </row>
        <row r="106">
          <cell r="D106">
            <v>5273</v>
          </cell>
          <cell r="E106" t="str">
            <v xml:space="preserve">퇴계로MC            </v>
          </cell>
          <cell r="F106">
            <v>4</v>
          </cell>
          <cell r="G106">
            <v>419</v>
          </cell>
          <cell r="H106">
            <v>1</v>
          </cell>
          <cell r="I106">
            <v>0</v>
          </cell>
          <cell r="J106">
            <v>0</v>
          </cell>
          <cell r="K106">
            <v>358</v>
          </cell>
          <cell r="L106">
            <v>431</v>
          </cell>
          <cell r="M106">
            <v>12</v>
          </cell>
          <cell r="N106">
            <v>97</v>
          </cell>
          <cell r="O106">
            <v>2.88</v>
          </cell>
          <cell r="P106">
            <v>59</v>
          </cell>
          <cell r="Q106">
            <v>156</v>
          </cell>
        </row>
        <row r="107">
          <cell r="D107">
            <v>5607</v>
          </cell>
          <cell r="E107" t="str">
            <v xml:space="preserve">사상MC              </v>
          </cell>
          <cell r="F107">
            <v>3</v>
          </cell>
          <cell r="G107">
            <v>100</v>
          </cell>
          <cell r="H107">
            <v>0</v>
          </cell>
          <cell r="I107">
            <v>1</v>
          </cell>
          <cell r="J107">
            <v>0</v>
          </cell>
          <cell r="K107">
            <v>93</v>
          </cell>
          <cell r="L107">
            <v>113</v>
          </cell>
          <cell r="M107">
            <v>13</v>
          </cell>
          <cell r="N107">
            <v>98</v>
          </cell>
          <cell r="O107">
            <v>13.12</v>
          </cell>
          <cell r="P107">
            <v>71</v>
          </cell>
          <cell r="Q107">
            <v>169</v>
          </cell>
        </row>
        <row r="108">
          <cell r="D108">
            <v>5502</v>
          </cell>
          <cell r="E108" t="str">
            <v xml:space="preserve">대전MC              </v>
          </cell>
          <cell r="F108">
            <v>9</v>
          </cell>
          <cell r="G108">
            <v>17</v>
          </cell>
          <cell r="H108">
            <v>-7</v>
          </cell>
          <cell r="I108">
            <v>0</v>
          </cell>
          <cell r="J108">
            <v>0</v>
          </cell>
          <cell r="K108">
            <v>22</v>
          </cell>
          <cell r="L108">
            <v>17</v>
          </cell>
          <cell r="M108">
            <v>0</v>
          </cell>
          <cell r="N108">
            <v>81</v>
          </cell>
          <cell r="O108">
            <v>-0.51</v>
          </cell>
          <cell r="P108">
            <v>55</v>
          </cell>
          <cell r="Q108">
            <v>136</v>
          </cell>
        </row>
        <row r="109">
          <cell r="D109">
            <v>5271</v>
          </cell>
          <cell r="E109" t="str">
            <v xml:space="preserve">남부터미널MC        </v>
          </cell>
          <cell r="F109">
            <v>5</v>
          </cell>
          <cell r="G109">
            <v>74</v>
          </cell>
          <cell r="H109">
            <v>1</v>
          </cell>
          <cell r="I109">
            <v>0</v>
          </cell>
          <cell r="J109">
            <v>0</v>
          </cell>
          <cell r="K109">
            <v>65</v>
          </cell>
          <cell r="L109">
            <v>80</v>
          </cell>
          <cell r="M109">
            <v>6</v>
          </cell>
          <cell r="N109">
            <v>89</v>
          </cell>
          <cell r="O109">
            <v>8.42</v>
          </cell>
          <cell r="P109">
            <v>65</v>
          </cell>
          <cell r="Q109">
            <v>154</v>
          </cell>
        </row>
        <row r="110">
          <cell r="D110">
            <v>5202</v>
          </cell>
          <cell r="E110" t="str">
            <v xml:space="preserve">창신동MC            </v>
          </cell>
          <cell r="F110">
            <v>7</v>
          </cell>
          <cell r="G110">
            <v>43</v>
          </cell>
          <cell r="H110">
            <v>0</v>
          </cell>
          <cell r="I110">
            <v>0</v>
          </cell>
          <cell r="J110">
            <v>0</v>
          </cell>
          <cell r="K110">
            <v>38</v>
          </cell>
          <cell r="L110">
            <v>46</v>
          </cell>
          <cell r="M110">
            <v>3</v>
          </cell>
          <cell r="N110">
            <v>84</v>
          </cell>
          <cell r="O110">
            <v>6.43</v>
          </cell>
          <cell r="P110">
            <v>63</v>
          </cell>
          <cell r="Q110">
            <v>147</v>
          </cell>
        </row>
        <row r="111">
          <cell r="D111">
            <v>5242</v>
          </cell>
          <cell r="E111" t="str">
            <v xml:space="preserve">양재남MC            </v>
          </cell>
          <cell r="F111">
            <v>10</v>
          </cell>
          <cell r="G111">
            <v>41</v>
          </cell>
          <cell r="H111">
            <v>-1</v>
          </cell>
          <cell r="I111">
            <v>0</v>
          </cell>
          <cell r="J111">
            <v>0</v>
          </cell>
          <cell r="K111">
            <v>32</v>
          </cell>
          <cell r="L111">
            <v>38</v>
          </cell>
          <cell r="M111">
            <v>-3</v>
          </cell>
          <cell r="N111">
            <v>77</v>
          </cell>
          <cell r="O111">
            <v>-6.86</v>
          </cell>
          <cell r="P111">
            <v>48</v>
          </cell>
          <cell r="Q111">
            <v>125</v>
          </cell>
        </row>
        <row r="112">
          <cell r="D112">
            <v>9998</v>
          </cell>
          <cell r="E112" t="str">
            <v xml:space="preserve">M08군2소계          </v>
          </cell>
          <cell r="F112">
            <v>0</v>
          </cell>
          <cell r="G112">
            <v>1396</v>
          </cell>
          <cell r="H112">
            <v>-7</v>
          </cell>
          <cell r="I112">
            <v>4</v>
          </cell>
          <cell r="J112">
            <v>0</v>
          </cell>
          <cell r="K112">
            <v>1237</v>
          </cell>
          <cell r="L112">
            <v>1481</v>
          </cell>
          <cell r="M112">
            <v>84</v>
          </cell>
          <cell r="N112">
            <v>0</v>
          </cell>
          <cell r="O112">
            <v>6.03</v>
          </cell>
          <cell r="P112">
            <v>0</v>
          </cell>
          <cell r="Q112">
            <v>0</v>
          </cell>
        </row>
        <row r="113">
          <cell r="D113">
            <v>9999</v>
          </cell>
          <cell r="E113" t="str">
            <v xml:space="preserve">M08군1소계          </v>
          </cell>
          <cell r="F113">
            <v>0</v>
          </cell>
          <cell r="G113">
            <v>1396</v>
          </cell>
          <cell r="H113">
            <v>-7</v>
          </cell>
          <cell r="I113">
            <v>4</v>
          </cell>
          <cell r="J113">
            <v>0</v>
          </cell>
          <cell r="K113">
            <v>1237</v>
          </cell>
          <cell r="L113">
            <v>1481</v>
          </cell>
          <cell r="M113">
            <v>84</v>
          </cell>
          <cell r="N113">
            <v>0</v>
          </cell>
          <cell r="O113">
            <v>6.03</v>
          </cell>
          <cell r="P113">
            <v>0</v>
          </cell>
          <cell r="Q113">
            <v>0</v>
          </cell>
        </row>
        <row r="114">
          <cell r="D114">
            <v>5434</v>
          </cell>
          <cell r="E114" t="str">
            <v xml:space="preserve">송현동MC            </v>
          </cell>
          <cell r="F114">
            <v>6</v>
          </cell>
          <cell r="G114">
            <v>41</v>
          </cell>
          <cell r="H114">
            <v>0</v>
          </cell>
          <cell r="I114">
            <v>1</v>
          </cell>
          <cell r="J114">
            <v>0</v>
          </cell>
          <cell r="K114">
            <v>38</v>
          </cell>
          <cell r="L114">
            <v>46</v>
          </cell>
          <cell r="M114">
            <v>5</v>
          </cell>
          <cell r="N114">
            <v>84</v>
          </cell>
          <cell r="O114">
            <v>13.34</v>
          </cell>
          <cell r="P114">
            <v>59</v>
          </cell>
          <cell r="Q114">
            <v>143</v>
          </cell>
        </row>
        <row r="115">
          <cell r="D115">
            <v>5706</v>
          </cell>
          <cell r="E115" t="str">
            <v xml:space="preserve">성서공단MC          </v>
          </cell>
          <cell r="F115">
            <v>11</v>
          </cell>
          <cell r="G115">
            <v>56</v>
          </cell>
          <cell r="H115">
            <v>0</v>
          </cell>
          <cell r="I115">
            <v>0</v>
          </cell>
          <cell r="J115">
            <v>0</v>
          </cell>
          <cell r="K115">
            <v>37</v>
          </cell>
          <cell r="L115">
            <v>44</v>
          </cell>
          <cell r="M115">
            <v>-11</v>
          </cell>
          <cell r="N115">
            <v>70</v>
          </cell>
          <cell r="O115">
            <v>-20.09</v>
          </cell>
          <cell r="P115">
            <v>44</v>
          </cell>
          <cell r="Q115">
            <v>115</v>
          </cell>
        </row>
        <row r="116">
          <cell r="D116">
            <v>5616</v>
          </cell>
          <cell r="E116" t="str">
            <v xml:space="preserve">부전동MC            </v>
          </cell>
          <cell r="F116">
            <v>5</v>
          </cell>
          <cell r="G116">
            <v>43</v>
          </cell>
          <cell r="H116">
            <v>0</v>
          </cell>
          <cell r="I116">
            <v>0</v>
          </cell>
          <cell r="J116">
            <v>0</v>
          </cell>
          <cell r="K116">
            <v>42</v>
          </cell>
          <cell r="L116">
            <v>50</v>
          </cell>
          <cell r="M116">
            <v>8</v>
          </cell>
          <cell r="N116">
            <v>86</v>
          </cell>
          <cell r="O116">
            <v>17.89</v>
          </cell>
          <cell r="P116">
            <v>61</v>
          </cell>
          <cell r="Q116">
            <v>147</v>
          </cell>
        </row>
        <row r="117">
          <cell r="D117">
            <v>5269</v>
          </cell>
          <cell r="E117" t="str">
            <v xml:space="preserve">마포MC              </v>
          </cell>
          <cell r="F117">
            <v>2</v>
          </cell>
          <cell r="G117">
            <v>83</v>
          </cell>
          <cell r="H117">
            <v>0</v>
          </cell>
          <cell r="I117">
            <v>1</v>
          </cell>
          <cell r="J117">
            <v>0</v>
          </cell>
          <cell r="K117">
            <v>103</v>
          </cell>
          <cell r="L117">
            <v>124</v>
          </cell>
          <cell r="M117">
            <v>41</v>
          </cell>
          <cell r="N117">
            <v>114</v>
          </cell>
          <cell r="O117">
            <v>48.61</v>
          </cell>
          <cell r="P117">
            <v>75</v>
          </cell>
          <cell r="Q117">
            <v>188</v>
          </cell>
        </row>
        <row r="118">
          <cell r="D118">
            <v>5430</v>
          </cell>
          <cell r="E118" t="str">
            <v xml:space="preserve">송림동MC            </v>
          </cell>
          <cell r="F118">
            <v>10</v>
          </cell>
          <cell r="G118">
            <v>75</v>
          </cell>
          <cell r="H118">
            <v>0</v>
          </cell>
          <cell r="I118">
            <v>0</v>
          </cell>
          <cell r="J118">
            <v>0</v>
          </cell>
          <cell r="K118">
            <v>61</v>
          </cell>
          <cell r="L118">
            <v>73</v>
          </cell>
          <cell r="M118">
            <v>-2</v>
          </cell>
          <cell r="N118">
            <v>78</v>
          </cell>
          <cell r="O118">
            <v>-3.16</v>
          </cell>
          <cell r="P118">
            <v>52</v>
          </cell>
          <cell r="Q118">
            <v>129</v>
          </cell>
        </row>
        <row r="119">
          <cell r="D119">
            <v>5231</v>
          </cell>
          <cell r="E119" t="str">
            <v xml:space="preserve">사당동MC            </v>
          </cell>
          <cell r="F119">
            <v>9</v>
          </cell>
          <cell r="G119">
            <v>66</v>
          </cell>
          <cell r="H119">
            <v>0</v>
          </cell>
          <cell r="I119">
            <v>0</v>
          </cell>
          <cell r="J119">
            <v>0</v>
          </cell>
          <cell r="K119">
            <v>54</v>
          </cell>
          <cell r="L119">
            <v>65</v>
          </cell>
          <cell r="M119">
            <v>-2</v>
          </cell>
          <cell r="N119">
            <v>78</v>
          </cell>
          <cell r="O119">
            <v>-2.46</v>
          </cell>
          <cell r="P119">
            <v>52</v>
          </cell>
          <cell r="Q119">
            <v>130</v>
          </cell>
        </row>
        <row r="120">
          <cell r="D120">
            <v>5501</v>
          </cell>
          <cell r="E120" t="str">
            <v xml:space="preserve">오창MC              </v>
          </cell>
          <cell r="F120">
            <v>3</v>
          </cell>
          <cell r="G120">
            <v>83</v>
          </cell>
          <cell r="H120">
            <v>2</v>
          </cell>
          <cell r="I120">
            <v>0</v>
          </cell>
          <cell r="J120">
            <v>0</v>
          </cell>
          <cell r="K120">
            <v>89</v>
          </cell>
          <cell r="L120">
            <v>109</v>
          </cell>
          <cell r="M120">
            <v>26</v>
          </cell>
          <cell r="N120">
            <v>102</v>
          </cell>
          <cell r="O120">
            <v>31.36</v>
          </cell>
          <cell r="P120">
            <v>67</v>
          </cell>
          <cell r="Q120">
            <v>169</v>
          </cell>
        </row>
        <row r="121">
          <cell r="D121">
            <v>5711</v>
          </cell>
          <cell r="E121" t="str">
            <v xml:space="preserve">대구3공단MC         </v>
          </cell>
          <cell r="F121">
            <v>4</v>
          </cell>
          <cell r="G121">
            <v>23</v>
          </cell>
          <cell r="H121">
            <v>-16</v>
          </cell>
          <cell r="I121">
            <v>0</v>
          </cell>
          <cell r="J121">
            <v>0</v>
          </cell>
          <cell r="K121">
            <v>44</v>
          </cell>
          <cell r="L121">
            <v>34</v>
          </cell>
          <cell r="M121">
            <v>11</v>
          </cell>
          <cell r="N121">
            <v>89</v>
          </cell>
          <cell r="O121">
            <v>47.3</v>
          </cell>
          <cell r="P121">
            <v>74</v>
          </cell>
          <cell r="Q121">
            <v>163</v>
          </cell>
        </row>
        <row r="122">
          <cell r="D122">
            <v>5605</v>
          </cell>
          <cell r="E122" t="str">
            <v xml:space="preserve">부산MC              </v>
          </cell>
          <cell r="F122">
            <v>8</v>
          </cell>
          <cell r="G122">
            <v>280</v>
          </cell>
          <cell r="H122">
            <v>1</v>
          </cell>
          <cell r="I122">
            <v>5</v>
          </cell>
          <cell r="J122">
            <v>0</v>
          </cell>
          <cell r="K122">
            <v>227</v>
          </cell>
          <cell r="L122">
            <v>280</v>
          </cell>
          <cell r="M122">
            <v>0</v>
          </cell>
          <cell r="N122">
            <v>79</v>
          </cell>
          <cell r="O122">
            <v>-0.12</v>
          </cell>
          <cell r="P122">
            <v>53</v>
          </cell>
          <cell r="Q122">
            <v>132</v>
          </cell>
        </row>
        <row r="123">
          <cell r="D123">
            <v>5233</v>
          </cell>
          <cell r="E123" t="str">
            <v xml:space="preserve">강북MC              </v>
          </cell>
          <cell r="F123">
            <v>7</v>
          </cell>
          <cell r="G123">
            <v>21</v>
          </cell>
          <cell r="H123">
            <v>0</v>
          </cell>
          <cell r="I123">
            <v>0</v>
          </cell>
          <cell r="J123">
            <v>0</v>
          </cell>
          <cell r="K123">
            <v>19</v>
          </cell>
          <cell r="L123">
            <v>23</v>
          </cell>
          <cell r="M123">
            <v>1</v>
          </cell>
          <cell r="N123">
            <v>81</v>
          </cell>
          <cell r="O123">
            <v>6.93</v>
          </cell>
          <cell r="P123">
            <v>56</v>
          </cell>
          <cell r="Q123">
            <v>137</v>
          </cell>
        </row>
        <row r="124">
          <cell r="D124">
            <v>5702</v>
          </cell>
          <cell r="E124" t="str">
            <v xml:space="preserve">포항MC              </v>
          </cell>
          <cell r="F124">
            <v>1</v>
          </cell>
          <cell r="G124">
            <v>103</v>
          </cell>
          <cell r="H124">
            <v>-1</v>
          </cell>
          <cell r="I124">
            <v>0</v>
          </cell>
          <cell r="J124">
            <v>0</v>
          </cell>
          <cell r="K124">
            <v>135</v>
          </cell>
          <cell r="L124">
            <v>161</v>
          </cell>
          <cell r="M124">
            <v>59</v>
          </cell>
          <cell r="N124">
            <v>129</v>
          </cell>
          <cell r="O124">
            <v>57.12</v>
          </cell>
          <cell r="P124">
            <v>78</v>
          </cell>
          <cell r="Q124">
            <v>207</v>
          </cell>
        </row>
        <row r="125">
          <cell r="D125">
            <v>9998</v>
          </cell>
          <cell r="E125" t="str">
            <v xml:space="preserve">M09군2소계          </v>
          </cell>
          <cell r="F125">
            <v>0</v>
          </cell>
          <cell r="G125">
            <v>875</v>
          </cell>
          <cell r="H125">
            <v>-14</v>
          </cell>
          <cell r="I125">
            <v>7</v>
          </cell>
          <cell r="J125">
            <v>0</v>
          </cell>
          <cell r="K125">
            <v>848</v>
          </cell>
          <cell r="L125">
            <v>1010</v>
          </cell>
          <cell r="M125">
            <v>135</v>
          </cell>
          <cell r="N125">
            <v>0</v>
          </cell>
          <cell r="O125">
            <v>15.47</v>
          </cell>
          <cell r="P125">
            <v>0</v>
          </cell>
          <cell r="Q125">
            <v>0</v>
          </cell>
        </row>
        <row r="126">
          <cell r="D126">
            <v>9999</v>
          </cell>
          <cell r="E126" t="str">
            <v xml:space="preserve">M09군1소계          </v>
          </cell>
          <cell r="F126">
            <v>0</v>
          </cell>
          <cell r="G126">
            <v>875</v>
          </cell>
          <cell r="H126">
            <v>-14</v>
          </cell>
          <cell r="I126">
            <v>7</v>
          </cell>
          <cell r="J126">
            <v>0</v>
          </cell>
          <cell r="K126">
            <v>848</v>
          </cell>
          <cell r="L126">
            <v>1010</v>
          </cell>
          <cell r="M126">
            <v>135</v>
          </cell>
          <cell r="N126">
            <v>0</v>
          </cell>
          <cell r="O126">
            <v>15.47</v>
          </cell>
          <cell r="P126">
            <v>0</v>
          </cell>
          <cell r="Q126">
            <v>0</v>
          </cell>
        </row>
        <row r="127">
          <cell r="D127">
            <v>5281</v>
          </cell>
          <cell r="E127" t="str">
            <v xml:space="preserve">디지털산업MC        </v>
          </cell>
          <cell r="F127">
            <v>5</v>
          </cell>
          <cell r="G127">
            <v>60</v>
          </cell>
          <cell r="H127">
            <v>-1</v>
          </cell>
          <cell r="I127">
            <v>0</v>
          </cell>
          <cell r="J127">
            <v>0</v>
          </cell>
          <cell r="K127">
            <v>57</v>
          </cell>
          <cell r="L127">
            <v>67</v>
          </cell>
          <cell r="M127">
            <v>7</v>
          </cell>
          <cell r="N127">
            <v>86</v>
          </cell>
          <cell r="O127">
            <v>11.71</v>
          </cell>
          <cell r="P127">
            <v>56</v>
          </cell>
          <cell r="Q127">
            <v>142</v>
          </cell>
        </row>
        <row r="128">
          <cell r="D128">
            <v>5245</v>
          </cell>
          <cell r="E128" t="str">
            <v xml:space="preserve">역삼역MC            </v>
          </cell>
          <cell r="F128">
            <v>1</v>
          </cell>
          <cell r="G128">
            <v>112</v>
          </cell>
          <cell r="H128">
            <v>1</v>
          </cell>
          <cell r="I128">
            <v>0</v>
          </cell>
          <cell r="J128">
            <v>0</v>
          </cell>
          <cell r="K128">
            <v>127</v>
          </cell>
          <cell r="L128">
            <v>153</v>
          </cell>
          <cell r="M128">
            <v>41</v>
          </cell>
          <cell r="N128">
            <v>125</v>
          </cell>
          <cell r="O128">
            <v>36.08</v>
          </cell>
          <cell r="P128">
            <v>71</v>
          </cell>
          <cell r="Q128">
            <v>196</v>
          </cell>
        </row>
        <row r="129">
          <cell r="D129">
            <v>5618</v>
          </cell>
          <cell r="E129" t="str">
            <v xml:space="preserve">김해MC              </v>
          </cell>
          <cell r="F129">
            <v>3</v>
          </cell>
          <cell r="G129">
            <v>59</v>
          </cell>
          <cell r="H129">
            <v>0</v>
          </cell>
          <cell r="I129">
            <v>0</v>
          </cell>
          <cell r="J129">
            <v>0</v>
          </cell>
          <cell r="K129">
            <v>63</v>
          </cell>
          <cell r="L129">
            <v>76</v>
          </cell>
          <cell r="M129">
            <v>16</v>
          </cell>
          <cell r="N129">
            <v>97</v>
          </cell>
          <cell r="O129">
            <v>27.68</v>
          </cell>
          <cell r="P129">
            <v>66</v>
          </cell>
          <cell r="Q129">
            <v>163</v>
          </cell>
        </row>
        <row r="130">
          <cell r="D130">
            <v>5709</v>
          </cell>
          <cell r="E130" t="str">
            <v xml:space="preserve">경주MC              </v>
          </cell>
          <cell r="F130">
            <v>8</v>
          </cell>
          <cell r="G130">
            <v>60</v>
          </cell>
          <cell r="H130">
            <v>0</v>
          </cell>
          <cell r="I130">
            <v>1</v>
          </cell>
          <cell r="J130">
            <v>0</v>
          </cell>
          <cell r="K130">
            <v>43</v>
          </cell>
          <cell r="L130">
            <v>53</v>
          </cell>
          <cell r="M130">
            <v>-8</v>
          </cell>
          <cell r="N130">
            <v>68</v>
          </cell>
          <cell r="O130">
            <v>-12.87</v>
          </cell>
          <cell r="P130">
            <v>42</v>
          </cell>
          <cell r="Q130">
            <v>110</v>
          </cell>
        </row>
        <row r="131">
          <cell r="D131">
            <v>5423</v>
          </cell>
          <cell r="E131" t="str">
            <v xml:space="preserve">원주MC              </v>
          </cell>
          <cell r="F131">
            <v>4</v>
          </cell>
          <cell r="G131">
            <v>77</v>
          </cell>
          <cell r="H131">
            <v>0</v>
          </cell>
          <cell r="I131">
            <v>0</v>
          </cell>
          <cell r="J131">
            <v>0</v>
          </cell>
          <cell r="K131">
            <v>77</v>
          </cell>
          <cell r="L131">
            <v>93</v>
          </cell>
          <cell r="M131">
            <v>16</v>
          </cell>
          <cell r="N131">
            <v>96</v>
          </cell>
          <cell r="O131">
            <v>20.68</v>
          </cell>
          <cell r="P131">
            <v>62</v>
          </cell>
          <cell r="Q131">
            <v>158</v>
          </cell>
        </row>
        <row r="132">
          <cell r="D132">
            <v>5266</v>
          </cell>
          <cell r="E132" t="str">
            <v xml:space="preserve">시흥남MC            </v>
          </cell>
          <cell r="F132">
            <v>7</v>
          </cell>
          <cell r="G132">
            <v>41</v>
          </cell>
          <cell r="H132">
            <v>0</v>
          </cell>
          <cell r="I132">
            <v>0</v>
          </cell>
          <cell r="J132">
            <v>0</v>
          </cell>
          <cell r="K132">
            <v>31</v>
          </cell>
          <cell r="L132">
            <v>37</v>
          </cell>
          <cell r="M132">
            <v>-3</v>
          </cell>
          <cell r="N132">
            <v>73</v>
          </cell>
          <cell r="O132">
            <v>-8.41</v>
          </cell>
          <cell r="P132">
            <v>44</v>
          </cell>
          <cell r="Q132">
            <v>118</v>
          </cell>
        </row>
        <row r="133">
          <cell r="D133">
            <v>5431</v>
          </cell>
          <cell r="E133" t="str">
            <v xml:space="preserve">신갈MC              </v>
          </cell>
          <cell r="F133">
            <v>6</v>
          </cell>
          <cell r="G133">
            <v>28</v>
          </cell>
          <cell r="H133">
            <v>0</v>
          </cell>
          <cell r="I133">
            <v>0</v>
          </cell>
          <cell r="J133">
            <v>0</v>
          </cell>
          <cell r="K133">
            <v>25</v>
          </cell>
          <cell r="L133">
            <v>30</v>
          </cell>
          <cell r="M133">
            <v>1</v>
          </cell>
          <cell r="N133">
            <v>79</v>
          </cell>
          <cell r="O133">
            <v>5.34</v>
          </cell>
          <cell r="P133">
            <v>53</v>
          </cell>
          <cell r="Q133">
            <v>132</v>
          </cell>
        </row>
        <row r="134">
          <cell r="D134">
            <v>5230</v>
          </cell>
          <cell r="E134" t="str">
            <v xml:space="preserve">강동MC              </v>
          </cell>
          <cell r="F134">
            <v>2</v>
          </cell>
          <cell r="G134">
            <v>49</v>
          </cell>
          <cell r="H134">
            <v>0</v>
          </cell>
          <cell r="I134">
            <v>0</v>
          </cell>
          <cell r="J134">
            <v>0</v>
          </cell>
          <cell r="K134">
            <v>53</v>
          </cell>
          <cell r="L134">
            <v>64</v>
          </cell>
          <cell r="M134">
            <v>16</v>
          </cell>
          <cell r="N134">
            <v>96</v>
          </cell>
          <cell r="O134">
            <v>31.87</v>
          </cell>
          <cell r="P134">
            <v>69</v>
          </cell>
          <cell r="Q134">
            <v>164</v>
          </cell>
        </row>
        <row r="135">
          <cell r="D135">
            <v>9998</v>
          </cell>
          <cell r="E135" t="str">
            <v xml:space="preserve">M10군2소계          </v>
          </cell>
          <cell r="F135">
            <v>0</v>
          </cell>
          <cell r="G135">
            <v>486</v>
          </cell>
          <cell r="H135">
            <v>0</v>
          </cell>
          <cell r="I135">
            <v>2</v>
          </cell>
          <cell r="J135">
            <v>0</v>
          </cell>
          <cell r="K135">
            <v>475</v>
          </cell>
          <cell r="L135">
            <v>572</v>
          </cell>
          <cell r="M135">
            <v>86</v>
          </cell>
          <cell r="N135">
            <v>0</v>
          </cell>
          <cell r="O135">
            <v>17.62</v>
          </cell>
          <cell r="P135">
            <v>0</v>
          </cell>
          <cell r="Q135">
            <v>0</v>
          </cell>
        </row>
        <row r="136">
          <cell r="D136">
            <v>9999</v>
          </cell>
          <cell r="E136" t="str">
            <v xml:space="preserve">M10군1소계          </v>
          </cell>
          <cell r="F136">
            <v>0</v>
          </cell>
          <cell r="G136">
            <v>486</v>
          </cell>
          <cell r="H136">
            <v>0</v>
          </cell>
          <cell r="I136">
            <v>2</v>
          </cell>
          <cell r="J136">
            <v>0</v>
          </cell>
          <cell r="K136">
            <v>475</v>
          </cell>
          <cell r="L136">
            <v>572</v>
          </cell>
          <cell r="M136">
            <v>86</v>
          </cell>
          <cell r="N136">
            <v>0</v>
          </cell>
          <cell r="O136">
            <v>17.62</v>
          </cell>
          <cell r="P136">
            <v>0</v>
          </cell>
          <cell r="Q136">
            <v>0</v>
          </cell>
        </row>
        <row r="137">
          <cell r="D137">
            <v>5280</v>
          </cell>
          <cell r="E137" t="str">
            <v xml:space="preserve">가락JYMC            </v>
          </cell>
          <cell r="F137">
            <v>6</v>
          </cell>
          <cell r="G137">
            <v>121</v>
          </cell>
          <cell r="H137">
            <v>0</v>
          </cell>
          <cell r="I137">
            <v>1</v>
          </cell>
          <cell r="J137">
            <v>0</v>
          </cell>
          <cell r="K137">
            <v>95</v>
          </cell>
          <cell r="L137">
            <v>116</v>
          </cell>
          <cell r="M137">
            <v>-5</v>
          </cell>
          <cell r="N137">
            <v>75</v>
          </cell>
          <cell r="O137">
            <v>-3.8</v>
          </cell>
          <cell r="P137">
            <v>53</v>
          </cell>
          <cell r="Q137">
            <v>128</v>
          </cell>
        </row>
        <row r="138">
          <cell r="D138">
            <v>5416</v>
          </cell>
          <cell r="E138" t="str">
            <v xml:space="preserve">시화공단MC          </v>
          </cell>
          <cell r="F138">
            <v>2</v>
          </cell>
          <cell r="G138">
            <v>63</v>
          </cell>
          <cell r="H138">
            <v>0</v>
          </cell>
          <cell r="I138">
            <v>1</v>
          </cell>
          <cell r="J138">
            <v>0</v>
          </cell>
          <cell r="K138">
            <v>70</v>
          </cell>
          <cell r="L138">
            <v>85</v>
          </cell>
          <cell r="M138">
            <v>22</v>
          </cell>
          <cell r="N138">
            <v>111</v>
          </cell>
          <cell r="O138">
            <v>34.67</v>
          </cell>
          <cell r="P138">
            <v>73</v>
          </cell>
          <cell r="Q138">
            <v>184</v>
          </cell>
        </row>
        <row r="139">
          <cell r="D139">
            <v>5611</v>
          </cell>
          <cell r="E139" t="str">
            <v xml:space="preserve">연산JYMC            </v>
          </cell>
          <cell r="F139">
            <v>5</v>
          </cell>
          <cell r="G139">
            <v>82</v>
          </cell>
          <cell r="H139">
            <v>0</v>
          </cell>
          <cell r="I139">
            <v>2</v>
          </cell>
          <cell r="J139">
            <v>0</v>
          </cell>
          <cell r="K139">
            <v>67</v>
          </cell>
          <cell r="L139">
            <v>82</v>
          </cell>
          <cell r="M139">
            <v>0</v>
          </cell>
          <cell r="N139">
            <v>81</v>
          </cell>
          <cell r="O139">
            <v>0.12</v>
          </cell>
          <cell r="P139">
            <v>55</v>
          </cell>
          <cell r="Q139">
            <v>136</v>
          </cell>
        </row>
        <row r="140">
          <cell r="D140">
            <v>5279</v>
          </cell>
          <cell r="E140" t="str">
            <v xml:space="preserve">자양동MC            </v>
          </cell>
          <cell r="F140">
            <v>1</v>
          </cell>
          <cell r="G140">
            <v>58</v>
          </cell>
          <cell r="H140">
            <v>0</v>
          </cell>
          <cell r="I140">
            <v>1</v>
          </cell>
          <cell r="J140">
            <v>0</v>
          </cell>
          <cell r="K140">
            <v>69</v>
          </cell>
          <cell r="L140">
            <v>84</v>
          </cell>
          <cell r="M140">
            <v>26</v>
          </cell>
          <cell r="N140">
            <v>116</v>
          </cell>
          <cell r="O140">
            <v>44.96</v>
          </cell>
          <cell r="P140">
            <v>78</v>
          </cell>
          <cell r="Q140">
            <v>195</v>
          </cell>
        </row>
        <row r="141">
          <cell r="D141">
            <v>5710</v>
          </cell>
          <cell r="E141" t="str">
            <v xml:space="preserve">대구MC              </v>
          </cell>
          <cell r="F141">
            <v>7</v>
          </cell>
          <cell r="G141">
            <v>26</v>
          </cell>
          <cell r="H141">
            <v>0</v>
          </cell>
          <cell r="I141">
            <v>0</v>
          </cell>
          <cell r="J141">
            <v>0</v>
          </cell>
          <cell r="K141">
            <v>16</v>
          </cell>
          <cell r="L141">
            <v>20</v>
          </cell>
          <cell r="M141">
            <v>-7</v>
          </cell>
          <cell r="N141">
            <v>72</v>
          </cell>
          <cell r="O141">
            <v>-25.11</v>
          </cell>
          <cell r="P141">
            <v>42</v>
          </cell>
          <cell r="Q141">
            <v>114</v>
          </cell>
        </row>
        <row r="142">
          <cell r="D142">
            <v>5613</v>
          </cell>
          <cell r="E142" t="str">
            <v xml:space="preserve">창원공단MC          </v>
          </cell>
          <cell r="F142">
            <v>3</v>
          </cell>
          <cell r="G142">
            <v>81</v>
          </cell>
          <cell r="H142">
            <v>0</v>
          </cell>
          <cell r="I142">
            <v>0</v>
          </cell>
          <cell r="J142">
            <v>0</v>
          </cell>
          <cell r="K142">
            <v>72</v>
          </cell>
          <cell r="L142">
            <v>87</v>
          </cell>
          <cell r="M142">
            <v>6</v>
          </cell>
          <cell r="N142">
            <v>89</v>
          </cell>
          <cell r="O142">
            <v>6.87</v>
          </cell>
          <cell r="P142">
            <v>59</v>
          </cell>
          <cell r="Q142">
            <v>147</v>
          </cell>
        </row>
        <row r="143">
          <cell r="D143">
            <v>5426</v>
          </cell>
          <cell r="E143" t="str">
            <v xml:space="preserve">부천기업            </v>
          </cell>
          <cell r="F143">
            <v>4</v>
          </cell>
          <cell r="G143">
            <v>43</v>
          </cell>
          <cell r="H143">
            <v>0</v>
          </cell>
          <cell r="I143">
            <v>0</v>
          </cell>
          <cell r="J143">
            <v>0</v>
          </cell>
          <cell r="K143">
            <v>39</v>
          </cell>
          <cell r="L143">
            <v>46</v>
          </cell>
          <cell r="M143">
            <v>4</v>
          </cell>
          <cell r="N143">
            <v>86</v>
          </cell>
          <cell r="O143">
            <v>8.56</v>
          </cell>
          <cell r="P143">
            <v>59</v>
          </cell>
          <cell r="Q143">
            <v>145</v>
          </cell>
        </row>
        <row r="144">
          <cell r="D144">
            <v>9998</v>
          </cell>
          <cell r="E144" t="str">
            <v xml:space="preserve">M11군2소계          </v>
          </cell>
          <cell r="F144">
            <v>0</v>
          </cell>
          <cell r="G144">
            <v>474</v>
          </cell>
          <cell r="H144">
            <v>0</v>
          </cell>
          <cell r="I144">
            <v>5</v>
          </cell>
          <cell r="J144">
            <v>0</v>
          </cell>
          <cell r="K144">
            <v>428</v>
          </cell>
          <cell r="L144">
            <v>520</v>
          </cell>
          <cell r="M144">
            <v>46</v>
          </cell>
          <cell r="N144">
            <v>0</v>
          </cell>
          <cell r="O144">
            <v>9.7200000000000006</v>
          </cell>
          <cell r="P144">
            <v>0</v>
          </cell>
          <cell r="Q144">
            <v>0</v>
          </cell>
        </row>
        <row r="145">
          <cell r="D145">
            <v>9999</v>
          </cell>
          <cell r="E145" t="str">
            <v xml:space="preserve">M11군1소계          </v>
          </cell>
          <cell r="F145">
            <v>0</v>
          </cell>
          <cell r="G145">
            <v>474</v>
          </cell>
          <cell r="H145">
            <v>0</v>
          </cell>
          <cell r="I145">
            <v>5</v>
          </cell>
          <cell r="J145">
            <v>0</v>
          </cell>
          <cell r="K145">
            <v>428</v>
          </cell>
          <cell r="L145">
            <v>520</v>
          </cell>
          <cell r="M145">
            <v>46</v>
          </cell>
          <cell r="N145">
            <v>0</v>
          </cell>
          <cell r="O145">
            <v>9.7200000000000006</v>
          </cell>
          <cell r="P145">
            <v>0</v>
          </cell>
          <cell r="Q145">
            <v>0</v>
          </cell>
        </row>
        <row r="146">
          <cell r="D146">
            <v>5617</v>
          </cell>
          <cell r="E146" t="str">
            <v xml:space="preserve">녹산JYMC            </v>
          </cell>
          <cell r="F146">
            <v>10</v>
          </cell>
          <cell r="G146">
            <v>186</v>
          </cell>
          <cell r="H146">
            <v>0</v>
          </cell>
          <cell r="I146">
            <v>1</v>
          </cell>
          <cell r="J146">
            <v>0</v>
          </cell>
          <cell r="K146">
            <v>142</v>
          </cell>
          <cell r="L146">
            <v>172</v>
          </cell>
          <cell r="M146">
            <v>-14</v>
          </cell>
          <cell r="N146">
            <v>63</v>
          </cell>
          <cell r="O146">
            <v>-7.68</v>
          </cell>
          <cell r="P146">
            <v>57</v>
          </cell>
          <cell r="Q146">
            <v>120</v>
          </cell>
        </row>
        <row r="147">
          <cell r="D147">
            <v>5252</v>
          </cell>
          <cell r="E147" t="str">
            <v xml:space="preserve">여의도서MC          </v>
          </cell>
          <cell r="F147">
            <v>1</v>
          </cell>
          <cell r="G147">
            <v>76</v>
          </cell>
          <cell r="H147">
            <v>0</v>
          </cell>
          <cell r="I147">
            <v>0</v>
          </cell>
          <cell r="J147">
            <v>0</v>
          </cell>
          <cell r="K147">
            <v>143</v>
          </cell>
          <cell r="L147">
            <v>171</v>
          </cell>
          <cell r="M147">
            <v>95</v>
          </cell>
          <cell r="N147">
            <v>135</v>
          </cell>
          <cell r="O147">
            <v>124.09</v>
          </cell>
          <cell r="P147">
            <v>90</v>
          </cell>
          <cell r="Q147">
            <v>225</v>
          </cell>
        </row>
        <row r="148">
          <cell r="D148">
            <v>5422</v>
          </cell>
          <cell r="E148" t="str">
            <v xml:space="preserve">부평MC              </v>
          </cell>
          <cell r="F148">
            <v>9</v>
          </cell>
          <cell r="G148">
            <v>39</v>
          </cell>
          <cell r="H148">
            <v>0</v>
          </cell>
          <cell r="I148">
            <v>0</v>
          </cell>
          <cell r="J148">
            <v>0</v>
          </cell>
          <cell r="K148">
            <v>27</v>
          </cell>
          <cell r="L148">
            <v>32</v>
          </cell>
          <cell r="M148">
            <v>-6</v>
          </cell>
          <cell r="N148">
            <v>80</v>
          </cell>
          <cell r="O148">
            <v>-16.59</v>
          </cell>
          <cell r="P148">
            <v>51</v>
          </cell>
          <cell r="Q148">
            <v>131</v>
          </cell>
        </row>
        <row r="149">
          <cell r="D149">
            <v>5283</v>
          </cell>
          <cell r="E149" t="str">
            <v xml:space="preserve">가산디지털MC        </v>
          </cell>
          <cell r="F149">
            <v>4</v>
          </cell>
          <cell r="G149">
            <v>79</v>
          </cell>
          <cell r="H149">
            <v>-4</v>
          </cell>
          <cell r="I149">
            <v>2</v>
          </cell>
          <cell r="J149">
            <v>0</v>
          </cell>
          <cell r="K149">
            <v>74</v>
          </cell>
          <cell r="L149">
            <v>86</v>
          </cell>
          <cell r="M149">
            <v>8</v>
          </cell>
          <cell r="N149">
            <v>110</v>
          </cell>
          <cell r="O149">
            <v>9.9</v>
          </cell>
          <cell r="P149">
            <v>68</v>
          </cell>
          <cell r="Q149">
            <v>178</v>
          </cell>
        </row>
        <row r="150">
          <cell r="D150">
            <v>5435</v>
          </cell>
          <cell r="E150" t="str">
            <v xml:space="preserve">의정부JYMC          </v>
          </cell>
          <cell r="F150">
            <v>8</v>
          </cell>
          <cell r="G150">
            <v>40</v>
          </cell>
          <cell r="H150">
            <v>0</v>
          </cell>
          <cell r="I150">
            <v>0</v>
          </cell>
          <cell r="J150">
            <v>0</v>
          </cell>
          <cell r="K150">
            <v>30</v>
          </cell>
          <cell r="L150">
            <v>36</v>
          </cell>
          <cell r="M150">
            <v>-3</v>
          </cell>
          <cell r="N150">
            <v>86</v>
          </cell>
          <cell r="O150">
            <v>-8.35</v>
          </cell>
          <cell r="P150">
            <v>56</v>
          </cell>
          <cell r="Q150">
            <v>143</v>
          </cell>
        </row>
        <row r="151">
          <cell r="D151">
            <v>5506</v>
          </cell>
          <cell r="E151" t="str">
            <v xml:space="preserve">충주MC              </v>
          </cell>
          <cell r="F151">
            <v>2</v>
          </cell>
          <cell r="G151">
            <v>42</v>
          </cell>
          <cell r="H151">
            <v>0</v>
          </cell>
          <cell r="I151">
            <v>0</v>
          </cell>
          <cell r="J151">
            <v>0</v>
          </cell>
          <cell r="K151">
            <v>45</v>
          </cell>
          <cell r="L151">
            <v>54</v>
          </cell>
          <cell r="M151">
            <v>12</v>
          </cell>
          <cell r="N151">
            <v>119</v>
          </cell>
          <cell r="O151">
            <v>29.13</v>
          </cell>
          <cell r="P151">
            <v>80</v>
          </cell>
          <cell r="Q151">
            <v>200</v>
          </cell>
        </row>
        <row r="152">
          <cell r="D152">
            <v>5424</v>
          </cell>
          <cell r="E152" t="str">
            <v xml:space="preserve">성남MC              </v>
          </cell>
          <cell r="F152">
            <v>5</v>
          </cell>
          <cell r="G152">
            <v>68</v>
          </cell>
          <cell r="H152">
            <v>0</v>
          </cell>
          <cell r="I152">
            <v>0</v>
          </cell>
          <cell r="J152">
            <v>0</v>
          </cell>
          <cell r="K152">
            <v>59</v>
          </cell>
          <cell r="L152">
            <v>71</v>
          </cell>
          <cell r="M152">
            <v>3</v>
          </cell>
          <cell r="N152">
            <v>100</v>
          </cell>
          <cell r="O152">
            <v>4.5999999999999996</v>
          </cell>
          <cell r="P152">
            <v>65</v>
          </cell>
          <cell r="Q152">
            <v>165</v>
          </cell>
        </row>
        <row r="153">
          <cell r="D153">
            <v>5508</v>
          </cell>
          <cell r="E153" t="str">
            <v xml:space="preserve">대전JYMC            </v>
          </cell>
          <cell r="F153">
            <v>7</v>
          </cell>
          <cell r="G153">
            <v>38</v>
          </cell>
          <cell r="H153">
            <v>0</v>
          </cell>
          <cell r="I153">
            <v>0</v>
          </cell>
          <cell r="J153">
            <v>0</v>
          </cell>
          <cell r="K153">
            <v>30</v>
          </cell>
          <cell r="L153">
            <v>36</v>
          </cell>
          <cell r="M153">
            <v>-2</v>
          </cell>
          <cell r="N153">
            <v>90</v>
          </cell>
          <cell r="O153">
            <v>-4.78</v>
          </cell>
          <cell r="P153">
            <v>59</v>
          </cell>
          <cell r="Q153">
            <v>148</v>
          </cell>
        </row>
        <row r="154">
          <cell r="D154">
            <v>5282</v>
          </cell>
          <cell r="E154" t="str">
            <v xml:space="preserve">양재역MC            </v>
          </cell>
          <cell r="F154">
            <v>6</v>
          </cell>
          <cell r="G154">
            <v>43</v>
          </cell>
          <cell r="H154">
            <v>-1</v>
          </cell>
          <cell r="I154">
            <v>0</v>
          </cell>
          <cell r="J154">
            <v>0</v>
          </cell>
          <cell r="K154">
            <v>36</v>
          </cell>
          <cell r="L154">
            <v>42</v>
          </cell>
          <cell r="M154">
            <v>-1</v>
          </cell>
          <cell r="N154">
            <v>92</v>
          </cell>
          <cell r="O154">
            <v>-1.76</v>
          </cell>
          <cell r="P154">
            <v>61</v>
          </cell>
          <cell r="Q154">
            <v>153</v>
          </cell>
        </row>
        <row r="155">
          <cell r="D155">
            <v>5433</v>
          </cell>
          <cell r="E155" t="str">
            <v xml:space="preserve">이천MC              </v>
          </cell>
          <cell r="F155">
            <v>11</v>
          </cell>
          <cell r="G155">
            <v>49</v>
          </cell>
          <cell r="H155">
            <v>0</v>
          </cell>
          <cell r="I155">
            <v>0</v>
          </cell>
          <cell r="J155">
            <v>0</v>
          </cell>
          <cell r="K155">
            <v>29</v>
          </cell>
          <cell r="L155">
            <v>35</v>
          </cell>
          <cell r="M155">
            <v>-14</v>
          </cell>
          <cell r="N155">
            <v>64</v>
          </cell>
          <cell r="O155">
            <v>-28.71</v>
          </cell>
          <cell r="P155">
            <v>43</v>
          </cell>
          <cell r="Q155">
            <v>107</v>
          </cell>
        </row>
        <row r="156">
          <cell r="D156">
            <v>5425</v>
          </cell>
          <cell r="E156" t="str">
            <v xml:space="preserve">강원기업영업부      </v>
          </cell>
          <cell r="F156">
            <v>3</v>
          </cell>
          <cell r="G156">
            <v>4</v>
          </cell>
          <cell r="H156">
            <v>0</v>
          </cell>
          <cell r="I156">
            <v>1</v>
          </cell>
          <cell r="J156">
            <v>0</v>
          </cell>
          <cell r="K156">
            <v>4</v>
          </cell>
          <cell r="L156">
            <v>5</v>
          </cell>
          <cell r="M156">
            <v>1</v>
          </cell>
          <cell r="N156">
            <v>96</v>
          </cell>
          <cell r="O156">
            <v>32.24</v>
          </cell>
          <cell r="P156">
            <v>82</v>
          </cell>
          <cell r="Q156">
            <v>179</v>
          </cell>
        </row>
        <row r="157">
          <cell r="D157">
            <v>9998</v>
          </cell>
          <cell r="E157" t="str">
            <v xml:space="preserve">M12군2소계          </v>
          </cell>
          <cell r="F157">
            <v>0</v>
          </cell>
          <cell r="G157">
            <v>588</v>
          </cell>
          <cell r="H157">
            <v>-5</v>
          </cell>
          <cell r="I157">
            <v>4</v>
          </cell>
          <cell r="J157">
            <v>0</v>
          </cell>
          <cell r="K157">
            <v>477</v>
          </cell>
          <cell r="L157">
            <v>571</v>
          </cell>
          <cell r="M157">
            <v>-16</v>
          </cell>
          <cell r="N157">
            <v>0</v>
          </cell>
          <cell r="O157">
            <v>-2.79</v>
          </cell>
          <cell r="P157">
            <v>0</v>
          </cell>
          <cell r="Q157">
            <v>0</v>
          </cell>
        </row>
        <row r="158">
          <cell r="D158">
            <v>9999</v>
          </cell>
          <cell r="E158" t="str">
            <v xml:space="preserve">M12군1소계          </v>
          </cell>
          <cell r="F158">
            <v>0</v>
          </cell>
          <cell r="G158">
            <v>664</v>
          </cell>
          <cell r="H158">
            <v>-5</v>
          </cell>
          <cell r="I158">
            <v>4</v>
          </cell>
          <cell r="J158">
            <v>0</v>
          </cell>
          <cell r="K158">
            <v>619</v>
          </cell>
          <cell r="L158">
            <v>743</v>
          </cell>
          <cell r="M158">
            <v>78</v>
          </cell>
          <cell r="N158">
            <v>0</v>
          </cell>
          <cell r="O158">
            <v>11.8</v>
          </cell>
          <cell r="P158">
            <v>0</v>
          </cell>
          <cell r="Q158">
            <v>0</v>
          </cell>
        </row>
        <row r="159">
          <cell r="D159">
            <v>5258</v>
          </cell>
          <cell r="E159" t="str">
            <v xml:space="preserve">종로JYMC            </v>
          </cell>
          <cell r="F159">
            <v>3</v>
          </cell>
          <cell r="G159">
            <v>40</v>
          </cell>
          <cell r="H159">
            <v>0</v>
          </cell>
          <cell r="I159">
            <v>0</v>
          </cell>
          <cell r="J159">
            <v>0</v>
          </cell>
          <cell r="K159">
            <v>47</v>
          </cell>
          <cell r="L159">
            <v>57</v>
          </cell>
          <cell r="M159">
            <v>17</v>
          </cell>
          <cell r="N159">
            <v>111</v>
          </cell>
          <cell r="O159">
            <v>42.79</v>
          </cell>
          <cell r="P159">
            <v>71</v>
          </cell>
          <cell r="Q159">
            <v>183</v>
          </cell>
        </row>
        <row r="160">
          <cell r="D160">
            <v>5439</v>
          </cell>
          <cell r="E160" t="str">
            <v xml:space="preserve">화성발안MC          </v>
          </cell>
          <cell r="F160">
            <v>2</v>
          </cell>
          <cell r="G160">
            <v>19</v>
          </cell>
          <cell r="H160">
            <v>0</v>
          </cell>
          <cell r="I160">
            <v>0</v>
          </cell>
          <cell r="J160">
            <v>0</v>
          </cell>
          <cell r="K160">
            <v>26</v>
          </cell>
          <cell r="L160">
            <v>32</v>
          </cell>
          <cell r="M160">
            <v>13</v>
          </cell>
          <cell r="N160">
            <v>105</v>
          </cell>
          <cell r="O160">
            <v>64.790000000000006</v>
          </cell>
          <cell r="P160">
            <v>78</v>
          </cell>
          <cell r="Q160">
            <v>183</v>
          </cell>
        </row>
        <row r="161">
          <cell r="D161">
            <v>5807</v>
          </cell>
          <cell r="E161" t="str">
            <v xml:space="preserve">목포MC              </v>
          </cell>
          <cell r="F161">
            <v>9</v>
          </cell>
          <cell r="G161">
            <v>47</v>
          </cell>
          <cell r="H161">
            <v>-9</v>
          </cell>
          <cell r="I161">
            <v>0</v>
          </cell>
          <cell r="J161">
            <v>0</v>
          </cell>
          <cell r="K161">
            <v>21</v>
          </cell>
          <cell r="L161">
            <v>14</v>
          </cell>
          <cell r="M161">
            <v>-33</v>
          </cell>
          <cell r="N161">
            <v>45</v>
          </cell>
          <cell r="O161">
            <v>-69.41</v>
          </cell>
          <cell r="P161">
            <v>39</v>
          </cell>
          <cell r="Q161">
            <v>84</v>
          </cell>
        </row>
        <row r="162">
          <cell r="D162">
            <v>5436</v>
          </cell>
          <cell r="E162" t="str">
            <v xml:space="preserve">부천JYMC            </v>
          </cell>
          <cell r="F162">
            <v>4</v>
          </cell>
          <cell r="G162">
            <v>40</v>
          </cell>
          <cell r="H162">
            <v>0</v>
          </cell>
          <cell r="I162">
            <v>0</v>
          </cell>
          <cell r="J162">
            <v>0</v>
          </cell>
          <cell r="K162">
            <v>37</v>
          </cell>
          <cell r="L162">
            <v>44</v>
          </cell>
          <cell r="M162">
            <v>4</v>
          </cell>
          <cell r="N162">
            <v>94</v>
          </cell>
          <cell r="O162">
            <v>10.93</v>
          </cell>
          <cell r="P162">
            <v>62</v>
          </cell>
          <cell r="Q162">
            <v>156</v>
          </cell>
        </row>
        <row r="163">
          <cell r="D163">
            <v>5268</v>
          </cell>
          <cell r="E163" t="str">
            <v xml:space="preserve">보라매역MC          </v>
          </cell>
          <cell r="F163">
            <v>5</v>
          </cell>
          <cell r="G163">
            <v>38</v>
          </cell>
          <cell r="H163">
            <v>0</v>
          </cell>
          <cell r="I163">
            <v>0</v>
          </cell>
          <cell r="J163">
            <v>0</v>
          </cell>
          <cell r="K163">
            <v>33</v>
          </cell>
          <cell r="L163">
            <v>40</v>
          </cell>
          <cell r="M163">
            <v>2</v>
          </cell>
          <cell r="N163">
            <v>91</v>
          </cell>
          <cell r="O163">
            <v>4.28</v>
          </cell>
          <cell r="P163">
            <v>60</v>
          </cell>
          <cell r="Q163">
            <v>151</v>
          </cell>
        </row>
        <row r="164">
          <cell r="D164">
            <v>5278</v>
          </cell>
          <cell r="E164" t="str">
            <v xml:space="preserve">반포남MC            </v>
          </cell>
          <cell r="F164">
            <v>7</v>
          </cell>
          <cell r="G164">
            <v>33</v>
          </cell>
          <cell r="H164">
            <v>2</v>
          </cell>
          <cell r="I164">
            <v>0</v>
          </cell>
          <cell r="J164">
            <v>0</v>
          </cell>
          <cell r="K164">
            <v>21</v>
          </cell>
          <cell r="L164">
            <v>29</v>
          </cell>
          <cell r="M164">
            <v>-4</v>
          </cell>
          <cell r="N164">
            <v>83</v>
          </cell>
          <cell r="O164">
            <v>-12.36</v>
          </cell>
          <cell r="P164">
            <v>55</v>
          </cell>
          <cell r="Q164">
            <v>138</v>
          </cell>
        </row>
        <row r="165">
          <cell r="D165">
            <v>5610</v>
          </cell>
          <cell r="E165" t="str">
            <v xml:space="preserve">웅상MC              </v>
          </cell>
          <cell r="F165">
            <v>1</v>
          </cell>
          <cell r="G165">
            <v>26</v>
          </cell>
          <cell r="H165">
            <v>0</v>
          </cell>
          <cell r="I165">
            <v>5</v>
          </cell>
          <cell r="J165">
            <v>0</v>
          </cell>
          <cell r="K165">
            <v>29</v>
          </cell>
          <cell r="L165">
            <v>42</v>
          </cell>
          <cell r="M165">
            <v>16</v>
          </cell>
          <cell r="N165">
            <v>109</v>
          </cell>
          <cell r="O165">
            <v>59.48</v>
          </cell>
          <cell r="P165">
            <v>76</v>
          </cell>
          <cell r="Q165">
            <v>186</v>
          </cell>
        </row>
        <row r="166">
          <cell r="D166">
            <v>5804</v>
          </cell>
          <cell r="E166" t="str">
            <v xml:space="preserve">익산MC              </v>
          </cell>
          <cell r="F166">
            <v>6</v>
          </cell>
          <cell r="G166">
            <v>19</v>
          </cell>
          <cell r="H166">
            <v>0</v>
          </cell>
          <cell r="I166">
            <v>0</v>
          </cell>
          <cell r="J166">
            <v>0</v>
          </cell>
          <cell r="K166">
            <v>16</v>
          </cell>
          <cell r="L166">
            <v>19</v>
          </cell>
          <cell r="M166">
            <v>0</v>
          </cell>
          <cell r="N166">
            <v>89</v>
          </cell>
          <cell r="O166">
            <v>2.41</v>
          </cell>
          <cell r="P166">
            <v>60</v>
          </cell>
          <cell r="Q166">
            <v>149</v>
          </cell>
        </row>
        <row r="167">
          <cell r="D167">
            <v>5421</v>
          </cell>
          <cell r="E167" t="str">
            <v xml:space="preserve">안양MC              </v>
          </cell>
          <cell r="F167">
            <v>8</v>
          </cell>
          <cell r="G167">
            <v>21</v>
          </cell>
          <cell r="H167">
            <v>0</v>
          </cell>
          <cell r="I167">
            <v>0</v>
          </cell>
          <cell r="J167">
            <v>0</v>
          </cell>
          <cell r="K167">
            <v>14</v>
          </cell>
          <cell r="L167">
            <v>17</v>
          </cell>
          <cell r="M167">
            <v>-4</v>
          </cell>
          <cell r="N167">
            <v>83</v>
          </cell>
          <cell r="O167">
            <v>-18.739999999999998</v>
          </cell>
          <cell r="P167">
            <v>53</v>
          </cell>
          <cell r="Q167">
            <v>136</v>
          </cell>
        </row>
        <row r="168">
          <cell r="D168">
            <v>9998</v>
          </cell>
          <cell r="E168" t="str">
            <v xml:space="preserve">M13군2소계          </v>
          </cell>
          <cell r="F168">
            <v>0</v>
          </cell>
          <cell r="G168">
            <v>283</v>
          </cell>
          <cell r="H168">
            <v>-7</v>
          </cell>
          <cell r="I168">
            <v>6</v>
          </cell>
          <cell r="J168">
            <v>0</v>
          </cell>
          <cell r="K168">
            <v>245</v>
          </cell>
          <cell r="L168">
            <v>294</v>
          </cell>
          <cell r="M168">
            <v>11</v>
          </cell>
          <cell r="N168">
            <v>0</v>
          </cell>
          <cell r="O168">
            <v>3.83</v>
          </cell>
          <cell r="P168">
            <v>0</v>
          </cell>
          <cell r="Q168">
            <v>0</v>
          </cell>
        </row>
        <row r="169">
          <cell r="D169">
            <v>9999</v>
          </cell>
          <cell r="E169" t="str">
            <v xml:space="preserve">M13군1소계          </v>
          </cell>
          <cell r="F169">
            <v>0</v>
          </cell>
          <cell r="G169">
            <v>283</v>
          </cell>
          <cell r="H169">
            <v>-7</v>
          </cell>
          <cell r="I169">
            <v>6</v>
          </cell>
          <cell r="J169">
            <v>0</v>
          </cell>
          <cell r="K169">
            <v>245</v>
          </cell>
          <cell r="L169">
            <v>294</v>
          </cell>
          <cell r="M169">
            <v>11</v>
          </cell>
          <cell r="N169">
            <v>0</v>
          </cell>
          <cell r="O169">
            <v>3.83</v>
          </cell>
          <cell r="P169">
            <v>0</v>
          </cell>
          <cell r="Q169">
            <v>0</v>
          </cell>
        </row>
        <row r="170">
          <cell r="D170">
            <v>5272</v>
          </cell>
          <cell r="E170" t="str">
            <v xml:space="preserve">스타시티MC          </v>
          </cell>
          <cell r="F170">
            <v>3</v>
          </cell>
          <cell r="G170">
            <v>36</v>
          </cell>
          <cell r="H170">
            <v>0</v>
          </cell>
          <cell r="I170">
            <v>1</v>
          </cell>
          <cell r="J170">
            <v>0</v>
          </cell>
          <cell r="K170">
            <v>41</v>
          </cell>
          <cell r="L170">
            <v>51</v>
          </cell>
          <cell r="M170">
            <v>15</v>
          </cell>
          <cell r="N170">
            <v>105</v>
          </cell>
          <cell r="O170">
            <v>40.67</v>
          </cell>
          <cell r="P170">
            <v>69</v>
          </cell>
          <cell r="Q170">
            <v>175</v>
          </cell>
        </row>
        <row r="171">
          <cell r="D171">
            <v>5432</v>
          </cell>
          <cell r="E171" t="str">
            <v xml:space="preserve">서현역MC            </v>
          </cell>
          <cell r="F171">
            <v>1</v>
          </cell>
          <cell r="G171">
            <v>56</v>
          </cell>
          <cell r="H171">
            <v>-1</v>
          </cell>
          <cell r="I171">
            <v>0</v>
          </cell>
          <cell r="J171">
            <v>0</v>
          </cell>
          <cell r="K171">
            <v>68</v>
          </cell>
          <cell r="L171">
            <v>80</v>
          </cell>
          <cell r="M171">
            <v>25</v>
          </cell>
          <cell r="N171">
            <v>118</v>
          </cell>
          <cell r="O171">
            <v>44.12</v>
          </cell>
          <cell r="P171">
            <v>70</v>
          </cell>
          <cell r="Q171">
            <v>188</v>
          </cell>
        </row>
        <row r="172">
          <cell r="D172">
            <v>5712</v>
          </cell>
          <cell r="E172" t="str">
            <v xml:space="preserve">진량공단MC          </v>
          </cell>
          <cell r="F172">
            <v>2</v>
          </cell>
          <cell r="G172">
            <v>19</v>
          </cell>
          <cell r="H172">
            <v>0</v>
          </cell>
          <cell r="I172">
            <v>1</v>
          </cell>
          <cell r="J172">
            <v>0</v>
          </cell>
          <cell r="K172">
            <v>26</v>
          </cell>
          <cell r="L172">
            <v>32</v>
          </cell>
          <cell r="M172">
            <v>14</v>
          </cell>
          <cell r="N172">
            <v>104</v>
          </cell>
          <cell r="O172">
            <v>74.180000000000007</v>
          </cell>
          <cell r="P172">
            <v>79</v>
          </cell>
          <cell r="Q172">
            <v>183</v>
          </cell>
        </row>
        <row r="173">
          <cell r="D173">
            <v>5620</v>
          </cell>
          <cell r="E173" t="str">
            <v xml:space="preserve">진영MC              </v>
          </cell>
          <cell r="F173">
            <v>4</v>
          </cell>
          <cell r="G173">
            <v>38</v>
          </cell>
          <cell r="H173">
            <v>-1</v>
          </cell>
          <cell r="I173">
            <v>2</v>
          </cell>
          <cell r="J173">
            <v>0</v>
          </cell>
          <cell r="K173">
            <v>36</v>
          </cell>
          <cell r="L173">
            <v>44</v>
          </cell>
          <cell r="M173">
            <v>6</v>
          </cell>
          <cell r="N173">
            <v>94</v>
          </cell>
          <cell r="O173">
            <v>15.57</v>
          </cell>
          <cell r="P173">
            <v>62</v>
          </cell>
          <cell r="Q173">
            <v>156</v>
          </cell>
        </row>
        <row r="174">
          <cell r="D174">
            <v>5418</v>
          </cell>
          <cell r="E174" t="str">
            <v xml:space="preserve">호계동MC            </v>
          </cell>
          <cell r="F174">
            <v>7</v>
          </cell>
          <cell r="G174">
            <v>18</v>
          </cell>
          <cell r="H174">
            <v>0</v>
          </cell>
          <cell r="I174">
            <v>0</v>
          </cell>
          <cell r="J174">
            <v>0</v>
          </cell>
          <cell r="K174">
            <v>13</v>
          </cell>
          <cell r="L174">
            <v>16</v>
          </cell>
          <cell r="M174">
            <v>-2</v>
          </cell>
          <cell r="N174">
            <v>84</v>
          </cell>
          <cell r="O174">
            <v>-10.1</v>
          </cell>
          <cell r="P174">
            <v>55</v>
          </cell>
          <cell r="Q174">
            <v>139</v>
          </cell>
        </row>
        <row r="175">
          <cell r="D175">
            <v>5442</v>
          </cell>
          <cell r="E175" t="str">
            <v xml:space="preserve">남동공단2MC         </v>
          </cell>
          <cell r="F175">
            <v>8</v>
          </cell>
          <cell r="G175">
            <v>18</v>
          </cell>
          <cell r="H175">
            <v>-2</v>
          </cell>
          <cell r="I175">
            <v>0</v>
          </cell>
          <cell r="J175">
            <v>0</v>
          </cell>
          <cell r="K175">
            <v>15</v>
          </cell>
          <cell r="L175">
            <v>15</v>
          </cell>
          <cell r="M175">
            <v>-3</v>
          </cell>
          <cell r="N175">
            <v>83</v>
          </cell>
          <cell r="O175">
            <v>-15.65</v>
          </cell>
          <cell r="P175">
            <v>53</v>
          </cell>
          <cell r="Q175">
            <v>136</v>
          </cell>
        </row>
        <row r="176">
          <cell r="D176">
            <v>5803</v>
          </cell>
          <cell r="E176" t="str">
            <v xml:space="preserve">순천MC              </v>
          </cell>
          <cell r="F176">
            <v>9</v>
          </cell>
          <cell r="G176">
            <v>43</v>
          </cell>
          <cell r="H176">
            <v>0</v>
          </cell>
          <cell r="I176">
            <v>0</v>
          </cell>
          <cell r="J176">
            <v>0</v>
          </cell>
          <cell r="K176">
            <v>13</v>
          </cell>
          <cell r="L176">
            <v>16</v>
          </cell>
          <cell r="M176">
            <v>-27</v>
          </cell>
          <cell r="N176">
            <v>53</v>
          </cell>
          <cell r="O176">
            <v>-62.99</v>
          </cell>
          <cell r="P176">
            <v>40</v>
          </cell>
          <cell r="Q176">
            <v>92</v>
          </cell>
        </row>
        <row r="177">
          <cell r="D177">
            <v>5505</v>
          </cell>
          <cell r="E177" t="str">
            <v xml:space="preserve">증평MC              </v>
          </cell>
          <cell r="F177">
            <v>6</v>
          </cell>
          <cell r="G177">
            <v>20</v>
          </cell>
          <cell r="H177">
            <v>0</v>
          </cell>
          <cell r="I177">
            <v>0</v>
          </cell>
          <cell r="J177">
            <v>0</v>
          </cell>
          <cell r="K177">
            <v>15</v>
          </cell>
          <cell r="L177">
            <v>19</v>
          </cell>
          <cell r="M177">
            <v>-2</v>
          </cell>
          <cell r="N177">
            <v>84</v>
          </cell>
          <cell r="O177">
            <v>-9.25</v>
          </cell>
          <cell r="P177">
            <v>55</v>
          </cell>
          <cell r="Q177">
            <v>139</v>
          </cell>
        </row>
        <row r="178">
          <cell r="D178">
            <v>5256</v>
          </cell>
          <cell r="E178" t="str">
            <v xml:space="preserve">롯데월드MC          </v>
          </cell>
          <cell r="F178">
            <v>5</v>
          </cell>
          <cell r="G178">
            <v>70</v>
          </cell>
          <cell r="H178">
            <v>0</v>
          </cell>
          <cell r="I178">
            <v>0</v>
          </cell>
          <cell r="J178">
            <v>0</v>
          </cell>
          <cell r="K178">
            <v>57</v>
          </cell>
          <cell r="L178">
            <v>68</v>
          </cell>
          <cell r="M178">
            <v>-1</v>
          </cell>
          <cell r="N178">
            <v>85</v>
          </cell>
          <cell r="O178">
            <v>-1.72</v>
          </cell>
          <cell r="P178">
            <v>57</v>
          </cell>
          <cell r="Q178">
            <v>142</v>
          </cell>
        </row>
        <row r="179">
          <cell r="D179">
            <v>9998</v>
          </cell>
          <cell r="E179" t="str">
            <v xml:space="preserve">M14군2소계          </v>
          </cell>
          <cell r="F179">
            <v>0</v>
          </cell>
          <cell r="G179">
            <v>317</v>
          </cell>
          <cell r="H179">
            <v>-4</v>
          </cell>
          <cell r="I179">
            <v>4</v>
          </cell>
          <cell r="J179">
            <v>0</v>
          </cell>
          <cell r="K179">
            <v>284</v>
          </cell>
          <cell r="L179">
            <v>342</v>
          </cell>
          <cell r="M179">
            <v>24</v>
          </cell>
          <cell r="N179">
            <v>0</v>
          </cell>
          <cell r="O179">
            <v>7.66</v>
          </cell>
          <cell r="P179">
            <v>0</v>
          </cell>
          <cell r="Q179">
            <v>0</v>
          </cell>
        </row>
        <row r="180">
          <cell r="D180">
            <v>9999</v>
          </cell>
          <cell r="E180" t="str">
            <v xml:space="preserve">M14군1소계          </v>
          </cell>
          <cell r="F180">
            <v>0</v>
          </cell>
          <cell r="G180">
            <v>317</v>
          </cell>
          <cell r="H180">
            <v>-4</v>
          </cell>
          <cell r="I180">
            <v>4</v>
          </cell>
          <cell r="J180">
            <v>0</v>
          </cell>
          <cell r="K180">
            <v>284</v>
          </cell>
          <cell r="L180">
            <v>342</v>
          </cell>
          <cell r="M180">
            <v>24</v>
          </cell>
          <cell r="N180">
            <v>0</v>
          </cell>
          <cell r="O180">
            <v>7.66</v>
          </cell>
          <cell r="P180">
            <v>0</v>
          </cell>
          <cell r="Q180">
            <v>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fault Forecasting"/>
      <sheetName val="총부채"/>
      <sheetName val="총부채변제스케줄"/>
      <sheetName val="매각채권변제스케줄"/>
      <sheetName val="손익 시나리오"/>
      <sheetName val="추정FS제시"/>
      <sheetName val="Liquidation Value"/>
      <sheetName val="가압류물건"/>
      <sheetName val="담보평가"/>
      <sheetName val="선순위가정"/>
      <sheetName val="법원별 저감율"/>
      <sheetName val="기본데이터"/>
      <sheetName val="보증서 평가액"/>
      <sheetName val="Sheet1"/>
      <sheetName val="Variable"/>
      <sheetName val="수출입외형_속보"/>
      <sheetName val="대환취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9">
          <cell r="R19" t="str">
            <v>아파트</v>
          </cell>
        </row>
        <row r="33">
          <cell r="E33">
            <v>200000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ssumption"/>
      <sheetName val="CF_Investor"/>
      <sheetName val="Cashflow"/>
      <sheetName val="차주별 Cash Flow &amp; 차주별 낙찰대금"/>
      <sheetName val="Valuation-담보"/>
      <sheetName val="대위변제계산"/>
      <sheetName val="Valuation-담보.잔존채권"/>
      <sheetName val="신용보증서"/>
      <sheetName val="낙찰률"/>
      <sheetName val="지역용도구분"/>
      <sheetName val="법원별기일"/>
      <sheetName val="법원별가격하락율"/>
      <sheetName val="lookup value"/>
      <sheetName val="Data"/>
      <sheetName val="3분기낙찰결과"/>
      <sheetName val="평가반영"/>
      <sheetName val="평가결과요약"/>
      <sheetName val="평가명세(결제용_부장님)"/>
      <sheetName val="평가명세"/>
      <sheetName val="평가명세(차주별)"/>
      <sheetName val="평가명세(담보별)"/>
      <sheetName val="DD_차주별"/>
      <sheetName val="DD_차주별S"/>
      <sheetName val="DD_채권별"/>
      <sheetName val="DD_담보별"/>
      <sheetName val="DD_보증서"/>
      <sheetName val="DD_가압류"/>
      <sheetName val="권리분석"/>
      <sheetName val="담보평가"/>
      <sheetName val="무담보평가"/>
      <sheetName val="전환무담보매입률"/>
      <sheetName val="경매비용"/>
      <sheetName val="부동산가압류"/>
      <sheetName val="신용보증서평가"/>
      <sheetName val="MCI평가"/>
      <sheetName val="당행선순위"/>
      <sheetName val="타기관선순위"/>
      <sheetName val="Interim(0226)"/>
      <sheetName val="검토"/>
      <sheetName val="유치권"/>
      <sheetName val="가격입력파일"/>
      <sheetName val="감정평가법인제시 낙찰가율 변동"/>
      <sheetName val="낙찰가율"/>
      <sheetName val="할인율 산정"/>
      <sheetName val="베타산정"/>
      <sheetName val="할인율 담보"/>
      <sheetName val="신보안분"/>
      <sheetName val="조견표"/>
      <sheetName val="주소매핑"/>
      <sheetName val="법원기간정보"/>
      <sheetName val="법원별저감률"/>
      <sheetName val="기간확장"/>
      <sheetName val="차주보고서"/>
      <sheetName val="지역합기간확장"/>
      <sheetName val="통계낙찰가율Raw_Data"/>
      <sheetName val="기본정보"/>
      <sheetName val="1.용도변경"/>
      <sheetName val="2.통계지역통합_수기조정"/>
      <sheetName val="3.낙찰기간_수기조정"/>
      <sheetName val="4.선순위_수기조정"/>
      <sheetName val="아파트 적용 낙찰가율"/>
      <sheetName val="아파트"/>
      <sheetName val="기본데이터"/>
      <sheetName val="갑지"/>
      <sheetName val="실행"/>
    </sheetNames>
    <sheetDataSet>
      <sheetData sheetId="0">
        <row r="7">
          <cell r="C7">
            <v>40659</v>
          </cell>
        </row>
      </sheetData>
      <sheetData sheetId="1">
        <row r="7">
          <cell r="C7">
            <v>40659</v>
          </cell>
        </row>
        <row r="9">
          <cell r="C9">
            <v>40696</v>
          </cell>
        </row>
        <row r="10">
          <cell r="C10">
            <v>40703</v>
          </cell>
        </row>
        <row r="14">
          <cell r="C14">
            <v>0.05</v>
          </cell>
        </row>
        <row r="31">
          <cell r="D31">
            <v>1</v>
          </cell>
        </row>
        <row r="68">
          <cell r="C68">
            <v>6000</v>
          </cell>
        </row>
        <row r="70">
          <cell r="C70">
            <v>3</v>
          </cell>
        </row>
      </sheetData>
      <sheetData sheetId="2">
        <row r="26">
          <cell r="C26">
            <v>191851322504.68118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>
        <row r="26">
          <cell r="C26">
            <v>191851322504.68118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26">
          <cell r="C26">
            <v>191851322504.68118</v>
          </cell>
        </row>
      </sheetData>
      <sheetData sheetId="49">
        <row r="26">
          <cell r="C26">
            <v>191851322504.68118</v>
          </cell>
        </row>
      </sheetData>
      <sheetData sheetId="50">
        <row r="26">
          <cell r="C26">
            <v>191851322504.68118</v>
          </cell>
        </row>
      </sheetData>
      <sheetData sheetId="51">
        <row r="26">
          <cell r="C26">
            <v>191851322504.68118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항고구분"/>
      <sheetName val="주식 등 질권 설정"/>
      <sheetName val="차주별평가결과"/>
      <sheetName val="수출입외형_속보"/>
      <sheetName val="감가상각"/>
      <sheetName val="주요재무비율"/>
      <sheetName val="이익잉여금처분계산서"/>
      <sheetName val="현금흐름표"/>
      <sheetName val="손익"/>
      <sheetName val="주간(구)"/>
      <sheetName val="감독1130"/>
      <sheetName val="인상효1"/>
      <sheetName val="Assumption"/>
      <sheetName val="코드"/>
      <sheetName val="Stress"/>
      <sheetName val="계정별실적"/>
      <sheetName val="입력"/>
      <sheetName val="7수지"/>
      <sheetName val="총괄내역"/>
      <sheetName val="임대계획"/>
      <sheetName val="P.M 별"/>
      <sheetName val="수량산출내역1115"/>
      <sheetName val="물량투입계획"/>
      <sheetName val="삭제금지단가"/>
      <sheetName val="사본 - Cashflow판(일반)"/>
      <sheetName val="손익분석"/>
      <sheetName val="신탁0106-가사"/>
      <sheetName val="신탁0106-기사"/>
      <sheetName val="은행0106-가사"/>
      <sheetName val="은행0106-기사"/>
      <sheetName val="일위대가(가설)"/>
      <sheetName val="원데이타(1)"/>
      <sheetName val="Ⅱ1-0타"/>
      <sheetName val="CF"/>
      <sheetName val="구의33고"/>
      <sheetName val="울산자동제어"/>
      <sheetName val="수자재단위당"/>
      <sheetName val="식재수량표"/>
      <sheetName val="상세손익"/>
    </sheetNames>
    <sheetDataSet>
      <sheetData sheetId="0" refreshError="1"/>
      <sheetData sheetId="1" refreshError="1"/>
      <sheetData sheetId="2" refreshError="1">
        <row r="9">
          <cell r="D9" t="str">
            <v>항고고려후 배당기일</v>
          </cell>
          <cell r="G9" t="str">
            <v>실지 배당액</v>
          </cell>
        </row>
        <row r="10">
          <cell r="D10">
            <v>37011</v>
          </cell>
          <cell r="G10">
            <v>64164.288372960007</v>
          </cell>
        </row>
        <row r="11">
          <cell r="D11">
            <v>37164</v>
          </cell>
          <cell r="G11">
            <v>68859.023368812472</v>
          </cell>
        </row>
        <row r="12">
          <cell r="D12">
            <v>37042</v>
          </cell>
          <cell r="G12">
            <v>26062.856743838292</v>
          </cell>
        </row>
        <row r="13">
          <cell r="D13">
            <v>37072</v>
          </cell>
          <cell r="G13">
            <v>5087.4216978785425</v>
          </cell>
        </row>
        <row r="14">
          <cell r="D14">
            <v>37103</v>
          </cell>
          <cell r="G14">
            <v>190192.23400000003</v>
          </cell>
        </row>
        <row r="15">
          <cell r="D15">
            <v>37103</v>
          </cell>
          <cell r="G15">
            <v>62339.169770580294</v>
          </cell>
        </row>
        <row r="16">
          <cell r="D16">
            <v>37315</v>
          </cell>
          <cell r="G16">
            <v>20148.910229419707</v>
          </cell>
        </row>
        <row r="17">
          <cell r="D17">
            <v>37103</v>
          </cell>
          <cell r="G17">
            <v>141289.39466259672</v>
          </cell>
        </row>
        <row r="18">
          <cell r="D18">
            <v>37042</v>
          </cell>
          <cell r="G18">
            <v>264513.26189356326</v>
          </cell>
        </row>
        <row r="19">
          <cell r="D19">
            <v>37164</v>
          </cell>
          <cell r="G19">
            <v>73033.739000000001</v>
          </cell>
        </row>
        <row r="20">
          <cell r="D20">
            <v>37103</v>
          </cell>
          <cell r="G20">
            <v>166680.821</v>
          </cell>
        </row>
        <row r="21">
          <cell r="D21">
            <v>37134</v>
          </cell>
          <cell r="G21">
            <v>37399.481369760004</v>
          </cell>
        </row>
        <row r="22">
          <cell r="D22">
            <v>37164</v>
          </cell>
          <cell r="G22">
            <v>170847.82069511997</v>
          </cell>
        </row>
        <row r="23">
          <cell r="D23">
            <v>37103</v>
          </cell>
          <cell r="G23">
            <v>39675.027950880001</v>
          </cell>
        </row>
        <row r="24">
          <cell r="D24">
            <v>37103</v>
          </cell>
          <cell r="G24">
            <v>172361.52866800001</v>
          </cell>
        </row>
        <row r="25">
          <cell r="D25">
            <v>37103</v>
          </cell>
          <cell r="G25">
            <v>12000</v>
          </cell>
        </row>
        <row r="26">
          <cell r="D26">
            <v>37103</v>
          </cell>
          <cell r="G26">
            <v>16795.05975510204</v>
          </cell>
        </row>
        <row r="27">
          <cell r="D27">
            <v>37103</v>
          </cell>
          <cell r="G27">
            <v>29091.442790087462</v>
          </cell>
        </row>
        <row r="28">
          <cell r="D28">
            <v>37103</v>
          </cell>
          <cell r="G28">
            <v>18000</v>
          </cell>
        </row>
        <row r="29">
          <cell r="D29">
            <v>37103</v>
          </cell>
          <cell r="G29">
            <v>18294.618661807581</v>
          </cell>
        </row>
        <row r="30">
          <cell r="D30">
            <v>37103</v>
          </cell>
          <cell r="G30">
            <v>32811.352083680002</v>
          </cell>
        </row>
        <row r="31">
          <cell r="D31">
            <v>37103</v>
          </cell>
          <cell r="G31">
            <v>26762.935686880002</v>
          </cell>
        </row>
        <row r="32">
          <cell r="D32">
            <v>37011</v>
          </cell>
          <cell r="G32">
            <v>881472.28850751987</v>
          </cell>
        </row>
        <row r="33">
          <cell r="D33">
            <v>37072</v>
          </cell>
          <cell r="G33">
            <v>59324.721400000009</v>
          </cell>
        </row>
        <row r="34">
          <cell r="D34">
            <v>37103</v>
          </cell>
          <cell r="G34">
            <v>67614.740282400002</v>
          </cell>
        </row>
        <row r="35">
          <cell r="D35">
            <v>37103</v>
          </cell>
          <cell r="G35">
            <v>257178.11370592</v>
          </cell>
        </row>
        <row r="36">
          <cell r="D36">
            <v>37103</v>
          </cell>
          <cell r="G36">
            <v>48172.696583999998</v>
          </cell>
        </row>
        <row r="37">
          <cell r="D37">
            <v>37072</v>
          </cell>
          <cell r="G37">
            <v>0</v>
          </cell>
        </row>
        <row r="38">
          <cell r="D38">
            <v>37103</v>
          </cell>
          <cell r="G38">
            <v>46281.194977391649</v>
          </cell>
        </row>
        <row r="39">
          <cell r="D39">
            <v>37042</v>
          </cell>
          <cell r="G39">
            <v>160306.84899999999</v>
          </cell>
        </row>
        <row r="40">
          <cell r="D40">
            <v>37103</v>
          </cell>
          <cell r="G40">
            <v>97523.447</v>
          </cell>
        </row>
        <row r="41">
          <cell r="D41">
            <v>37072</v>
          </cell>
          <cell r="G41">
            <v>72000</v>
          </cell>
        </row>
        <row r="42">
          <cell r="D42">
            <v>37134</v>
          </cell>
          <cell r="G42">
            <v>136074.02801065022</v>
          </cell>
        </row>
        <row r="43">
          <cell r="D43">
            <v>37164</v>
          </cell>
          <cell r="G43">
            <v>22604.316989349802</v>
          </cell>
        </row>
        <row r="44">
          <cell r="D44">
            <v>37072</v>
          </cell>
          <cell r="G44">
            <v>112126.67200000001</v>
          </cell>
        </row>
        <row r="45">
          <cell r="D45">
            <v>37011</v>
          </cell>
          <cell r="G45">
            <v>292159.11585032003</v>
          </cell>
        </row>
        <row r="46">
          <cell r="D46">
            <v>37164</v>
          </cell>
          <cell r="G46">
            <v>50382.191999999995</v>
          </cell>
        </row>
        <row r="47">
          <cell r="D47">
            <v>37103</v>
          </cell>
          <cell r="G47">
            <v>48433.897307200008</v>
          </cell>
        </row>
        <row r="48">
          <cell r="D48">
            <v>37103</v>
          </cell>
          <cell r="G48">
            <v>53441.586240000004</v>
          </cell>
        </row>
        <row r="49">
          <cell r="D49">
            <v>37103</v>
          </cell>
          <cell r="G49">
            <v>137716.15899999999</v>
          </cell>
        </row>
        <row r="50">
          <cell r="D50">
            <v>37103</v>
          </cell>
          <cell r="G50">
            <v>96047.792000000001</v>
          </cell>
        </row>
        <row r="51">
          <cell r="D51">
            <v>37072</v>
          </cell>
          <cell r="G51">
            <v>78089.458506392737</v>
          </cell>
        </row>
        <row r="52">
          <cell r="D52">
            <v>37072</v>
          </cell>
          <cell r="G52">
            <v>325508.06903334562</v>
          </cell>
        </row>
        <row r="53">
          <cell r="D53">
            <v>37103</v>
          </cell>
          <cell r="G53">
            <v>27414.022228051443</v>
          </cell>
        </row>
        <row r="54">
          <cell r="D54">
            <v>37103</v>
          </cell>
          <cell r="G54">
            <v>88731.479922136408</v>
          </cell>
        </row>
        <row r="55">
          <cell r="D55">
            <v>37164</v>
          </cell>
          <cell r="G55">
            <v>298468.70432000008</v>
          </cell>
        </row>
        <row r="56">
          <cell r="D56">
            <v>37103</v>
          </cell>
          <cell r="G56">
            <v>24058.335960480006</v>
          </cell>
        </row>
        <row r="57">
          <cell r="D57">
            <v>37103</v>
          </cell>
          <cell r="G57">
            <v>52000</v>
          </cell>
        </row>
        <row r="58">
          <cell r="D58">
            <v>37103</v>
          </cell>
          <cell r="G58">
            <v>58112.065999999999</v>
          </cell>
        </row>
        <row r="59">
          <cell r="D59">
            <v>37103</v>
          </cell>
          <cell r="G59">
            <v>56271.209000000003</v>
          </cell>
        </row>
        <row r="60">
          <cell r="D60">
            <v>37072</v>
          </cell>
          <cell r="G60">
            <v>65000</v>
          </cell>
        </row>
        <row r="61">
          <cell r="D61">
            <v>37072</v>
          </cell>
          <cell r="G61">
            <v>871280.73896431993</v>
          </cell>
        </row>
        <row r="62">
          <cell r="D62">
            <v>37134</v>
          </cell>
          <cell r="G62">
            <v>24740.093816160006</v>
          </cell>
        </row>
        <row r="63">
          <cell r="D63">
            <v>37011</v>
          </cell>
          <cell r="G63">
            <v>77226.191999999995</v>
          </cell>
        </row>
        <row r="64">
          <cell r="D64">
            <v>37103</v>
          </cell>
          <cell r="G64">
            <v>79356.370399839987</v>
          </cell>
        </row>
        <row r="65">
          <cell r="D65">
            <v>37225</v>
          </cell>
          <cell r="G65">
            <v>456529.33846292458</v>
          </cell>
        </row>
        <row r="66">
          <cell r="D66">
            <v>37287</v>
          </cell>
          <cell r="G66">
            <v>90000</v>
          </cell>
        </row>
        <row r="67">
          <cell r="D67">
            <v>37195</v>
          </cell>
          <cell r="G67">
            <v>1002023.6132</v>
          </cell>
        </row>
        <row r="68">
          <cell r="D68">
            <v>37042</v>
          </cell>
          <cell r="G68">
            <v>158182.38192822691</v>
          </cell>
        </row>
        <row r="69">
          <cell r="D69">
            <v>37042</v>
          </cell>
          <cell r="G69">
            <v>191660.01188985311</v>
          </cell>
        </row>
        <row r="70">
          <cell r="D70">
            <v>37103</v>
          </cell>
          <cell r="G70">
            <v>410438.51272415998</v>
          </cell>
        </row>
        <row r="71">
          <cell r="D71">
            <v>37134</v>
          </cell>
          <cell r="G71">
            <v>140842.589764</v>
          </cell>
        </row>
        <row r="72">
          <cell r="D72">
            <v>37134</v>
          </cell>
          <cell r="G72">
            <v>106175.78435151999</v>
          </cell>
        </row>
        <row r="73">
          <cell r="D73">
            <v>37195</v>
          </cell>
          <cell r="G73">
            <v>141317.103</v>
          </cell>
        </row>
        <row r="74">
          <cell r="D74">
            <v>37134</v>
          </cell>
          <cell r="G74">
            <v>4728.2346831999894</v>
          </cell>
        </row>
        <row r="75">
          <cell r="D75">
            <v>37103</v>
          </cell>
          <cell r="G75">
            <v>80674.59199999999</v>
          </cell>
        </row>
        <row r="76">
          <cell r="D76">
            <v>37103</v>
          </cell>
          <cell r="G76">
            <v>34722.712636639997</v>
          </cell>
        </row>
        <row r="77">
          <cell r="D77">
            <v>37011</v>
          </cell>
          <cell r="G77">
            <v>83595.082000000009</v>
          </cell>
        </row>
        <row r="78">
          <cell r="D78">
            <v>37134</v>
          </cell>
          <cell r="G78">
            <v>28356.138786080002</v>
          </cell>
        </row>
        <row r="79">
          <cell r="D79">
            <v>37103</v>
          </cell>
          <cell r="G79">
            <v>131584.13093983999</v>
          </cell>
        </row>
        <row r="80">
          <cell r="D80">
            <v>37134</v>
          </cell>
          <cell r="G80">
            <v>227515.29562896001</v>
          </cell>
        </row>
        <row r="81">
          <cell r="D81">
            <v>37103</v>
          </cell>
          <cell r="G81">
            <v>74872.897887200001</v>
          </cell>
        </row>
        <row r="82">
          <cell r="D82">
            <v>37072</v>
          </cell>
          <cell r="G82">
            <v>113869.65738672001</v>
          </cell>
        </row>
        <row r="83">
          <cell r="D83">
            <v>37195</v>
          </cell>
          <cell r="G83">
            <v>75951.427266240004</v>
          </cell>
        </row>
        <row r="84">
          <cell r="D84">
            <v>37011</v>
          </cell>
          <cell r="G84">
            <v>119225.69494309118</v>
          </cell>
        </row>
        <row r="85">
          <cell r="D85">
            <v>37011</v>
          </cell>
          <cell r="G85">
            <v>151242.13816100135</v>
          </cell>
        </row>
        <row r="86">
          <cell r="D86">
            <v>37072</v>
          </cell>
          <cell r="G86">
            <v>83693.418999999994</v>
          </cell>
        </row>
        <row r="87">
          <cell r="D87">
            <v>37103</v>
          </cell>
          <cell r="G87">
            <v>117370.85407616</v>
          </cell>
        </row>
        <row r="88">
          <cell r="D88">
            <v>37103</v>
          </cell>
          <cell r="G88">
            <v>85778.30447136001</v>
          </cell>
        </row>
        <row r="89">
          <cell r="D89">
            <v>37315</v>
          </cell>
          <cell r="G89">
            <v>169820.1001288</v>
          </cell>
        </row>
        <row r="90">
          <cell r="D90">
            <v>37103</v>
          </cell>
          <cell r="G90">
            <v>57924.637000000002</v>
          </cell>
        </row>
        <row r="91">
          <cell r="D91">
            <v>37011</v>
          </cell>
          <cell r="G91">
            <v>166319.17800000001</v>
          </cell>
        </row>
        <row r="92">
          <cell r="D92">
            <v>37287</v>
          </cell>
          <cell r="G92">
            <v>94336.929000000004</v>
          </cell>
        </row>
        <row r="93">
          <cell r="D93">
            <v>37103</v>
          </cell>
          <cell r="G93">
            <v>89099.355645920034</v>
          </cell>
        </row>
        <row r="94">
          <cell r="D94">
            <v>37103</v>
          </cell>
          <cell r="G94">
            <v>87345.546000000002</v>
          </cell>
        </row>
        <row r="95">
          <cell r="D95">
            <v>37103</v>
          </cell>
          <cell r="G95">
            <v>259467.94399999999</v>
          </cell>
        </row>
        <row r="96">
          <cell r="D96">
            <v>37195</v>
          </cell>
          <cell r="G96">
            <v>147858.55959999998</v>
          </cell>
        </row>
        <row r="97">
          <cell r="D97">
            <v>37195</v>
          </cell>
          <cell r="G97">
            <v>390831.95200000005</v>
          </cell>
        </row>
        <row r="98">
          <cell r="D98">
            <v>37315</v>
          </cell>
          <cell r="G98">
            <v>2009020.5059393602</v>
          </cell>
        </row>
        <row r="99">
          <cell r="D99">
            <v>37103</v>
          </cell>
          <cell r="G99">
            <v>100148.99900459572</v>
          </cell>
        </row>
        <row r="100">
          <cell r="D100">
            <v>37072</v>
          </cell>
          <cell r="G100">
            <v>0</v>
          </cell>
        </row>
        <row r="101">
          <cell r="D101">
            <v>37072</v>
          </cell>
          <cell r="G101">
            <v>8453.7919999999576</v>
          </cell>
        </row>
        <row r="102">
          <cell r="D102">
            <v>37072</v>
          </cell>
          <cell r="G102">
            <v>0</v>
          </cell>
        </row>
        <row r="103">
          <cell r="D103">
            <v>37072</v>
          </cell>
          <cell r="G103">
            <v>0</v>
          </cell>
        </row>
        <row r="104">
          <cell r="D104">
            <v>37103</v>
          </cell>
          <cell r="G104">
            <v>1566729.9043700083</v>
          </cell>
        </row>
        <row r="105">
          <cell r="D105">
            <v>37287</v>
          </cell>
          <cell r="G105">
            <v>70595.172629991619</v>
          </cell>
        </row>
        <row r="106">
          <cell r="D106">
            <v>37103</v>
          </cell>
          <cell r="G106">
            <v>275177.75076352007</v>
          </cell>
        </row>
        <row r="107">
          <cell r="D107">
            <v>37134</v>
          </cell>
          <cell r="G107">
            <v>107879.52799999999</v>
          </cell>
        </row>
        <row r="108">
          <cell r="D108">
            <v>37103</v>
          </cell>
          <cell r="G108">
            <v>248733.95149574001</v>
          </cell>
        </row>
        <row r="109">
          <cell r="D109">
            <v>37072</v>
          </cell>
          <cell r="G109">
            <v>344898.10304889997</v>
          </cell>
        </row>
        <row r="110">
          <cell r="D110">
            <v>37103</v>
          </cell>
          <cell r="G110">
            <v>137534.91</v>
          </cell>
        </row>
        <row r="111">
          <cell r="D111">
            <v>37103</v>
          </cell>
          <cell r="G111">
            <v>122081.917</v>
          </cell>
        </row>
        <row r="112">
          <cell r="D112">
            <v>37103</v>
          </cell>
          <cell r="G112">
            <v>361050.37191508169</v>
          </cell>
        </row>
        <row r="113">
          <cell r="D113">
            <v>37225</v>
          </cell>
          <cell r="G113">
            <v>13594.572899981178</v>
          </cell>
        </row>
        <row r="114">
          <cell r="D114">
            <v>37225</v>
          </cell>
          <cell r="G114">
            <v>10646.357120572922</v>
          </cell>
        </row>
        <row r="115">
          <cell r="D115">
            <v>37103</v>
          </cell>
          <cell r="G115">
            <v>77726.866064364207</v>
          </cell>
        </row>
        <row r="116">
          <cell r="D116">
            <v>37134</v>
          </cell>
          <cell r="G116">
            <v>135240.97700000001</v>
          </cell>
        </row>
        <row r="117">
          <cell r="D117">
            <v>37103</v>
          </cell>
          <cell r="G117">
            <v>354428.592</v>
          </cell>
        </row>
        <row r="118">
          <cell r="D118">
            <v>37103</v>
          </cell>
          <cell r="G118">
            <v>160712.986</v>
          </cell>
        </row>
        <row r="119">
          <cell r="D119">
            <v>36950</v>
          </cell>
          <cell r="G119">
            <v>67445.853000000003</v>
          </cell>
        </row>
        <row r="120">
          <cell r="D120">
            <v>37103</v>
          </cell>
          <cell r="G120">
            <v>358643.00499378063</v>
          </cell>
        </row>
        <row r="121">
          <cell r="D121">
            <v>37103</v>
          </cell>
          <cell r="G121">
            <v>127822.8305777041</v>
          </cell>
        </row>
        <row r="122">
          <cell r="D122">
            <v>37011</v>
          </cell>
          <cell r="G122">
            <v>288178.02442851529</v>
          </cell>
        </row>
        <row r="123">
          <cell r="D123">
            <v>37103</v>
          </cell>
          <cell r="G123">
            <v>134389.533</v>
          </cell>
        </row>
        <row r="124">
          <cell r="D124">
            <v>37072</v>
          </cell>
          <cell r="G124">
            <v>221312.35363535999</v>
          </cell>
        </row>
        <row r="125">
          <cell r="D125">
            <v>37103</v>
          </cell>
          <cell r="G125">
            <v>63888.732943519994</v>
          </cell>
        </row>
        <row r="126">
          <cell r="D126">
            <v>37103</v>
          </cell>
          <cell r="G126">
            <v>47330.7667</v>
          </cell>
        </row>
        <row r="127">
          <cell r="D127">
            <v>37103</v>
          </cell>
          <cell r="G127">
            <v>66834.656000000003</v>
          </cell>
        </row>
        <row r="128">
          <cell r="D128">
            <v>37103</v>
          </cell>
          <cell r="G128">
            <v>129811.50526032</v>
          </cell>
        </row>
        <row r="129">
          <cell r="D129">
            <v>37134</v>
          </cell>
          <cell r="G129">
            <v>18053.309035519997</v>
          </cell>
        </row>
        <row r="130">
          <cell r="D130">
            <v>37164</v>
          </cell>
          <cell r="G130">
            <v>269518.19199999998</v>
          </cell>
        </row>
        <row r="131">
          <cell r="D131">
            <v>37195</v>
          </cell>
          <cell r="G131">
            <v>226547.01580383995</v>
          </cell>
        </row>
        <row r="132">
          <cell r="D132">
            <v>37287</v>
          </cell>
          <cell r="G132">
            <v>69889.114000000001</v>
          </cell>
        </row>
        <row r="133">
          <cell r="D133">
            <v>37103</v>
          </cell>
          <cell r="G133">
            <v>30943.191999999999</v>
          </cell>
        </row>
        <row r="134">
          <cell r="D134">
            <v>37103</v>
          </cell>
          <cell r="G134">
            <v>150659.09199999998</v>
          </cell>
        </row>
        <row r="135">
          <cell r="D135">
            <v>37042</v>
          </cell>
          <cell r="G135">
            <v>44397.391999999993</v>
          </cell>
        </row>
        <row r="136">
          <cell r="D136">
            <v>37103</v>
          </cell>
          <cell r="G136">
            <v>80238.547000000006</v>
          </cell>
        </row>
        <row r="137">
          <cell r="D137">
            <v>37042</v>
          </cell>
          <cell r="G137">
            <v>26000</v>
          </cell>
        </row>
        <row r="138">
          <cell r="D138">
            <v>37042</v>
          </cell>
          <cell r="G138">
            <v>6011.1619211277048</v>
          </cell>
        </row>
        <row r="139">
          <cell r="D139">
            <v>37042</v>
          </cell>
          <cell r="G139">
            <v>80739.792000000001</v>
          </cell>
        </row>
        <row r="140">
          <cell r="D140">
            <v>37195</v>
          </cell>
          <cell r="G140">
            <v>130756.00644741709</v>
          </cell>
        </row>
        <row r="141">
          <cell r="D141">
            <v>37103</v>
          </cell>
          <cell r="G141">
            <v>70616.495386450159</v>
          </cell>
        </row>
        <row r="142">
          <cell r="D142">
            <v>37042</v>
          </cell>
          <cell r="G142">
            <v>0</v>
          </cell>
        </row>
        <row r="143">
          <cell r="D143">
            <v>36950</v>
          </cell>
          <cell r="G143">
            <v>0</v>
          </cell>
        </row>
        <row r="144">
          <cell r="D144">
            <v>36950</v>
          </cell>
          <cell r="G144">
            <v>138124.84605952</v>
          </cell>
        </row>
        <row r="145">
          <cell r="D145">
            <v>37134</v>
          </cell>
          <cell r="G145">
            <v>116883.91523392001</v>
          </cell>
        </row>
        <row r="146">
          <cell r="D146">
            <v>37042</v>
          </cell>
          <cell r="G146">
            <v>111136.86686976001</v>
          </cell>
        </row>
        <row r="147">
          <cell r="D147">
            <v>37134</v>
          </cell>
          <cell r="G147">
            <v>49780.950000000004</v>
          </cell>
        </row>
        <row r="148">
          <cell r="D148">
            <v>37103</v>
          </cell>
          <cell r="G148">
            <v>215650.64235041058</v>
          </cell>
        </row>
        <row r="149">
          <cell r="D149">
            <v>37103</v>
          </cell>
          <cell r="G149">
            <v>251846.55663806945</v>
          </cell>
        </row>
        <row r="150">
          <cell r="D150">
            <v>37072</v>
          </cell>
          <cell r="G150">
            <v>167631.63900000002</v>
          </cell>
        </row>
        <row r="151">
          <cell r="D151">
            <v>37287</v>
          </cell>
          <cell r="G151">
            <v>43953.792000000009</v>
          </cell>
        </row>
        <row r="152">
          <cell r="D152">
            <v>37164</v>
          </cell>
          <cell r="G152">
            <v>203063.79199999999</v>
          </cell>
        </row>
        <row r="153">
          <cell r="D153">
            <v>37011</v>
          </cell>
          <cell r="G153">
            <v>838680.66231263999</v>
          </cell>
        </row>
        <row r="154">
          <cell r="D154">
            <v>37103</v>
          </cell>
          <cell r="G154">
            <v>100000</v>
          </cell>
        </row>
        <row r="155">
          <cell r="D155">
            <v>37072</v>
          </cell>
          <cell r="G155">
            <v>21809.722512</v>
          </cell>
        </row>
        <row r="156">
          <cell r="D156">
            <v>37164</v>
          </cell>
          <cell r="G156">
            <v>94967.094538079997</v>
          </cell>
        </row>
        <row r="157">
          <cell r="D157">
            <v>36950</v>
          </cell>
          <cell r="G157">
            <v>0</v>
          </cell>
        </row>
        <row r="158">
          <cell r="D158">
            <v>37134</v>
          </cell>
          <cell r="G158">
            <v>650000</v>
          </cell>
        </row>
        <row r="159">
          <cell r="D159">
            <v>37011</v>
          </cell>
          <cell r="G159">
            <v>90168.548340879759</v>
          </cell>
        </row>
        <row r="160">
          <cell r="D160">
            <v>37103</v>
          </cell>
          <cell r="G160">
            <v>68623.521791892519</v>
          </cell>
        </row>
        <row r="161">
          <cell r="D161">
            <v>37011</v>
          </cell>
          <cell r="G161">
            <v>12060.270291393215</v>
          </cell>
        </row>
        <row r="162">
          <cell r="D162">
            <v>37072</v>
          </cell>
          <cell r="G162">
            <v>0</v>
          </cell>
        </row>
        <row r="163">
          <cell r="D163">
            <v>37011</v>
          </cell>
          <cell r="G163">
            <v>25516.636769533139</v>
          </cell>
        </row>
        <row r="164">
          <cell r="D164">
            <v>37103</v>
          </cell>
          <cell r="G164">
            <v>14536.215737190665</v>
          </cell>
        </row>
        <row r="165">
          <cell r="D165">
            <v>37011</v>
          </cell>
          <cell r="G165">
            <v>0</v>
          </cell>
        </row>
        <row r="166">
          <cell r="D166">
            <v>36981</v>
          </cell>
          <cell r="G166">
            <v>314281.211182</v>
          </cell>
        </row>
        <row r="167">
          <cell r="D167">
            <v>37103</v>
          </cell>
          <cell r="G167">
            <v>67032.539400000009</v>
          </cell>
        </row>
        <row r="168">
          <cell r="D168">
            <v>37164</v>
          </cell>
          <cell r="G168">
            <v>146984.56382320001</v>
          </cell>
        </row>
        <row r="169">
          <cell r="D169">
            <v>37134</v>
          </cell>
          <cell r="G169">
            <v>53961.454000000005</v>
          </cell>
        </row>
        <row r="170">
          <cell r="D170">
            <v>37103</v>
          </cell>
          <cell r="G170">
            <v>87526.623999999996</v>
          </cell>
        </row>
        <row r="171">
          <cell r="D171">
            <v>37225</v>
          </cell>
          <cell r="G171">
            <v>123690.8470976</v>
          </cell>
        </row>
        <row r="172">
          <cell r="D172">
            <v>37134</v>
          </cell>
          <cell r="G172">
            <v>159395.37944528001</v>
          </cell>
        </row>
        <row r="173">
          <cell r="D173">
            <v>37103</v>
          </cell>
          <cell r="G173">
            <v>77525.680557920015</v>
          </cell>
        </row>
        <row r="174">
          <cell r="D174">
            <v>37072</v>
          </cell>
          <cell r="G174">
            <v>63099.802000000003</v>
          </cell>
        </row>
        <row r="175">
          <cell r="D175">
            <v>37103</v>
          </cell>
          <cell r="G175">
            <v>141975.359</v>
          </cell>
        </row>
        <row r="176">
          <cell r="D176">
            <v>37103</v>
          </cell>
          <cell r="G176">
            <v>107561.643</v>
          </cell>
        </row>
        <row r="177">
          <cell r="D177">
            <v>37103</v>
          </cell>
          <cell r="G177">
            <v>91175.951000000001</v>
          </cell>
        </row>
        <row r="178">
          <cell r="D178">
            <v>37103</v>
          </cell>
          <cell r="G178">
            <v>67772.053</v>
          </cell>
        </row>
        <row r="179">
          <cell r="D179">
            <v>37103</v>
          </cell>
          <cell r="G179">
            <v>36870.991999999998</v>
          </cell>
        </row>
        <row r="180">
          <cell r="D180">
            <v>37315</v>
          </cell>
          <cell r="G180">
            <v>55717.241000000002</v>
          </cell>
        </row>
        <row r="181">
          <cell r="D181">
            <v>37315</v>
          </cell>
          <cell r="G181">
            <v>72574.888999999996</v>
          </cell>
        </row>
        <row r="182">
          <cell r="D182">
            <v>37134</v>
          </cell>
          <cell r="G182">
            <v>53810.222000000002</v>
          </cell>
        </row>
        <row r="183">
          <cell r="D183">
            <v>37042</v>
          </cell>
          <cell r="G183">
            <v>109338.47498879999</v>
          </cell>
        </row>
        <row r="184">
          <cell r="D184">
            <v>37103</v>
          </cell>
          <cell r="G184">
            <v>43732.288732319998</v>
          </cell>
        </row>
        <row r="185">
          <cell r="D185">
            <v>37011</v>
          </cell>
          <cell r="G185">
            <v>265931.00578158401</v>
          </cell>
        </row>
        <row r="186">
          <cell r="D186">
            <v>36950</v>
          </cell>
          <cell r="G186">
            <v>387340</v>
          </cell>
        </row>
        <row r="187">
          <cell r="D187">
            <v>37042</v>
          </cell>
          <cell r="G187">
            <v>385510.22784000001</v>
          </cell>
        </row>
        <row r="188">
          <cell r="D188">
            <v>37134</v>
          </cell>
          <cell r="G188">
            <v>212049.856</v>
          </cell>
        </row>
        <row r="189">
          <cell r="D189">
            <v>37042</v>
          </cell>
          <cell r="G189">
            <v>214880.84757695999</v>
          </cell>
        </row>
        <row r="190">
          <cell r="D190">
            <v>37103</v>
          </cell>
          <cell r="G190">
            <v>361714.67214447999</v>
          </cell>
        </row>
        <row r="191">
          <cell r="D191">
            <v>37164</v>
          </cell>
          <cell r="G191">
            <v>56727.953000000001</v>
          </cell>
        </row>
        <row r="192">
          <cell r="D192">
            <v>37103</v>
          </cell>
          <cell r="G192">
            <v>67709.944999999992</v>
          </cell>
        </row>
        <row r="193">
          <cell r="D193">
            <v>37103</v>
          </cell>
          <cell r="G193">
            <v>58309.712</v>
          </cell>
        </row>
        <row r="194">
          <cell r="D194">
            <v>37103</v>
          </cell>
          <cell r="G194">
            <v>190666.19408416</v>
          </cell>
        </row>
        <row r="195">
          <cell r="D195">
            <v>37103</v>
          </cell>
          <cell r="G195">
            <v>50412.592000000004</v>
          </cell>
        </row>
        <row r="196">
          <cell r="D196">
            <v>37072</v>
          </cell>
          <cell r="G196">
            <v>20462.690345440009</v>
          </cell>
        </row>
        <row r="197">
          <cell r="D197">
            <v>37042</v>
          </cell>
          <cell r="G197">
            <v>0</v>
          </cell>
        </row>
        <row r="198">
          <cell r="D198">
            <v>37134</v>
          </cell>
          <cell r="G198">
            <v>0</v>
          </cell>
        </row>
        <row r="199">
          <cell r="D199">
            <v>37072</v>
          </cell>
          <cell r="G199">
            <v>281930.99200000003</v>
          </cell>
        </row>
        <row r="200">
          <cell r="D200">
            <v>37103</v>
          </cell>
          <cell r="G200">
            <v>723100.4413050419</v>
          </cell>
        </row>
        <row r="201">
          <cell r="D201">
            <v>37287</v>
          </cell>
          <cell r="G201">
            <v>170000</v>
          </cell>
        </row>
        <row r="202">
          <cell r="D202">
            <v>36981</v>
          </cell>
          <cell r="G202">
            <v>13837.19259252958</v>
          </cell>
        </row>
        <row r="203">
          <cell r="D203">
            <v>37103</v>
          </cell>
          <cell r="G203">
            <v>0</v>
          </cell>
        </row>
        <row r="204">
          <cell r="D204">
            <v>36950</v>
          </cell>
          <cell r="G204">
            <v>5307.2348000000002</v>
          </cell>
        </row>
        <row r="205">
          <cell r="D205">
            <v>36950</v>
          </cell>
          <cell r="G205">
            <v>8781.8804428209551</v>
          </cell>
        </row>
        <row r="206">
          <cell r="D206">
            <v>37072</v>
          </cell>
          <cell r="G206">
            <v>0</v>
          </cell>
        </row>
        <row r="207">
          <cell r="D207">
            <v>37011</v>
          </cell>
          <cell r="G207">
            <v>971255.96525551996</v>
          </cell>
        </row>
        <row r="208">
          <cell r="D208">
            <v>37103</v>
          </cell>
          <cell r="G208">
            <v>48863.012999999999</v>
          </cell>
        </row>
        <row r="209">
          <cell r="D209">
            <v>36981</v>
          </cell>
          <cell r="G209">
            <v>7434.0022261885833</v>
          </cell>
        </row>
        <row r="210">
          <cell r="D210">
            <v>36981</v>
          </cell>
          <cell r="G210">
            <v>50067.361773811426</v>
          </cell>
        </row>
        <row r="211">
          <cell r="D211">
            <v>37134</v>
          </cell>
          <cell r="G211">
            <v>55554.511999999995</v>
          </cell>
        </row>
        <row r="212">
          <cell r="D212">
            <v>36981</v>
          </cell>
          <cell r="G212">
            <v>0</v>
          </cell>
        </row>
        <row r="213">
          <cell r="D213">
            <v>36981</v>
          </cell>
          <cell r="G213">
            <v>0</v>
          </cell>
        </row>
        <row r="214">
          <cell r="D214">
            <v>37072</v>
          </cell>
          <cell r="G214">
            <v>20269.198399999994</v>
          </cell>
        </row>
        <row r="215">
          <cell r="D215">
            <v>37103</v>
          </cell>
          <cell r="G215">
            <v>42501.088854879999</v>
          </cell>
        </row>
        <row r="216">
          <cell r="D216">
            <v>36950</v>
          </cell>
          <cell r="G216">
            <v>6021.1079999999993</v>
          </cell>
        </row>
        <row r="217">
          <cell r="D217">
            <v>37011</v>
          </cell>
          <cell r="G217">
            <v>0</v>
          </cell>
        </row>
        <row r="218">
          <cell r="D218">
            <v>37011</v>
          </cell>
          <cell r="G218">
            <v>36000.566116433707</v>
          </cell>
        </row>
        <row r="219">
          <cell r="D219">
            <v>37103</v>
          </cell>
          <cell r="G219">
            <v>0</v>
          </cell>
        </row>
        <row r="220">
          <cell r="D220">
            <v>37103</v>
          </cell>
          <cell r="G220">
            <v>0</v>
          </cell>
        </row>
        <row r="221">
          <cell r="D221">
            <v>37011</v>
          </cell>
          <cell r="G221">
            <v>0</v>
          </cell>
        </row>
        <row r="222">
          <cell r="D222">
            <v>37134</v>
          </cell>
          <cell r="G222">
            <v>154321.19761887999</v>
          </cell>
        </row>
        <row r="223">
          <cell r="D223">
            <v>37103</v>
          </cell>
          <cell r="G223">
            <v>92476.941321919992</v>
          </cell>
        </row>
        <row r="224">
          <cell r="D224">
            <v>37103</v>
          </cell>
          <cell r="G224">
            <v>87207.36432256001</v>
          </cell>
        </row>
        <row r="225">
          <cell r="D225">
            <v>37042</v>
          </cell>
          <cell r="G225">
            <v>189433.774</v>
          </cell>
        </row>
        <row r="226">
          <cell r="D226">
            <v>37134</v>
          </cell>
          <cell r="G226">
            <v>60332.958183839997</v>
          </cell>
        </row>
        <row r="227">
          <cell r="D227">
            <v>37164</v>
          </cell>
          <cell r="G227">
            <v>110636.65050415999</v>
          </cell>
        </row>
        <row r="228">
          <cell r="D228">
            <v>37103</v>
          </cell>
          <cell r="G228">
            <v>84482.538</v>
          </cell>
        </row>
        <row r="229">
          <cell r="D229">
            <v>37164</v>
          </cell>
          <cell r="G229">
            <v>154196.19408208001</v>
          </cell>
        </row>
        <row r="230">
          <cell r="D230">
            <v>37103</v>
          </cell>
          <cell r="G230">
            <v>37727.392</v>
          </cell>
        </row>
        <row r="231">
          <cell r="D231">
            <v>37103</v>
          </cell>
          <cell r="G231">
            <v>55698.481</v>
          </cell>
        </row>
        <row r="232">
          <cell r="D232">
            <v>37315</v>
          </cell>
          <cell r="G232">
            <v>126801.60594448</v>
          </cell>
        </row>
        <row r="233">
          <cell r="D233">
            <v>37195</v>
          </cell>
          <cell r="G233">
            <v>227249.39731855999</v>
          </cell>
        </row>
        <row r="234">
          <cell r="D234">
            <v>37103</v>
          </cell>
          <cell r="G234">
            <v>39874.784516480002</v>
          </cell>
        </row>
        <row r="235">
          <cell r="D235">
            <v>37103</v>
          </cell>
          <cell r="G235">
            <v>130000</v>
          </cell>
        </row>
        <row r="236">
          <cell r="D236">
            <v>37103</v>
          </cell>
          <cell r="G236">
            <v>79496.803</v>
          </cell>
        </row>
        <row r="237">
          <cell r="D237">
            <v>37164</v>
          </cell>
          <cell r="G237">
            <v>26620.265089759996</v>
          </cell>
        </row>
        <row r="238">
          <cell r="D238">
            <v>37103</v>
          </cell>
          <cell r="G238">
            <v>9110.9647453245707</v>
          </cell>
        </row>
        <row r="239">
          <cell r="D239">
            <v>37103</v>
          </cell>
          <cell r="G239">
            <v>85394.282759211463</v>
          </cell>
        </row>
        <row r="240">
          <cell r="D240">
            <v>37103</v>
          </cell>
          <cell r="G240">
            <v>67242.260800000004</v>
          </cell>
        </row>
        <row r="241">
          <cell r="D241">
            <v>37134</v>
          </cell>
          <cell r="G241">
            <v>108024.12002592</v>
          </cell>
        </row>
        <row r="242">
          <cell r="D242">
            <v>37256</v>
          </cell>
          <cell r="G242">
            <v>0</v>
          </cell>
        </row>
        <row r="243">
          <cell r="D243">
            <v>37164</v>
          </cell>
          <cell r="G243">
            <v>53079.464123199999</v>
          </cell>
        </row>
        <row r="244">
          <cell r="D244">
            <v>37103</v>
          </cell>
          <cell r="G244">
            <v>55966.658651039994</v>
          </cell>
        </row>
        <row r="245">
          <cell r="D245">
            <v>37011</v>
          </cell>
          <cell r="G245">
            <v>496560.28990999993</v>
          </cell>
        </row>
        <row r="246">
          <cell r="D246">
            <v>37164</v>
          </cell>
          <cell r="G246">
            <v>213529.36952512001</v>
          </cell>
        </row>
        <row r="247">
          <cell r="D247">
            <v>37164</v>
          </cell>
          <cell r="G247">
            <v>0</v>
          </cell>
        </row>
        <row r="248">
          <cell r="D248">
            <v>37256</v>
          </cell>
          <cell r="G248">
            <v>28032.725899839999</v>
          </cell>
        </row>
        <row r="249">
          <cell r="D249">
            <v>37315</v>
          </cell>
          <cell r="G249">
            <v>181029.40288519853</v>
          </cell>
        </row>
        <row r="250">
          <cell r="D250">
            <v>37256</v>
          </cell>
          <cell r="G250">
            <v>90114.567906321463</v>
          </cell>
        </row>
        <row r="251">
          <cell r="D251">
            <v>37011</v>
          </cell>
          <cell r="G251">
            <v>553726.57400000002</v>
          </cell>
        </row>
        <row r="252">
          <cell r="D252">
            <v>37164</v>
          </cell>
          <cell r="G252">
            <v>10380363.230291968</v>
          </cell>
        </row>
        <row r="253">
          <cell r="D253">
            <v>37195</v>
          </cell>
          <cell r="G253">
            <v>5411008.1727702431</v>
          </cell>
        </row>
        <row r="254">
          <cell r="D254">
            <v>37164</v>
          </cell>
          <cell r="G254">
            <v>414242.33110726252</v>
          </cell>
        </row>
        <row r="255">
          <cell r="D255">
            <v>37164</v>
          </cell>
          <cell r="G255">
            <v>576460.18991765915</v>
          </cell>
        </row>
        <row r="256">
          <cell r="D256">
            <v>37287</v>
          </cell>
          <cell r="G256">
            <v>3935995.6350000002</v>
          </cell>
        </row>
        <row r="257">
          <cell r="D257">
            <v>37287</v>
          </cell>
          <cell r="G257">
            <v>12110755.800000001</v>
          </cell>
        </row>
        <row r="258">
          <cell r="D258">
            <v>37225</v>
          </cell>
          <cell r="G258">
            <v>30001.002709401375</v>
          </cell>
        </row>
        <row r="259">
          <cell r="D259">
            <v>37376</v>
          </cell>
          <cell r="G259">
            <v>65000</v>
          </cell>
        </row>
        <row r="260">
          <cell r="D260">
            <v>37315</v>
          </cell>
          <cell r="G260">
            <v>146443.74968468849</v>
          </cell>
        </row>
        <row r="261">
          <cell r="D261">
            <v>37225</v>
          </cell>
          <cell r="G261">
            <v>80170.882259085192</v>
          </cell>
        </row>
        <row r="262">
          <cell r="D262">
            <v>37315</v>
          </cell>
          <cell r="G262">
            <v>162986.0987730748</v>
          </cell>
        </row>
        <row r="263">
          <cell r="D263">
            <v>37103</v>
          </cell>
          <cell r="G263">
            <v>54281.796011040002</v>
          </cell>
        </row>
        <row r="264">
          <cell r="D264">
            <v>37011</v>
          </cell>
          <cell r="G264">
            <v>112423.97120000001</v>
          </cell>
        </row>
        <row r="265">
          <cell r="D265">
            <v>37072</v>
          </cell>
          <cell r="G265">
            <v>0</v>
          </cell>
        </row>
        <row r="266">
          <cell r="D266">
            <v>37011</v>
          </cell>
          <cell r="G266">
            <v>92943.983859040003</v>
          </cell>
        </row>
        <row r="267">
          <cell r="D267">
            <v>37103</v>
          </cell>
          <cell r="G267">
            <v>54426.910417440013</v>
          </cell>
        </row>
        <row r="268">
          <cell r="D268">
            <v>37134</v>
          </cell>
          <cell r="G268">
            <v>62385.392000000007</v>
          </cell>
        </row>
        <row r="269">
          <cell r="D269">
            <v>37103</v>
          </cell>
          <cell r="G269">
            <v>191057.92715504</v>
          </cell>
        </row>
        <row r="270">
          <cell r="D270">
            <v>37134</v>
          </cell>
          <cell r="G270">
            <v>102493.57202686157</v>
          </cell>
        </row>
        <row r="271">
          <cell r="D271">
            <v>37011</v>
          </cell>
          <cell r="G271">
            <v>31409.840007140563</v>
          </cell>
        </row>
        <row r="272">
          <cell r="D272">
            <v>37134</v>
          </cell>
          <cell r="G272">
            <v>42177.139548800013</v>
          </cell>
        </row>
        <row r="273">
          <cell r="D273">
            <v>37287</v>
          </cell>
          <cell r="G273">
            <v>156212.35424835005</v>
          </cell>
        </row>
        <row r="274">
          <cell r="D274">
            <v>37287</v>
          </cell>
          <cell r="G274">
            <v>0</v>
          </cell>
        </row>
        <row r="275">
          <cell r="D275">
            <v>37287</v>
          </cell>
          <cell r="G275">
            <v>164661.40056026308</v>
          </cell>
        </row>
        <row r="276">
          <cell r="D276">
            <v>37287</v>
          </cell>
          <cell r="G276">
            <v>290704.89589502977</v>
          </cell>
        </row>
        <row r="277">
          <cell r="D277">
            <v>37287</v>
          </cell>
          <cell r="G277">
            <v>163470.34285934121</v>
          </cell>
        </row>
        <row r="278">
          <cell r="D278">
            <v>37287</v>
          </cell>
          <cell r="G278">
            <v>284224.59781998332</v>
          </cell>
        </row>
        <row r="279">
          <cell r="D279">
            <v>37287</v>
          </cell>
          <cell r="G279">
            <v>0</v>
          </cell>
        </row>
        <row r="280">
          <cell r="D280">
            <v>37287</v>
          </cell>
          <cell r="G280">
            <v>0</v>
          </cell>
        </row>
        <row r="281">
          <cell r="D281">
            <v>37287</v>
          </cell>
          <cell r="G281">
            <v>22645.988062520235</v>
          </cell>
        </row>
        <row r="282">
          <cell r="D282">
            <v>37072</v>
          </cell>
          <cell r="G282">
            <v>1178054.9002079782</v>
          </cell>
        </row>
        <row r="283">
          <cell r="D283">
            <v>37164</v>
          </cell>
          <cell r="G283">
            <v>0</v>
          </cell>
        </row>
        <row r="284">
          <cell r="D284">
            <v>37195</v>
          </cell>
          <cell r="G284">
            <v>0</v>
          </cell>
        </row>
        <row r="285">
          <cell r="D285">
            <v>37195</v>
          </cell>
          <cell r="G285">
            <v>0</v>
          </cell>
        </row>
        <row r="286">
          <cell r="D286">
            <v>37042</v>
          </cell>
          <cell r="G286">
            <v>1762122.031</v>
          </cell>
        </row>
        <row r="287">
          <cell r="D287">
            <v>37103</v>
          </cell>
          <cell r="G287">
            <v>1641328.7660000001</v>
          </cell>
        </row>
        <row r="288">
          <cell r="D288">
            <v>37134</v>
          </cell>
          <cell r="G288">
            <v>52354.808842463361</v>
          </cell>
        </row>
        <row r="289">
          <cell r="D289">
            <v>37042</v>
          </cell>
          <cell r="G289">
            <v>20543.783504420258</v>
          </cell>
        </row>
        <row r="290">
          <cell r="D290">
            <v>37195</v>
          </cell>
          <cell r="G290">
            <v>75769.391999999993</v>
          </cell>
        </row>
        <row r="291">
          <cell r="D291">
            <v>37072</v>
          </cell>
          <cell r="G291">
            <v>440284.37672261073</v>
          </cell>
        </row>
        <row r="292">
          <cell r="D292">
            <v>37072</v>
          </cell>
          <cell r="G292">
            <v>1138477.6540773895</v>
          </cell>
        </row>
        <row r="293">
          <cell r="D293">
            <v>37103</v>
          </cell>
          <cell r="G293">
            <v>106352.9564810592</v>
          </cell>
        </row>
        <row r="294">
          <cell r="D294">
            <v>37256</v>
          </cell>
          <cell r="G294">
            <v>65000</v>
          </cell>
        </row>
        <row r="295">
          <cell r="D295">
            <v>37195</v>
          </cell>
          <cell r="G295">
            <v>18000</v>
          </cell>
        </row>
        <row r="296">
          <cell r="D296">
            <v>37256</v>
          </cell>
          <cell r="G296">
            <v>151365.53068351999</v>
          </cell>
        </row>
        <row r="297">
          <cell r="D297">
            <v>37315</v>
          </cell>
          <cell r="G297">
            <v>40985.392</v>
          </cell>
        </row>
        <row r="298">
          <cell r="D298">
            <v>37103</v>
          </cell>
          <cell r="G298">
            <v>39504.047136640002</v>
          </cell>
        </row>
        <row r="299">
          <cell r="D299">
            <v>37103</v>
          </cell>
          <cell r="G299">
            <v>75874.991999999998</v>
          </cell>
        </row>
        <row r="300">
          <cell r="D300">
            <v>37011</v>
          </cell>
          <cell r="G300">
            <v>497058.35499999998</v>
          </cell>
        </row>
        <row r="301">
          <cell r="D301">
            <v>37315</v>
          </cell>
          <cell r="G301">
            <v>2331169.5923859202</v>
          </cell>
        </row>
        <row r="302">
          <cell r="D302">
            <v>37103</v>
          </cell>
          <cell r="G302">
            <v>46528.192000000003</v>
          </cell>
        </row>
        <row r="303">
          <cell r="D303">
            <v>37072</v>
          </cell>
          <cell r="G303">
            <v>26672.379661120009</v>
          </cell>
        </row>
        <row r="304">
          <cell r="D304">
            <v>37103</v>
          </cell>
          <cell r="G304">
            <v>104072.22907360001</v>
          </cell>
        </row>
        <row r="305">
          <cell r="D305">
            <v>37072</v>
          </cell>
          <cell r="G305">
            <v>106734.71927360001</v>
          </cell>
        </row>
        <row r="306">
          <cell r="D306">
            <v>37225</v>
          </cell>
          <cell r="G306">
            <v>305562.26919999998</v>
          </cell>
        </row>
        <row r="307">
          <cell r="D307">
            <v>36950</v>
          </cell>
          <cell r="G307">
            <v>0</v>
          </cell>
        </row>
        <row r="308">
          <cell r="D308">
            <v>37103</v>
          </cell>
          <cell r="G308">
            <v>90478.44</v>
          </cell>
        </row>
        <row r="309">
          <cell r="D309">
            <v>37103</v>
          </cell>
          <cell r="G309">
            <v>89490.877999999997</v>
          </cell>
        </row>
        <row r="310">
          <cell r="D310">
            <v>37103</v>
          </cell>
          <cell r="G310">
            <v>241994.75099999999</v>
          </cell>
        </row>
        <row r="311">
          <cell r="D311">
            <v>37256</v>
          </cell>
          <cell r="G311">
            <v>231118.72698191216</v>
          </cell>
        </row>
        <row r="312">
          <cell r="D312">
            <v>37287</v>
          </cell>
          <cell r="G312">
            <v>70243.027589275807</v>
          </cell>
        </row>
        <row r="313">
          <cell r="D313">
            <v>37072</v>
          </cell>
          <cell r="G313">
            <v>38293.112273779727</v>
          </cell>
        </row>
        <row r="314">
          <cell r="D314">
            <v>37011</v>
          </cell>
          <cell r="G314">
            <v>15990.877673370855</v>
          </cell>
        </row>
        <row r="315">
          <cell r="D315">
            <v>37103</v>
          </cell>
          <cell r="G315">
            <v>214735.769</v>
          </cell>
        </row>
        <row r="316">
          <cell r="D316">
            <v>37103</v>
          </cell>
          <cell r="G316">
            <v>49490.097348800002</v>
          </cell>
        </row>
        <row r="317">
          <cell r="D317">
            <v>37011</v>
          </cell>
          <cell r="G317">
            <v>64109.839472480002</v>
          </cell>
        </row>
        <row r="318">
          <cell r="D318">
            <v>37287</v>
          </cell>
          <cell r="G318">
            <v>428886.82905087998</v>
          </cell>
        </row>
        <row r="319">
          <cell r="D319">
            <v>37134</v>
          </cell>
          <cell r="G319">
            <v>123425.49400000001</v>
          </cell>
        </row>
        <row r="320">
          <cell r="D320">
            <v>37011</v>
          </cell>
          <cell r="G320">
            <v>49851.081650880005</v>
          </cell>
        </row>
        <row r="321">
          <cell r="D321">
            <v>37011</v>
          </cell>
          <cell r="G321">
            <v>0</v>
          </cell>
        </row>
        <row r="322">
          <cell r="D322">
            <v>37011</v>
          </cell>
          <cell r="G322">
            <v>52500.519944960004</v>
          </cell>
        </row>
        <row r="323">
          <cell r="D323">
            <v>37103</v>
          </cell>
          <cell r="G323">
            <v>150661.84028992383</v>
          </cell>
        </row>
        <row r="324">
          <cell r="D324">
            <v>37225</v>
          </cell>
          <cell r="G324">
            <v>81782.857368636163</v>
          </cell>
        </row>
        <row r="325">
          <cell r="D325">
            <v>37072</v>
          </cell>
          <cell r="G325">
            <v>196888.897</v>
          </cell>
        </row>
        <row r="326">
          <cell r="D326">
            <v>37072</v>
          </cell>
          <cell r="G326">
            <v>48583.972000000002</v>
          </cell>
        </row>
        <row r="327">
          <cell r="D327">
            <v>37072</v>
          </cell>
          <cell r="G327">
            <v>36182.646999999997</v>
          </cell>
        </row>
        <row r="328">
          <cell r="D328">
            <v>37042</v>
          </cell>
          <cell r="G328">
            <v>414993.65899999999</v>
          </cell>
        </row>
        <row r="329">
          <cell r="D329">
            <v>37042</v>
          </cell>
          <cell r="G329">
            <v>390135.69398617855</v>
          </cell>
        </row>
        <row r="330">
          <cell r="D330">
            <v>37225</v>
          </cell>
          <cell r="G330">
            <v>10864.473682274453</v>
          </cell>
        </row>
        <row r="331">
          <cell r="D331">
            <v>37011</v>
          </cell>
          <cell r="G331">
            <v>21666.394323519999</v>
          </cell>
        </row>
        <row r="332">
          <cell r="D332">
            <v>37103</v>
          </cell>
          <cell r="G332">
            <v>112668.25900000001</v>
          </cell>
        </row>
        <row r="333">
          <cell r="D333">
            <v>37103</v>
          </cell>
          <cell r="G333">
            <v>60217.120033279993</v>
          </cell>
        </row>
        <row r="334">
          <cell r="D334">
            <v>37103</v>
          </cell>
          <cell r="G334">
            <v>220529.07975920002</v>
          </cell>
        </row>
        <row r="335">
          <cell r="D335">
            <v>37134</v>
          </cell>
          <cell r="G335">
            <v>435209.95</v>
          </cell>
        </row>
        <row r="336">
          <cell r="D336">
            <v>37103</v>
          </cell>
          <cell r="G336">
            <v>111128.943</v>
          </cell>
        </row>
        <row r="337">
          <cell r="D337">
            <v>37103</v>
          </cell>
          <cell r="G337">
            <v>257199.79200000002</v>
          </cell>
        </row>
        <row r="338">
          <cell r="D338">
            <v>37103</v>
          </cell>
          <cell r="G338">
            <v>176059.04283312004</v>
          </cell>
        </row>
        <row r="339">
          <cell r="D339">
            <v>37103</v>
          </cell>
          <cell r="G339">
            <v>332297.77</v>
          </cell>
        </row>
        <row r="340">
          <cell r="D340">
            <v>37195</v>
          </cell>
          <cell r="G340">
            <v>20814580.955743637</v>
          </cell>
        </row>
        <row r="341">
          <cell r="D341">
            <v>37195</v>
          </cell>
          <cell r="G341">
            <v>1540963.7919147734</v>
          </cell>
        </row>
      </sheetData>
      <sheetData sheetId="3" refreshError="1"/>
      <sheetData sheetId="4" refreshError="1">
        <row r="9">
          <cell r="AG9" t="str">
            <v>추심액</v>
          </cell>
          <cell r="AH9" t="str">
            <v>추심기일</v>
          </cell>
        </row>
        <row r="10">
          <cell r="AG10">
            <v>1526.5960332543698</v>
          </cell>
          <cell r="AH10">
            <v>37529</v>
          </cell>
        </row>
        <row r="11">
          <cell r="AG11">
            <v>964.50287863135986</v>
          </cell>
          <cell r="AH11">
            <v>37529</v>
          </cell>
        </row>
        <row r="12">
          <cell r="AG12">
            <v>1202.2764271906433</v>
          </cell>
          <cell r="AH12">
            <v>37652</v>
          </cell>
        </row>
        <row r="13">
          <cell r="AG13">
            <v>253.96211380809964</v>
          </cell>
          <cell r="AH13">
            <v>37652</v>
          </cell>
        </row>
        <row r="14">
          <cell r="AG14">
            <v>318.2828444363991</v>
          </cell>
          <cell r="AH14">
            <v>37652</v>
          </cell>
        </row>
        <row r="15">
          <cell r="AG15">
            <v>1.6500605849823249</v>
          </cell>
          <cell r="AH15">
            <v>37621</v>
          </cell>
        </row>
        <row r="16">
          <cell r="AG16">
            <v>32.374972603795797</v>
          </cell>
          <cell r="AH16">
            <v>37621</v>
          </cell>
        </row>
        <row r="17">
          <cell r="AG17">
            <v>33.163477307282953</v>
          </cell>
          <cell r="AH17">
            <v>37621</v>
          </cell>
        </row>
        <row r="18">
          <cell r="AG18">
            <v>16.308794680472911</v>
          </cell>
          <cell r="AH18">
            <v>37621</v>
          </cell>
        </row>
        <row r="19">
          <cell r="AG19">
            <v>6.4599096607797941</v>
          </cell>
          <cell r="AH19">
            <v>37621</v>
          </cell>
        </row>
        <row r="20">
          <cell r="AG20">
            <v>10.791657210932243</v>
          </cell>
          <cell r="AH20">
            <v>37621</v>
          </cell>
        </row>
        <row r="21">
          <cell r="AG21">
            <v>57.300160187479193</v>
          </cell>
          <cell r="AH21">
            <v>37621</v>
          </cell>
        </row>
        <row r="22">
          <cell r="AG22">
            <v>26.315732142550623</v>
          </cell>
          <cell r="AH22">
            <v>37621</v>
          </cell>
        </row>
        <row r="23">
          <cell r="AG23">
            <v>0.31173053366113379</v>
          </cell>
          <cell r="AH23">
            <v>37621</v>
          </cell>
        </row>
        <row r="24">
          <cell r="AG24">
            <v>55.951168277985708</v>
          </cell>
          <cell r="AH24">
            <v>37680</v>
          </cell>
        </row>
        <row r="25">
          <cell r="AG25">
            <v>50.478590190086472</v>
          </cell>
          <cell r="AH25">
            <v>37680</v>
          </cell>
        </row>
        <row r="26">
          <cell r="AG26">
            <v>639.87294178981801</v>
          </cell>
          <cell r="AH26">
            <v>37590</v>
          </cell>
        </row>
        <row r="27">
          <cell r="AG27">
            <v>1367.5804226612204</v>
          </cell>
          <cell r="AH27">
            <v>37590</v>
          </cell>
        </row>
        <row r="28">
          <cell r="AG28">
            <v>3230.4836788205994</v>
          </cell>
          <cell r="AH28">
            <v>37590</v>
          </cell>
        </row>
        <row r="29">
          <cell r="AG29">
            <v>94.294585374087617</v>
          </cell>
          <cell r="AH29">
            <v>37680</v>
          </cell>
        </row>
        <row r="30">
          <cell r="AG30">
            <v>161.84693319982702</v>
          </cell>
          <cell r="AH30">
            <v>37621</v>
          </cell>
        </row>
        <row r="31">
          <cell r="AG31">
            <v>964.37066675279721</v>
          </cell>
          <cell r="AH31">
            <v>37652</v>
          </cell>
        </row>
        <row r="32">
          <cell r="AG32">
            <v>154.5111949294442</v>
          </cell>
          <cell r="AH32">
            <v>37652</v>
          </cell>
        </row>
        <row r="33">
          <cell r="AG33">
            <v>540.6990898663056</v>
          </cell>
          <cell r="AH33">
            <v>37680</v>
          </cell>
        </row>
        <row r="34">
          <cell r="AG34">
            <v>42.879466457828798</v>
          </cell>
          <cell r="AH34">
            <v>37680</v>
          </cell>
        </row>
        <row r="35">
          <cell r="AG35">
            <v>6629.0766693396927</v>
          </cell>
          <cell r="AH35">
            <v>37621</v>
          </cell>
        </row>
        <row r="36">
          <cell r="AG36">
            <v>1448.8575622833589</v>
          </cell>
          <cell r="AH36">
            <v>37621</v>
          </cell>
        </row>
        <row r="37">
          <cell r="AG37">
            <v>443.48301270184021</v>
          </cell>
          <cell r="AH37">
            <v>37621</v>
          </cell>
        </row>
        <row r="38">
          <cell r="AG38">
            <v>1287.6421604128425</v>
          </cell>
          <cell r="AH38">
            <v>37621</v>
          </cell>
        </row>
        <row r="39">
          <cell r="AG39">
            <v>352.1083811214902</v>
          </cell>
          <cell r="AH39">
            <v>37621</v>
          </cell>
        </row>
        <row r="40">
          <cell r="AG40">
            <v>2536.4409620179899</v>
          </cell>
          <cell r="AH40">
            <v>37621</v>
          </cell>
        </row>
        <row r="41">
          <cell r="AG41">
            <v>215.1164567022812</v>
          </cell>
          <cell r="AH41">
            <v>37621</v>
          </cell>
        </row>
        <row r="42">
          <cell r="AG42">
            <v>730.08338037952819</v>
          </cell>
          <cell r="AH42">
            <v>37621</v>
          </cell>
        </row>
        <row r="43">
          <cell r="AG43">
            <v>242.1206197439555</v>
          </cell>
          <cell r="AH43">
            <v>37621</v>
          </cell>
        </row>
        <row r="44">
          <cell r="AG44">
            <v>282.53327089057507</v>
          </cell>
          <cell r="AH44">
            <v>37529</v>
          </cell>
        </row>
        <row r="45">
          <cell r="AG45">
            <v>1966.4707735090772</v>
          </cell>
          <cell r="AH45">
            <v>37529</v>
          </cell>
        </row>
        <row r="46">
          <cell r="AG46">
            <v>80.332327772008355</v>
          </cell>
          <cell r="AH46">
            <v>37529</v>
          </cell>
        </row>
        <row r="47">
          <cell r="AG47">
            <v>135.27872564029553</v>
          </cell>
          <cell r="AH47">
            <v>37529</v>
          </cell>
        </row>
        <row r="48">
          <cell r="AG48">
            <v>30.636764125189675</v>
          </cell>
          <cell r="AH48">
            <v>37590</v>
          </cell>
        </row>
        <row r="49">
          <cell r="AG49">
            <v>211.10268503494225</v>
          </cell>
          <cell r="AH49">
            <v>37590</v>
          </cell>
        </row>
        <row r="50">
          <cell r="AG50">
            <v>651.02410593161665</v>
          </cell>
          <cell r="AH50">
            <v>37621</v>
          </cell>
        </row>
        <row r="51">
          <cell r="AG51">
            <v>850.12845593906786</v>
          </cell>
          <cell r="AH51">
            <v>37621</v>
          </cell>
        </row>
        <row r="52">
          <cell r="AG52">
            <v>858.33155912238055</v>
          </cell>
          <cell r="AH52">
            <v>37621</v>
          </cell>
        </row>
        <row r="53">
          <cell r="AG53">
            <v>271.92463924793992</v>
          </cell>
          <cell r="AH53">
            <v>37621</v>
          </cell>
        </row>
        <row r="54">
          <cell r="AG54">
            <v>955.91795102019205</v>
          </cell>
          <cell r="AH54">
            <v>37621</v>
          </cell>
        </row>
        <row r="55">
          <cell r="AG55">
            <v>103.76967501771723</v>
          </cell>
          <cell r="AH55">
            <v>37560</v>
          </cell>
        </row>
        <row r="56">
          <cell r="AG56">
            <v>47.367731373112981</v>
          </cell>
          <cell r="AH56">
            <v>37621</v>
          </cell>
        </row>
        <row r="57">
          <cell r="AG57">
            <v>47.327451415948964</v>
          </cell>
          <cell r="AH57">
            <v>37621</v>
          </cell>
        </row>
        <row r="58">
          <cell r="AG58">
            <v>65.458672684178708</v>
          </cell>
          <cell r="AH58">
            <v>37590</v>
          </cell>
        </row>
        <row r="59">
          <cell r="AG59">
            <v>130.43803578200939</v>
          </cell>
          <cell r="AH59">
            <v>37590</v>
          </cell>
        </row>
        <row r="60">
          <cell r="AG60">
            <v>263.21887585562098</v>
          </cell>
          <cell r="AH60">
            <v>37590</v>
          </cell>
        </row>
        <row r="61">
          <cell r="AG61">
            <v>151.87189680311508</v>
          </cell>
          <cell r="AH61">
            <v>37652</v>
          </cell>
        </row>
        <row r="62">
          <cell r="AG62">
            <v>31.637303357012822</v>
          </cell>
          <cell r="AH62">
            <v>37652</v>
          </cell>
        </row>
        <row r="63">
          <cell r="AG63">
            <v>181.75060117731641</v>
          </cell>
          <cell r="AH63">
            <v>37590</v>
          </cell>
        </row>
        <row r="64">
          <cell r="AG64">
            <v>1271.1136218642657</v>
          </cell>
          <cell r="AH64">
            <v>37590</v>
          </cell>
        </row>
        <row r="65">
          <cell r="AG65">
            <v>3689.696938605462</v>
          </cell>
          <cell r="AH65">
            <v>37529</v>
          </cell>
        </row>
        <row r="66">
          <cell r="AG66">
            <v>197.93013819745835</v>
          </cell>
          <cell r="AH66">
            <v>37680</v>
          </cell>
        </row>
        <row r="67">
          <cell r="AG67">
            <v>651.54792322852234</v>
          </cell>
          <cell r="AH67">
            <v>37621</v>
          </cell>
        </row>
        <row r="68">
          <cell r="AG68">
            <v>614.80199854614909</v>
          </cell>
          <cell r="AH68">
            <v>37621</v>
          </cell>
        </row>
        <row r="69">
          <cell r="AG69">
            <v>490.82769279971831</v>
          </cell>
          <cell r="AH69">
            <v>37621</v>
          </cell>
        </row>
        <row r="70">
          <cell r="AG70">
            <v>245.41384639985915</v>
          </cell>
          <cell r="AH70">
            <v>37621</v>
          </cell>
        </row>
        <row r="71">
          <cell r="AG71">
            <v>441.74492351974646</v>
          </cell>
          <cell r="AH71">
            <v>37621</v>
          </cell>
        </row>
        <row r="72">
          <cell r="AG72">
            <v>68.159605606787551</v>
          </cell>
          <cell r="AH72">
            <v>37621</v>
          </cell>
        </row>
        <row r="73">
          <cell r="AG73">
            <v>117.08627236326909</v>
          </cell>
          <cell r="AH73">
            <v>37621</v>
          </cell>
        </row>
        <row r="74">
          <cell r="AG74">
            <v>16.6359990563674</v>
          </cell>
          <cell r="AH74">
            <v>37621</v>
          </cell>
        </row>
        <row r="75">
          <cell r="AG75">
            <v>234.81141305884128</v>
          </cell>
          <cell r="AH75">
            <v>37621</v>
          </cell>
        </row>
        <row r="76">
          <cell r="AG76">
            <v>4883.4343030070368</v>
          </cell>
          <cell r="AH76">
            <v>37590</v>
          </cell>
        </row>
        <row r="77">
          <cell r="AG77">
            <v>1334.0963835624302</v>
          </cell>
          <cell r="AH77">
            <v>37590</v>
          </cell>
        </row>
        <row r="78">
          <cell r="AG78">
            <v>161.08313369112884</v>
          </cell>
          <cell r="AH78">
            <v>37590</v>
          </cell>
        </row>
        <row r="79">
          <cell r="AG79">
            <v>0</v>
          </cell>
          <cell r="AH79">
            <v>37590</v>
          </cell>
        </row>
        <row r="80">
          <cell r="AG80">
            <v>4716.1871755599468</v>
          </cell>
          <cell r="AH80">
            <v>37590</v>
          </cell>
        </row>
        <row r="81">
          <cell r="AG81">
            <v>2358.0935877799734</v>
          </cell>
          <cell r="AH81">
            <v>37590</v>
          </cell>
        </row>
        <row r="82">
          <cell r="AG82">
            <v>264.74679856418282</v>
          </cell>
          <cell r="AH82">
            <v>37590</v>
          </cell>
        </row>
        <row r="83">
          <cell r="AG83">
            <v>2965.6957022312799</v>
          </cell>
          <cell r="AH83">
            <v>37590</v>
          </cell>
        </row>
        <row r="84">
          <cell r="AG84">
            <v>2865.9385672226726</v>
          </cell>
          <cell r="AH84">
            <v>37680</v>
          </cell>
        </row>
        <row r="85">
          <cell r="AG85">
            <v>2706.3996746198627</v>
          </cell>
          <cell r="AH85">
            <v>37621</v>
          </cell>
        </row>
        <row r="86">
          <cell r="AG86">
            <v>73.158668133730117</v>
          </cell>
          <cell r="AH86">
            <v>37621</v>
          </cell>
        </row>
        <row r="87">
          <cell r="AG87">
            <v>93.466734127945344</v>
          </cell>
          <cell r="AH87">
            <v>37621</v>
          </cell>
        </row>
        <row r="88">
          <cell r="AG88">
            <v>70.511942816893836</v>
          </cell>
          <cell r="AH88">
            <v>37621</v>
          </cell>
        </row>
        <row r="89">
          <cell r="AG89">
            <v>56.426765884516207</v>
          </cell>
          <cell r="AH89">
            <v>37621</v>
          </cell>
        </row>
        <row r="90">
          <cell r="AG90">
            <v>54.639295327784346</v>
          </cell>
          <cell r="AH90">
            <v>37621</v>
          </cell>
        </row>
        <row r="91">
          <cell r="AG91">
            <v>313.36978279052204</v>
          </cell>
          <cell r="AH91">
            <v>37590</v>
          </cell>
        </row>
        <row r="92">
          <cell r="AG92">
            <v>5903.0928811902122</v>
          </cell>
          <cell r="AH92">
            <v>37590</v>
          </cell>
        </row>
        <row r="93">
          <cell r="AG93">
            <v>1287.2399368450226</v>
          </cell>
          <cell r="AH93">
            <v>37590</v>
          </cell>
        </row>
        <row r="94">
          <cell r="AG94">
            <v>2388.2652689803062</v>
          </cell>
          <cell r="AH94">
            <v>37652</v>
          </cell>
        </row>
        <row r="95">
          <cell r="AG95">
            <v>989.94952477962113</v>
          </cell>
          <cell r="AH95">
            <v>37529</v>
          </cell>
        </row>
        <row r="96">
          <cell r="AG96">
            <v>243.34494035554067</v>
          </cell>
          <cell r="AH96">
            <v>37621</v>
          </cell>
        </row>
        <row r="97">
          <cell r="AG97">
            <v>236.56425656825462</v>
          </cell>
          <cell r="AH97">
            <v>37621</v>
          </cell>
        </row>
        <row r="98">
          <cell r="AG98">
            <v>201.2555181853711</v>
          </cell>
          <cell r="AH98">
            <v>37621</v>
          </cell>
        </row>
        <row r="99">
          <cell r="AG99">
            <v>899.11755391626286</v>
          </cell>
          <cell r="AH99">
            <v>37741</v>
          </cell>
        </row>
        <row r="100">
          <cell r="AG100">
            <v>1302.0712952252784</v>
          </cell>
          <cell r="AH100">
            <v>37741</v>
          </cell>
        </row>
        <row r="101">
          <cell r="AG101">
            <v>2268.8033309039993</v>
          </cell>
          <cell r="AH101">
            <v>37741</v>
          </cell>
        </row>
        <row r="102">
          <cell r="AG102">
            <v>620.70343501554419</v>
          </cell>
          <cell r="AH102">
            <v>37741</v>
          </cell>
        </row>
        <row r="103">
          <cell r="AG103">
            <v>902.84135310729857</v>
          </cell>
          <cell r="AH103">
            <v>37741</v>
          </cell>
        </row>
        <row r="104">
          <cell r="AG104">
            <v>338.5654951899549</v>
          </cell>
          <cell r="AH104">
            <v>37741</v>
          </cell>
        </row>
        <row r="105">
          <cell r="AG105">
            <v>257.57870646976244</v>
          </cell>
          <cell r="AH105">
            <v>37741</v>
          </cell>
        </row>
        <row r="106">
          <cell r="AG106">
            <v>508.8396805617474</v>
          </cell>
          <cell r="AH106">
            <v>37741</v>
          </cell>
        </row>
        <row r="107">
          <cell r="AG107">
            <v>565.37742646869197</v>
          </cell>
          <cell r="AH107">
            <v>37741</v>
          </cell>
        </row>
        <row r="108">
          <cell r="AG108">
            <v>1133.0770914549387</v>
          </cell>
          <cell r="AH108">
            <v>37741</v>
          </cell>
        </row>
        <row r="109">
          <cell r="AG109">
            <v>2377.8674293344548</v>
          </cell>
          <cell r="AH109">
            <v>37711</v>
          </cell>
        </row>
        <row r="110">
          <cell r="AG110">
            <v>3113.7923376302933</v>
          </cell>
          <cell r="AH110">
            <v>37560</v>
          </cell>
        </row>
        <row r="111">
          <cell r="AG111">
            <v>1603.4953961959391</v>
          </cell>
          <cell r="AH111">
            <v>37560</v>
          </cell>
        </row>
        <row r="112">
          <cell r="AG112">
            <v>913.75328893922267</v>
          </cell>
          <cell r="AH112">
            <v>37560</v>
          </cell>
        </row>
        <row r="113">
          <cell r="AG113">
            <v>1806.6714205299743</v>
          </cell>
          <cell r="AH113">
            <v>37560</v>
          </cell>
        </row>
        <row r="114">
          <cell r="AG114">
            <v>1805.2846473495399</v>
          </cell>
          <cell r="AH114">
            <v>37560</v>
          </cell>
        </row>
        <row r="115">
          <cell r="AG115">
            <v>902.64232367476995</v>
          </cell>
          <cell r="AH115">
            <v>37560</v>
          </cell>
        </row>
        <row r="116">
          <cell r="AG116">
            <v>1845.333473133762</v>
          </cell>
          <cell r="AH116">
            <v>37560</v>
          </cell>
        </row>
        <row r="117">
          <cell r="AG117">
            <v>1102.2251292507563</v>
          </cell>
          <cell r="AH117">
            <v>37560</v>
          </cell>
        </row>
        <row r="118">
          <cell r="AG118">
            <v>1962.0878382253463</v>
          </cell>
          <cell r="AH118">
            <v>37621</v>
          </cell>
        </row>
        <row r="119">
          <cell r="AG119">
            <v>3255.2922613379901</v>
          </cell>
          <cell r="AH119">
            <v>37621</v>
          </cell>
        </row>
        <row r="120">
          <cell r="AG120">
            <v>106.80756749968113</v>
          </cell>
          <cell r="AH120">
            <v>37652</v>
          </cell>
        </row>
        <row r="121">
          <cell r="AG121">
            <v>368.26899321593743</v>
          </cell>
          <cell r="AH121">
            <v>37652</v>
          </cell>
        </row>
        <row r="122">
          <cell r="AG122">
            <v>1946.9676690423125</v>
          </cell>
          <cell r="AH122">
            <v>37652</v>
          </cell>
        </row>
        <row r="123">
          <cell r="AG123">
            <v>1575.5742871452344</v>
          </cell>
          <cell r="AH123">
            <v>37652</v>
          </cell>
        </row>
        <row r="124">
          <cell r="AG124">
            <v>205.25375681833216</v>
          </cell>
          <cell r="AH124">
            <v>37711</v>
          </cell>
        </row>
        <row r="125">
          <cell r="AG125">
            <v>3864.1857855634348</v>
          </cell>
          <cell r="AH125">
            <v>37652</v>
          </cell>
        </row>
        <row r="126">
          <cell r="AG126">
            <v>300.61631868395637</v>
          </cell>
          <cell r="AH126">
            <v>37652</v>
          </cell>
        </row>
        <row r="127">
          <cell r="AG127">
            <v>1524.1979191393445</v>
          </cell>
          <cell r="AH127">
            <v>37621</v>
          </cell>
        </row>
        <row r="128">
          <cell r="AG128">
            <v>25.369087755814178</v>
          </cell>
          <cell r="AH128">
            <v>37621</v>
          </cell>
        </row>
        <row r="129">
          <cell r="AG129">
            <v>1558.1967850815226</v>
          </cell>
          <cell r="AH129">
            <v>37621</v>
          </cell>
        </row>
        <row r="130">
          <cell r="AG130">
            <v>954.06653203760345</v>
          </cell>
          <cell r="AH130">
            <v>37621</v>
          </cell>
        </row>
        <row r="131">
          <cell r="AG131">
            <v>5.581335304053809</v>
          </cell>
          <cell r="AH131">
            <v>37529</v>
          </cell>
        </row>
        <row r="132">
          <cell r="AG132">
            <v>5.581335304053809</v>
          </cell>
          <cell r="AH132">
            <v>37529</v>
          </cell>
        </row>
        <row r="133">
          <cell r="AG133">
            <v>3.9069346165486056</v>
          </cell>
          <cell r="AH133">
            <v>37529</v>
          </cell>
        </row>
        <row r="134">
          <cell r="AG134">
            <v>25.176851514108929</v>
          </cell>
          <cell r="AH134">
            <v>37529</v>
          </cell>
        </row>
        <row r="135">
          <cell r="AG135">
            <v>188.83581079436266</v>
          </cell>
          <cell r="AH135">
            <v>37652</v>
          </cell>
        </row>
        <row r="136">
          <cell r="AG136">
            <v>961.04566506429899</v>
          </cell>
          <cell r="AH136">
            <v>37652</v>
          </cell>
        </row>
        <row r="137">
          <cell r="AG137">
            <v>2693.5053892753181</v>
          </cell>
          <cell r="AH137">
            <v>37621</v>
          </cell>
        </row>
        <row r="138">
          <cell r="AG138">
            <v>242.80116729295347</v>
          </cell>
          <cell r="AH138">
            <v>37652</v>
          </cell>
        </row>
        <row r="139">
          <cell r="AG139">
            <v>78.168897363190908</v>
          </cell>
          <cell r="AH139">
            <v>37652</v>
          </cell>
        </row>
        <row r="140">
          <cell r="AG140">
            <v>28.202827421397778</v>
          </cell>
          <cell r="AH140">
            <v>37652</v>
          </cell>
        </row>
        <row r="141">
          <cell r="AG141">
            <v>2523.0965725517462</v>
          </cell>
          <cell r="AH141">
            <v>37621</v>
          </cell>
        </row>
        <row r="142">
          <cell r="AG142">
            <v>395.06096866882706</v>
          </cell>
          <cell r="AH142">
            <v>37590</v>
          </cell>
        </row>
        <row r="143">
          <cell r="AG143">
            <v>1100.867507631672</v>
          </cell>
          <cell r="AH143">
            <v>37590</v>
          </cell>
        </row>
        <row r="144">
          <cell r="AG144">
            <v>431.0071550485211</v>
          </cell>
          <cell r="AH144">
            <v>37590</v>
          </cell>
        </row>
        <row r="145">
          <cell r="AG145">
            <v>1733.4265572863637</v>
          </cell>
          <cell r="AH145">
            <v>37711</v>
          </cell>
        </row>
        <row r="146">
          <cell r="AG146">
            <v>701.39931554313614</v>
          </cell>
          <cell r="AH146">
            <v>37711</v>
          </cell>
        </row>
        <row r="147">
          <cell r="AG147">
            <v>2759.3596855360415</v>
          </cell>
          <cell r="AH147">
            <v>37529</v>
          </cell>
        </row>
        <row r="148">
          <cell r="AG148">
            <v>63.502008934161125</v>
          </cell>
          <cell r="AH148">
            <v>37590</v>
          </cell>
        </row>
        <row r="149">
          <cell r="AG149">
            <v>4.0347725223478212</v>
          </cell>
          <cell r="AH149">
            <v>37590</v>
          </cell>
        </row>
        <row r="150">
          <cell r="AG150">
            <v>633.94109176725658</v>
          </cell>
          <cell r="AH150">
            <v>37621</v>
          </cell>
        </row>
        <row r="151">
          <cell r="AG151">
            <v>31.395003862304748</v>
          </cell>
          <cell r="AH151">
            <v>37621</v>
          </cell>
        </row>
        <row r="152">
          <cell r="AG152">
            <v>804.330655399271</v>
          </cell>
          <cell r="AH152">
            <v>37621</v>
          </cell>
        </row>
        <row r="153">
          <cell r="AG153">
            <v>3362.6582255097665</v>
          </cell>
          <cell r="AH153">
            <v>37833</v>
          </cell>
        </row>
        <row r="154">
          <cell r="AG154">
            <v>56.244772487431177</v>
          </cell>
          <cell r="AH154">
            <v>37621</v>
          </cell>
        </row>
        <row r="155">
          <cell r="AG155">
            <v>80.073581388483291</v>
          </cell>
          <cell r="AH155">
            <v>37529</v>
          </cell>
        </row>
        <row r="156">
          <cell r="AG156">
            <v>181.68201373947201</v>
          </cell>
          <cell r="AH156">
            <v>37802</v>
          </cell>
        </row>
        <row r="157">
          <cell r="AG157">
            <v>444.15485798399982</v>
          </cell>
          <cell r="AH157">
            <v>37621</v>
          </cell>
        </row>
        <row r="158">
          <cell r="AG158">
            <v>60.537471307324374</v>
          </cell>
          <cell r="AH158">
            <v>37621</v>
          </cell>
        </row>
        <row r="159">
          <cell r="AG159">
            <v>24.274978403158201</v>
          </cell>
          <cell r="AH159">
            <v>37621</v>
          </cell>
        </row>
        <row r="160">
          <cell r="AG160">
            <v>251.9431494764745</v>
          </cell>
          <cell r="AH160">
            <v>37621</v>
          </cell>
        </row>
        <row r="161">
          <cell r="AG161">
            <v>320.05466034159235</v>
          </cell>
          <cell r="AH161">
            <v>37711</v>
          </cell>
        </row>
        <row r="162">
          <cell r="AG162">
            <v>22.520152065110288</v>
          </cell>
          <cell r="AH162">
            <v>37711</v>
          </cell>
        </row>
        <row r="163">
          <cell r="AG163">
            <v>4155.0277722494084</v>
          </cell>
          <cell r="AH163">
            <v>37711</v>
          </cell>
        </row>
        <row r="164">
          <cell r="AG164">
            <v>6068.5594225466712</v>
          </cell>
          <cell r="AH164">
            <v>37833</v>
          </cell>
        </row>
        <row r="165">
          <cell r="AG165">
            <v>14218.001145555772</v>
          </cell>
          <cell r="AH165">
            <v>37833</v>
          </cell>
        </row>
        <row r="166">
          <cell r="AG166">
            <v>5184.2173538390089</v>
          </cell>
          <cell r="AH166">
            <v>37833</v>
          </cell>
        </row>
        <row r="167">
          <cell r="AG167">
            <v>10470.913872837891</v>
          </cell>
          <cell r="AH167">
            <v>37833</v>
          </cell>
        </row>
        <row r="168">
          <cell r="AG168">
            <v>14129.532303897813</v>
          </cell>
          <cell r="AH168">
            <v>37833</v>
          </cell>
        </row>
        <row r="169">
          <cell r="AG169">
            <v>1367.7601177238651</v>
          </cell>
          <cell r="AH169">
            <v>37833</v>
          </cell>
        </row>
        <row r="170">
          <cell r="AG170">
            <v>594.77854040767681</v>
          </cell>
          <cell r="AH170">
            <v>37833</v>
          </cell>
        </row>
        <row r="171">
          <cell r="AG171">
            <v>817.72463212990488</v>
          </cell>
          <cell r="AH171">
            <v>37621</v>
          </cell>
        </row>
        <row r="172">
          <cell r="AG172">
            <v>288.22423504063977</v>
          </cell>
          <cell r="AH172">
            <v>37621</v>
          </cell>
        </row>
        <row r="173">
          <cell r="AG173">
            <v>3.8780497432129284</v>
          </cell>
          <cell r="AH173">
            <v>37621</v>
          </cell>
        </row>
        <row r="174">
          <cell r="AG174">
            <v>204.42145862753853</v>
          </cell>
          <cell r="AH174">
            <v>37621</v>
          </cell>
        </row>
        <row r="175">
          <cell r="AG175">
            <v>71.44573954686507</v>
          </cell>
          <cell r="AH175">
            <v>37621</v>
          </cell>
        </row>
        <row r="176">
          <cell r="AG176">
            <v>69.153322000394695</v>
          </cell>
          <cell r="AH176">
            <v>37621</v>
          </cell>
        </row>
        <row r="177">
          <cell r="AG177">
            <v>291.65848326534029</v>
          </cell>
          <cell r="AH177">
            <v>37621</v>
          </cell>
        </row>
        <row r="178">
          <cell r="AG178">
            <v>1020.5725173159863</v>
          </cell>
          <cell r="AH178">
            <v>37621</v>
          </cell>
        </row>
        <row r="179">
          <cell r="AG179">
            <v>713.37634202804361</v>
          </cell>
          <cell r="AH179">
            <v>37621</v>
          </cell>
        </row>
        <row r="180">
          <cell r="AG180">
            <v>962.86029151864261</v>
          </cell>
          <cell r="AH180">
            <v>37621</v>
          </cell>
        </row>
        <row r="181">
          <cell r="AG181">
            <v>518.4632333742195</v>
          </cell>
          <cell r="AH181">
            <v>37621</v>
          </cell>
        </row>
        <row r="182">
          <cell r="AG182">
            <v>131.37553844605506</v>
          </cell>
          <cell r="AH182">
            <v>37621</v>
          </cell>
        </row>
        <row r="183">
          <cell r="AG183">
            <v>55.737544925325857</v>
          </cell>
          <cell r="AH183">
            <v>37652</v>
          </cell>
        </row>
        <row r="184">
          <cell r="AG184">
            <v>3.7472387286220101</v>
          </cell>
          <cell r="AH184">
            <v>37652</v>
          </cell>
        </row>
        <row r="185">
          <cell r="AG185">
            <v>62.86375710739383</v>
          </cell>
          <cell r="AH185">
            <v>37652</v>
          </cell>
        </row>
        <row r="186">
          <cell r="AG186">
            <v>410.64772590999536</v>
          </cell>
          <cell r="AH186">
            <v>37590</v>
          </cell>
        </row>
        <row r="187">
          <cell r="AG187">
            <v>460.76001169719177</v>
          </cell>
          <cell r="AH187">
            <v>37590</v>
          </cell>
        </row>
        <row r="188">
          <cell r="AG188">
            <v>1281.7752851534231</v>
          </cell>
          <cell r="AH188">
            <v>37590</v>
          </cell>
        </row>
        <row r="189">
          <cell r="AG189">
            <v>640.8876375409742</v>
          </cell>
          <cell r="AH189">
            <v>37590</v>
          </cell>
        </row>
        <row r="190">
          <cell r="AG190">
            <v>3943.2411485973357</v>
          </cell>
          <cell r="AH190">
            <v>37590</v>
          </cell>
        </row>
        <row r="191">
          <cell r="AG191">
            <v>37.052050189346517</v>
          </cell>
          <cell r="AH191">
            <v>37590</v>
          </cell>
        </row>
        <row r="192">
          <cell r="AG192">
            <v>53.00456162790077</v>
          </cell>
          <cell r="AH192">
            <v>37590</v>
          </cell>
        </row>
        <row r="193">
          <cell r="AG193">
            <v>313.56990613579859</v>
          </cell>
          <cell r="AH193">
            <v>37590</v>
          </cell>
        </row>
        <row r="194">
          <cell r="AG194">
            <v>1446.3511536214266</v>
          </cell>
          <cell r="AH194">
            <v>37590</v>
          </cell>
        </row>
        <row r="195">
          <cell r="AG195">
            <v>150.28552305337976</v>
          </cell>
          <cell r="AH195">
            <v>37590</v>
          </cell>
        </row>
        <row r="196">
          <cell r="AG196">
            <v>21.287832587747289</v>
          </cell>
          <cell r="AH196">
            <v>37621</v>
          </cell>
        </row>
        <row r="197">
          <cell r="AG197">
            <v>112.25844620946548</v>
          </cell>
          <cell r="AH197">
            <v>37621</v>
          </cell>
        </row>
        <row r="198">
          <cell r="AG198">
            <v>118.54143594364621</v>
          </cell>
          <cell r="AH198">
            <v>37621</v>
          </cell>
        </row>
        <row r="199">
          <cell r="AG199">
            <v>465.02423839536027</v>
          </cell>
          <cell r="AH199">
            <v>37621</v>
          </cell>
        </row>
        <row r="200">
          <cell r="AG200">
            <v>153.37976068163917</v>
          </cell>
          <cell r="AH200">
            <v>37652</v>
          </cell>
        </row>
        <row r="201">
          <cell r="AG201">
            <v>547.85918665047097</v>
          </cell>
          <cell r="AH201">
            <v>37621</v>
          </cell>
        </row>
        <row r="202">
          <cell r="AG202">
            <v>156.0521705702829</v>
          </cell>
          <cell r="AH202">
            <v>37621</v>
          </cell>
        </row>
        <row r="203">
          <cell r="AG203">
            <v>10.272443828795222</v>
          </cell>
          <cell r="AH203">
            <v>37468</v>
          </cell>
        </row>
        <row r="204">
          <cell r="AG204">
            <v>611.09985257954804</v>
          </cell>
          <cell r="AH204">
            <v>37590</v>
          </cell>
        </row>
        <row r="205">
          <cell r="AG205">
            <v>22.244473559647702</v>
          </cell>
          <cell r="AH205">
            <v>37621</v>
          </cell>
        </row>
        <row r="206">
          <cell r="AG206">
            <v>108.2476468877733</v>
          </cell>
          <cell r="AH206">
            <v>37621</v>
          </cell>
        </row>
        <row r="207">
          <cell r="AG207">
            <v>2139.0092416000157</v>
          </cell>
          <cell r="AH207">
            <v>37590</v>
          </cell>
        </row>
        <row r="208">
          <cell r="AG208">
            <v>191.92597619076398</v>
          </cell>
          <cell r="AH208">
            <v>37621</v>
          </cell>
        </row>
        <row r="209">
          <cell r="AG209">
            <v>266.15332320256283</v>
          </cell>
          <cell r="AH209">
            <v>37621</v>
          </cell>
        </row>
        <row r="210">
          <cell r="AG210">
            <v>208.18204937533412</v>
          </cell>
          <cell r="AH210">
            <v>37621</v>
          </cell>
        </row>
        <row r="211">
          <cell r="AG211">
            <v>64.896393239300522</v>
          </cell>
          <cell r="AH211">
            <v>37621</v>
          </cell>
        </row>
        <row r="212">
          <cell r="AG212">
            <v>2181.6067716574289</v>
          </cell>
          <cell r="AH212">
            <v>37621</v>
          </cell>
        </row>
        <row r="213">
          <cell r="AG213">
            <v>937.44166913969809</v>
          </cell>
          <cell r="AH213">
            <v>37652</v>
          </cell>
        </row>
        <row r="214">
          <cell r="AG214">
            <v>1560.9086114547299</v>
          </cell>
          <cell r="AH214">
            <v>37652</v>
          </cell>
        </row>
        <row r="215">
          <cell r="AG215">
            <v>1101.9968962244157</v>
          </cell>
          <cell r="AH215">
            <v>37652</v>
          </cell>
        </row>
        <row r="216">
          <cell r="AG216">
            <v>6657.2415861797581</v>
          </cell>
          <cell r="AH216">
            <v>37652</v>
          </cell>
        </row>
        <row r="217">
          <cell r="AG217">
            <v>1268.6336929962863</v>
          </cell>
          <cell r="AH217">
            <v>37680</v>
          </cell>
        </row>
        <row r="218">
          <cell r="AG218">
            <v>525.67849346478124</v>
          </cell>
          <cell r="AH218">
            <v>37711</v>
          </cell>
        </row>
        <row r="219">
          <cell r="AG219">
            <v>150.73113736945285</v>
          </cell>
          <cell r="AH219">
            <v>37711</v>
          </cell>
        </row>
        <row r="220">
          <cell r="AG220">
            <v>134.59834981471073</v>
          </cell>
          <cell r="AH220">
            <v>37802</v>
          </cell>
        </row>
        <row r="221">
          <cell r="AG221">
            <v>3344.4486327009909</v>
          </cell>
          <cell r="AH221">
            <v>37621</v>
          </cell>
        </row>
        <row r="222">
          <cell r="AG222">
            <v>3844.6782588467358</v>
          </cell>
          <cell r="AH222">
            <v>37621</v>
          </cell>
        </row>
        <row r="223">
          <cell r="AG223">
            <v>970.38672933484099</v>
          </cell>
          <cell r="AH223">
            <v>37621</v>
          </cell>
        </row>
        <row r="224">
          <cell r="AG224">
            <v>542.72159700664997</v>
          </cell>
          <cell r="AH224">
            <v>37560</v>
          </cell>
        </row>
        <row r="225">
          <cell r="AG225">
            <v>77.911559821031844</v>
          </cell>
          <cell r="AH225">
            <v>37621</v>
          </cell>
        </row>
        <row r="226">
          <cell r="AG226">
            <v>216.00960993561955</v>
          </cell>
          <cell r="AH226">
            <v>37560</v>
          </cell>
        </row>
        <row r="227">
          <cell r="AG227">
            <v>11.34715886205394</v>
          </cell>
          <cell r="AH227">
            <v>37560</v>
          </cell>
        </row>
        <row r="228">
          <cell r="AG228">
            <v>172.44652805626907</v>
          </cell>
          <cell r="AH228">
            <v>37560</v>
          </cell>
        </row>
        <row r="229">
          <cell r="AG229">
            <v>679.22435435391526</v>
          </cell>
          <cell r="AH229">
            <v>37560</v>
          </cell>
        </row>
        <row r="230">
          <cell r="AG230">
            <v>5489.3052197127572</v>
          </cell>
          <cell r="AH230">
            <v>37680</v>
          </cell>
        </row>
        <row r="231">
          <cell r="AG231">
            <v>1845.2012730206138</v>
          </cell>
          <cell r="AH231">
            <v>37680</v>
          </cell>
        </row>
        <row r="232">
          <cell r="AG232">
            <v>2903.9357656462494</v>
          </cell>
          <cell r="AH232">
            <v>37468</v>
          </cell>
        </row>
        <row r="233">
          <cell r="AG233">
            <v>668.51338409030245</v>
          </cell>
          <cell r="AH233">
            <v>37468</v>
          </cell>
        </row>
        <row r="234">
          <cell r="AG234">
            <v>1368.219898508291</v>
          </cell>
          <cell r="AH234">
            <v>37468</v>
          </cell>
        </row>
        <row r="235">
          <cell r="AG235">
            <v>1280.4958231431042</v>
          </cell>
          <cell r="AH235">
            <v>37468</v>
          </cell>
        </row>
        <row r="236">
          <cell r="AG236">
            <v>835.3407902276258</v>
          </cell>
          <cell r="AH236">
            <v>37468</v>
          </cell>
        </row>
        <row r="237">
          <cell r="AG237">
            <v>94.146921969710192</v>
          </cell>
          <cell r="AH237">
            <v>37468</v>
          </cell>
        </row>
        <row r="238">
          <cell r="AG238">
            <v>242.3610084571925</v>
          </cell>
          <cell r="AH238">
            <v>37468</v>
          </cell>
        </row>
        <row r="239">
          <cell r="AG239">
            <v>22.5920521727672</v>
          </cell>
          <cell r="AH239">
            <v>37468</v>
          </cell>
        </row>
        <row r="240">
          <cell r="AG240">
            <v>609.49910365119388</v>
          </cell>
          <cell r="AH240">
            <v>37652</v>
          </cell>
        </row>
        <row r="241">
          <cell r="AG241">
            <v>115.28650297561352</v>
          </cell>
          <cell r="AH241">
            <v>37652</v>
          </cell>
        </row>
        <row r="242">
          <cell r="AG242">
            <v>534.21880892292268</v>
          </cell>
          <cell r="AH242">
            <v>37652</v>
          </cell>
        </row>
        <row r="243">
          <cell r="AG243">
            <v>365.43202152876916</v>
          </cell>
          <cell r="AH243">
            <v>37652</v>
          </cell>
        </row>
        <row r="244">
          <cell r="AG244">
            <v>237.69799988195317</v>
          </cell>
          <cell r="AH244">
            <v>37652</v>
          </cell>
        </row>
        <row r="245">
          <cell r="AG245">
            <v>245.85545347418505</v>
          </cell>
          <cell r="AH245">
            <v>37560</v>
          </cell>
        </row>
        <row r="246">
          <cell r="AG246">
            <v>6.8235343134364843</v>
          </cell>
          <cell r="AH246">
            <v>37652</v>
          </cell>
        </row>
        <row r="247">
          <cell r="AG247">
            <v>46.474762668134936</v>
          </cell>
          <cell r="AH247">
            <v>37652</v>
          </cell>
        </row>
        <row r="248">
          <cell r="AG248">
            <v>3.1593711518424699</v>
          </cell>
          <cell r="AH248">
            <v>37652</v>
          </cell>
        </row>
        <row r="249">
          <cell r="AG249">
            <v>2277.5837531437796</v>
          </cell>
          <cell r="AH249">
            <v>37621</v>
          </cell>
        </row>
        <row r="250">
          <cell r="AG250">
            <v>2128.4876435611122</v>
          </cell>
          <cell r="AH250">
            <v>37621</v>
          </cell>
        </row>
        <row r="251">
          <cell r="AG251">
            <v>135.27110618266684</v>
          </cell>
          <cell r="AH251">
            <v>37590</v>
          </cell>
        </row>
        <row r="252">
          <cell r="AG252">
            <v>662.21660946097666</v>
          </cell>
          <cell r="AH252">
            <v>37802</v>
          </cell>
        </row>
        <row r="253">
          <cell r="AG253">
            <v>452.00831751326706</v>
          </cell>
          <cell r="AH253">
            <v>37680</v>
          </cell>
        </row>
        <row r="254">
          <cell r="AG254">
            <v>11794.677183443917</v>
          </cell>
          <cell r="AH254">
            <v>37529</v>
          </cell>
        </row>
        <row r="255">
          <cell r="AG255">
            <v>338.98017902475095</v>
          </cell>
          <cell r="AH255">
            <v>37529</v>
          </cell>
        </row>
        <row r="256">
          <cell r="AG256">
            <v>2824.8348252062583</v>
          </cell>
          <cell r="AH256">
            <v>37529</v>
          </cell>
        </row>
        <row r="257">
          <cell r="AG257">
            <v>117.99749361263268</v>
          </cell>
          <cell r="AH257">
            <v>37621</v>
          </cell>
        </row>
        <row r="258">
          <cell r="AG258">
            <v>1467.9136115238691</v>
          </cell>
          <cell r="AH258">
            <v>37590</v>
          </cell>
        </row>
        <row r="259">
          <cell r="AG259">
            <v>447.88890693842063</v>
          </cell>
          <cell r="AH259">
            <v>37590</v>
          </cell>
        </row>
        <row r="260">
          <cell r="AG260">
            <v>6208.1414040983054</v>
          </cell>
          <cell r="AH260">
            <v>37680</v>
          </cell>
        </row>
        <row r="261">
          <cell r="AG261">
            <v>1321.4995881845771</v>
          </cell>
          <cell r="AH261">
            <v>37680</v>
          </cell>
        </row>
        <row r="262">
          <cell r="AG262">
            <v>14105.841059999999</v>
          </cell>
          <cell r="AH262">
            <v>37437</v>
          </cell>
        </row>
        <row r="263">
          <cell r="AG263">
            <v>3402.2670600000001</v>
          </cell>
          <cell r="AH263">
            <v>37437</v>
          </cell>
        </row>
        <row r="264">
          <cell r="AG264">
            <v>3046.1788074147958</v>
          </cell>
          <cell r="AH264">
            <v>37621</v>
          </cell>
        </row>
        <row r="265">
          <cell r="AG265">
            <v>389.53526649007506</v>
          </cell>
          <cell r="AH265">
            <v>37621</v>
          </cell>
        </row>
        <row r="266">
          <cell r="AG266">
            <v>864.56209760690433</v>
          </cell>
          <cell r="AH266">
            <v>37621</v>
          </cell>
        </row>
        <row r="267">
          <cell r="AG267">
            <v>556.02853435496593</v>
          </cell>
          <cell r="AH267">
            <v>37621</v>
          </cell>
        </row>
        <row r="268">
          <cell r="AG268">
            <v>735.14841908451717</v>
          </cell>
          <cell r="AH268">
            <v>37621</v>
          </cell>
        </row>
        <row r="269">
          <cell r="AG269">
            <v>1988.6078153065478</v>
          </cell>
          <cell r="AH269">
            <v>37621</v>
          </cell>
        </row>
        <row r="270">
          <cell r="AG270">
            <v>2596.9017766005004</v>
          </cell>
          <cell r="AH270">
            <v>37621</v>
          </cell>
        </row>
        <row r="271">
          <cell r="AG271">
            <v>8860.6288617609061</v>
          </cell>
          <cell r="AH271">
            <v>37621</v>
          </cell>
        </row>
        <row r="272">
          <cell r="AG272">
            <v>1223.7790454386297</v>
          </cell>
          <cell r="AH272">
            <v>37499</v>
          </cell>
        </row>
        <row r="273">
          <cell r="AG273">
            <v>71.054651166889414</v>
          </cell>
          <cell r="AH273">
            <v>37499</v>
          </cell>
        </row>
        <row r="274">
          <cell r="AG274">
            <v>215.24656584975375</v>
          </cell>
          <cell r="AH274">
            <v>37621</v>
          </cell>
        </row>
        <row r="275">
          <cell r="AG275">
            <v>2092.3550546617316</v>
          </cell>
          <cell r="AH275">
            <v>37680</v>
          </cell>
        </row>
        <row r="276">
          <cell r="AG276">
            <v>61.198869485786709</v>
          </cell>
          <cell r="AH276">
            <v>37652</v>
          </cell>
        </row>
        <row r="277">
          <cell r="AG277">
            <v>413.03635629205394</v>
          </cell>
          <cell r="AH277">
            <v>37621</v>
          </cell>
        </row>
        <row r="278">
          <cell r="AG278">
            <v>1925.0822709731717</v>
          </cell>
          <cell r="AH278">
            <v>37741</v>
          </cell>
        </row>
        <row r="279">
          <cell r="AG279">
            <v>2231.5171421428213</v>
          </cell>
          <cell r="AH279">
            <v>37741</v>
          </cell>
        </row>
        <row r="280">
          <cell r="AG280">
            <v>1973.1623867354122</v>
          </cell>
          <cell r="AH280">
            <v>37741</v>
          </cell>
        </row>
        <row r="281">
          <cell r="AG281">
            <v>2433.7280658903737</v>
          </cell>
          <cell r="AH281">
            <v>37652</v>
          </cell>
        </row>
        <row r="282">
          <cell r="AG282">
            <v>463.67810945778376</v>
          </cell>
          <cell r="AH282">
            <v>37652</v>
          </cell>
        </row>
        <row r="283">
          <cell r="AG283">
            <v>824.85311335446409</v>
          </cell>
          <cell r="AH283">
            <v>37621</v>
          </cell>
        </row>
        <row r="284">
          <cell r="AG284">
            <v>359.81916875728126</v>
          </cell>
          <cell r="AH284">
            <v>37621</v>
          </cell>
        </row>
        <row r="285">
          <cell r="AG285">
            <v>50.918669455037815</v>
          </cell>
          <cell r="AH285">
            <v>37590</v>
          </cell>
        </row>
        <row r="286">
          <cell r="AG286">
            <v>137.85795094022555</v>
          </cell>
          <cell r="AH286">
            <v>37621</v>
          </cell>
        </row>
        <row r="287">
          <cell r="AG287">
            <v>104.44226243332858</v>
          </cell>
          <cell r="AH287">
            <v>37621</v>
          </cell>
        </row>
        <row r="288">
          <cell r="AG288">
            <v>42.947354905811515</v>
          </cell>
          <cell r="AH288">
            <v>37621</v>
          </cell>
        </row>
        <row r="289">
          <cell r="AG289">
            <v>45.584414750685241</v>
          </cell>
          <cell r="AH289">
            <v>37621</v>
          </cell>
        </row>
        <row r="290">
          <cell r="AG290">
            <v>33.89068380630524</v>
          </cell>
          <cell r="AH290">
            <v>37621</v>
          </cell>
        </row>
        <row r="291">
          <cell r="AG291">
            <v>31.915921110202543</v>
          </cell>
          <cell r="AH291">
            <v>37621</v>
          </cell>
        </row>
        <row r="292">
          <cell r="AG292">
            <v>838.2020413801207</v>
          </cell>
          <cell r="AH292">
            <v>37621</v>
          </cell>
        </row>
        <row r="293">
          <cell r="AG293">
            <v>51.692876303616103</v>
          </cell>
          <cell r="AH293">
            <v>37833</v>
          </cell>
        </row>
        <row r="294">
          <cell r="AG294">
            <v>75.228955078386718</v>
          </cell>
          <cell r="AH294">
            <v>37833</v>
          </cell>
        </row>
        <row r="295">
          <cell r="AG295">
            <v>165.32293521543122</v>
          </cell>
          <cell r="AH295">
            <v>37833</v>
          </cell>
        </row>
        <row r="296">
          <cell r="AG296">
            <v>61.027353954902864</v>
          </cell>
          <cell r="AH296">
            <v>37652</v>
          </cell>
        </row>
        <row r="297">
          <cell r="AG297">
            <v>574.55772660359196</v>
          </cell>
          <cell r="AH297">
            <v>37560</v>
          </cell>
        </row>
        <row r="298">
          <cell r="AG298">
            <v>1142.0682426103101</v>
          </cell>
          <cell r="AH298">
            <v>37621</v>
          </cell>
        </row>
        <row r="299">
          <cell r="AG299">
            <v>2451.3567558568134</v>
          </cell>
          <cell r="AH299">
            <v>37529</v>
          </cell>
        </row>
        <row r="300">
          <cell r="AG300">
            <v>380.47044061198704</v>
          </cell>
          <cell r="AH300">
            <v>37529</v>
          </cell>
        </row>
        <row r="301">
          <cell r="AG301">
            <v>1268.234802039957</v>
          </cell>
          <cell r="AH301">
            <v>37529</v>
          </cell>
        </row>
        <row r="302">
          <cell r="AG302">
            <v>1268.234802039957</v>
          </cell>
          <cell r="AH302">
            <v>37529</v>
          </cell>
        </row>
        <row r="303">
          <cell r="AG303">
            <v>380.47044061198704</v>
          </cell>
          <cell r="AH303">
            <v>37529</v>
          </cell>
        </row>
        <row r="304">
          <cell r="AG304">
            <v>5111.146180015965</v>
          </cell>
          <cell r="AH304">
            <v>37468</v>
          </cell>
        </row>
        <row r="305">
          <cell r="AG305">
            <v>0.57831128824942057</v>
          </cell>
          <cell r="AH305">
            <v>37468</v>
          </cell>
        </row>
        <row r="306">
          <cell r="AG306">
            <v>11723.796913995026</v>
          </cell>
          <cell r="AH306">
            <v>37560</v>
          </cell>
        </row>
        <row r="307">
          <cell r="AG307">
            <v>240.49039638227404</v>
          </cell>
          <cell r="AH307">
            <v>37652</v>
          </cell>
        </row>
        <row r="308">
          <cell r="AG308">
            <v>5279.9109358784499</v>
          </cell>
          <cell r="AH308">
            <v>37560</v>
          </cell>
        </row>
        <row r="309">
          <cell r="AG309">
            <v>4295.0403821294913</v>
          </cell>
          <cell r="AH309">
            <v>37621</v>
          </cell>
        </row>
        <row r="310">
          <cell r="AG310">
            <v>88.008117712617789</v>
          </cell>
          <cell r="AH310">
            <v>37621</v>
          </cell>
        </row>
        <row r="311">
          <cell r="AG311">
            <v>73.24202321417178</v>
          </cell>
          <cell r="AH311">
            <v>37680</v>
          </cell>
        </row>
        <row r="312">
          <cell r="AG312">
            <v>65.746298102161447</v>
          </cell>
          <cell r="AH312">
            <v>37621</v>
          </cell>
        </row>
        <row r="313">
          <cell r="AG313">
            <v>56.618679979775187</v>
          </cell>
          <cell r="AH313">
            <v>37621</v>
          </cell>
        </row>
        <row r="314">
          <cell r="AG314">
            <v>4509.487487219415</v>
          </cell>
          <cell r="AH314">
            <v>37621</v>
          </cell>
        </row>
        <row r="315">
          <cell r="AG315">
            <v>673.82697328188874</v>
          </cell>
          <cell r="AH315">
            <v>37621</v>
          </cell>
        </row>
        <row r="316">
          <cell r="AG316">
            <v>1403.1746697846183</v>
          </cell>
          <cell r="AH316">
            <v>37590</v>
          </cell>
        </row>
        <row r="317">
          <cell r="AG317">
            <v>2032.7113499999998</v>
          </cell>
          <cell r="AH317">
            <v>37437</v>
          </cell>
        </row>
        <row r="318">
          <cell r="AG318">
            <v>1813.9449039439723</v>
          </cell>
          <cell r="AH318">
            <v>37590</v>
          </cell>
        </row>
        <row r="319">
          <cell r="AG319">
            <v>5811.1418905453666</v>
          </cell>
          <cell r="AH319">
            <v>37652</v>
          </cell>
        </row>
        <row r="320">
          <cell r="AG320">
            <v>1502.3304666590659</v>
          </cell>
          <cell r="AH320">
            <v>37652</v>
          </cell>
        </row>
        <row r="321">
          <cell r="AG321">
            <v>1292.154434373462</v>
          </cell>
          <cell r="AH321">
            <v>37652</v>
          </cell>
        </row>
        <row r="322">
          <cell r="AG322">
            <v>7752.1370457733265</v>
          </cell>
          <cell r="AH322">
            <v>37468</v>
          </cell>
        </row>
        <row r="323">
          <cell r="AG323">
            <v>958.18623778873143</v>
          </cell>
          <cell r="AH323">
            <v>37468</v>
          </cell>
        </row>
        <row r="324">
          <cell r="AG324">
            <v>5151.6909333906169</v>
          </cell>
          <cell r="AH324">
            <v>37529</v>
          </cell>
        </row>
        <row r="325">
          <cell r="AG325">
            <v>12141.323984073557</v>
          </cell>
          <cell r="AH325">
            <v>37529</v>
          </cell>
        </row>
        <row r="326">
          <cell r="AG326">
            <v>1751.0113486262971</v>
          </cell>
          <cell r="AH326">
            <v>37529</v>
          </cell>
        </row>
        <row r="327">
          <cell r="AG327">
            <v>3807.8863356832899</v>
          </cell>
          <cell r="AH327">
            <v>37529</v>
          </cell>
        </row>
        <row r="328">
          <cell r="AG328">
            <v>47.445943411529512</v>
          </cell>
          <cell r="AH328">
            <v>37621</v>
          </cell>
        </row>
        <row r="329">
          <cell r="AG329">
            <v>5.5899718926543205</v>
          </cell>
          <cell r="AH329">
            <v>37499</v>
          </cell>
        </row>
        <row r="330">
          <cell r="AG330">
            <v>4.7030709891628062</v>
          </cell>
          <cell r="AH330">
            <v>37499</v>
          </cell>
        </row>
        <row r="331">
          <cell r="AG331">
            <v>8.1091087685021925</v>
          </cell>
          <cell r="AH331">
            <v>37499</v>
          </cell>
        </row>
        <row r="332">
          <cell r="AG332">
            <v>558.89266153270023</v>
          </cell>
          <cell r="AH332">
            <v>37652</v>
          </cell>
        </row>
        <row r="333">
          <cell r="AG333">
            <v>874.5582599999999</v>
          </cell>
          <cell r="AH333">
            <v>37437</v>
          </cell>
        </row>
        <row r="334">
          <cell r="AG334">
            <v>500.50589999999994</v>
          </cell>
          <cell r="AH334">
            <v>37437</v>
          </cell>
        </row>
        <row r="335">
          <cell r="AG335">
            <v>2061.2605589508676</v>
          </cell>
          <cell r="AH335">
            <v>37590</v>
          </cell>
        </row>
        <row r="336">
          <cell r="AG336">
            <v>737.24353742587994</v>
          </cell>
          <cell r="AH336">
            <v>37621</v>
          </cell>
        </row>
        <row r="337">
          <cell r="AG337">
            <v>244.72850749023712</v>
          </cell>
          <cell r="AH337">
            <v>37621</v>
          </cell>
        </row>
        <row r="338">
          <cell r="AG338">
            <v>21520.437066648319</v>
          </cell>
          <cell r="AH338">
            <v>37529</v>
          </cell>
        </row>
        <row r="339">
          <cell r="AG339">
            <v>56406.701806161807</v>
          </cell>
          <cell r="AH339">
            <v>37529</v>
          </cell>
        </row>
        <row r="340">
          <cell r="AG340">
            <v>368.27093102897084</v>
          </cell>
          <cell r="AH340">
            <v>37652</v>
          </cell>
        </row>
        <row r="341">
          <cell r="AG341">
            <v>295.86974926638976</v>
          </cell>
          <cell r="AH341">
            <v>37652</v>
          </cell>
        </row>
        <row r="342">
          <cell r="AG342">
            <v>1479.3487463319491</v>
          </cell>
          <cell r="AH342">
            <v>37652</v>
          </cell>
        </row>
        <row r="343">
          <cell r="AG343">
            <v>38.136762520489754</v>
          </cell>
          <cell r="AH343">
            <v>37652</v>
          </cell>
        </row>
        <row r="344">
          <cell r="AG344">
            <v>996.7438743944615</v>
          </cell>
          <cell r="AH344">
            <v>37621</v>
          </cell>
        </row>
        <row r="345">
          <cell r="AG345">
            <v>275.04283658497877</v>
          </cell>
          <cell r="AH345">
            <v>37621</v>
          </cell>
        </row>
        <row r="346">
          <cell r="AG346">
            <v>779.70455949814902</v>
          </cell>
          <cell r="AH346">
            <v>37621</v>
          </cell>
        </row>
        <row r="347">
          <cell r="AG347">
            <v>166.33766574425957</v>
          </cell>
          <cell r="AH347">
            <v>37621</v>
          </cell>
        </row>
        <row r="348">
          <cell r="AG348">
            <v>122.62408804105245</v>
          </cell>
          <cell r="AH348">
            <v>37560</v>
          </cell>
        </row>
        <row r="349">
          <cell r="AG349">
            <v>4131.3886467259554</v>
          </cell>
          <cell r="AH349">
            <v>37652</v>
          </cell>
        </row>
        <row r="350">
          <cell r="AG350">
            <v>501.9866625482282</v>
          </cell>
          <cell r="AH350">
            <v>37680</v>
          </cell>
        </row>
        <row r="351">
          <cell r="AG351">
            <v>82.032471415759787</v>
          </cell>
          <cell r="AH351">
            <v>37621</v>
          </cell>
        </row>
        <row r="352">
          <cell r="AG352">
            <v>5617.535044307022</v>
          </cell>
          <cell r="AH352">
            <v>37680</v>
          </cell>
        </row>
        <row r="353">
          <cell r="AG353">
            <v>648.26981504029948</v>
          </cell>
          <cell r="AH353">
            <v>37621</v>
          </cell>
        </row>
        <row r="354">
          <cell r="AG354">
            <v>54.083176934548682</v>
          </cell>
          <cell r="AH354">
            <v>37621</v>
          </cell>
        </row>
        <row r="355">
          <cell r="AG355">
            <v>1264.7156291345095</v>
          </cell>
          <cell r="AH355">
            <v>37833</v>
          </cell>
        </row>
        <row r="356">
          <cell r="AG356">
            <v>1814.7232095375164</v>
          </cell>
          <cell r="AH356">
            <v>37711</v>
          </cell>
        </row>
        <row r="357">
          <cell r="AG357">
            <v>59.668623915997841</v>
          </cell>
          <cell r="AH357">
            <v>37711</v>
          </cell>
        </row>
        <row r="358">
          <cell r="AG358">
            <v>709.35203469051612</v>
          </cell>
          <cell r="AH358">
            <v>37711</v>
          </cell>
        </row>
        <row r="359">
          <cell r="AG359">
            <v>980.25812149922967</v>
          </cell>
          <cell r="AH359">
            <v>37621</v>
          </cell>
        </row>
        <row r="360">
          <cell r="AG360">
            <v>35.365424325096178</v>
          </cell>
          <cell r="AH360">
            <v>37621</v>
          </cell>
        </row>
        <row r="361">
          <cell r="AG361">
            <v>277.89072224919153</v>
          </cell>
          <cell r="AH361">
            <v>37621</v>
          </cell>
        </row>
        <row r="362">
          <cell r="AG362">
            <v>263.44982544723155</v>
          </cell>
          <cell r="AH362">
            <v>37621</v>
          </cell>
        </row>
        <row r="363">
          <cell r="AG363">
            <v>77.191327037805024</v>
          </cell>
          <cell r="AH363">
            <v>37621</v>
          </cell>
        </row>
        <row r="364">
          <cell r="AG364">
            <v>999.06060579812618</v>
          </cell>
          <cell r="AH364">
            <v>37680</v>
          </cell>
        </row>
        <row r="365">
          <cell r="AG365">
            <v>57.445800005882681</v>
          </cell>
          <cell r="AH365">
            <v>37680</v>
          </cell>
        </row>
        <row r="366">
          <cell r="AG366">
            <v>1230.4622312102504</v>
          </cell>
          <cell r="AH366">
            <v>37621</v>
          </cell>
        </row>
        <row r="367">
          <cell r="AG367">
            <v>1128.6785973399781</v>
          </cell>
          <cell r="AH367">
            <v>37621</v>
          </cell>
        </row>
        <row r="368">
          <cell r="AG368">
            <v>395.42157314798078</v>
          </cell>
          <cell r="AH368">
            <v>37621</v>
          </cell>
        </row>
        <row r="369">
          <cell r="AG369">
            <v>1124.3607961334178</v>
          </cell>
          <cell r="AH369">
            <v>37652</v>
          </cell>
        </row>
        <row r="370">
          <cell r="AG370">
            <v>28.976268840849723</v>
          </cell>
          <cell r="AH370">
            <v>37652</v>
          </cell>
        </row>
        <row r="371">
          <cell r="AG371">
            <v>123.51436485591505</v>
          </cell>
          <cell r="AH371">
            <v>37680</v>
          </cell>
        </row>
        <row r="372">
          <cell r="AG372">
            <v>221.26341445760568</v>
          </cell>
          <cell r="AH372">
            <v>37680</v>
          </cell>
        </row>
        <row r="373">
          <cell r="AG373">
            <v>266.22526757315296</v>
          </cell>
          <cell r="AH373">
            <v>37621</v>
          </cell>
        </row>
        <row r="374">
          <cell r="AG374">
            <v>227.87332009768426</v>
          </cell>
          <cell r="AH374">
            <v>37621</v>
          </cell>
        </row>
        <row r="375">
          <cell r="AG375">
            <v>45183.474505039732</v>
          </cell>
          <cell r="AH375">
            <v>37529</v>
          </cell>
        </row>
        <row r="376">
          <cell r="AG376">
            <v>1563.0797271157471</v>
          </cell>
          <cell r="AH376">
            <v>37680</v>
          </cell>
        </row>
        <row r="377">
          <cell r="AG377">
            <v>1334.9291944711467</v>
          </cell>
          <cell r="AH377">
            <v>37680</v>
          </cell>
        </row>
        <row r="378">
          <cell r="AG378">
            <v>750.23020729278437</v>
          </cell>
          <cell r="AH378">
            <v>37680</v>
          </cell>
        </row>
        <row r="379">
          <cell r="AG379">
            <v>934.4504361298026</v>
          </cell>
          <cell r="AH379">
            <v>37680</v>
          </cell>
        </row>
        <row r="380">
          <cell r="AG380">
            <v>332.03908777681136</v>
          </cell>
          <cell r="AH380">
            <v>37680</v>
          </cell>
        </row>
        <row r="381">
          <cell r="AG381">
            <v>839.95281025571614</v>
          </cell>
          <cell r="AH381">
            <v>37772</v>
          </cell>
        </row>
        <row r="382">
          <cell r="AG382">
            <v>1788.5309848331799</v>
          </cell>
          <cell r="AH382">
            <v>37802</v>
          </cell>
        </row>
        <row r="383">
          <cell r="AG383">
            <v>2455.679536274175</v>
          </cell>
          <cell r="AH383">
            <v>37802</v>
          </cell>
        </row>
        <row r="384">
          <cell r="AG384">
            <v>4934.3397070749143</v>
          </cell>
          <cell r="AH384">
            <v>37802</v>
          </cell>
        </row>
        <row r="385">
          <cell r="AG385">
            <v>266.58903935994135</v>
          </cell>
          <cell r="AH385">
            <v>37529</v>
          </cell>
        </row>
        <row r="386">
          <cell r="AG386">
            <v>35396.58790950977</v>
          </cell>
          <cell r="AH386">
            <v>37741</v>
          </cell>
        </row>
        <row r="387">
          <cell r="AG387">
            <v>203571.85965622248</v>
          </cell>
          <cell r="AH387">
            <v>37741</v>
          </cell>
        </row>
        <row r="388">
          <cell r="AG388">
            <v>10367.776708448999</v>
          </cell>
          <cell r="AH388">
            <v>37741</v>
          </cell>
        </row>
        <row r="389">
          <cell r="AG389">
            <v>33440.156642480928</v>
          </cell>
          <cell r="AH389">
            <v>37741</v>
          </cell>
        </row>
        <row r="390">
          <cell r="AG390">
            <v>102892.7896691721</v>
          </cell>
          <cell r="AH390">
            <v>37741</v>
          </cell>
        </row>
        <row r="391">
          <cell r="AG391">
            <v>0</v>
          </cell>
          <cell r="AH391">
            <v>37741</v>
          </cell>
        </row>
        <row r="392">
          <cell r="AG392">
            <v>0</v>
          </cell>
          <cell r="AH392">
            <v>37741</v>
          </cell>
        </row>
        <row r="393">
          <cell r="AG393">
            <v>77.141835251502499</v>
          </cell>
          <cell r="AH393">
            <v>37833</v>
          </cell>
        </row>
        <row r="394">
          <cell r="AG394">
            <v>126.44557470151913</v>
          </cell>
          <cell r="AH394">
            <v>37833</v>
          </cell>
        </row>
        <row r="395">
          <cell r="AG395">
            <v>774.57598899174877</v>
          </cell>
          <cell r="AH395">
            <v>37833</v>
          </cell>
        </row>
        <row r="396">
          <cell r="AG396">
            <v>413.10719412893229</v>
          </cell>
          <cell r="AH396">
            <v>37833</v>
          </cell>
        </row>
        <row r="397">
          <cell r="AG397">
            <v>14647.738526290148</v>
          </cell>
          <cell r="AH397">
            <v>37802</v>
          </cell>
        </row>
        <row r="398">
          <cell r="AG398">
            <v>13420.825724840421</v>
          </cell>
          <cell r="AH398">
            <v>37802</v>
          </cell>
        </row>
        <row r="399">
          <cell r="AG399">
            <v>797.81333372640404</v>
          </cell>
          <cell r="AH399">
            <v>37621</v>
          </cell>
        </row>
        <row r="400">
          <cell r="AG400">
            <v>1075.3808229765011</v>
          </cell>
          <cell r="AH400">
            <v>37621</v>
          </cell>
        </row>
        <row r="401">
          <cell r="AG401">
            <v>573.51584782437044</v>
          </cell>
          <cell r="AH401">
            <v>37529</v>
          </cell>
        </row>
        <row r="402">
          <cell r="AG402">
            <v>704.39242522963787</v>
          </cell>
          <cell r="AH402">
            <v>37529</v>
          </cell>
        </row>
        <row r="403">
          <cell r="AG403">
            <v>1851.04107</v>
          </cell>
          <cell r="AH403">
            <v>37437</v>
          </cell>
        </row>
        <row r="404">
          <cell r="AG404">
            <v>145.58647553774381</v>
          </cell>
          <cell r="AH404">
            <v>37529</v>
          </cell>
        </row>
        <row r="405">
          <cell r="AG405">
            <v>1865.5232604741591</v>
          </cell>
          <cell r="AH405">
            <v>37621</v>
          </cell>
        </row>
        <row r="406">
          <cell r="AG406">
            <v>620.92237248490471</v>
          </cell>
          <cell r="AH406">
            <v>37652</v>
          </cell>
        </row>
        <row r="407">
          <cell r="AG407">
            <v>203.94586038559012</v>
          </cell>
          <cell r="AH407">
            <v>37621</v>
          </cell>
        </row>
        <row r="408">
          <cell r="AG408">
            <v>149.69960213235149</v>
          </cell>
          <cell r="AH408">
            <v>37621</v>
          </cell>
        </row>
        <row r="409">
          <cell r="AG409">
            <v>221.98096639722024</v>
          </cell>
          <cell r="AH409">
            <v>37621</v>
          </cell>
        </row>
        <row r="410">
          <cell r="AG410">
            <v>561.45380865126947</v>
          </cell>
          <cell r="AH410">
            <v>37621</v>
          </cell>
        </row>
        <row r="411">
          <cell r="AG411">
            <v>4354.1929115215235</v>
          </cell>
          <cell r="AH411">
            <v>37621</v>
          </cell>
        </row>
        <row r="412">
          <cell r="AG412">
            <v>2054.3645261946554</v>
          </cell>
          <cell r="AH412">
            <v>37621</v>
          </cell>
        </row>
        <row r="413">
          <cell r="AG413">
            <v>150.11689964577658</v>
          </cell>
          <cell r="AH413">
            <v>37652</v>
          </cell>
        </row>
        <row r="414">
          <cell r="AG414">
            <v>545.32356368017963</v>
          </cell>
          <cell r="AH414">
            <v>37652</v>
          </cell>
        </row>
        <row r="415">
          <cell r="AG415">
            <v>69236.840448114352</v>
          </cell>
          <cell r="AH415">
            <v>37680</v>
          </cell>
        </row>
        <row r="416">
          <cell r="AG416">
            <v>6193.6779167975101</v>
          </cell>
          <cell r="AH416">
            <v>37680</v>
          </cell>
        </row>
        <row r="417">
          <cell r="AG417">
            <v>12785.654713734308</v>
          </cell>
          <cell r="AH417">
            <v>37680</v>
          </cell>
        </row>
        <row r="418">
          <cell r="AG418">
            <v>3877.4235494081263</v>
          </cell>
          <cell r="AH418">
            <v>37680</v>
          </cell>
        </row>
        <row r="419">
          <cell r="AG419">
            <v>6828.2396120897247</v>
          </cell>
          <cell r="AH419">
            <v>37680</v>
          </cell>
        </row>
        <row r="420">
          <cell r="AG420">
            <v>16130.702554351359</v>
          </cell>
          <cell r="AH420">
            <v>37680</v>
          </cell>
        </row>
        <row r="421">
          <cell r="AG421">
            <v>21600.522095571465</v>
          </cell>
          <cell r="AH421">
            <v>37680</v>
          </cell>
        </row>
        <row r="422">
          <cell r="AG422">
            <v>19162.439931213292</v>
          </cell>
          <cell r="AH422">
            <v>37680</v>
          </cell>
        </row>
        <row r="423">
          <cell r="AG423">
            <v>4218.6077818295589</v>
          </cell>
          <cell r="AH423">
            <v>37680</v>
          </cell>
        </row>
        <row r="424">
          <cell r="AG424">
            <v>11894.130273769448</v>
          </cell>
          <cell r="AH424">
            <v>37680</v>
          </cell>
        </row>
        <row r="425">
          <cell r="AG425">
            <v>16815.839352570601</v>
          </cell>
          <cell r="AH425">
            <v>37680</v>
          </cell>
        </row>
        <row r="426">
          <cell r="AG426">
            <v>5859.1774747632753</v>
          </cell>
          <cell r="AH426">
            <v>37680</v>
          </cell>
        </row>
        <row r="427">
          <cell r="AG427">
            <v>29295.887373816375</v>
          </cell>
          <cell r="AH427">
            <v>37680</v>
          </cell>
        </row>
        <row r="428">
          <cell r="AG428">
            <v>1080.0576768888789</v>
          </cell>
          <cell r="AH428">
            <v>37560</v>
          </cell>
        </row>
        <row r="429">
          <cell r="AG429">
            <v>60.597458179175732</v>
          </cell>
          <cell r="AH429">
            <v>37560</v>
          </cell>
        </row>
        <row r="430">
          <cell r="AG430">
            <v>1593.7288138852966</v>
          </cell>
          <cell r="AH430">
            <v>37621</v>
          </cell>
        </row>
        <row r="431">
          <cell r="AG431">
            <v>1318.368015932014</v>
          </cell>
          <cell r="AH431">
            <v>37621</v>
          </cell>
        </row>
        <row r="432">
          <cell r="AG432">
            <v>2759.4863737481519</v>
          </cell>
          <cell r="AH432">
            <v>37621</v>
          </cell>
        </row>
        <row r="433">
          <cell r="AG433">
            <v>1766.7874366175836</v>
          </cell>
          <cell r="AH433">
            <v>37711</v>
          </cell>
        </row>
        <row r="434">
          <cell r="AG434">
            <v>2495.1007982395822</v>
          </cell>
          <cell r="AH434">
            <v>37590</v>
          </cell>
        </row>
        <row r="435">
          <cell r="AG435">
            <v>516.16121539306403</v>
          </cell>
          <cell r="AH435">
            <v>37621</v>
          </cell>
        </row>
        <row r="436">
          <cell r="AG436">
            <v>3859.3434390427501</v>
          </cell>
          <cell r="AH436">
            <v>37621</v>
          </cell>
        </row>
        <row r="437">
          <cell r="AG437">
            <v>149.39099268057456</v>
          </cell>
          <cell r="AH437">
            <v>37772</v>
          </cell>
        </row>
        <row r="438">
          <cell r="AG438">
            <v>121.7698171892328</v>
          </cell>
          <cell r="AH438">
            <v>37772</v>
          </cell>
        </row>
        <row r="439">
          <cell r="AG439">
            <v>85.238872032462979</v>
          </cell>
          <cell r="AH439">
            <v>37772</v>
          </cell>
        </row>
        <row r="440">
          <cell r="AG440">
            <v>241.71308712062719</v>
          </cell>
          <cell r="AH440">
            <v>37772</v>
          </cell>
        </row>
        <row r="441">
          <cell r="AG441">
            <v>439.26935673743861</v>
          </cell>
          <cell r="AH441">
            <v>37772</v>
          </cell>
        </row>
        <row r="442">
          <cell r="AG442">
            <v>1185.2694396997927</v>
          </cell>
          <cell r="AH442">
            <v>37833</v>
          </cell>
        </row>
        <row r="443">
          <cell r="AG443">
            <v>140.27491762536275</v>
          </cell>
          <cell r="AH443">
            <v>37621</v>
          </cell>
        </row>
        <row r="444">
          <cell r="AG444">
            <v>595.11799020539081</v>
          </cell>
          <cell r="AH444">
            <v>37621</v>
          </cell>
        </row>
        <row r="445">
          <cell r="AG445">
            <v>168.66798371321772</v>
          </cell>
          <cell r="AH445">
            <v>37621</v>
          </cell>
        </row>
        <row r="446">
          <cell r="AG446">
            <v>78.887771685592455</v>
          </cell>
          <cell r="AH446">
            <v>37621</v>
          </cell>
        </row>
        <row r="447">
          <cell r="AG447">
            <v>239.30639342095876</v>
          </cell>
          <cell r="AH447">
            <v>37529</v>
          </cell>
        </row>
        <row r="448">
          <cell r="AG448">
            <v>16578.853137222282</v>
          </cell>
          <cell r="AH448">
            <v>37833</v>
          </cell>
        </row>
        <row r="449">
          <cell r="AG449">
            <v>9002.9170506148057</v>
          </cell>
          <cell r="AH449">
            <v>37833</v>
          </cell>
        </row>
        <row r="450">
          <cell r="AG450">
            <v>246.03057133339496</v>
          </cell>
          <cell r="AH450">
            <v>37833</v>
          </cell>
        </row>
        <row r="451">
          <cell r="AG451">
            <v>2807.858742769708</v>
          </cell>
          <cell r="AH451">
            <v>37833</v>
          </cell>
        </row>
        <row r="452">
          <cell r="AG452">
            <v>824.75729648258266</v>
          </cell>
          <cell r="AH452">
            <v>37833</v>
          </cell>
        </row>
        <row r="453">
          <cell r="AG453">
            <v>745.21264490159911</v>
          </cell>
          <cell r="AH453">
            <v>37833</v>
          </cell>
        </row>
        <row r="454">
          <cell r="AG454">
            <v>462.27849455801055</v>
          </cell>
          <cell r="AH454">
            <v>37833</v>
          </cell>
        </row>
        <row r="455">
          <cell r="AG455">
            <v>238.70817151732811</v>
          </cell>
          <cell r="AH455">
            <v>37833</v>
          </cell>
        </row>
        <row r="456">
          <cell r="AG456">
            <v>483.03002193239655</v>
          </cell>
          <cell r="AH456">
            <v>37833</v>
          </cell>
        </row>
        <row r="457">
          <cell r="AG457">
            <v>2940.1628290257277</v>
          </cell>
          <cell r="AH457">
            <v>37833</v>
          </cell>
        </row>
        <row r="458">
          <cell r="AG458">
            <v>151.62090876921957</v>
          </cell>
          <cell r="AH458">
            <v>37833</v>
          </cell>
        </row>
        <row r="459">
          <cell r="AG459">
            <v>552.76126476304887</v>
          </cell>
          <cell r="AH459">
            <v>37833</v>
          </cell>
        </row>
        <row r="460">
          <cell r="AG460">
            <v>578.42020037702434</v>
          </cell>
          <cell r="AH460">
            <v>37833</v>
          </cell>
        </row>
        <row r="461">
          <cell r="AG461">
            <v>871.05874232993153</v>
          </cell>
          <cell r="AH461">
            <v>37833</v>
          </cell>
        </row>
        <row r="462">
          <cell r="AG462">
            <v>522.6352453979589</v>
          </cell>
          <cell r="AH462">
            <v>37833</v>
          </cell>
        </row>
        <row r="463">
          <cell r="AG463">
            <v>12159.012389758514</v>
          </cell>
          <cell r="AH463">
            <v>37833</v>
          </cell>
        </row>
        <row r="464">
          <cell r="AG464">
            <v>14508.38088540677</v>
          </cell>
          <cell r="AH464">
            <v>37833</v>
          </cell>
        </row>
        <row r="465">
          <cell r="AG465">
            <v>13931.343009282638</v>
          </cell>
          <cell r="AH465">
            <v>37833</v>
          </cell>
        </row>
        <row r="466">
          <cell r="AG466">
            <v>448.06683423751986</v>
          </cell>
          <cell r="AH466">
            <v>37621</v>
          </cell>
        </row>
        <row r="467">
          <cell r="AG467">
            <v>939.45227707886295</v>
          </cell>
          <cell r="AH467">
            <v>37590</v>
          </cell>
        </row>
        <row r="468">
          <cell r="AG468">
            <v>363.66285486914461</v>
          </cell>
          <cell r="AH468">
            <v>37621</v>
          </cell>
        </row>
        <row r="469">
          <cell r="AG469">
            <v>869.68637744806199</v>
          </cell>
          <cell r="AH469">
            <v>37621</v>
          </cell>
        </row>
        <row r="470">
          <cell r="AG470">
            <v>404.88679434761735</v>
          </cell>
          <cell r="AH470">
            <v>37590</v>
          </cell>
        </row>
        <row r="471">
          <cell r="AG471">
            <v>14.367129945508667</v>
          </cell>
          <cell r="AH471">
            <v>37590</v>
          </cell>
        </row>
        <row r="472">
          <cell r="AG472">
            <v>0</v>
          </cell>
          <cell r="AH472">
            <v>37590</v>
          </cell>
        </row>
        <row r="473">
          <cell r="AG473">
            <v>1663.2858971806677</v>
          </cell>
          <cell r="AH473">
            <v>37741</v>
          </cell>
        </row>
        <row r="474">
          <cell r="AG474">
            <v>213.41686560303359</v>
          </cell>
          <cell r="AH474">
            <v>37741</v>
          </cell>
        </row>
        <row r="475">
          <cell r="AG475">
            <v>1865.6565599999999</v>
          </cell>
          <cell r="AH475">
            <v>37437</v>
          </cell>
        </row>
        <row r="476">
          <cell r="AG476">
            <v>87.854487078057858</v>
          </cell>
          <cell r="AH476">
            <v>37621</v>
          </cell>
        </row>
        <row r="477">
          <cell r="AG477">
            <v>82.041610459629013</v>
          </cell>
          <cell r="AH477">
            <v>37621</v>
          </cell>
        </row>
        <row r="478">
          <cell r="AG478">
            <v>4.8539547695577125</v>
          </cell>
          <cell r="AH478">
            <v>37621</v>
          </cell>
        </row>
        <row r="479">
          <cell r="AG479">
            <v>123.31179351357801</v>
          </cell>
          <cell r="AH479">
            <v>37621</v>
          </cell>
        </row>
        <row r="480">
          <cell r="AG480">
            <v>111.66490065452788</v>
          </cell>
          <cell r="AH480">
            <v>37621</v>
          </cell>
        </row>
        <row r="481">
          <cell r="AG481">
            <v>148.38776921317171</v>
          </cell>
          <cell r="AH481">
            <v>37772</v>
          </cell>
        </row>
        <row r="482">
          <cell r="AG482">
            <v>145.6016917614435</v>
          </cell>
          <cell r="AH482">
            <v>37772</v>
          </cell>
        </row>
        <row r="483">
          <cell r="AG483">
            <v>145.6016917614435</v>
          </cell>
          <cell r="AH483">
            <v>37772</v>
          </cell>
        </row>
        <row r="484">
          <cell r="AG484">
            <v>18.200211470180438</v>
          </cell>
          <cell r="AH484">
            <v>37772</v>
          </cell>
        </row>
        <row r="485">
          <cell r="AG485">
            <v>91.001057350902187</v>
          </cell>
          <cell r="AH485">
            <v>37772</v>
          </cell>
        </row>
        <row r="486">
          <cell r="AG486">
            <v>525.47152900991307</v>
          </cell>
          <cell r="AH486">
            <v>37560</v>
          </cell>
        </row>
        <row r="487">
          <cell r="AG487">
            <v>811.96629207449917</v>
          </cell>
          <cell r="AH487">
            <v>37560</v>
          </cell>
        </row>
        <row r="488">
          <cell r="AG488">
            <v>358.59809916325537</v>
          </cell>
          <cell r="AH488">
            <v>37560</v>
          </cell>
        </row>
        <row r="489">
          <cell r="AG489">
            <v>195.59896317995748</v>
          </cell>
          <cell r="AH489">
            <v>37560</v>
          </cell>
        </row>
        <row r="490">
          <cell r="AG490">
            <v>208.50824619442281</v>
          </cell>
          <cell r="AH490">
            <v>37621</v>
          </cell>
        </row>
        <row r="491">
          <cell r="AG491">
            <v>716.25314130849256</v>
          </cell>
          <cell r="AH491">
            <v>37621</v>
          </cell>
        </row>
        <row r="492">
          <cell r="AG492">
            <v>1599.6182547345929</v>
          </cell>
          <cell r="AH492">
            <v>37529</v>
          </cell>
        </row>
        <row r="493">
          <cell r="AG493">
            <v>1830.9812698787327</v>
          </cell>
          <cell r="AH493">
            <v>37802</v>
          </cell>
        </row>
        <row r="494">
          <cell r="AG494">
            <v>525.19145136891041</v>
          </cell>
          <cell r="AH494">
            <v>37802</v>
          </cell>
        </row>
        <row r="495">
          <cell r="AG495">
            <v>659.21761186309254</v>
          </cell>
          <cell r="AH495">
            <v>37802</v>
          </cell>
        </row>
        <row r="496">
          <cell r="AG496">
            <v>523.18858084372425</v>
          </cell>
          <cell r="AH496">
            <v>37802</v>
          </cell>
        </row>
        <row r="497">
          <cell r="AG497">
            <v>523.18858084372425</v>
          </cell>
          <cell r="AH497">
            <v>37802</v>
          </cell>
        </row>
        <row r="498">
          <cell r="AG498">
            <v>1340.9139373919631</v>
          </cell>
          <cell r="AH498">
            <v>37802</v>
          </cell>
        </row>
        <row r="499">
          <cell r="AG499">
            <v>941.73944551870363</v>
          </cell>
          <cell r="AH499">
            <v>37802</v>
          </cell>
        </row>
        <row r="500">
          <cell r="AG500">
            <v>104.63771616874487</v>
          </cell>
          <cell r="AH500">
            <v>37802</v>
          </cell>
        </row>
        <row r="501">
          <cell r="AG501">
            <v>139.97956205043607</v>
          </cell>
          <cell r="AH501">
            <v>37652</v>
          </cell>
        </row>
        <row r="502">
          <cell r="AG502">
            <v>578.59281337741004</v>
          </cell>
          <cell r="AH502">
            <v>37529</v>
          </cell>
        </row>
        <row r="503">
          <cell r="AG503">
            <v>349.58622420250089</v>
          </cell>
          <cell r="AH503">
            <v>37529</v>
          </cell>
        </row>
        <row r="504">
          <cell r="AG504">
            <v>263.35839030796325</v>
          </cell>
          <cell r="AH504">
            <v>37529</v>
          </cell>
        </row>
        <row r="505">
          <cell r="AG505">
            <v>1168.6701464250739</v>
          </cell>
          <cell r="AH505">
            <v>37529</v>
          </cell>
        </row>
        <row r="506">
          <cell r="AG506">
            <v>243.57810217253555</v>
          </cell>
          <cell r="AH506">
            <v>37529</v>
          </cell>
        </row>
        <row r="507">
          <cell r="AG507">
            <v>7167.7257706555447</v>
          </cell>
          <cell r="AH507">
            <v>37652</v>
          </cell>
        </row>
        <row r="508">
          <cell r="AG508">
            <v>4032.7225010059378</v>
          </cell>
          <cell r="AH508">
            <v>37652</v>
          </cell>
        </row>
        <row r="509">
          <cell r="AG509">
            <v>158.88038231419486</v>
          </cell>
          <cell r="AH509">
            <v>37590</v>
          </cell>
        </row>
        <row r="510">
          <cell r="AG510">
            <v>39.205055050423397</v>
          </cell>
          <cell r="AH510">
            <v>37590</v>
          </cell>
        </row>
        <row r="511">
          <cell r="AG511">
            <v>26.235591068729445</v>
          </cell>
          <cell r="AH511">
            <v>37590</v>
          </cell>
        </row>
        <row r="512">
          <cell r="AG512">
            <v>2.9621589115528466</v>
          </cell>
          <cell r="AH512">
            <v>37590</v>
          </cell>
        </row>
        <row r="513">
          <cell r="AG513">
            <v>268.63329544231294</v>
          </cell>
          <cell r="AH513">
            <v>37560</v>
          </cell>
        </row>
        <row r="514">
          <cell r="AG514">
            <v>258.80358548171466</v>
          </cell>
          <cell r="AH514">
            <v>37560</v>
          </cell>
        </row>
        <row r="515">
          <cell r="AG515">
            <v>26.508459970093245</v>
          </cell>
          <cell r="AH515">
            <v>37560</v>
          </cell>
        </row>
        <row r="516">
          <cell r="AG516">
            <v>864.97258785065571</v>
          </cell>
          <cell r="AH516">
            <v>37529</v>
          </cell>
        </row>
        <row r="517">
          <cell r="AG517">
            <v>299.99688548662454</v>
          </cell>
          <cell r="AH517">
            <v>37529</v>
          </cell>
        </row>
        <row r="518">
          <cell r="AG518">
            <v>109.40078215785775</v>
          </cell>
          <cell r="AH518">
            <v>37621</v>
          </cell>
        </row>
        <row r="519">
          <cell r="AG519">
            <v>178.83083936699705</v>
          </cell>
          <cell r="AH519">
            <v>37621</v>
          </cell>
        </row>
        <row r="520">
          <cell r="AG520">
            <v>2622.2257411669334</v>
          </cell>
          <cell r="AH520">
            <v>37621</v>
          </cell>
        </row>
        <row r="521">
          <cell r="AG521">
            <v>3326.1767432530423</v>
          </cell>
          <cell r="AH521">
            <v>37621</v>
          </cell>
        </row>
        <row r="522">
          <cell r="AG522">
            <v>1456.242509907875</v>
          </cell>
          <cell r="AH522">
            <v>37621</v>
          </cell>
        </row>
        <row r="523">
          <cell r="AG523">
            <v>493.58115756046493</v>
          </cell>
          <cell r="AH523">
            <v>37652</v>
          </cell>
        </row>
        <row r="524">
          <cell r="AG524">
            <v>107.90610765163234</v>
          </cell>
          <cell r="AH524">
            <v>37621</v>
          </cell>
        </row>
        <row r="525">
          <cell r="AG525">
            <v>956.09233584387084</v>
          </cell>
          <cell r="AH525">
            <v>37621</v>
          </cell>
        </row>
        <row r="526">
          <cell r="AG526">
            <v>1400.0189535045865</v>
          </cell>
          <cell r="AH526">
            <v>37621</v>
          </cell>
        </row>
        <row r="527">
          <cell r="AG527">
            <v>322.66084760670549</v>
          </cell>
          <cell r="AH527">
            <v>37621</v>
          </cell>
        </row>
        <row r="528">
          <cell r="AG528">
            <v>835.62456176960507</v>
          </cell>
          <cell r="AH528">
            <v>37711</v>
          </cell>
        </row>
        <row r="529">
          <cell r="AG529">
            <v>16324.25725518394</v>
          </cell>
          <cell r="AH529">
            <v>37711</v>
          </cell>
        </row>
        <row r="530">
          <cell r="AG530">
            <v>126311.86049892701</v>
          </cell>
          <cell r="AH530">
            <v>37711</v>
          </cell>
        </row>
        <row r="531">
          <cell r="AG531">
            <v>145752.29692128519</v>
          </cell>
          <cell r="AH531">
            <v>37711</v>
          </cell>
        </row>
        <row r="532">
          <cell r="AG532">
            <v>67916.036550645178</v>
          </cell>
          <cell r="AH532">
            <v>37711</v>
          </cell>
        </row>
        <row r="533">
          <cell r="AG533">
            <v>59758.441737726927</v>
          </cell>
          <cell r="AH533">
            <v>37711</v>
          </cell>
        </row>
        <row r="534">
          <cell r="AG534">
            <v>145752.29692128519</v>
          </cell>
          <cell r="AH534">
            <v>37711</v>
          </cell>
        </row>
        <row r="535">
          <cell r="AG535">
            <v>40396.024770883181</v>
          </cell>
          <cell r="AH535">
            <v>37711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10월시간수당"/>
      <sheetName val="11월시간수당"/>
      <sheetName val="12월시간수당"/>
      <sheetName val="주민번호"/>
      <sheetName val="12월급여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신탁0106-가사"/>
      <sheetName val="신탁0106-기사"/>
      <sheetName val="은행0106-가사"/>
      <sheetName val="은행0106-기사"/>
      <sheetName val="CashFlow(중간집계)"/>
      <sheetName val="LoanList"/>
      <sheetName val="조건"/>
      <sheetName val="6660"/>
      <sheetName val="프로그램현황(연결주석)"/>
      <sheetName val="프로그램현황(결산)"/>
      <sheetName val="수출입외형_속보"/>
      <sheetName val="그래프"/>
      <sheetName val="Assumptions"/>
      <sheetName val="basic_info"/>
      <sheetName val="파생거래익"/>
      <sheetName val="총괄"/>
      <sheetName val="본사"/>
      <sheetName val="9-1차이내역."/>
      <sheetName val="손익계산서"/>
      <sheetName val="듀레이션"/>
      <sheetName val="분당임차변경"/>
      <sheetName val="LIST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10월 급여"/>
      <sheetName val="순수통장"/>
      <sheetName val="적립수신"/>
      <sheetName val="기초코드"/>
      <sheetName val="10K4"/>
      <sheetName val="회차별합계"/>
      <sheetName val="유가증권현황"/>
      <sheetName val="통합건전성별분류(0201)"/>
      <sheetName val="보험금"/>
      <sheetName val="108.수선비"/>
      <sheetName val="B"/>
      <sheetName val="원데이타(1)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8월"/>
      <sheetName val="99.7월 당월회수 실적"/>
      <sheetName val="TBUS"/>
      <sheetName val="아침햇쌀"/>
      <sheetName val="관계사"/>
      <sheetName val="fwd"/>
      <sheetName val="불일치회선"/>
      <sheetName val="수탁현황"/>
      <sheetName val="기타코드"/>
      <sheetName val="종합"/>
      <sheetName val="당행Data"/>
      <sheetName val="시나리오"/>
      <sheetName val="세무서코드"/>
      <sheetName val="수익증권평가"/>
      <sheetName val="조달운용"/>
      <sheetName val="주식평가"/>
      <sheetName val="채권상각"/>
      <sheetName val="실적"/>
      <sheetName val="성적표96"/>
      <sheetName val="연체대출"/>
      <sheetName val="갑지"/>
      <sheetName val="실행"/>
      <sheetName val="본부예산"/>
      <sheetName val="D30F"/>
      <sheetName val="1-2선물환"/>
      <sheetName val="차장급"/>
      <sheetName val="대리급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97출고현황(SEC)"/>
      <sheetName val="97입고현황(사내)"/>
      <sheetName val="97출고현황(매출분)"/>
      <sheetName val="95WBS"/>
      <sheetName val="공통"/>
      <sheetName val="FX"/>
      <sheetName val="대형원계"/>
      <sheetName val="연체 ()"/>
      <sheetName val="FORM01"/>
      <sheetName val="CONFIG"/>
      <sheetName val="Language"/>
      <sheetName val="Master Sheet"/>
      <sheetName val="미지급금으로 대체"/>
      <sheetName val="시운전연료"/>
      <sheetName val="연불"/>
      <sheetName val="수정시산표"/>
      <sheetName val="환율INDEX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시네마입금"/>
      <sheetName val="전월스평"/>
      <sheetName val="최종보고1"/>
      <sheetName val="Assumption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fxrate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련번호"/>
      <sheetName val="여신명세"/>
      <sheetName val="담보명세"/>
      <sheetName val="제외명세"/>
      <sheetName val="대환취급"/>
    </sheetNames>
    <sheetDataSet>
      <sheetData sheetId="0" refreshError="1"/>
      <sheetData sheetId="1" refreshError="1"/>
      <sheetData sheetId="2">
        <row r="1">
          <cell r="B1" t="str">
            <v xml:space="preserve">       매각채권 담보명세</v>
          </cell>
        </row>
        <row r="2">
          <cell r="D2" t="str">
            <v>사업자(주민)</v>
          </cell>
          <cell r="E2" t="str">
            <v>담보소재지(지번까지)</v>
          </cell>
          <cell r="G2" t="str">
            <v>담보</v>
          </cell>
          <cell r="H2" t="str">
            <v>토지</v>
          </cell>
          <cell r="I2" t="str">
            <v>건물(㎡)</v>
          </cell>
          <cell r="O2" t="str">
            <v>당행설정</v>
          </cell>
          <cell r="P2" t="str">
            <v>당행설정</v>
          </cell>
          <cell r="Q2" t="str">
            <v>공담</v>
          </cell>
          <cell r="R2" t="str">
            <v>타행설정</v>
          </cell>
          <cell r="S2" t="str">
            <v>타행설정</v>
          </cell>
          <cell r="T2" t="str">
            <v>개  시  결  정</v>
          </cell>
          <cell r="W2" t="str">
            <v>경매진행사항</v>
          </cell>
        </row>
        <row r="3">
          <cell r="B3" t="str">
            <v>담당자</v>
          </cell>
          <cell r="C3" t="str">
            <v>채 무 자 명</v>
          </cell>
          <cell r="D3" t="str">
            <v>등 록  번 호</v>
          </cell>
          <cell r="E3" t="str">
            <v>시.도</v>
          </cell>
          <cell r="F3" t="str">
            <v>상 세  주 소</v>
          </cell>
          <cell r="G3" t="str">
            <v>종류</v>
          </cell>
          <cell r="H3" t="str">
            <v>(㎡)</v>
          </cell>
          <cell r="I3" t="str">
            <v>매  수</v>
          </cell>
          <cell r="J3" t="str">
            <v>기계</v>
          </cell>
          <cell r="K3" t="str">
            <v>소유자</v>
          </cell>
          <cell r="L3" t="str">
            <v>감정일자</v>
          </cell>
          <cell r="M3" t="str">
            <v>감정가격</v>
          </cell>
          <cell r="N3" t="str">
            <v>감정기관</v>
          </cell>
          <cell r="O3" t="str">
            <v>순    위</v>
          </cell>
          <cell r="P3" t="str">
            <v>금    액</v>
          </cell>
          <cell r="Q3" t="str">
            <v>여부</v>
          </cell>
          <cell r="R3" t="str">
            <v>순    위</v>
          </cell>
          <cell r="S3" t="str">
            <v>금    액</v>
          </cell>
          <cell r="T3" t="str">
            <v>일자</v>
          </cell>
          <cell r="U3" t="str">
            <v>사건번호</v>
          </cell>
          <cell r="V3" t="str">
            <v>법원명</v>
          </cell>
          <cell r="W3" t="str">
            <v>최초법사가</v>
          </cell>
          <cell r="X3" t="str">
            <v>회차</v>
          </cell>
          <cell r="Y3" t="str">
            <v>입찰기일</v>
          </cell>
          <cell r="Z3" t="str">
            <v>법사가</v>
          </cell>
          <cell r="AA3" t="str">
            <v>낙찰금액</v>
          </cell>
          <cell r="AB3" t="str">
            <v>배당금액</v>
          </cell>
          <cell r="AC3" t="str">
            <v>항고</v>
          </cell>
          <cell r="AD3" t="str">
            <v>비    고</v>
          </cell>
        </row>
        <row r="4">
          <cell r="B4" t="str">
            <v>박호원</v>
          </cell>
          <cell r="C4" t="str">
            <v>송영애</v>
          </cell>
          <cell r="D4" t="str">
            <v>5811112109621</v>
          </cell>
          <cell r="E4" t="str">
            <v>부산</v>
          </cell>
          <cell r="F4" t="str">
            <v>동래구 안락동15-26현대아파트105동1305호</v>
          </cell>
          <cell r="G4" t="str">
            <v>아파트</v>
          </cell>
          <cell r="H4">
            <v>28</v>
          </cell>
          <cell r="I4">
            <v>59</v>
          </cell>
          <cell r="J4">
            <v>0</v>
          </cell>
          <cell r="K4" t="str">
            <v>송영애</v>
          </cell>
          <cell r="L4" t="str">
            <v>0001-01-01</v>
          </cell>
          <cell r="M4">
            <v>87000000</v>
          </cell>
          <cell r="O4">
            <v>12</v>
          </cell>
          <cell r="P4">
            <v>84000000</v>
          </cell>
          <cell r="T4">
            <v>38062</v>
          </cell>
          <cell r="U4" t="str">
            <v>2004타경13969</v>
          </cell>
          <cell r="V4" t="str">
            <v>부산</v>
          </cell>
          <cell r="W4">
            <v>0</v>
          </cell>
          <cell r="X4">
            <v>0</v>
          </cell>
          <cell r="Z4">
            <v>0</v>
          </cell>
          <cell r="AA4">
            <v>0</v>
          </cell>
          <cell r="AB4">
            <v>0</v>
          </cell>
        </row>
      </sheetData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summary"/>
      <sheetName val="서류확인"/>
      <sheetName val="담보평가"/>
      <sheetName val="Borrower"/>
      <sheetName val="SellingDebt"/>
      <sheetName val="Guarantor"/>
      <sheetName val="Property"/>
      <sheetName val="Property_Detailed"/>
      <sheetName val="Lien_Structure"/>
      <sheetName val="가지급금"/>
      <sheetName val="기본Data"/>
      <sheetName val="법원별 저감율"/>
      <sheetName val="경매정리(상세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1">
          <cell r="A61">
            <v>0</v>
          </cell>
          <cell r="B61" t="str">
            <v>~</v>
          </cell>
          <cell r="C61">
            <v>10000000</v>
          </cell>
          <cell r="D61">
            <v>0</v>
          </cell>
        </row>
        <row r="62">
          <cell r="A62">
            <v>10000000</v>
          </cell>
          <cell r="B62" t="str">
            <v>~</v>
          </cell>
          <cell r="C62">
            <v>30000000</v>
          </cell>
          <cell r="D62">
            <v>20000</v>
          </cell>
        </row>
        <row r="63">
          <cell r="A63">
            <v>30000000</v>
          </cell>
          <cell r="B63" t="str">
            <v>~</v>
          </cell>
          <cell r="C63">
            <v>50000000</v>
          </cell>
          <cell r="D63">
            <v>40000</v>
          </cell>
        </row>
        <row r="64">
          <cell r="A64">
            <v>50000000</v>
          </cell>
          <cell r="B64" t="str">
            <v>~</v>
          </cell>
          <cell r="C64">
            <v>100000000</v>
          </cell>
          <cell r="D64">
            <v>70000</v>
          </cell>
        </row>
        <row r="65">
          <cell r="A65">
            <v>100000000</v>
          </cell>
          <cell r="B65" t="str">
            <v>~</v>
          </cell>
          <cell r="C65">
            <v>1000000000</v>
          </cell>
          <cell r="D65">
            <v>150000</v>
          </cell>
        </row>
        <row r="66">
          <cell r="A66">
            <v>1000000000</v>
          </cell>
          <cell r="B66" t="str">
            <v>~</v>
          </cell>
          <cell r="D66">
            <v>350000</v>
          </cell>
        </row>
      </sheetData>
      <sheetData sheetId="11"/>
      <sheetData sheetId="1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내on1"/>
      <sheetName val="장내on2"/>
      <sheetName val="장외off"/>
      <sheetName val="장외on1"/>
      <sheetName val="장외on2"/>
      <sheetName val="선물off"/>
      <sheetName val="선물on1"/>
      <sheetName val="선물on2"/>
      <sheetName val="장외선물off"/>
      <sheetName val="장외선물on1"/>
      <sheetName val="장외선물on2"/>
      <sheetName val="옵션off"/>
      <sheetName val="옵션on1"/>
      <sheetName val="옵션on2"/>
      <sheetName val="제3off"/>
      <sheetName val="제3on1"/>
      <sheetName val="제3on2"/>
      <sheetName val="장내off"/>
      <sheetName val="단주off"/>
      <sheetName val="단주on1"/>
      <sheetName val="단주on2"/>
      <sheetName val="채권"/>
      <sheetName val="주식형"/>
      <sheetName val="채권형"/>
      <sheetName val="담보대출"/>
      <sheetName val="청약대출"/>
      <sheetName val="예수금off"/>
      <sheetName val="신용융자금"/>
      <sheetName val="Wrap"/>
      <sheetName val="RP수익"/>
      <sheetName val="Mutual"/>
      <sheetName val="MMF"/>
      <sheetName val="CALL"/>
      <sheetName val="ARS"/>
      <sheetName val="6월"/>
      <sheetName val="법인정리"/>
      <sheetName val="정리(0206)"/>
      <sheetName val="잔존년수"/>
      <sheetName val="Assumption"/>
      <sheetName val="Data"/>
      <sheetName val="Ⅱ1-0타"/>
      <sheetName val="대환취급"/>
      <sheetName val="Variable"/>
      <sheetName val="A.기본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수익점</v>
          </cell>
          <cell r="B4" t="str">
            <v>총계  수입수수료</v>
          </cell>
          <cell r="C4" t="str">
            <v>총계  매매수수료</v>
          </cell>
          <cell r="D4" t="str">
            <v>총계  협회비</v>
          </cell>
          <cell r="E4" t="str">
            <v>총계  gold R</v>
          </cell>
          <cell r="F4" t="str">
            <v>총계  goodi R</v>
          </cell>
          <cell r="G4" t="str">
            <v>총계  약정/예수금</v>
          </cell>
          <cell r="H4" t="str">
            <v>총계  평가금액</v>
          </cell>
        </row>
        <row r="5">
          <cell r="A5" t="str">
            <v>수익점</v>
          </cell>
          <cell r="B5" t="str">
            <v>총계  수입수수료</v>
          </cell>
          <cell r="C5" t="str">
            <v>총계  매매수수료</v>
          </cell>
          <cell r="D5" t="str">
            <v>총계  협회비</v>
          </cell>
          <cell r="E5" t="str">
            <v>총계  gold R</v>
          </cell>
          <cell r="F5" t="str">
            <v>총계  goodi R</v>
          </cell>
          <cell r="G5" t="str">
            <v>총계  약정/예수금</v>
          </cell>
          <cell r="H5" t="str">
            <v>총계  평가금액</v>
          </cell>
        </row>
        <row r="6">
          <cell r="A6" t="str">
            <v>001 합계</v>
          </cell>
          <cell r="B6">
            <v>4059831</v>
          </cell>
          <cell r="C6">
            <v>-421859</v>
          </cell>
          <cell r="D6">
            <v>-52116</v>
          </cell>
          <cell r="E6">
            <v>0</v>
          </cell>
          <cell r="F6">
            <v>-154472</v>
          </cell>
          <cell r="G6">
            <v>4349158731</v>
          </cell>
          <cell r="H6">
            <v>0</v>
          </cell>
        </row>
        <row r="7">
          <cell r="A7" t="str">
            <v>002 합계</v>
          </cell>
          <cell r="B7">
            <v>3675091</v>
          </cell>
          <cell r="C7">
            <v>-1165889</v>
          </cell>
          <cell r="D7">
            <v>-144191</v>
          </cell>
          <cell r="E7">
            <v>0</v>
          </cell>
          <cell r="F7">
            <v>-99992</v>
          </cell>
          <cell r="G7">
            <v>12019722372</v>
          </cell>
          <cell r="H7">
            <v>0</v>
          </cell>
        </row>
        <row r="8">
          <cell r="A8" t="str">
            <v>003 합계</v>
          </cell>
          <cell r="B8">
            <v>5965398</v>
          </cell>
          <cell r="C8">
            <v>-582413</v>
          </cell>
          <cell r="D8">
            <v>-71959</v>
          </cell>
          <cell r="E8">
            <v>0</v>
          </cell>
          <cell r="F8">
            <v>-234800</v>
          </cell>
          <cell r="G8">
            <v>6004554701</v>
          </cell>
          <cell r="H8">
            <v>0</v>
          </cell>
        </row>
        <row r="9">
          <cell r="A9" t="str">
            <v>004 합계</v>
          </cell>
          <cell r="B9">
            <v>4313401</v>
          </cell>
          <cell r="C9">
            <v>-779332</v>
          </cell>
          <cell r="D9">
            <v>-96373</v>
          </cell>
          <cell r="E9">
            <v>0</v>
          </cell>
          <cell r="F9">
            <v>-150324</v>
          </cell>
          <cell r="G9">
            <v>8034116152</v>
          </cell>
          <cell r="H9">
            <v>0</v>
          </cell>
        </row>
        <row r="10">
          <cell r="A10" t="str">
            <v>005 합계</v>
          </cell>
          <cell r="B10">
            <v>1080733</v>
          </cell>
          <cell r="C10">
            <v>-78909</v>
          </cell>
          <cell r="D10">
            <v>-9740</v>
          </cell>
          <cell r="E10">
            <v>0</v>
          </cell>
          <cell r="F10">
            <v>-42650</v>
          </cell>
          <cell r="G10">
            <v>813638467</v>
          </cell>
          <cell r="H10">
            <v>0</v>
          </cell>
        </row>
        <row r="11">
          <cell r="A11" t="str">
            <v>006 합계</v>
          </cell>
          <cell r="B11">
            <v>2131398</v>
          </cell>
          <cell r="C11">
            <v>-155027</v>
          </cell>
          <cell r="D11">
            <v>-19110</v>
          </cell>
          <cell r="E11">
            <v>0</v>
          </cell>
          <cell r="F11">
            <v>-85906</v>
          </cell>
          <cell r="G11">
            <v>1598192503</v>
          </cell>
          <cell r="H11">
            <v>0</v>
          </cell>
        </row>
        <row r="12">
          <cell r="A12" t="str">
            <v>007 합계</v>
          </cell>
          <cell r="B12">
            <v>771904</v>
          </cell>
          <cell r="C12">
            <v>-51109</v>
          </cell>
          <cell r="D12">
            <v>-6272</v>
          </cell>
          <cell r="E12">
            <v>0</v>
          </cell>
          <cell r="F12">
            <v>-30930</v>
          </cell>
          <cell r="G12">
            <v>526042834</v>
          </cell>
          <cell r="H12">
            <v>0</v>
          </cell>
        </row>
        <row r="13">
          <cell r="A13" t="str">
            <v>008 합계</v>
          </cell>
          <cell r="B13">
            <v>1791223</v>
          </cell>
          <cell r="C13">
            <v>-131289</v>
          </cell>
          <cell r="D13">
            <v>-16178</v>
          </cell>
          <cell r="E13">
            <v>0</v>
          </cell>
          <cell r="F13">
            <v>-71933</v>
          </cell>
          <cell r="G13">
            <v>1353797077</v>
          </cell>
          <cell r="H13">
            <v>0</v>
          </cell>
        </row>
        <row r="14">
          <cell r="A14" t="str">
            <v>009 합계</v>
          </cell>
          <cell r="B14">
            <v>2815269</v>
          </cell>
          <cell r="C14">
            <v>-215941</v>
          </cell>
          <cell r="D14">
            <v>-26665</v>
          </cell>
          <cell r="E14">
            <v>0</v>
          </cell>
          <cell r="F14">
            <v>-91576</v>
          </cell>
          <cell r="G14">
            <v>2226144632</v>
          </cell>
          <cell r="H14">
            <v>0</v>
          </cell>
        </row>
        <row r="15">
          <cell r="A15" t="str">
            <v>010 합계</v>
          </cell>
          <cell r="B15">
            <v>2364184</v>
          </cell>
          <cell r="C15">
            <v>-172129</v>
          </cell>
          <cell r="D15">
            <v>-21250</v>
          </cell>
          <cell r="E15">
            <v>0</v>
          </cell>
          <cell r="F15">
            <v>-94471</v>
          </cell>
          <cell r="G15">
            <v>1773260013</v>
          </cell>
          <cell r="H15">
            <v>0</v>
          </cell>
        </row>
        <row r="16">
          <cell r="A16" t="str">
            <v>012 합계</v>
          </cell>
          <cell r="B16">
            <v>1840945</v>
          </cell>
          <cell r="C16">
            <v>-128465</v>
          </cell>
          <cell r="D16">
            <v>-15832</v>
          </cell>
          <cell r="E16">
            <v>0</v>
          </cell>
          <cell r="F16">
            <v>-74201</v>
          </cell>
          <cell r="G16">
            <v>1324339266</v>
          </cell>
          <cell r="H16">
            <v>0</v>
          </cell>
        </row>
        <row r="17">
          <cell r="A17" t="str">
            <v>013 합계</v>
          </cell>
          <cell r="B17">
            <v>524531</v>
          </cell>
          <cell r="C17">
            <v>-37345</v>
          </cell>
          <cell r="D17">
            <v>-4577</v>
          </cell>
          <cell r="E17">
            <v>0</v>
          </cell>
          <cell r="F17">
            <v>-21216</v>
          </cell>
          <cell r="G17">
            <v>384820815</v>
          </cell>
          <cell r="H17">
            <v>0</v>
          </cell>
        </row>
        <row r="18">
          <cell r="A18" t="str">
            <v>014 합계</v>
          </cell>
          <cell r="B18">
            <v>1671081</v>
          </cell>
          <cell r="C18">
            <v>-342214</v>
          </cell>
          <cell r="D18">
            <v>-42306</v>
          </cell>
          <cell r="E18">
            <v>0</v>
          </cell>
          <cell r="F18">
            <v>-49861</v>
          </cell>
          <cell r="G18">
            <v>3527851822</v>
          </cell>
          <cell r="H18">
            <v>0</v>
          </cell>
        </row>
        <row r="19">
          <cell r="A19" t="str">
            <v>015 합계</v>
          </cell>
          <cell r="B19">
            <v>959976</v>
          </cell>
          <cell r="C19">
            <v>-69381</v>
          </cell>
          <cell r="D19">
            <v>-8535</v>
          </cell>
          <cell r="E19">
            <v>0</v>
          </cell>
          <cell r="F19">
            <v>-38475</v>
          </cell>
          <cell r="G19">
            <v>715689902</v>
          </cell>
          <cell r="H19">
            <v>0</v>
          </cell>
        </row>
        <row r="20">
          <cell r="A20" t="str">
            <v>016 합계</v>
          </cell>
          <cell r="B20">
            <v>1971576</v>
          </cell>
          <cell r="C20">
            <v>-138882</v>
          </cell>
          <cell r="D20">
            <v>-17100</v>
          </cell>
          <cell r="E20">
            <v>0</v>
          </cell>
          <cell r="F20">
            <v>-80779</v>
          </cell>
          <cell r="G20">
            <v>1432068649</v>
          </cell>
          <cell r="H20">
            <v>0</v>
          </cell>
        </row>
        <row r="21">
          <cell r="A21" t="str">
            <v>017 합계</v>
          </cell>
          <cell r="B21">
            <v>2090098</v>
          </cell>
          <cell r="C21">
            <v>-151164</v>
          </cell>
          <cell r="D21">
            <v>-18664</v>
          </cell>
          <cell r="E21">
            <v>0</v>
          </cell>
          <cell r="F21">
            <v>-84505</v>
          </cell>
          <cell r="G21">
            <v>1558700828</v>
          </cell>
          <cell r="H21">
            <v>0</v>
          </cell>
        </row>
        <row r="22">
          <cell r="A22" t="str">
            <v>018 합계</v>
          </cell>
          <cell r="B22">
            <v>316192</v>
          </cell>
          <cell r="C22">
            <v>-23399</v>
          </cell>
          <cell r="D22">
            <v>-2869</v>
          </cell>
          <cell r="E22">
            <v>0</v>
          </cell>
          <cell r="F22">
            <v>-12675</v>
          </cell>
          <cell r="G22">
            <v>241257870</v>
          </cell>
          <cell r="H22">
            <v>0</v>
          </cell>
        </row>
        <row r="23">
          <cell r="A23" t="str">
            <v>019 합계</v>
          </cell>
          <cell r="B23">
            <v>3467922</v>
          </cell>
          <cell r="C23">
            <v>-337237</v>
          </cell>
          <cell r="D23">
            <v>-41577</v>
          </cell>
          <cell r="E23">
            <v>0</v>
          </cell>
          <cell r="F23">
            <v>-137143</v>
          </cell>
          <cell r="G23">
            <v>3475979756</v>
          </cell>
          <cell r="H23">
            <v>0</v>
          </cell>
        </row>
        <row r="24">
          <cell r="A24" t="str">
            <v>020 합계</v>
          </cell>
          <cell r="B24">
            <v>1992766</v>
          </cell>
          <cell r="C24">
            <v>-143905</v>
          </cell>
          <cell r="D24">
            <v>-17742</v>
          </cell>
          <cell r="E24">
            <v>0</v>
          </cell>
          <cell r="F24">
            <v>-79721</v>
          </cell>
          <cell r="G24">
            <v>1483012610</v>
          </cell>
          <cell r="H24">
            <v>0</v>
          </cell>
        </row>
        <row r="25">
          <cell r="A25" t="str">
            <v>021 합계</v>
          </cell>
          <cell r="B25">
            <v>2302317</v>
          </cell>
          <cell r="C25">
            <v>-422882</v>
          </cell>
          <cell r="D25">
            <v>-52281</v>
          </cell>
          <cell r="E25">
            <v>0</v>
          </cell>
          <cell r="F25">
            <v>-77544</v>
          </cell>
          <cell r="G25">
            <v>4359808491</v>
          </cell>
          <cell r="H25">
            <v>0</v>
          </cell>
        </row>
        <row r="26">
          <cell r="A26" t="str">
            <v>022 합계</v>
          </cell>
          <cell r="B26">
            <v>2723673</v>
          </cell>
          <cell r="C26">
            <v>-200445</v>
          </cell>
          <cell r="D26">
            <v>-24758</v>
          </cell>
          <cell r="E26">
            <v>0</v>
          </cell>
          <cell r="F26">
            <v>-116196</v>
          </cell>
          <cell r="G26">
            <v>2066579124</v>
          </cell>
          <cell r="H26">
            <v>0</v>
          </cell>
        </row>
        <row r="27">
          <cell r="A27" t="str">
            <v>023 합계</v>
          </cell>
          <cell r="B27">
            <v>1615674</v>
          </cell>
          <cell r="C27">
            <v>-138866</v>
          </cell>
          <cell r="D27">
            <v>-17107</v>
          </cell>
          <cell r="E27">
            <v>0</v>
          </cell>
          <cell r="F27">
            <v>-63169</v>
          </cell>
          <cell r="G27">
            <v>1429471623</v>
          </cell>
          <cell r="H27">
            <v>0</v>
          </cell>
        </row>
        <row r="28">
          <cell r="A28" t="str">
            <v>024 합계</v>
          </cell>
          <cell r="B28">
            <v>972748</v>
          </cell>
          <cell r="C28">
            <v>-72256</v>
          </cell>
          <cell r="D28">
            <v>-8887</v>
          </cell>
          <cell r="E28">
            <v>0</v>
          </cell>
          <cell r="F28">
            <v>-38909</v>
          </cell>
          <cell r="G28">
            <v>744988924</v>
          </cell>
          <cell r="H28">
            <v>0</v>
          </cell>
        </row>
        <row r="29">
          <cell r="A29" t="str">
            <v>025 합계</v>
          </cell>
          <cell r="B29">
            <v>1844900</v>
          </cell>
          <cell r="C29">
            <v>-137431</v>
          </cell>
          <cell r="D29">
            <v>-16939</v>
          </cell>
          <cell r="E29">
            <v>0</v>
          </cell>
          <cell r="F29">
            <v>-73429</v>
          </cell>
          <cell r="G29">
            <v>1416788398</v>
          </cell>
          <cell r="H29">
            <v>0</v>
          </cell>
        </row>
        <row r="30">
          <cell r="A30" t="str">
            <v>026 합계</v>
          </cell>
          <cell r="B30">
            <v>1749518</v>
          </cell>
          <cell r="C30">
            <v>-128471</v>
          </cell>
          <cell r="D30">
            <v>-15844</v>
          </cell>
          <cell r="E30">
            <v>0</v>
          </cell>
          <cell r="F30">
            <v>-70481</v>
          </cell>
          <cell r="G30">
            <v>1324556469</v>
          </cell>
          <cell r="H30">
            <v>0</v>
          </cell>
        </row>
        <row r="31">
          <cell r="A31" t="str">
            <v>027 합계</v>
          </cell>
          <cell r="B31">
            <v>1925993</v>
          </cell>
          <cell r="C31">
            <v>-181072</v>
          </cell>
          <cell r="D31">
            <v>-22358</v>
          </cell>
          <cell r="E31">
            <v>0</v>
          </cell>
          <cell r="F31">
            <v>-74174</v>
          </cell>
          <cell r="G31">
            <v>1866818576</v>
          </cell>
          <cell r="H31">
            <v>0</v>
          </cell>
        </row>
        <row r="32">
          <cell r="A32" t="str">
            <v>028 합계</v>
          </cell>
          <cell r="B32">
            <v>2650913</v>
          </cell>
          <cell r="C32">
            <v>-313187</v>
          </cell>
          <cell r="D32">
            <v>-38704</v>
          </cell>
          <cell r="E32">
            <v>0</v>
          </cell>
          <cell r="F32">
            <v>-99975</v>
          </cell>
          <cell r="G32">
            <v>3228722266</v>
          </cell>
          <cell r="H32">
            <v>0</v>
          </cell>
        </row>
        <row r="33">
          <cell r="A33" t="str">
            <v>029 합계</v>
          </cell>
          <cell r="B33">
            <v>2375127</v>
          </cell>
          <cell r="C33">
            <v>-169903</v>
          </cell>
          <cell r="D33">
            <v>-20927</v>
          </cell>
          <cell r="E33">
            <v>0</v>
          </cell>
          <cell r="F33">
            <v>-94939</v>
          </cell>
          <cell r="G33">
            <v>1750668737</v>
          </cell>
          <cell r="H33">
            <v>0</v>
          </cell>
        </row>
        <row r="34">
          <cell r="A34" t="str">
            <v>030 합계</v>
          </cell>
          <cell r="B34">
            <v>3060360</v>
          </cell>
          <cell r="C34">
            <v>-214672</v>
          </cell>
          <cell r="D34">
            <v>-26490</v>
          </cell>
          <cell r="E34">
            <v>0</v>
          </cell>
          <cell r="F34">
            <v>-123010</v>
          </cell>
          <cell r="G34">
            <v>2213104829</v>
          </cell>
          <cell r="H34">
            <v>0</v>
          </cell>
        </row>
        <row r="35">
          <cell r="A35" t="str">
            <v>031 합계</v>
          </cell>
          <cell r="B35">
            <v>1657804</v>
          </cell>
          <cell r="C35">
            <v>-120626</v>
          </cell>
          <cell r="D35">
            <v>-14841</v>
          </cell>
          <cell r="E35">
            <v>0</v>
          </cell>
          <cell r="F35">
            <v>-69772</v>
          </cell>
          <cell r="G35">
            <v>1243754917</v>
          </cell>
          <cell r="H35">
            <v>0</v>
          </cell>
        </row>
        <row r="36">
          <cell r="A36" t="str">
            <v>032 합계</v>
          </cell>
          <cell r="B36">
            <v>2287896</v>
          </cell>
          <cell r="C36">
            <v>-338087</v>
          </cell>
          <cell r="D36">
            <v>-41786</v>
          </cell>
          <cell r="E36">
            <v>0</v>
          </cell>
          <cell r="F36">
            <v>-81900</v>
          </cell>
          <cell r="G36">
            <v>3485744302</v>
          </cell>
          <cell r="H36">
            <v>0</v>
          </cell>
        </row>
        <row r="37">
          <cell r="A37" t="str">
            <v>033 합계</v>
          </cell>
          <cell r="B37">
            <v>4586944</v>
          </cell>
          <cell r="C37">
            <v>-315768</v>
          </cell>
          <cell r="D37">
            <v>-39071</v>
          </cell>
          <cell r="E37">
            <v>0</v>
          </cell>
          <cell r="F37">
            <v>-183459</v>
          </cell>
          <cell r="G37">
            <v>3255672890</v>
          </cell>
          <cell r="H37">
            <v>0</v>
          </cell>
        </row>
        <row r="38">
          <cell r="A38" t="str">
            <v>034 합계</v>
          </cell>
          <cell r="B38">
            <v>2212438</v>
          </cell>
          <cell r="C38">
            <v>-160977</v>
          </cell>
          <cell r="D38">
            <v>-19809</v>
          </cell>
          <cell r="E38">
            <v>0</v>
          </cell>
          <cell r="F38">
            <v>-88534</v>
          </cell>
          <cell r="G38">
            <v>1659517416</v>
          </cell>
          <cell r="H38">
            <v>0</v>
          </cell>
        </row>
        <row r="39">
          <cell r="A39" t="str">
            <v>035 합계</v>
          </cell>
          <cell r="B39">
            <v>1577990</v>
          </cell>
          <cell r="C39">
            <v>-116901</v>
          </cell>
          <cell r="D39">
            <v>-14390</v>
          </cell>
          <cell r="E39">
            <v>0</v>
          </cell>
          <cell r="F39">
            <v>-63084</v>
          </cell>
          <cell r="G39">
            <v>1205232493</v>
          </cell>
          <cell r="H39">
            <v>0</v>
          </cell>
        </row>
        <row r="40">
          <cell r="A40" t="str">
            <v>036 합계</v>
          </cell>
          <cell r="B40">
            <v>2810097</v>
          </cell>
          <cell r="C40">
            <v>-260459</v>
          </cell>
          <cell r="D40">
            <v>-32186</v>
          </cell>
          <cell r="E40">
            <v>0</v>
          </cell>
          <cell r="F40">
            <v>-110050</v>
          </cell>
          <cell r="G40">
            <v>2685425284</v>
          </cell>
          <cell r="H40">
            <v>0</v>
          </cell>
        </row>
        <row r="41">
          <cell r="A41" t="str">
            <v>037 합계</v>
          </cell>
          <cell r="B41">
            <v>6910480</v>
          </cell>
          <cell r="C41">
            <v>-670606</v>
          </cell>
          <cell r="D41">
            <v>-82852</v>
          </cell>
          <cell r="E41">
            <v>0</v>
          </cell>
          <cell r="F41">
            <v>-265149</v>
          </cell>
          <cell r="G41">
            <v>6913197902</v>
          </cell>
          <cell r="H41">
            <v>0</v>
          </cell>
        </row>
        <row r="42">
          <cell r="A42" t="str">
            <v>038 합계</v>
          </cell>
          <cell r="B42">
            <v>2748550</v>
          </cell>
          <cell r="C42">
            <v>-211835</v>
          </cell>
          <cell r="D42">
            <v>-26145</v>
          </cell>
          <cell r="E42">
            <v>0</v>
          </cell>
          <cell r="F42">
            <v>-109213</v>
          </cell>
          <cell r="G42">
            <v>2183175888</v>
          </cell>
          <cell r="H42">
            <v>0</v>
          </cell>
        </row>
        <row r="43">
          <cell r="A43" t="str">
            <v>039 합계</v>
          </cell>
          <cell r="B43">
            <v>855556</v>
          </cell>
          <cell r="C43">
            <v>-60857</v>
          </cell>
          <cell r="D43">
            <v>-7505</v>
          </cell>
          <cell r="E43">
            <v>0</v>
          </cell>
          <cell r="F43">
            <v>-34176</v>
          </cell>
          <cell r="G43">
            <v>627285828</v>
          </cell>
          <cell r="H43">
            <v>0</v>
          </cell>
        </row>
        <row r="44">
          <cell r="A44" t="str">
            <v>040 합계</v>
          </cell>
          <cell r="B44">
            <v>2687172</v>
          </cell>
          <cell r="C44">
            <v>-198826</v>
          </cell>
          <cell r="D44">
            <v>-24538</v>
          </cell>
          <cell r="E44">
            <v>0</v>
          </cell>
          <cell r="F44">
            <v>-107088</v>
          </cell>
          <cell r="G44">
            <v>2049885535</v>
          </cell>
          <cell r="H44">
            <v>0</v>
          </cell>
        </row>
        <row r="45">
          <cell r="A45" t="str">
            <v>041 합계</v>
          </cell>
          <cell r="B45">
            <v>1253543</v>
          </cell>
          <cell r="C45">
            <v>-89528</v>
          </cell>
          <cell r="D45">
            <v>-11031</v>
          </cell>
          <cell r="E45">
            <v>0</v>
          </cell>
          <cell r="F45">
            <v>-51189</v>
          </cell>
          <cell r="G45">
            <v>922831560</v>
          </cell>
          <cell r="H45">
            <v>0</v>
          </cell>
        </row>
        <row r="46">
          <cell r="A46" t="str">
            <v>042 합계</v>
          </cell>
          <cell r="B46">
            <v>1415096</v>
          </cell>
          <cell r="C46">
            <v>-101098</v>
          </cell>
          <cell r="D46">
            <v>-12434</v>
          </cell>
          <cell r="E46">
            <v>0</v>
          </cell>
          <cell r="F46">
            <v>-56455</v>
          </cell>
          <cell r="G46">
            <v>1042512738</v>
          </cell>
          <cell r="H46">
            <v>0</v>
          </cell>
        </row>
        <row r="47">
          <cell r="A47" t="str">
            <v>043 합계</v>
          </cell>
          <cell r="B47">
            <v>1352959</v>
          </cell>
          <cell r="C47">
            <v>-127539</v>
          </cell>
          <cell r="D47">
            <v>-15736</v>
          </cell>
          <cell r="E47">
            <v>0</v>
          </cell>
          <cell r="F47">
            <v>-52737</v>
          </cell>
          <cell r="G47">
            <v>1314759777</v>
          </cell>
          <cell r="H47">
            <v>0</v>
          </cell>
        </row>
        <row r="48">
          <cell r="A48" t="str">
            <v>044 합계</v>
          </cell>
          <cell r="B48">
            <v>2989533</v>
          </cell>
          <cell r="C48">
            <v>-205166</v>
          </cell>
          <cell r="D48">
            <v>-25314</v>
          </cell>
          <cell r="E48">
            <v>0</v>
          </cell>
          <cell r="F48">
            <v>-120339</v>
          </cell>
          <cell r="G48">
            <v>2115429977</v>
          </cell>
          <cell r="H48">
            <v>0</v>
          </cell>
        </row>
        <row r="49">
          <cell r="A49" t="str">
            <v>045 합계</v>
          </cell>
          <cell r="B49">
            <v>8425650</v>
          </cell>
          <cell r="C49">
            <v>-1151232</v>
          </cell>
          <cell r="D49">
            <v>-142339</v>
          </cell>
          <cell r="E49">
            <v>0</v>
          </cell>
          <cell r="F49">
            <v>-305295</v>
          </cell>
          <cell r="G49">
            <v>11868450932</v>
          </cell>
          <cell r="H49">
            <v>0</v>
          </cell>
        </row>
        <row r="50">
          <cell r="A50" t="str">
            <v>047 합계</v>
          </cell>
          <cell r="B50">
            <v>4095290</v>
          </cell>
          <cell r="C50">
            <v>-840101</v>
          </cell>
          <cell r="D50">
            <v>-103900</v>
          </cell>
          <cell r="E50">
            <v>0</v>
          </cell>
          <cell r="F50">
            <v>-135857</v>
          </cell>
          <cell r="G50">
            <v>8661037572</v>
          </cell>
          <cell r="H50">
            <v>0</v>
          </cell>
        </row>
        <row r="51">
          <cell r="A51" t="str">
            <v>049 합계</v>
          </cell>
          <cell r="B51">
            <v>3113240</v>
          </cell>
          <cell r="C51">
            <v>-256640</v>
          </cell>
          <cell r="D51">
            <v>-31678</v>
          </cell>
          <cell r="E51">
            <v>0</v>
          </cell>
          <cell r="F51">
            <v>-134824</v>
          </cell>
          <cell r="G51">
            <v>2645164895</v>
          </cell>
          <cell r="H51">
            <v>0</v>
          </cell>
        </row>
        <row r="52">
          <cell r="A52" t="str">
            <v>050 합계</v>
          </cell>
          <cell r="B52">
            <v>1948487</v>
          </cell>
          <cell r="C52">
            <v>-141519</v>
          </cell>
          <cell r="D52">
            <v>-17437</v>
          </cell>
          <cell r="E52">
            <v>0</v>
          </cell>
          <cell r="F52">
            <v>-81560</v>
          </cell>
          <cell r="G52">
            <v>1458914062</v>
          </cell>
          <cell r="H52">
            <v>0</v>
          </cell>
        </row>
        <row r="53">
          <cell r="A53" t="str">
            <v>054 합계</v>
          </cell>
          <cell r="B53">
            <v>1107095</v>
          </cell>
          <cell r="C53">
            <v>-79403</v>
          </cell>
          <cell r="D53">
            <v>-9751</v>
          </cell>
          <cell r="E53">
            <v>0</v>
          </cell>
          <cell r="F53">
            <v>-44314</v>
          </cell>
          <cell r="G53">
            <v>818498065</v>
          </cell>
          <cell r="H53">
            <v>0</v>
          </cell>
        </row>
        <row r="54">
          <cell r="A54" t="str">
            <v>055 합계</v>
          </cell>
          <cell r="B54">
            <v>1179974</v>
          </cell>
          <cell r="C54">
            <v>-88285</v>
          </cell>
          <cell r="D54">
            <v>-10890</v>
          </cell>
          <cell r="E54">
            <v>0</v>
          </cell>
          <cell r="F54">
            <v>-47193</v>
          </cell>
          <cell r="G54">
            <v>910448058</v>
          </cell>
          <cell r="H54">
            <v>0</v>
          </cell>
        </row>
        <row r="55">
          <cell r="A55" t="str">
            <v>056 합계</v>
          </cell>
          <cell r="B55">
            <v>3074196</v>
          </cell>
          <cell r="C55">
            <v>-232039</v>
          </cell>
          <cell r="D55">
            <v>-28671</v>
          </cell>
          <cell r="E55">
            <v>0</v>
          </cell>
          <cell r="F55">
            <v>-122376</v>
          </cell>
          <cell r="G55">
            <v>2391931790</v>
          </cell>
          <cell r="H55">
            <v>0</v>
          </cell>
        </row>
        <row r="56">
          <cell r="A56" t="str">
            <v>060 합계</v>
          </cell>
          <cell r="B56">
            <v>2384640</v>
          </cell>
          <cell r="C56">
            <v>-198246</v>
          </cell>
          <cell r="D56">
            <v>-24504</v>
          </cell>
          <cell r="E56">
            <v>0</v>
          </cell>
          <cell r="F56">
            <v>-95041</v>
          </cell>
          <cell r="G56">
            <v>2043828393</v>
          </cell>
          <cell r="H56">
            <v>0</v>
          </cell>
        </row>
        <row r="57">
          <cell r="A57" t="str">
            <v>062 합계</v>
          </cell>
          <cell r="B57">
            <v>1352859</v>
          </cell>
          <cell r="C57">
            <v>-115837</v>
          </cell>
          <cell r="D57">
            <v>-14310</v>
          </cell>
          <cell r="E57">
            <v>0</v>
          </cell>
          <cell r="F57">
            <v>-58372</v>
          </cell>
          <cell r="G57">
            <v>1193754090</v>
          </cell>
          <cell r="H57">
            <v>0</v>
          </cell>
        </row>
        <row r="58">
          <cell r="A58" t="str">
            <v>063 합계</v>
          </cell>
          <cell r="B58">
            <v>2439747</v>
          </cell>
          <cell r="C58">
            <v>-183426</v>
          </cell>
          <cell r="D58">
            <v>-22662</v>
          </cell>
          <cell r="E58">
            <v>0</v>
          </cell>
          <cell r="F58">
            <v>-100625</v>
          </cell>
          <cell r="G58">
            <v>1890789767</v>
          </cell>
          <cell r="H58">
            <v>0</v>
          </cell>
        </row>
        <row r="59">
          <cell r="A59" t="str">
            <v>064 합계</v>
          </cell>
          <cell r="B59">
            <v>3837586</v>
          </cell>
          <cell r="C59">
            <v>-336801</v>
          </cell>
          <cell r="D59">
            <v>-41591</v>
          </cell>
          <cell r="E59">
            <v>0</v>
          </cell>
          <cell r="F59">
            <v>-150131</v>
          </cell>
          <cell r="G59">
            <v>3472428434</v>
          </cell>
          <cell r="H59">
            <v>0</v>
          </cell>
        </row>
        <row r="60">
          <cell r="A60" t="str">
            <v>065 합계</v>
          </cell>
          <cell r="B60">
            <v>2004772</v>
          </cell>
          <cell r="C60">
            <v>-142388</v>
          </cell>
          <cell r="D60">
            <v>-17563</v>
          </cell>
          <cell r="E60">
            <v>0</v>
          </cell>
          <cell r="F60">
            <v>-80742</v>
          </cell>
          <cell r="G60">
            <v>1467713641</v>
          </cell>
          <cell r="H60">
            <v>0</v>
          </cell>
        </row>
        <row r="61">
          <cell r="A61" t="str">
            <v>069 합계</v>
          </cell>
          <cell r="B61">
            <v>2065413</v>
          </cell>
          <cell r="C61">
            <v>-148633</v>
          </cell>
          <cell r="D61">
            <v>-18324</v>
          </cell>
          <cell r="E61">
            <v>0</v>
          </cell>
          <cell r="F61">
            <v>-82757</v>
          </cell>
          <cell r="G61">
            <v>1532505154</v>
          </cell>
          <cell r="H61">
            <v>0</v>
          </cell>
        </row>
        <row r="62">
          <cell r="A62" t="str">
            <v>070 합계</v>
          </cell>
          <cell r="B62">
            <v>430261</v>
          </cell>
          <cell r="C62">
            <v>-32192</v>
          </cell>
          <cell r="D62">
            <v>-3961</v>
          </cell>
          <cell r="E62">
            <v>0</v>
          </cell>
          <cell r="F62">
            <v>-17179</v>
          </cell>
          <cell r="G62">
            <v>332117675</v>
          </cell>
          <cell r="H62">
            <v>0</v>
          </cell>
        </row>
        <row r="63">
          <cell r="A63" t="str">
            <v>071 합계</v>
          </cell>
          <cell r="B63">
            <v>650141</v>
          </cell>
          <cell r="C63">
            <v>-47034</v>
          </cell>
          <cell r="D63">
            <v>-5783</v>
          </cell>
          <cell r="E63">
            <v>0</v>
          </cell>
          <cell r="F63">
            <v>-26001</v>
          </cell>
          <cell r="G63">
            <v>484918682</v>
          </cell>
          <cell r="H63">
            <v>0</v>
          </cell>
        </row>
        <row r="64">
          <cell r="A64" t="str">
            <v>072 합계</v>
          </cell>
          <cell r="B64">
            <v>1511164</v>
          </cell>
          <cell r="C64">
            <v>-112504</v>
          </cell>
          <cell r="D64">
            <v>-13882</v>
          </cell>
          <cell r="E64">
            <v>0</v>
          </cell>
          <cell r="F64">
            <v>-79820</v>
          </cell>
          <cell r="G64">
            <v>1160079740</v>
          </cell>
          <cell r="H64">
            <v>0</v>
          </cell>
        </row>
        <row r="65">
          <cell r="A65" t="str">
            <v>075 합계</v>
          </cell>
          <cell r="B65">
            <v>261401</v>
          </cell>
          <cell r="C65">
            <v>-18133</v>
          </cell>
          <cell r="D65">
            <v>-2245</v>
          </cell>
          <cell r="E65">
            <v>0</v>
          </cell>
          <cell r="F65">
            <v>-10457</v>
          </cell>
          <cell r="G65">
            <v>186830829</v>
          </cell>
          <cell r="H65">
            <v>0</v>
          </cell>
        </row>
        <row r="66">
          <cell r="A66" t="str">
            <v>076 합계</v>
          </cell>
          <cell r="B66">
            <v>1097289</v>
          </cell>
          <cell r="C66">
            <v>-83980</v>
          </cell>
          <cell r="D66">
            <v>-10379</v>
          </cell>
          <cell r="E66">
            <v>0</v>
          </cell>
          <cell r="F66">
            <v>-43211</v>
          </cell>
          <cell r="G66">
            <v>865909712</v>
          </cell>
          <cell r="H66">
            <v>0</v>
          </cell>
        </row>
        <row r="67">
          <cell r="A67" t="str">
            <v>077 합계</v>
          </cell>
          <cell r="B67">
            <v>569062</v>
          </cell>
          <cell r="C67">
            <v>-69563</v>
          </cell>
          <cell r="D67">
            <v>-8601</v>
          </cell>
          <cell r="E67">
            <v>0</v>
          </cell>
          <cell r="F67">
            <v>-21036</v>
          </cell>
          <cell r="G67">
            <v>717250250</v>
          </cell>
          <cell r="H67">
            <v>0</v>
          </cell>
        </row>
        <row r="68">
          <cell r="A68" t="str">
            <v>078 합계</v>
          </cell>
          <cell r="B68">
            <v>2173483</v>
          </cell>
          <cell r="C68">
            <v>-212869</v>
          </cell>
          <cell r="D68">
            <v>-26327</v>
          </cell>
          <cell r="E68">
            <v>0</v>
          </cell>
          <cell r="F68">
            <v>-82790</v>
          </cell>
          <cell r="G68">
            <v>2194505808</v>
          </cell>
          <cell r="H68">
            <v>0</v>
          </cell>
        </row>
        <row r="69">
          <cell r="A69" t="str">
            <v>079 합계</v>
          </cell>
          <cell r="B69">
            <v>15541</v>
          </cell>
          <cell r="C69">
            <v>-1150</v>
          </cell>
          <cell r="D69">
            <v>-139</v>
          </cell>
          <cell r="E69">
            <v>0</v>
          </cell>
          <cell r="F69">
            <v>-622</v>
          </cell>
          <cell r="G69">
            <v>11877003</v>
          </cell>
          <cell r="H69">
            <v>0</v>
          </cell>
        </row>
        <row r="70">
          <cell r="A70" t="str">
            <v>081 합계</v>
          </cell>
          <cell r="B70">
            <v>681087</v>
          </cell>
          <cell r="C70">
            <v>-49414</v>
          </cell>
          <cell r="D70">
            <v>-6092</v>
          </cell>
          <cell r="E70">
            <v>0</v>
          </cell>
          <cell r="F70">
            <v>-27239</v>
          </cell>
          <cell r="G70">
            <v>508957395</v>
          </cell>
          <cell r="H70">
            <v>0</v>
          </cell>
        </row>
        <row r="71">
          <cell r="A71" t="str">
            <v>929 합계</v>
          </cell>
          <cell r="B71">
            <v>730377092</v>
          </cell>
          <cell r="C71">
            <v>-62282480</v>
          </cell>
          <cell r="D71">
            <v>-7702554</v>
          </cell>
          <cell r="E71">
            <v>0</v>
          </cell>
          <cell r="F71">
            <v>-29370462</v>
          </cell>
          <cell r="G71">
            <v>641978953089</v>
          </cell>
          <cell r="H71">
            <v>0</v>
          </cell>
        </row>
        <row r="72">
          <cell r="A72" t="str">
            <v>총 합계</v>
          </cell>
          <cell r="B72">
            <v>875166270</v>
          </cell>
          <cell r="C72">
            <v>-76907216</v>
          </cell>
          <cell r="D72">
            <v>-9508572</v>
          </cell>
          <cell r="E72">
            <v>0</v>
          </cell>
          <cell r="F72">
            <v>-34978505</v>
          </cell>
          <cell r="G72">
            <v>792745147980</v>
          </cell>
          <cell r="H7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"/>
      <sheetName val="잔존년수"/>
      <sheetName val="CashFlow"/>
      <sheetName val="CashFlow(중간집계)"/>
      <sheetName val="담보평가"/>
      <sheetName val="LoanList"/>
      <sheetName val="법원비용"/>
      <sheetName val="청구채권액"/>
      <sheetName val="경락률"/>
      <sheetName val="경매회차하락률"/>
      <sheetName val="차주별평가결과"/>
      <sheetName val="정리계획CF평가"/>
      <sheetName val="항고구분"/>
      <sheetName val="장외on2"/>
      <sheetName val="X-3 ENG"/>
      <sheetName val="기대회수율산정"/>
      <sheetName val="기대회수Schedule"/>
      <sheetName val="10월"/>
      <sheetName val="Cashflow판(특별인가)"/>
      <sheetName val="대구경북"/>
      <sheetName val="통장출금액"/>
      <sheetName val="MH_생산"/>
      <sheetName val="제조원가"/>
      <sheetName val="회사정보"/>
      <sheetName val="손익분석"/>
      <sheetName val="sheet1"/>
      <sheetName val="원데이타(1)"/>
      <sheetName val="여담"/>
      <sheetName val="99년(원본) "/>
      <sheetName val="WPL"/>
      <sheetName val="업체명"/>
      <sheetName val="자금입금"/>
      <sheetName val="XREF"/>
      <sheetName val="주요항목별"/>
      <sheetName val="점수확인"/>
      <sheetName val="사업수지"/>
      <sheetName val="3-2.담보정보(물건별)"/>
      <sheetName val="전행순위"/>
      <sheetName val="명세"/>
      <sheetName val="Sheet4"/>
      <sheetName val="보고"/>
      <sheetName val="공통가설"/>
      <sheetName val="현금흐름(SPC)"/>
      <sheetName val="전체"/>
      <sheetName val="Variable"/>
      <sheetName val="수입"/>
      <sheetName val="020114"/>
      <sheetName val="0111월"/>
      <sheetName val="Data"/>
      <sheetName val="내역서2안"/>
      <sheetName val="교통대책내역"/>
      <sheetName val="상세손익"/>
      <sheetName val="계정code"/>
      <sheetName val="정산표"/>
      <sheetName val="CODE"/>
      <sheetName val="Borrower"/>
      <sheetName val="단가"/>
      <sheetName val="일위_파일"/>
      <sheetName val="COBS"/>
      <sheetName val="현장관리비"/>
      <sheetName val="재무가정"/>
      <sheetName val="내역5"/>
      <sheetName val="사업비총괄표"/>
      <sheetName val="사업예산품의서"/>
      <sheetName val="자  재"/>
      <sheetName val="건축외주"/>
      <sheetName val="A3.4"/>
      <sheetName val="A3_4"/>
      <sheetName val="Cashflow판(특별인가).xls"/>
    </sheetNames>
    <sheetDataSet>
      <sheetData sheetId="0"/>
      <sheetData sheetId="1"/>
      <sheetData sheetId="2"/>
      <sheetData sheetId="3">
        <row r="9">
          <cell r="C9" t="str">
            <v>담보유무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7">
          <cell r="B7" t="str">
            <v>차주번호</v>
          </cell>
          <cell r="C7" t="str">
            <v>채무자</v>
          </cell>
          <cell r="D7" t="str">
            <v>OPB</v>
          </cell>
          <cell r="E7" t="str">
            <v>평가액</v>
          </cell>
          <cell r="F7" t="str">
            <v>평가율</v>
          </cell>
          <cell r="G7" t="str">
            <v>분 류</v>
          </cell>
        </row>
        <row r="8">
          <cell r="B8">
            <v>1</v>
          </cell>
          <cell r="C8" t="str">
            <v>㈜화목</v>
          </cell>
          <cell r="D8">
            <v>3546057400</v>
          </cell>
          <cell r="E8">
            <v>1348540592.5750403</v>
          </cell>
          <cell r="F8">
            <v>0.38029293958271526</v>
          </cell>
          <cell r="G8" t="str">
            <v>화의</v>
          </cell>
        </row>
        <row r="9">
          <cell r="B9">
            <v>4</v>
          </cell>
          <cell r="C9" t="str">
            <v>금용종합건설</v>
          </cell>
          <cell r="D9">
            <v>4778742657</v>
          </cell>
          <cell r="E9">
            <v>1401976888.0758922</v>
          </cell>
          <cell r="F9">
            <v>0.29337777501415518</v>
          </cell>
          <cell r="G9" t="str">
            <v>화의</v>
          </cell>
        </row>
        <row r="10">
          <cell r="B10">
            <v>5</v>
          </cell>
          <cell r="C10" t="str">
            <v>삼희산업</v>
          </cell>
          <cell r="D10">
            <v>386411576</v>
          </cell>
          <cell r="E10">
            <v>136099858.60019323</v>
          </cell>
          <cell r="F10">
            <v>0.35221475507812744</v>
          </cell>
          <cell r="G10" t="str">
            <v>화의</v>
          </cell>
        </row>
        <row r="11">
          <cell r="B11">
            <v>10</v>
          </cell>
          <cell r="C11" t="str">
            <v>㈜동성종합건설</v>
          </cell>
          <cell r="D11">
            <v>9911755095</v>
          </cell>
          <cell r="E11">
            <v>4180582937.6500268</v>
          </cell>
          <cell r="F11">
            <v>0.42178028992654676</v>
          </cell>
          <cell r="G11" t="str">
            <v>화의</v>
          </cell>
        </row>
        <row r="12">
          <cell r="B12">
            <v>13</v>
          </cell>
          <cell r="C12" t="str">
            <v>㈜청전</v>
          </cell>
          <cell r="D12">
            <v>7153479048</v>
          </cell>
          <cell r="E12">
            <v>2491805626.9017086</v>
          </cell>
          <cell r="F12">
            <v>0.34833479069158357</v>
          </cell>
          <cell r="G12" t="str">
            <v>화의</v>
          </cell>
        </row>
        <row r="13">
          <cell r="B13">
            <v>17</v>
          </cell>
          <cell r="C13" t="str">
            <v>㈜제이컴</v>
          </cell>
          <cell r="D13">
            <v>604569292</v>
          </cell>
          <cell r="E13">
            <v>230686083.97482273</v>
          </cell>
          <cell r="F13">
            <v>0.38157095808105107</v>
          </cell>
          <cell r="G13" t="str">
            <v>화의</v>
          </cell>
        </row>
        <row r="14">
          <cell r="B14">
            <v>18</v>
          </cell>
          <cell r="C14" t="str">
            <v>대산건설㈜</v>
          </cell>
          <cell r="D14">
            <v>23108572700</v>
          </cell>
          <cell r="E14">
            <v>6869804716.3403988</v>
          </cell>
          <cell r="F14">
            <v>0.2972838178075965</v>
          </cell>
          <cell r="G14" t="str">
            <v>화의</v>
          </cell>
        </row>
        <row r="15">
          <cell r="B15">
            <v>22</v>
          </cell>
          <cell r="C15" t="str">
            <v>㈜해동</v>
          </cell>
          <cell r="D15">
            <v>987359452</v>
          </cell>
          <cell r="E15">
            <v>353781012.69062585</v>
          </cell>
          <cell r="F15">
            <v>0.3583102506123837</v>
          </cell>
          <cell r="G15" t="str">
            <v>화의</v>
          </cell>
        </row>
        <row r="16">
          <cell r="B16">
            <v>23</v>
          </cell>
          <cell r="C16" t="str">
            <v>중부리스</v>
          </cell>
          <cell r="D16">
            <v>24708637275.802002</v>
          </cell>
          <cell r="E16">
            <v>6882838944.3246336</v>
          </cell>
          <cell r="F16">
            <v>0.27856003823671932</v>
          </cell>
          <cell r="G16" t="str">
            <v>화의</v>
          </cell>
        </row>
        <row r="17">
          <cell r="B17">
            <v>30</v>
          </cell>
          <cell r="C17" t="str">
            <v>대동기공㈜</v>
          </cell>
          <cell r="D17">
            <v>1550214633</v>
          </cell>
          <cell r="E17">
            <v>397833538.811566</v>
          </cell>
          <cell r="F17">
            <v>0.2566312627572559</v>
          </cell>
          <cell r="G17" t="str">
            <v>화의</v>
          </cell>
        </row>
        <row r="18">
          <cell r="B18">
            <v>33</v>
          </cell>
          <cell r="C18" t="str">
            <v>삼익건설㈜</v>
          </cell>
          <cell r="D18">
            <v>193697756915</v>
          </cell>
          <cell r="E18">
            <v>59101013614.401299</v>
          </cell>
          <cell r="F18">
            <v>0.30511976264307739</v>
          </cell>
          <cell r="G18" t="str">
            <v>화의</v>
          </cell>
        </row>
        <row r="19">
          <cell r="B19">
            <v>35</v>
          </cell>
          <cell r="C19" t="str">
            <v>우양지질</v>
          </cell>
          <cell r="D19">
            <v>1530737140</v>
          </cell>
          <cell r="E19">
            <v>620287589.55509329</v>
          </cell>
          <cell r="F19">
            <v>0.4052214931918966</v>
          </cell>
          <cell r="G19" t="str">
            <v>화의</v>
          </cell>
        </row>
        <row r="20">
          <cell r="B20">
            <v>39</v>
          </cell>
          <cell r="C20" t="str">
            <v>삼광유리공업㈜</v>
          </cell>
          <cell r="D20">
            <v>2827385725</v>
          </cell>
          <cell r="E20">
            <v>952396107.00910568</v>
          </cell>
          <cell r="F20">
            <v>0.33684689661829065</v>
          </cell>
          <cell r="G20" t="str">
            <v>화의</v>
          </cell>
        </row>
        <row r="21">
          <cell r="B21">
            <v>41</v>
          </cell>
          <cell r="C21" t="str">
            <v>동양기공㈜</v>
          </cell>
          <cell r="D21">
            <v>12656892626</v>
          </cell>
          <cell r="E21">
            <v>4225069035.4873805</v>
          </cell>
          <cell r="F21">
            <v>0.3338156655297978</v>
          </cell>
          <cell r="G21" t="str">
            <v>화의</v>
          </cell>
        </row>
        <row r="22">
          <cell r="B22">
            <v>42</v>
          </cell>
          <cell r="C22" t="str">
            <v>㈜핵심텔레텍</v>
          </cell>
          <cell r="D22">
            <v>4409171165</v>
          </cell>
          <cell r="E22">
            <v>1791097648.9463861</v>
          </cell>
          <cell r="F22">
            <v>0.40622093856644054</v>
          </cell>
          <cell r="G22" t="str">
            <v>화의</v>
          </cell>
        </row>
        <row r="23">
          <cell r="B23">
            <v>44</v>
          </cell>
          <cell r="C23" t="str">
            <v>세광주택㈜</v>
          </cell>
          <cell r="D23">
            <v>277060225</v>
          </cell>
          <cell r="E23">
            <v>93638182.506401896</v>
          </cell>
          <cell r="F23">
            <v>0.33797049903645282</v>
          </cell>
          <cell r="G23" t="str">
            <v>화의</v>
          </cell>
        </row>
        <row r="24">
          <cell r="B24">
            <v>45</v>
          </cell>
          <cell r="C24" t="str">
            <v>영진약품공업㈜</v>
          </cell>
          <cell r="D24">
            <v>11717662814</v>
          </cell>
          <cell r="E24">
            <v>4429170403.473361</v>
          </cell>
          <cell r="F24">
            <v>0.37799094186099019</v>
          </cell>
          <cell r="G24" t="str">
            <v>화의</v>
          </cell>
        </row>
        <row r="25">
          <cell r="B25">
            <v>48</v>
          </cell>
          <cell r="C25" t="str">
            <v>유아전자㈜</v>
          </cell>
          <cell r="D25">
            <v>1432613800</v>
          </cell>
          <cell r="E25">
            <v>537171238.57659447</v>
          </cell>
          <cell r="F25">
            <v>0.37495886091324437</v>
          </cell>
          <cell r="G25" t="str">
            <v>화의</v>
          </cell>
        </row>
        <row r="26">
          <cell r="B26">
            <v>52</v>
          </cell>
          <cell r="C26" t="str">
            <v>원진주택</v>
          </cell>
          <cell r="D26">
            <v>2177000853</v>
          </cell>
          <cell r="E26">
            <v>816446615.48791409</v>
          </cell>
          <cell r="F26">
            <v>0.37503274946485016</v>
          </cell>
          <cell r="G26" t="str">
            <v>화의</v>
          </cell>
        </row>
        <row r="27">
          <cell r="B27">
            <v>27</v>
          </cell>
          <cell r="C27" t="str">
            <v>신한</v>
          </cell>
          <cell r="D27">
            <v>3466079605</v>
          </cell>
          <cell r="E27">
            <v>983679003.89246404</v>
          </cell>
          <cell r="F27">
            <v>0.28380161911845764</v>
          </cell>
          <cell r="G27" t="str">
            <v>화의</v>
          </cell>
        </row>
        <row r="28">
          <cell r="B28">
            <v>20</v>
          </cell>
          <cell r="C28" t="str">
            <v>우아미</v>
          </cell>
          <cell r="D28">
            <v>37672796632</v>
          </cell>
          <cell r="E28">
            <v>7299167990.9352665</v>
          </cell>
          <cell r="F28">
            <v>0.1937516893751183</v>
          </cell>
          <cell r="G28" t="str">
            <v>화의</v>
          </cell>
        </row>
        <row r="29">
          <cell r="B29">
            <v>26</v>
          </cell>
          <cell r="C29" t="str">
            <v>신성통상</v>
          </cell>
          <cell r="D29">
            <v>11907163643</v>
          </cell>
          <cell r="E29">
            <v>10187040090.082409</v>
          </cell>
          <cell r="F29">
            <v>0.8555387660327638</v>
          </cell>
          <cell r="G29" t="str">
            <v>법정</v>
          </cell>
        </row>
        <row r="30">
          <cell r="B30">
            <v>3</v>
          </cell>
          <cell r="C30" t="str">
            <v>통일중공업</v>
          </cell>
          <cell r="D30">
            <v>7813987225</v>
          </cell>
          <cell r="E30">
            <v>1076726136.2403123</v>
          </cell>
          <cell r="F30">
            <v>0.13779471417555489</v>
          </cell>
          <cell r="G30" t="str">
            <v>법정</v>
          </cell>
        </row>
        <row r="31">
          <cell r="B31">
            <v>6</v>
          </cell>
          <cell r="C31" t="str">
            <v>한국티타늄공업㈜</v>
          </cell>
          <cell r="D31">
            <v>66946227985</v>
          </cell>
          <cell r="E31">
            <v>41070285837.435623</v>
          </cell>
          <cell r="F31">
            <v>0.61348170126385382</v>
          </cell>
          <cell r="G31" t="str">
            <v>법정</v>
          </cell>
        </row>
        <row r="32">
          <cell r="B32">
            <v>7</v>
          </cell>
          <cell r="C32" t="str">
            <v>㈜일신석재</v>
          </cell>
          <cell r="D32">
            <v>13500000000</v>
          </cell>
          <cell r="E32">
            <v>8344681035.8288565</v>
          </cell>
          <cell r="F32">
            <v>0.61812452117250793</v>
          </cell>
          <cell r="G32" t="str">
            <v>법정</v>
          </cell>
        </row>
        <row r="33">
          <cell r="B33">
            <v>8</v>
          </cell>
          <cell r="C33" t="str">
            <v>진덕산업㈜</v>
          </cell>
          <cell r="D33">
            <v>33957277439</v>
          </cell>
          <cell r="E33">
            <v>19956586806.977955</v>
          </cell>
          <cell r="F33">
            <v>0.58769690364097849</v>
          </cell>
          <cell r="G33" t="str">
            <v>법정</v>
          </cell>
        </row>
        <row r="34">
          <cell r="B34">
            <v>19</v>
          </cell>
          <cell r="C34" t="str">
            <v>㈜대한주물</v>
          </cell>
          <cell r="D34">
            <v>8127053238</v>
          </cell>
          <cell r="E34">
            <v>5105644668.4485054</v>
          </cell>
          <cell r="F34">
            <v>0.6282282789259741</v>
          </cell>
          <cell r="G34" t="str">
            <v>법정</v>
          </cell>
        </row>
        <row r="35">
          <cell r="B35">
            <v>21</v>
          </cell>
          <cell r="C35" t="str">
            <v>㈜성림산업</v>
          </cell>
          <cell r="D35">
            <v>162255131</v>
          </cell>
          <cell r="E35">
            <v>166781369.67693031</v>
          </cell>
          <cell r="F35">
            <v>1.0278958122867023</v>
          </cell>
          <cell r="G35" t="str">
            <v>법정</v>
          </cell>
        </row>
        <row r="36">
          <cell r="B36">
            <v>25</v>
          </cell>
          <cell r="C36" t="str">
            <v>고려서적㈜</v>
          </cell>
          <cell r="D36">
            <v>2158973427</v>
          </cell>
          <cell r="E36">
            <v>3605441891.8745861</v>
          </cell>
          <cell r="F36">
            <v>1.6699797444401738</v>
          </cell>
          <cell r="G36" t="str">
            <v>법정</v>
          </cell>
        </row>
        <row r="37">
          <cell r="B37">
            <v>28</v>
          </cell>
          <cell r="C37" t="str">
            <v>경남모직㈜</v>
          </cell>
          <cell r="D37">
            <v>32091306814</v>
          </cell>
          <cell r="E37">
            <v>14928731991.943975</v>
          </cell>
          <cell r="F37">
            <v>0.46519551473769333</v>
          </cell>
          <cell r="G37" t="str">
            <v>법정</v>
          </cell>
        </row>
        <row r="38">
          <cell r="B38">
            <v>37</v>
          </cell>
          <cell r="C38" t="str">
            <v>㈜한국표준기기</v>
          </cell>
          <cell r="D38">
            <v>2448657781.0000005</v>
          </cell>
          <cell r="E38">
            <v>1680427899.3528576</v>
          </cell>
          <cell r="F38">
            <v>0.68626490495809189</v>
          </cell>
          <cell r="G38" t="str">
            <v>법정</v>
          </cell>
        </row>
        <row r="39">
          <cell r="B39">
            <v>43</v>
          </cell>
          <cell r="C39" t="str">
            <v>㈜대농</v>
          </cell>
          <cell r="D39">
            <v>4760728411.8291998</v>
          </cell>
          <cell r="E39">
            <v>6039678277.909874</v>
          </cell>
          <cell r="F39">
            <v>0.50951617349108791</v>
          </cell>
          <cell r="G39" t="str">
            <v>법정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주합계"/>
      <sheetName val="채권명세"/>
      <sheetName val="특수채권"/>
      <sheetName val="카드채권"/>
      <sheetName val="미수금"/>
      <sheetName val="추가가지급금"/>
      <sheetName val="담보명세"/>
      <sheetName val="공탁금"/>
      <sheetName val="제외차주"/>
      <sheetName val="정리계획CF평가"/>
      <sheetName val="전체요주의"/>
      <sheetName val="00.08계정"/>
      <sheetName val="대환취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매각여신 계좌명세</v>
          </cell>
        </row>
        <row r="2">
          <cell r="F2" t="str">
            <v>매각정보(201102[2011-06-29,우리AMC])</v>
          </cell>
          <cell r="AL2" t="str">
            <v>우리은행</v>
          </cell>
        </row>
        <row r="4">
          <cell r="AL4" t="str">
            <v>(단위 : 원)</v>
          </cell>
        </row>
        <row r="5">
          <cell r="A5" t="str">
            <v>차주번호</v>
          </cell>
          <cell r="B5" t="str">
            <v>일계점</v>
          </cell>
          <cell r="C5" t="str">
            <v>일계점명</v>
          </cell>
          <cell r="D5" t="str">
            <v>담당자</v>
          </cell>
          <cell r="E5" t="str">
            <v>매각구분</v>
          </cell>
          <cell r="F5" t="str">
            <v>차주명</v>
          </cell>
          <cell r="G5" t="str">
            <v>주민사업자번호</v>
          </cell>
          <cell r="H5" t="str">
            <v>계좌번호</v>
          </cell>
          <cell r="I5" t="str">
            <v>기준대출잔액</v>
          </cell>
          <cell r="J5" t="str">
            <v>기준가지급금</v>
          </cell>
          <cell r="K5" t="str">
            <v>기준합계금액</v>
          </cell>
          <cell r="L5" t="str">
            <v>기준미수이자</v>
          </cell>
          <cell r="M5" t="str">
            <v>기준외화잔액</v>
          </cell>
          <cell r="N5" t="str">
            <v>통화</v>
          </cell>
          <cell r="O5" t="str">
            <v>최종대출잔액</v>
          </cell>
          <cell r="P5" t="str">
            <v>최종가지급금</v>
          </cell>
          <cell r="Q5" t="str">
            <v>최종합계금액</v>
          </cell>
          <cell r="R5" t="str">
            <v>최종미수이자</v>
          </cell>
          <cell r="S5" t="str">
            <v>최종외화잔액</v>
          </cell>
          <cell r="T5" t="str">
            <v>이율</v>
          </cell>
          <cell r="U5" t="str">
            <v>취급일</v>
          </cell>
          <cell r="V5" t="str">
            <v>만기일</v>
          </cell>
          <cell r="W5" t="str">
            <v>최종이수일</v>
          </cell>
          <cell r="X5" t="str">
            <v>상품코드</v>
          </cell>
          <cell r="Y5" t="str">
            <v>상품과목명</v>
          </cell>
          <cell r="Z5" t="str">
            <v>계정과목</v>
          </cell>
          <cell r="AA5" t="str">
            <v>계정과목명</v>
          </cell>
          <cell r="AB5" t="str">
            <v>업종</v>
          </cell>
          <cell r="AC5" t="str">
            <v>업종명</v>
          </cell>
          <cell r="AD5" t="str">
            <v>기업규모</v>
          </cell>
          <cell r="AE5" t="str">
            <v>고객분류</v>
          </cell>
          <cell r="AF5" t="str">
            <v>고객구분</v>
          </cell>
          <cell r="AG5" t="str">
            <v>전결구분</v>
          </cell>
          <cell r="AH5" t="str">
            <v>취급점</v>
          </cell>
          <cell r="AI5" t="str">
            <v>취급점명</v>
          </cell>
          <cell r="AJ5" t="str">
            <v>취급점장</v>
          </cell>
          <cell r="AK5" t="str">
            <v>점장명</v>
          </cell>
          <cell r="AL5" t="str">
            <v>주민법인번호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(자99,2000)"/>
      <sheetName val="소진행"/>
      <sheetName val="소진행 (2)"/>
      <sheetName val="값"/>
      <sheetName val="종결(자)"/>
      <sheetName val="98소송현황"/>
      <sheetName val="진행(변)"/>
      <sheetName val="종결(변)"/>
      <sheetName val="경매"/>
      <sheetName val="이효기"/>
      <sheetName val="소취하"/>
      <sheetName val="Assp_BS"/>
      <sheetName val="보험금"/>
      <sheetName val="종합"/>
      <sheetName val="점코드"/>
      <sheetName val="정리계획CF평가"/>
      <sheetName val="지원예상신협126"/>
      <sheetName val="명목GDPRData"/>
      <sheetName val="조회서"/>
      <sheetName val="잔존년수"/>
      <sheetName val="Ⅱ1-0타"/>
      <sheetName val="Variable"/>
      <sheetName val="자산DATA"/>
      <sheetName val="행정반"/>
      <sheetName val="담보명세"/>
      <sheetName val="추심사번(신)"/>
      <sheetName val="★보유"/>
      <sheetName val="C_Sum(2)"/>
      <sheetName val="Master Sheet"/>
      <sheetName val="수입"/>
      <sheetName val="총괄"/>
      <sheetName val="Sheet1"/>
      <sheetName val="controll"/>
      <sheetName val="업무2000"/>
      <sheetName val="지역"/>
      <sheetName val="정의"/>
      <sheetName val="기본데이터"/>
      <sheetName val="CashFlow(중간집계)"/>
      <sheetName val="적립수신"/>
      <sheetName val="순수통장"/>
      <sheetName val="추가가지급금"/>
    </sheetNames>
    <sheetDataSet>
      <sheetData sheetId="0" refreshError="1">
        <row r="1">
          <cell r="B1" t="str">
            <v>차주</v>
          </cell>
          <cell r="C1" t="str">
            <v>판결
수령</v>
          </cell>
          <cell r="D1" t="str">
            <v>당사자명</v>
          </cell>
          <cell r="E1" t="str">
            <v>소가</v>
          </cell>
          <cell r="F1" t="str">
            <v>위임료</v>
          </cell>
          <cell r="G1" t="str">
            <v>인지대</v>
          </cell>
          <cell r="H1" t="str">
            <v>송달료</v>
          </cell>
          <cell r="I1" t="str">
            <v>위임
구분</v>
          </cell>
          <cell r="J1" t="str">
            <v>사건
구분</v>
          </cell>
          <cell r="K1" t="str">
            <v>취급점</v>
          </cell>
          <cell r="L1" t="str">
            <v>번호</v>
          </cell>
        </row>
        <row r="2">
          <cell r="B2" t="str">
            <v>후지카대원전기</v>
          </cell>
          <cell r="D2" t="str">
            <v>제일은행</v>
          </cell>
          <cell r="E2">
            <v>41380870</v>
          </cell>
          <cell r="F2">
            <v>1791</v>
          </cell>
          <cell r="I2">
            <v>1</v>
          </cell>
          <cell r="J2">
            <v>3</v>
          </cell>
          <cell r="K2" t="str">
            <v>특수</v>
          </cell>
          <cell r="L2" t="str">
            <v>97-263</v>
          </cell>
        </row>
        <row r="3">
          <cell r="B3" t="str">
            <v>(주)진양침대</v>
          </cell>
          <cell r="D3" t="str">
            <v>문창근</v>
          </cell>
          <cell r="E3">
            <v>43500000</v>
          </cell>
          <cell r="F3">
            <v>1855</v>
          </cell>
          <cell r="I3">
            <v>1</v>
          </cell>
          <cell r="J3">
            <v>2</v>
          </cell>
          <cell r="K3" t="str">
            <v>인천</v>
          </cell>
          <cell r="L3" t="str">
            <v>98-356</v>
          </cell>
        </row>
        <row r="4">
          <cell r="B4" t="str">
            <v>(주)우당</v>
          </cell>
          <cell r="D4" t="str">
            <v>우당2</v>
          </cell>
          <cell r="E4">
            <v>91401110</v>
          </cell>
          <cell r="F4">
            <v>2464</v>
          </cell>
          <cell r="G4">
            <v>416300</v>
          </cell>
          <cell r="H4">
            <v>72320</v>
          </cell>
          <cell r="I4">
            <v>1</v>
          </cell>
          <cell r="J4">
            <v>1</v>
          </cell>
          <cell r="K4">
            <v>5409</v>
          </cell>
          <cell r="L4" t="str">
            <v>99-008</v>
          </cell>
        </row>
        <row r="5">
          <cell r="B5" t="str">
            <v>(주)시오나</v>
          </cell>
          <cell r="D5" t="str">
            <v>시오나1</v>
          </cell>
          <cell r="E5">
            <v>1000000000</v>
          </cell>
          <cell r="F5">
            <v>7050</v>
          </cell>
          <cell r="G5">
            <v>4055000</v>
          </cell>
          <cell r="H5">
            <v>54240</v>
          </cell>
          <cell r="I5">
            <v>1</v>
          </cell>
          <cell r="J5">
            <v>1</v>
          </cell>
          <cell r="K5">
            <v>8288</v>
          </cell>
          <cell r="L5" t="str">
            <v>99-025</v>
          </cell>
        </row>
        <row r="6">
          <cell r="B6" t="str">
            <v>진영산업(주)</v>
          </cell>
          <cell r="D6" t="str">
            <v>진영산업(주)1</v>
          </cell>
          <cell r="E6">
            <v>93660950</v>
          </cell>
          <cell r="F6">
            <v>2486</v>
          </cell>
          <cell r="G6">
            <v>426400</v>
          </cell>
          <cell r="H6">
            <v>54240</v>
          </cell>
          <cell r="I6">
            <v>1</v>
          </cell>
          <cell r="J6">
            <v>1</v>
          </cell>
          <cell r="K6">
            <v>2057</v>
          </cell>
          <cell r="L6" t="str">
            <v>99-038</v>
          </cell>
        </row>
        <row r="7">
          <cell r="B7" t="str">
            <v>이득재</v>
          </cell>
          <cell r="D7" t="str">
            <v>이득재</v>
          </cell>
          <cell r="E7">
            <v>14818408</v>
          </cell>
          <cell r="F7">
            <v>592</v>
          </cell>
          <cell r="G7">
            <v>35800</v>
          </cell>
          <cell r="H7">
            <v>4520</v>
          </cell>
          <cell r="I7">
            <v>1</v>
          </cell>
          <cell r="J7" t="str">
            <v>독촉</v>
          </cell>
          <cell r="K7">
            <v>4519</v>
          </cell>
          <cell r="L7" t="str">
            <v>99-082</v>
          </cell>
        </row>
        <row r="8">
          <cell r="B8" t="str">
            <v>임덕남</v>
          </cell>
          <cell r="D8" t="str">
            <v>임덕남1</v>
          </cell>
          <cell r="E8">
            <v>5146015</v>
          </cell>
          <cell r="F8">
            <v>407</v>
          </cell>
          <cell r="G8">
            <v>12800</v>
          </cell>
          <cell r="H8">
            <v>6780</v>
          </cell>
          <cell r="I8">
            <v>1</v>
          </cell>
          <cell r="J8">
            <v>1</v>
          </cell>
          <cell r="K8">
            <v>4971</v>
          </cell>
          <cell r="L8" t="str">
            <v>99-083</v>
          </cell>
        </row>
        <row r="9">
          <cell r="B9" t="str">
            <v>성문실업㈜</v>
          </cell>
          <cell r="C9">
            <v>36494</v>
          </cell>
          <cell r="D9" t="str">
            <v>성문실업㈜1</v>
          </cell>
          <cell r="E9">
            <v>174579341</v>
          </cell>
          <cell r="F9">
            <v>2820</v>
          </cell>
          <cell r="G9">
            <v>753300</v>
          </cell>
          <cell r="H9">
            <v>67800</v>
          </cell>
          <cell r="I9">
            <v>1</v>
          </cell>
          <cell r="J9">
            <v>1</v>
          </cell>
          <cell r="K9">
            <v>6075</v>
          </cell>
          <cell r="L9" t="str">
            <v>99-140</v>
          </cell>
        </row>
        <row r="10">
          <cell r="B10" t="str">
            <v>㈜동산종합개발</v>
          </cell>
          <cell r="D10" t="str">
            <v>동산종합개발1</v>
          </cell>
          <cell r="E10">
            <v>33188905</v>
          </cell>
          <cell r="F10">
            <v>1545</v>
          </cell>
          <cell r="G10">
            <v>154300</v>
          </cell>
          <cell r="H10">
            <v>54240</v>
          </cell>
          <cell r="I10">
            <v>1</v>
          </cell>
          <cell r="J10">
            <v>1</v>
          </cell>
          <cell r="K10">
            <v>1729</v>
          </cell>
          <cell r="L10" t="str">
            <v>99-150</v>
          </cell>
        </row>
        <row r="11">
          <cell r="B11" t="str">
            <v>㈜천지양행</v>
          </cell>
          <cell r="D11" t="str">
            <v>천지양행2</v>
          </cell>
          <cell r="E11">
            <v>221426707</v>
          </cell>
          <cell r="F11">
            <v>3157</v>
          </cell>
          <cell r="G11">
            <v>940700</v>
          </cell>
          <cell r="H11">
            <v>72320</v>
          </cell>
          <cell r="I11">
            <v>1</v>
          </cell>
          <cell r="J11">
            <v>1</v>
          </cell>
          <cell r="K11" t="str">
            <v>특채</v>
          </cell>
          <cell r="L11" t="str">
            <v>99-152</v>
          </cell>
        </row>
        <row r="12">
          <cell r="B12" t="str">
            <v>김선재</v>
          </cell>
          <cell r="D12" t="str">
            <v>김선재1</v>
          </cell>
          <cell r="E12">
            <v>7440530</v>
          </cell>
          <cell r="F12">
            <v>520</v>
          </cell>
          <cell r="G12">
            <v>37200</v>
          </cell>
          <cell r="H12">
            <v>33900</v>
          </cell>
          <cell r="I12">
            <v>1</v>
          </cell>
          <cell r="J12">
            <v>1</v>
          </cell>
          <cell r="K12">
            <v>1916</v>
          </cell>
          <cell r="L12" t="str">
            <v>99-157</v>
          </cell>
        </row>
        <row r="13">
          <cell r="B13" t="str">
            <v>한성원</v>
          </cell>
          <cell r="C13">
            <v>36475</v>
          </cell>
          <cell r="D13" t="str">
            <v>한성원</v>
          </cell>
          <cell r="E13">
            <v>10848747</v>
          </cell>
          <cell r="F13">
            <v>653</v>
          </cell>
          <cell r="G13">
            <v>53800</v>
          </cell>
          <cell r="H13">
            <v>45200</v>
          </cell>
          <cell r="I13">
            <v>1</v>
          </cell>
          <cell r="J13">
            <v>1</v>
          </cell>
          <cell r="K13" t="str">
            <v>한경식</v>
          </cell>
          <cell r="L13" t="str">
            <v>99-168</v>
          </cell>
        </row>
        <row r="14">
          <cell r="B14" t="str">
            <v>한태수</v>
          </cell>
          <cell r="C14">
            <v>36475</v>
          </cell>
          <cell r="D14" t="str">
            <v>한태수</v>
          </cell>
          <cell r="E14">
            <v>6015241</v>
          </cell>
          <cell r="F14">
            <v>450</v>
          </cell>
          <cell r="G14">
            <v>30700</v>
          </cell>
          <cell r="H14">
            <v>33900</v>
          </cell>
          <cell r="I14">
            <v>1</v>
          </cell>
          <cell r="J14">
            <v>1</v>
          </cell>
          <cell r="K14" t="str">
            <v>한경식</v>
          </cell>
          <cell r="L14" t="str">
            <v>99-169</v>
          </cell>
        </row>
        <row r="15">
          <cell r="B15" t="str">
            <v>한상용</v>
          </cell>
          <cell r="D15" t="str">
            <v>한상용</v>
          </cell>
          <cell r="E15">
            <v>30653394</v>
          </cell>
          <cell r="F15">
            <v>1469</v>
          </cell>
          <cell r="G15">
            <v>142940</v>
          </cell>
          <cell r="H15">
            <v>36160</v>
          </cell>
          <cell r="I15">
            <v>1</v>
          </cell>
          <cell r="J15">
            <v>1</v>
          </cell>
          <cell r="K15">
            <v>1573</v>
          </cell>
          <cell r="L15" t="str">
            <v>99-171</v>
          </cell>
        </row>
        <row r="16">
          <cell r="B16" t="str">
            <v>최인수</v>
          </cell>
          <cell r="D16" t="str">
            <v>김경자</v>
          </cell>
          <cell r="E16">
            <v>25063807</v>
          </cell>
          <cell r="F16">
            <v>1252</v>
          </cell>
          <cell r="G16">
            <v>117700</v>
          </cell>
          <cell r="H16">
            <v>72320</v>
          </cell>
          <cell r="I16">
            <v>1</v>
          </cell>
          <cell r="J16">
            <v>1</v>
          </cell>
          <cell r="K16">
            <v>1475</v>
          </cell>
          <cell r="L16" t="str">
            <v>99-188</v>
          </cell>
        </row>
        <row r="17">
          <cell r="B17" t="str">
            <v>부국건설㈜</v>
          </cell>
          <cell r="C17">
            <v>36497</v>
          </cell>
          <cell r="D17" t="str">
            <v>부국건설㈜</v>
          </cell>
          <cell r="E17">
            <v>24552322</v>
          </cell>
          <cell r="F17">
            <v>1232</v>
          </cell>
          <cell r="G17">
            <v>115400</v>
          </cell>
          <cell r="H17">
            <v>72320</v>
          </cell>
          <cell r="I17">
            <v>1</v>
          </cell>
          <cell r="J17">
            <v>1</v>
          </cell>
          <cell r="K17">
            <v>1438</v>
          </cell>
          <cell r="L17" t="str">
            <v>99-196</v>
          </cell>
        </row>
        <row r="18">
          <cell r="B18" t="str">
            <v>우연산업㈜</v>
          </cell>
          <cell r="D18" t="str">
            <v>이무영</v>
          </cell>
          <cell r="E18">
            <v>390000000</v>
          </cell>
          <cell r="F18">
            <v>6900</v>
          </cell>
          <cell r="G18">
            <v>0</v>
          </cell>
          <cell r="H18">
            <v>0</v>
          </cell>
          <cell r="I18">
            <v>1</v>
          </cell>
          <cell r="J18">
            <v>4</v>
          </cell>
          <cell r="K18" t="str">
            <v>경수</v>
          </cell>
          <cell r="L18" t="str">
            <v>99-198</v>
          </cell>
        </row>
        <row r="19">
          <cell r="B19" t="str">
            <v>㈜고우통상</v>
          </cell>
          <cell r="C19">
            <v>36528</v>
          </cell>
          <cell r="D19" t="str">
            <v>고우통상4</v>
          </cell>
          <cell r="E19">
            <v>59538738</v>
          </cell>
          <cell r="F19">
            <v>2145</v>
          </cell>
          <cell r="G19">
            <v>272900</v>
          </cell>
          <cell r="H19">
            <v>108480</v>
          </cell>
          <cell r="I19">
            <v>1</v>
          </cell>
          <cell r="J19">
            <v>1</v>
          </cell>
          <cell r="K19" t="str">
            <v>특채</v>
          </cell>
          <cell r="L19" t="str">
            <v>99-215</v>
          </cell>
        </row>
        <row r="20">
          <cell r="B20" t="str">
            <v>임웅규</v>
          </cell>
          <cell r="D20" t="str">
            <v>임웅규</v>
          </cell>
          <cell r="E20">
            <v>48202395</v>
          </cell>
          <cell r="F20">
            <v>1996</v>
          </cell>
          <cell r="G20">
            <v>221900</v>
          </cell>
          <cell r="H20">
            <v>72320</v>
          </cell>
          <cell r="I20">
            <v>1</v>
          </cell>
          <cell r="J20">
            <v>1</v>
          </cell>
          <cell r="K20" t="str">
            <v>특채</v>
          </cell>
          <cell r="L20" t="str">
            <v>99-220</v>
          </cell>
        </row>
        <row r="21">
          <cell r="B21" t="str">
            <v>임정해</v>
          </cell>
          <cell r="D21" t="str">
            <v>임정해1</v>
          </cell>
          <cell r="E21">
            <v>7932349</v>
          </cell>
          <cell r="F21">
            <v>540</v>
          </cell>
          <cell r="G21">
            <v>39600</v>
          </cell>
          <cell r="H21">
            <v>33900</v>
          </cell>
          <cell r="I21">
            <v>1</v>
          </cell>
          <cell r="J21">
            <v>1</v>
          </cell>
          <cell r="K21">
            <v>4811</v>
          </cell>
          <cell r="L21" t="str">
            <v>99-234</v>
          </cell>
        </row>
        <row r="22">
          <cell r="B22" t="str">
            <v>남상만</v>
          </cell>
          <cell r="D22" t="str">
            <v>남상만</v>
          </cell>
          <cell r="E22">
            <v>19949528</v>
          </cell>
          <cell r="F22">
            <v>1040</v>
          </cell>
          <cell r="G22">
            <v>99700</v>
          </cell>
          <cell r="H22">
            <v>22600</v>
          </cell>
          <cell r="I22">
            <v>1</v>
          </cell>
          <cell r="J22">
            <v>1</v>
          </cell>
          <cell r="K22">
            <v>1760</v>
          </cell>
          <cell r="L22" t="str">
            <v>99-240</v>
          </cell>
        </row>
        <row r="23">
          <cell r="B23" t="str">
            <v>유기선</v>
          </cell>
          <cell r="D23" t="str">
            <v>유기선</v>
          </cell>
          <cell r="E23">
            <v>4053053</v>
          </cell>
          <cell r="F23">
            <v>343</v>
          </cell>
          <cell r="G23">
            <v>20200</v>
          </cell>
          <cell r="H23">
            <v>22600</v>
          </cell>
          <cell r="I23">
            <v>1</v>
          </cell>
          <cell r="J23">
            <v>1</v>
          </cell>
          <cell r="K23">
            <v>4877</v>
          </cell>
          <cell r="L23" t="str">
            <v>99-259</v>
          </cell>
        </row>
        <row r="24">
          <cell r="B24" t="str">
            <v>이행우</v>
          </cell>
          <cell r="D24" t="str">
            <v>이행우</v>
          </cell>
          <cell r="E24">
            <v>10552704</v>
          </cell>
          <cell r="F24">
            <v>672</v>
          </cell>
          <cell r="G24">
            <v>52700</v>
          </cell>
          <cell r="H24">
            <v>22600</v>
          </cell>
          <cell r="I24">
            <v>1</v>
          </cell>
          <cell r="J24">
            <v>1</v>
          </cell>
          <cell r="K24">
            <v>5727</v>
          </cell>
          <cell r="L24" t="str">
            <v>99-260</v>
          </cell>
        </row>
        <row r="25">
          <cell r="B25" t="str">
            <v>이석환</v>
          </cell>
          <cell r="C25">
            <v>36500</v>
          </cell>
          <cell r="D25" t="str">
            <v>김미상</v>
          </cell>
          <cell r="E25">
            <v>12000000</v>
          </cell>
          <cell r="F25">
            <v>730</v>
          </cell>
          <cell r="G25">
            <v>0</v>
          </cell>
          <cell r="H25">
            <v>0</v>
          </cell>
          <cell r="I25">
            <v>1</v>
          </cell>
          <cell r="J25">
            <v>3</v>
          </cell>
          <cell r="K25" t="str">
            <v>김규준</v>
          </cell>
          <cell r="L25" t="str">
            <v>99-277</v>
          </cell>
        </row>
        <row r="26">
          <cell r="B26" t="str">
            <v>㈜식도락</v>
          </cell>
          <cell r="D26" t="str">
            <v>식도락1</v>
          </cell>
          <cell r="E26">
            <v>23110144</v>
          </cell>
          <cell r="F26">
            <v>1174</v>
          </cell>
          <cell r="G26">
            <v>108900</v>
          </cell>
          <cell r="H26">
            <v>54240</v>
          </cell>
          <cell r="I26">
            <v>1</v>
          </cell>
          <cell r="J26">
            <v>1</v>
          </cell>
          <cell r="K26">
            <v>2218</v>
          </cell>
          <cell r="L26" t="str">
            <v>99-280</v>
          </cell>
        </row>
        <row r="27">
          <cell r="B27" t="str">
            <v>원수기업㈜</v>
          </cell>
          <cell r="C27">
            <v>36480</v>
          </cell>
          <cell r="D27" t="str">
            <v>원수기업㈜3</v>
          </cell>
          <cell r="E27">
            <v>29811703</v>
          </cell>
          <cell r="F27">
            <v>1442</v>
          </cell>
          <cell r="G27">
            <v>139100</v>
          </cell>
          <cell r="H27">
            <v>90400</v>
          </cell>
          <cell r="I27">
            <v>1</v>
          </cell>
          <cell r="J27">
            <v>1</v>
          </cell>
          <cell r="K27" t="str">
            <v>특채</v>
          </cell>
          <cell r="L27" t="str">
            <v>99-285</v>
          </cell>
        </row>
        <row r="28">
          <cell r="B28" t="str">
            <v>㈜한미라이프</v>
          </cell>
          <cell r="D28" t="str">
            <v>한미라이프2</v>
          </cell>
          <cell r="E28">
            <v>58285380</v>
          </cell>
          <cell r="F28">
            <v>2132</v>
          </cell>
          <cell r="G28">
            <v>267200</v>
          </cell>
          <cell r="H28">
            <v>72320</v>
          </cell>
          <cell r="I28">
            <v>1</v>
          </cell>
          <cell r="J28">
            <v>1</v>
          </cell>
          <cell r="K28" t="str">
            <v>특채</v>
          </cell>
          <cell r="L28" t="str">
            <v>99-289</v>
          </cell>
        </row>
        <row r="29">
          <cell r="B29" t="str">
            <v>㈜디지탈테크놀러지</v>
          </cell>
          <cell r="C29">
            <v>36448</v>
          </cell>
          <cell r="D29" t="str">
            <v>디지탈테크놀러지3</v>
          </cell>
          <cell r="E29">
            <v>71271278</v>
          </cell>
          <cell r="F29">
            <v>2262</v>
          </cell>
          <cell r="G29">
            <v>325700</v>
          </cell>
          <cell r="H29">
            <v>90400</v>
          </cell>
          <cell r="I29">
            <v>1</v>
          </cell>
          <cell r="J29">
            <v>1</v>
          </cell>
          <cell r="K29">
            <v>5403</v>
          </cell>
          <cell r="L29" t="str">
            <v>99-291</v>
          </cell>
        </row>
        <row r="30">
          <cell r="B30" t="str">
            <v>시화콘크리트㈜</v>
          </cell>
          <cell r="C30">
            <v>36487</v>
          </cell>
          <cell r="D30" t="str">
            <v>시화콘크리트㈜5</v>
          </cell>
          <cell r="E30">
            <v>457932982</v>
          </cell>
          <cell r="F30">
            <v>4339</v>
          </cell>
          <cell r="G30">
            <v>1886700</v>
          </cell>
          <cell r="H30">
            <v>126560</v>
          </cell>
          <cell r="I30">
            <v>1</v>
          </cell>
          <cell r="J30">
            <v>1</v>
          </cell>
          <cell r="K30">
            <v>12121</v>
          </cell>
          <cell r="L30" t="str">
            <v>99-292</v>
          </cell>
        </row>
        <row r="31">
          <cell r="B31" t="str">
            <v>천병렬</v>
          </cell>
          <cell r="D31" t="str">
            <v>김선안5</v>
          </cell>
          <cell r="E31">
            <v>78825493</v>
          </cell>
          <cell r="F31">
            <v>2338</v>
          </cell>
          <cell r="G31">
            <v>359700</v>
          </cell>
          <cell r="H31">
            <v>158200</v>
          </cell>
          <cell r="I31">
            <v>1</v>
          </cell>
          <cell r="J31">
            <v>3</v>
          </cell>
          <cell r="K31" t="str">
            <v>경매</v>
          </cell>
          <cell r="L31" t="str">
            <v>99-294</v>
          </cell>
        </row>
        <row r="32">
          <cell r="B32" t="str">
            <v>신일수산㈜</v>
          </cell>
          <cell r="D32" t="str">
            <v>신일수산㈜1</v>
          </cell>
          <cell r="E32">
            <v>2834695</v>
          </cell>
          <cell r="F32">
            <v>256</v>
          </cell>
          <cell r="G32">
            <v>14100</v>
          </cell>
          <cell r="H32">
            <v>33900</v>
          </cell>
          <cell r="I32">
            <v>1</v>
          </cell>
          <cell r="J32">
            <v>1</v>
          </cell>
          <cell r="K32">
            <v>3547</v>
          </cell>
          <cell r="L32" t="str">
            <v>99-299</v>
          </cell>
        </row>
        <row r="33">
          <cell r="B33" t="str">
            <v>송순묵</v>
          </cell>
          <cell r="D33" t="str">
            <v>송순묵</v>
          </cell>
          <cell r="E33">
            <v>33584688</v>
          </cell>
          <cell r="F33">
            <v>1557</v>
          </cell>
          <cell r="G33">
            <v>156100</v>
          </cell>
          <cell r="H33">
            <v>22600</v>
          </cell>
          <cell r="I33">
            <v>1</v>
          </cell>
          <cell r="J33">
            <v>1</v>
          </cell>
          <cell r="K33">
            <v>4162</v>
          </cell>
          <cell r="L33" t="str">
            <v>99-302</v>
          </cell>
        </row>
        <row r="34">
          <cell r="B34" t="str">
            <v>융진산업㈜</v>
          </cell>
          <cell r="D34" t="str">
            <v>융진산업㈜2</v>
          </cell>
          <cell r="E34">
            <v>176309339</v>
          </cell>
          <cell r="F34">
            <v>2931</v>
          </cell>
          <cell r="G34">
            <v>760200</v>
          </cell>
          <cell r="H34">
            <v>72320</v>
          </cell>
          <cell r="I34">
            <v>1</v>
          </cell>
          <cell r="J34">
            <v>1</v>
          </cell>
          <cell r="K34">
            <v>9630</v>
          </cell>
          <cell r="L34" t="str">
            <v>99-303</v>
          </cell>
        </row>
        <row r="35">
          <cell r="B35" t="str">
            <v>박종욱</v>
          </cell>
          <cell r="D35" t="str">
            <v>박종욱1</v>
          </cell>
          <cell r="E35">
            <v>38908930</v>
          </cell>
          <cell r="F35">
            <v>1717</v>
          </cell>
          <cell r="G35">
            <v>180000</v>
          </cell>
          <cell r="H35">
            <v>54240</v>
          </cell>
          <cell r="I35">
            <v>1</v>
          </cell>
          <cell r="J35">
            <v>1</v>
          </cell>
          <cell r="K35">
            <v>6787</v>
          </cell>
          <cell r="L35" t="str">
            <v>99-305</v>
          </cell>
        </row>
        <row r="36">
          <cell r="B36" t="str">
            <v>김철우</v>
          </cell>
          <cell r="C36">
            <v>36487</v>
          </cell>
          <cell r="D36" t="str">
            <v>김철우1</v>
          </cell>
          <cell r="E36">
            <v>16908707</v>
          </cell>
          <cell r="F36">
            <v>926</v>
          </cell>
          <cell r="G36">
            <v>81000</v>
          </cell>
          <cell r="H36">
            <v>22600</v>
          </cell>
          <cell r="I36">
            <v>1</v>
          </cell>
          <cell r="J36">
            <v>1</v>
          </cell>
          <cell r="K36" t="str">
            <v>경수</v>
          </cell>
          <cell r="L36" t="str">
            <v>99-312</v>
          </cell>
        </row>
        <row r="37">
          <cell r="B37" t="str">
            <v>김종후</v>
          </cell>
          <cell r="D37" t="str">
            <v>강미수</v>
          </cell>
          <cell r="E37">
            <v>40000000</v>
          </cell>
          <cell r="F37">
            <v>1750</v>
          </cell>
          <cell r="G37">
            <v>0</v>
          </cell>
          <cell r="H37">
            <v>0</v>
          </cell>
          <cell r="I37">
            <v>1</v>
          </cell>
          <cell r="J37">
            <v>4</v>
          </cell>
          <cell r="K37" t="str">
            <v>강남</v>
          </cell>
          <cell r="L37" t="str">
            <v>99-313</v>
          </cell>
        </row>
        <row r="38">
          <cell r="B38" t="str">
            <v>한일렌탈㈜</v>
          </cell>
          <cell r="C38">
            <v>36482</v>
          </cell>
          <cell r="D38" t="str">
            <v>투에프엔터프라이즈1</v>
          </cell>
          <cell r="E38">
            <v>4000000000</v>
          </cell>
          <cell r="F38">
            <v>7050</v>
          </cell>
          <cell r="G38">
            <v>1455500</v>
          </cell>
          <cell r="H38">
            <v>54240</v>
          </cell>
          <cell r="I38">
            <v>1</v>
          </cell>
          <cell r="J38">
            <v>2</v>
          </cell>
          <cell r="K38" t="str">
            <v>한일렌탈</v>
          </cell>
          <cell r="L38" t="str">
            <v>99-319</v>
          </cell>
        </row>
        <row r="39">
          <cell r="B39" t="str">
            <v>김지수</v>
          </cell>
          <cell r="C39">
            <v>36501</v>
          </cell>
          <cell r="D39" t="str">
            <v>김지수2</v>
          </cell>
          <cell r="E39">
            <v>37902414</v>
          </cell>
          <cell r="F39">
            <v>1687</v>
          </cell>
          <cell r="G39">
            <v>175500</v>
          </cell>
          <cell r="H39">
            <v>72320</v>
          </cell>
          <cell r="I39">
            <v>1</v>
          </cell>
          <cell r="J39">
            <v>1</v>
          </cell>
          <cell r="K39">
            <v>5937</v>
          </cell>
          <cell r="L39" t="str">
            <v>99-320</v>
          </cell>
        </row>
        <row r="40">
          <cell r="B40" t="str">
            <v>최찬기</v>
          </cell>
          <cell r="D40" t="str">
            <v>최찬기</v>
          </cell>
          <cell r="E40">
            <v>17315657</v>
          </cell>
          <cell r="F40">
            <v>942</v>
          </cell>
          <cell r="G40">
            <v>82900</v>
          </cell>
          <cell r="H40">
            <v>33900</v>
          </cell>
          <cell r="I40">
            <v>1</v>
          </cell>
          <cell r="J40">
            <v>1</v>
          </cell>
          <cell r="K40">
            <v>1673</v>
          </cell>
          <cell r="L40" t="str">
            <v>99-343</v>
          </cell>
        </row>
        <row r="41">
          <cell r="B41" t="str">
            <v>최화영</v>
          </cell>
          <cell r="D41" t="str">
            <v>최화영</v>
          </cell>
          <cell r="E41">
            <v>46500000</v>
          </cell>
          <cell r="F41">
            <v>1945</v>
          </cell>
          <cell r="G41">
            <v>214200</v>
          </cell>
          <cell r="H41">
            <v>72320</v>
          </cell>
          <cell r="I41">
            <v>1</v>
          </cell>
          <cell r="J41">
            <v>1</v>
          </cell>
          <cell r="K41">
            <v>1474</v>
          </cell>
          <cell r="L41" t="str">
            <v>99-370</v>
          </cell>
        </row>
        <row r="42">
          <cell r="B42" t="str">
            <v>백제물산㈜</v>
          </cell>
          <cell r="C42">
            <v>36511</v>
          </cell>
          <cell r="D42" t="str">
            <v>지영록</v>
          </cell>
          <cell r="E42">
            <v>40000000</v>
          </cell>
          <cell r="F42">
            <v>1750</v>
          </cell>
          <cell r="G42">
            <v>185000</v>
          </cell>
          <cell r="H42">
            <v>126560</v>
          </cell>
          <cell r="I42">
            <v>1</v>
          </cell>
          <cell r="J42">
            <v>1</v>
          </cell>
          <cell r="K42">
            <v>376</v>
          </cell>
          <cell r="L42" t="str">
            <v>99-373</v>
          </cell>
        </row>
        <row r="43">
          <cell r="B43" t="str">
            <v xml:space="preserve">동신금속㈜ </v>
          </cell>
          <cell r="C43">
            <v>36487</v>
          </cell>
          <cell r="D43" t="str">
            <v xml:space="preserve">동신금속㈜ </v>
          </cell>
          <cell r="E43">
            <v>600000000</v>
          </cell>
          <cell r="F43">
            <v>5050</v>
          </cell>
          <cell r="G43">
            <v>2455000</v>
          </cell>
          <cell r="H43">
            <v>67800</v>
          </cell>
          <cell r="I43">
            <v>1</v>
          </cell>
          <cell r="J43">
            <v>1</v>
          </cell>
          <cell r="K43">
            <v>873</v>
          </cell>
          <cell r="L43" t="str">
            <v>99-374</v>
          </cell>
        </row>
        <row r="44">
          <cell r="B44" t="str">
            <v>최병일</v>
          </cell>
          <cell r="D44" t="str">
            <v>최병일</v>
          </cell>
          <cell r="E44">
            <v>27900691</v>
          </cell>
          <cell r="F44">
            <v>1360</v>
          </cell>
          <cell r="G44">
            <v>130500</v>
          </cell>
          <cell r="H44">
            <v>36160</v>
          </cell>
          <cell r="I44">
            <v>1</v>
          </cell>
          <cell r="J44">
            <v>1</v>
          </cell>
          <cell r="K44">
            <v>6813</v>
          </cell>
          <cell r="L44" t="str">
            <v>99-409</v>
          </cell>
        </row>
        <row r="45">
          <cell r="B45" t="str">
            <v>강신자</v>
          </cell>
          <cell r="D45" t="str">
            <v>강신자</v>
          </cell>
          <cell r="E45">
            <v>20429241</v>
          </cell>
          <cell r="F45">
            <v>1060</v>
          </cell>
          <cell r="G45">
            <v>96900</v>
          </cell>
          <cell r="H45">
            <v>54240</v>
          </cell>
          <cell r="I45">
            <v>1</v>
          </cell>
          <cell r="J45">
            <v>1</v>
          </cell>
          <cell r="K45">
            <v>5879</v>
          </cell>
          <cell r="L45" t="str">
            <v>99-410</v>
          </cell>
        </row>
        <row r="46">
          <cell r="B46" t="str">
            <v>유원종</v>
          </cell>
          <cell r="C46">
            <v>36501</v>
          </cell>
          <cell r="D46" t="str">
            <v>유원종</v>
          </cell>
          <cell r="E46">
            <v>23910516</v>
          </cell>
          <cell r="F46">
            <v>1200</v>
          </cell>
          <cell r="G46">
            <v>112500</v>
          </cell>
          <cell r="H46">
            <v>36160</v>
          </cell>
          <cell r="I46">
            <v>1</v>
          </cell>
          <cell r="J46">
            <v>1</v>
          </cell>
          <cell r="K46">
            <v>2131</v>
          </cell>
          <cell r="L46" t="str">
            <v>99-411</v>
          </cell>
        </row>
        <row r="47">
          <cell r="B47" t="str">
            <v>노명길</v>
          </cell>
          <cell r="C47">
            <v>36523</v>
          </cell>
          <cell r="D47" t="str">
            <v>노명길</v>
          </cell>
          <cell r="E47">
            <v>26485493</v>
          </cell>
          <cell r="F47">
            <v>1300</v>
          </cell>
          <cell r="G47">
            <v>124100</v>
          </cell>
          <cell r="H47">
            <v>36160</v>
          </cell>
          <cell r="I47">
            <v>1</v>
          </cell>
          <cell r="J47">
            <v>1</v>
          </cell>
          <cell r="K47">
            <v>6456</v>
          </cell>
          <cell r="L47" t="str">
            <v>99-414</v>
          </cell>
        </row>
        <row r="48">
          <cell r="B48" t="str">
            <v>김현승</v>
          </cell>
          <cell r="D48" t="str">
            <v>김현승</v>
          </cell>
          <cell r="E48">
            <v>36388553</v>
          </cell>
          <cell r="F48">
            <v>1640</v>
          </cell>
          <cell r="G48">
            <v>168700</v>
          </cell>
          <cell r="H48">
            <v>36160</v>
          </cell>
          <cell r="I48">
            <v>1</v>
          </cell>
          <cell r="J48">
            <v>1</v>
          </cell>
          <cell r="K48">
            <v>8144</v>
          </cell>
          <cell r="L48" t="str">
            <v>99-418</v>
          </cell>
        </row>
        <row r="49">
          <cell r="B49" t="str">
            <v>박광섭</v>
          </cell>
          <cell r="C49">
            <v>36447</v>
          </cell>
          <cell r="D49" t="str">
            <v>박광섭</v>
          </cell>
          <cell r="E49">
            <v>50451766</v>
          </cell>
          <cell r="F49">
            <v>2050</v>
          </cell>
          <cell r="G49">
            <v>232000</v>
          </cell>
          <cell r="H49">
            <v>67800</v>
          </cell>
          <cell r="I49">
            <v>1</v>
          </cell>
          <cell r="J49">
            <v>1</v>
          </cell>
          <cell r="K49">
            <v>6821</v>
          </cell>
          <cell r="L49" t="str">
            <v>99-421</v>
          </cell>
        </row>
        <row r="50">
          <cell r="B50" t="str">
            <v>정용갑</v>
          </cell>
          <cell r="D50" t="str">
            <v>정용갑</v>
          </cell>
          <cell r="E50">
            <v>147354486</v>
          </cell>
          <cell r="F50">
            <v>2780</v>
          </cell>
          <cell r="G50">
            <v>644400</v>
          </cell>
          <cell r="H50">
            <v>67800</v>
          </cell>
          <cell r="I50">
            <v>1</v>
          </cell>
          <cell r="J50">
            <v>1</v>
          </cell>
          <cell r="K50">
            <v>1991</v>
          </cell>
          <cell r="L50" t="str">
            <v>99-423</v>
          </cell>
        </row>
        <row r="51">
          <cell r="B51" t="str">
            <v>이옥우</v>
          </cell>
          <cell r="D51" t="str">
            <v>이옥우</v>
          </cell>
          <cell r="E51">
            <v>50000000</v>
          </cell>
          <cell r="F51">
            <v>2050</v>
          </cell>
          <cell r="G51">
            <v>345000</v>
          </cell>
          <cell r="H51">
            <v>45200</v>
          </cell>
          <cell r="I51">
            <v>1</v>
          </cell>
          <cell r="J51">
            <v>1</v>
          </cell>
          <cell r="K51" t="str">
            <v>경매</v>
          </cell>
          <cell r="L51" t="str">
            <v>99-426</v>
          </cell>
        </row>
        <row r="52">
          <cell r="B52" t="str">
            <v>㈜성일씨엔씨</v>
          </cell>
          <cell r="C52">
            <v>36516</v>
          </cell>
          <cell r="D52" t="str">
            <v>성일씨엔씨</v>
          </cell>
          <cell r="E52">
            <v>79500000</v>
          </cell>
          <cell r="F52">
            <v>2340</v>
          </cell>
          <cell r="G52">
            <v>362700</v>
          </cell>
          <cell r="H52">
            <v>67800</v>
          </cell>
          <cell r="I52">
            <v>1</v>
          </cell>
          <cell r="J52">
            <v>1</v>
          </cell>
          <cell r="K52">
            <v>1732</v>
          </cell>
          <cell r="L52" t="str">
            <v>99-431</v>
          </cell>
        </row>
        <row r="53">
          <cell r="B53" t="str">
            <v>송인택</v>
          </cell>
          <cell r="C53">
            <v>36481</v>
          </cell>
          <cell r="D53" t="str">
            <v>송인택</v>
          </cell>
          <cell r="E53">
            <v>54960882</v>
          </cell>
          <cell r="F53">
            <v>2090</v>
          </cell>
          <cell r="G53">
            <v>252300</v>
          </cell>
          <cell r="H53">
            <v>45200</v>
          </cell>
          <cell r="I53">
            <v>1</v>
          </cell>
          <cell r="J53">
            <v>1</v>
          </cell>
          <cell r="K53">
            <v>4086</v>
          </cell>
          <cell r="L53" t="str">
            <v>99-434</v>
          </cell>
        </row>
        <row r="54">
          <cell r="B54" t="str">
            <v>김진희</v>
          </cell>
          <cell r="D54" t="str">
            <v>김진희</v>
          </cell>
          <cell r="E54">
            <v>1512741</v>
          </cell>
          <cell r="F54">
            <v>146</v>
          </cell>
          <cell r="G54">
            <v>7500</v>
          </cell>
          <cell r="H54">
            <v>33900</v>
          </cell>
          <cell r="I54">
            <v>1</v>
          </cell>
          <cell r="J54">
            <v>1</v>
          </cell>
          <cell r="K54">
            <v>15420</v>
          </cell>
          <cell r="L54" t="str">
            <v>99-437</v>
          </cell>
        </row>
        <row r="55">
          <cell r="B55" t="str">
            <v>임윤규</v>
          </cell>
          <cell r="D55" t="str">
            <v>임윤규</v>
          </cell>
          <cell r="E55">
            <v>109200000</v>
          </cell>
          <cell r="F55">
            <v>2610</v>
          </cell>
          <cell r="G55">
            <v>0</v>
          </cell>
          <cell r="H55">
            <v>0</v>
          </cell>
          <cell r="I55">
            <v>1</v>
          </cell>
          <cell r="J55">
            <v>1</v>
          </cell>
          <cell r="K55" t="str">
            <v>중곡동</v>
          </cell>
          <cell r="L55" t="str">
            <v>99-443</v>
          </cell>
        </row>
        <row r="56">
          <cell r="B56" t="str">
            <v>㈜삼송상사</v>
          </cell>
          <cell r="D56" t="str">
            <v>삼송상사</v>
          </cell>
          <cell r="E56">
            <v>46483259</v>
          </cell>
          <cell r="F56">
            <v>1944</v>
          </cell>
          <cell r="G56">
            <v>214100</v>
          </cell>
          <cell r="H56">
            <v>72320</v>
          </cell>
          <cell r="I56">
            <v>1</v>
          </cell>
          <cell r="J56">
            <v>1</v>
          </cell>
          <cell r="K56">
            <v>5167</v>
          </cell>
          <cell r="L56" t="str">
            <v>99-444</v>
          </cell>
        </row>
        <row r="57">
          <cell r="B57" t="str">
            <v>거원통상㈜</v>
          </cell>
          <cell r="C57">
            <v>36483</v>
          </cell>
          <cell r="D57" t="str">
            <v>거원통상㈜</v>
          </cell>
          <cell r="E57">
            <v>105847942</v>
          </cell>
          <cell r="F57">
            <v>2642</v>
          </cell>
          <cell r="G57">
            <v>478300</v>
          </cell>
          <cell r="H57">
            <v>90400</v>
          </cell>
          <cell r="I57">
            <v>1</v>
          </cell>
          <cell r="J57">
            <v>1</v>
          </cell>
          <cell r="K57">
            <v>2037</v>
          </cell>
          <cell r="L57" t="str">
            <v>99-446</v>
          </cell>
        </row>
        <row r="58">
          <cell r="B58" t="str">
            <v>㈜성화어패럴</v>
          </cell>
          <cell r="C58">
            <v>36489</v>
          </cell>
          <cell r="D58" t="str">
            <v>성화어패럴</v>
          </cell>
          <cell r="E58">
            <v>231814947</v>
          </cell>
          <cell r="F58">
            <v>3209</v>
          </cell>
          <cell r="G58">
            <v>982200</v>
          </cell>
          <cell r="H58">
            <v>54240</v>
          </cell>
          <cell r="I58">
            <v>1</v>
          </cell>
          <cell r="J58">
            <v>1</v>
          </cell>
          <cell r="K58">
            <v>2212</v>
          </cell>
          <cell r="L58" t="str">
            <v>99-449</v>
          </cell>
        </row>
        <row r="59">
          <cell r="B59" t="str">
            <v>대환산업레미콘</v>
          </cell>
          <cell r="C59">
            <v>36514</v>
          </cell>
          <cell r="D59" t="str">
            <v>대환산업레미콘</v>
          </cell>
          <cell r="E59">
            <v>861305696</v>
          </cell>
          <cell r="F59">
            <v>6356</v>
          </cell>
          <cell r="G59">
            <v>3500200</v>
          </cell>
          <cell r="H59">
            <v>90400</v>
          </cell>
          <cell r="I59">
            <v>1</v>
          </cell>
          <cell r="J59">
            <v>1</v>
          </cell>
          <cell r="K59">
            <v>5408</v>
          </cell>
          <cell r="L59" t="str">
            <v>99-450</v>
          </cell>
        </row>
        <row r="60">
          <cell r="B60" t="str">
            <v>석송물산㈜</v>
          </cell>
          <cell r="D60" t="str">
            <v>석송물산㈜</v>
          </cell>
          <cell r="E60">
            <v>69004539</v>
          </cell>
          <cell r="F60">
            <v>2240</v>
          </cell>
          <cell r="G60">
            <v>315500</v>
          </cell>
          <cell r="H60">
            <v>126560</v>
          </cell>
          <cell r="I60">
            <v>1</v>
          </cell>
          <cell r="J60">
            <v>1</v>
          </cell>
          <cell r="K60">
            <v>957</v>
          </cell>
          <cell r="L60" t="str">
            <v>99-461</v>
          </cell>
        </row>
        <row r="61">
          <cell r="B61" t="str">
            <v>김창수</v>
          </cell>
          <cell r="C61">
            <v>36494</v>
          </cell>
          <cell r="D61" t="str">
            <v>김창수</v>
          </cell>
          <cell r="E61">
            <v>9573557</v>
          </cell>
          <cell r="F61">
            <v>628</v>
          </cell>
          <cell r="G61">
            <v>47800</v>
          </cell>
          <cell r="H61">
            <v>22600</v>
          </cell>
          <cell r="I61">
            <v>1</v>
          </cell>
          <cell r="J61">
            <v>1</v>
          </cell>
          <cell r="K61" t="str">
            <v>특채</v>
          </cell>
          <cell r="L61" t="str">
            <v>99-464</v>
          </cell>
        </row>
        <row r="62">
          <cell r="B62" t="str">
            <v>㈜김해백화점</v>
          </cell>
          <cell r="C62">
            <v>36489</v>
          </cell>
          <cell r="D62" t="str">
            <v>김해백화점</v>
          </cell>
          <cell r="E62">
            <v>90126354</v>
          </cell>
          <cell r="F62">
            <v>2451</v>
          </cell>
          <cell r="G62">
            <v>410500</v>
          </cell>
          <cell r="H62">
            <v>72320</v>
          </cell>
          <cell r="I62">
            <v>1</v>
          </cell>
          <cell r="J62">
            <v>1</v>
          </cell>
          <cell r="K62" t="str">
            <v>특채</v>
          </cell>
          <cell r="L62" t="str">
            <v>99-469</v>
          </cell>
        </row>
        <row r="63">
          <cell r="B63" t="str">
            <v>김영규</v>
          </cell>
          <cell r="D63" t="str">
            <v>김영규</v>
          </cell>
          <cell r="E63">
            <v>391192235</v>
          </cell>
          <cell r="F63">
            <v>4005</v>
          </cell>
          <cell r="G63">
            <v>1619700</v>
          </cell>
          <cell r="H63">
            <v>54240</v>
          </cell>
          <cell r="I63">
            <v>1</v>
          </cell>
          <cell r="J63">
            <v>1</v>
          </cell>
          <cell r="K63" t="str">
            <v>경인</v>
          </cell>
          <cell r="L63" t="str">
            <v>99-470</v>
          </cell>
        </row>
        <row r="64">
          <cell r="B64" t="str">
            <v>정광실</v>
          </cell>
          <cell r="D64" t="str">
            <v>정광실</v>
          </cell>
          <cell r="E64">
            <v>4493427</v>
          </cell>
          <cell r="F64">
            <v>369</v>
          </cell>
          <cell r="G64">
            <v>22400</v>
          </cell>
          <cell r="H64">
            <v>33900</v>
          </cell>
          <cell r="I64">
            <v>1</v>
          </cell>
          <cell r="J64">
            <v>1</v>
          </cell>
          <cell r="K64" t="str">
            <v>특채</v>
          </cell>
          <cell r="L64" t="str">
            <v>99-479</v>
          </cell>
        </row>
        <row r="65">
          <cell r="B65" t="str">
            <v>강호진</v>
          </cell>
          <cell r="D65" t="str">
            <v>강호진</v>
          </cell>
          <cell r="E65">
            <v>4589232</v>
          </cell>
          <cell r="F65">
            <v>375</v>
          </cell>
          <cell r="G65">
            <v>22900</v>
          </cell>
          <cell r="H65">
            <v>45200</v>
          </cell>
          <cell r="I65">
            <v>1</v>
          </cell>
          <cell r="J65">
            <v>1</v>
          </cell>
          <cell r="K65" t="str">
            <v>서산</v>
          </cell>
          <cell r="L65" t="str">
            <v>99-482</v>
          </cell>
        </row>
        <row r="66">
          <cell r="B66" t="str">
            <v>표연길</v>
          </cell>
          <cell r="D66" t="str">
            <v>표연길</v>
          </cell>
          <cell r="E66">
            <v>1737316</v>
          </cell>
          <cell r="F66">
            <v>166</v>
          </cell>
          <cell r="G66">
            <v>8600</v>
          </cell>
          <cell r="H66">
            <v>33900</v>
          </cell>
          <cell r="I66">
            <v>1</v>
          </cell>
          <cell r="J66">
            <v>1</v>
          </cell>
          <cell r="K66" t="str">
            <v>특채</v>
          </cell>
          <cell r="L66" t="str">
            <v>99-485</v>
          </cell>
        </row>
        <row r="67">
          <cell r="B67" t="str">
            <v>조순자</v>
          </cell>
          <cell r="C67">
            <v>36497</v>
          </cell>
          <cell r="D67" t="str">
            <v>조순자</v>
          </cell>
          <cell r="E67">
            <v>20790323</v>
          </cell>
          <cell r="F67">
            <v>1081</v>
          </cell>
          <cell r="G67">
            <v>98500</v>
          </cell>
          <cell r="H67">
            <v>36160</v>
          </cell>
          <cell r="I67">
            <v>1</v>
          </cell>
          <cell r="J67">
            <v>1</v>
          </cell>
          <cell r="K67">
            <v>4399</v>
          </cell>
          <cell r="L67" t="str">
            <v>99-492</v>
          </cell>
        </row>
        <row r="68">
          <cell r="B68" t="str">
            <v>황매현</v>
          </cell>
          <cell r="C68">
            <v>36523</v>
          </cell>
          <cell r="D68" t="str">
            <v>황매현</v>
          </cell>
          <cell r="E68">
            <v>128118304</v>
          </cell>
          <cell r="F68">
            <v>2690</v>
          </cell>
          <cell r="G68">
            <v>567400</v>
          </cell>
          <cell r="H68">
            <v>54240</v>
          </cell>
          <cell r="I68">
            <v>1</v>
          </cell>
          <cell r="J68">
            <v>1</v>
          </cell>
          <cell r="K68" t="str">
            <v>경수</v>
          </cell>
          <cell r="L68" t="str">
            <v>99-494</v>
          </cell>
        </row>
        <row r="69">
          <cell r="B69" t="str">
            <v>일우양행</v>
          </cell>
          <cell r="C69">
            <v>36475</v>
          </cell>
          <cell r="D69" t="str">
            <v>한완재</v>
          </cell>
          <cell r="E69">
            <v>13360000</v>
          </cell>
          <cell r="F69">
            <v>780</v>
          </cell>
          <cell r="G69">
            <v>65100</v>
          </cell>
          <cell r="H69">
            <v>203400</v>
          </cell>
          <cell r="I69">
            <v>1</v>
          </cell>
          <cell r="J69">
            <v>3</v>
          </cell>
          <cell r="K69" t="str">
            <v>강남</v>
          </cell>
          <cell r="L69" t="str">
            <v>99-496</v>
          </cell>
        </row>
        <row r="70">
          <cell r="B70" t="str">
            <v>정호철</v>
          </cell>
          <cell r="D70" t="str">
            <v>정호철</v>
          </cell>
          <cell r="E70">
            <v>3066127</v>
          </cell>
          <cell r="F70">
            <v>274</v>
          </cell>
          <cell r="G70">
            <v>15300</v>
          </cell>
          <cell r="H70">
            <v>22600</v>
          </cell>
          <cell r="I70">
            <v>1</v>
          </cell>
          <cell r="J70">
            <v>1</v>
          </cell>
          <cell r="K70">
            <v>784</v>
          </cell>
          <cell r="L70" t="str">
            <v>99-513</v>
          </cell>
        </row>
        <row r="71">
          <cell r="B71" t="str">
            <v>이상덕</v>
          </cell>
          <cell r="D71" t="str">
            <v>이상덕</v>
          </cell>
          <cell r="E71">
            <v>246233320</v>
          </cell>
          <cell r="F71">
            <v>3781</v>
          </cell>
          <cell r="G71">
            <v>1039900</v>
          </cell>
          <cell r="H71">
            <v>108480</v>
          </cell>
          <cell r="I71">
            <v>1</v>
          </cell>
          <cell r="J71">
            <v>1</v>
          </cell>
          <cell r="K71">
            <v>4038</v>
          </cell>
          <cell r="L71" t="str">
            <v>99-516</v>
          </cell>
        </row>
        <row r="72">
          <cell r="B72" t="str">
            <v>강청자</v>
          </cell>
          <cell r="D72" t="str">
            <v>강청자</v>
          </cell>
          <cell r="E72">
            <v>95299890</v>
          </cell>
          <cell r="F72">
            <v>2500</v>
          </cell>
          <cell r="G72">
            <v>0</v>
          </cell>
          <cell r="H72">
            <v>0</v>
          </cell>
          <cell r="I72">
            <v>1</v>
          </cell>
          <cell r="J72">
            <v>4</v>
          </cell>
          <cell r="K72" t="str">
            <v>서산</v>
          </cell>
          <cell r="L72" t="str">
            <v>99-526</v>
          </cell>
        </row>
        <row r="73">
          <cell r="B73" t="str">
            <v>김춘희</v>
          </cell>
          <cell r="D73" t="str">
            <v>김상겸</v>
          </cell>
          <cell r="E73">
            <v>5000000</v>
          </cell>
          <cell r="F73">
            <v>400</v>
          </cell>
          <cell r="G73">
            <v>25000</v>
          </cell>
          <cell r="H73">
            <v>36160</v>
          </cell>
          <cell r="I73">
            <v>1</v>
          </cell>
          <cell r="J73">
            <v>3</v>
          </cell>
          <cell r="K73" t="str">
            <v>경수</v>
          </cell>
          <cell r="L73" t="str">
            <v>99-527</v>
          </cell>
        </row>
        <row r="74">
          <cell r="B74" t="str">
            <v>소망의료재단</v>
          </cell>
          <cell r="D74" t="str">
            <v>소망의료재단</v>
          </cell>
          <cell r="E74">
            <v>359000000</v>
          </cell>
          <cell r="F74">
            <v>3845</v>
          </cell>
          <cell r="G74">
            <v>1491000</v>
          </cell>
          <cell r="H74">
            <v>72320</v>
          </cell>
          <cell r="I74">
            <v>1</v>
          </cell>
          <cell r="J74">
            <v>1</v>
          </cell>
          <cell r="K74" t="str">
            <v>경매(한경식)</v>
          </cell>
          <cell r="L74" t="str">
            <v>99-528</v>
          </cell>
        </row>
        <row r="75">
          <cell r="B75" t="str">
            <v>남도종합건재</v>
          </cell>
          <cell r="D75" t="str">
            <v>김순애</v>
          </cell>
          <cell r="E75">
            <v>42000000</v>
          </cell>
          <cell r="F75">
            <v>1810</v>
          </cell>
          <cell r="G75">
            <v>0</v>
          </cell>
          <cell r="H75">
            <v>0</v>
          </cell>
          <cell r="I75">
            <v>1</v>
          </cell>
          <cell r="J75">
            <v>3</v>
          </cell>
          <cell r="K75" t="str">
            <v>서부</v>
          </cell>
          <cell r="L75" t="str">
            <v>99-529</v>
          </cell>
        </row>
        <row r="76">
          <cell r="B76" t="str">
            <v>박인규</v>
          </cell>
          <cell r="D76" t="str">
            <v>박인규</v>
          </cell>
          <cell r="E76">
            <v>86010700</v>
          </cell>
          <cell r="F76">
            <v>2410</v>
          </cell>
          <cell r="G76">
            <v>588000</v>
          </cell>
          <cell r="H76">
            <v>45200</v>
          </cell>
          <cell r="I76">
            <v>1</v>
          </cell>
          <cell r="J76">
            <v>1</v>
          </cell>
          <cell r="K76" t="str">
            <v>경매</v>
          </cell>
          <cell r="L76" t="str">
            <v>99-530</v>
          </cell>
        </row>
        <row r="77">
          <cell r="B77" t="str">
            <v>㈜호원물산</v>
          </cell>
          <cell r="D77" t="str">
            <v>호원물산</v>
          </cell>
          <cell r="E77">
            <v>178287813</v>
          </cell>
          <cell r="F77">
            <v>2940</v>
          </cell>
          <cell r="G77">
            <v>1536300</v>
          </cell>
          <cell r="H77">
            <v>45200</v>
          </cell>
          <cell r="I77">
            <v>1</v>
          </cell>
          <cell r="J77">
            <v>4</v>
          </cell>
          <cell r="K77" t="str">
            <v>특채</v>
          </cell>
          <cell r="L77" t="str">
            <v>99-531</v>
          </cell>
        </row>
        <row r="78">
          <cell r="B78" t="str">
            <v>김흥태</v>
          </cell>
          <cell r="D78" t="str">
            <v>김형조</v>
          </cell>
          <cell r="E78">
            <v>24205480</v>
          </cell>
          <cell r="F78">
            <v>2018</v>
          </cell>
          <cell r="G78">
            <v>113900</v>
          </cell>
          <cell r="H78">
            <v>54240</v>
          </cell>
          <cell r="I78">
            <v>1</v>
          </cell>
          <cell r="J78">
            <v>1</v>
          </cell>
          <cell r="K78">
            <v>5235</v>
          </cell>
          <cell r="L78" t="str">
            <v>99-533</v>
          </cell>
        </row>
        <row r="79">
          <cell r="B79" t="str">
            <v>이석규</v>
          </cell>
          <cell r="C79">
            <v>36482</v>
          </cell>
          <cell r="D79" t="str">
            <v>이석규</v>
          </cell>
          <cell r="E79">
            <v>2983601</v>
          </cell>
          <cell r="F79">
            <v>340</v>
          </cell>
          <cell r="G79">
            <v>14900</v>
          </cell>
          <cell r="H79">
            <v>33900</v>
          </cell>
          <cell r="I79">
            <v>1</v>
          </cell>
          <cell r="J79">
            <v>1</v>
          </cell>
          <cell r="K79">
            <v>4563</v>
          </cell>
          <cell r="L79" t="str">
            <v>99-539</v>
          </cell>
        </row>
        <row r="80">
          <cell r="B80" t="str">
            <v>조문제</v>
          </cell>
          <cell r="D80" t="str">
            <v>조문제</v>
          </cell>
          <cell r="E80">
            <v>30000000</v>
          </cell>
          <cell r="F80">
            <v>1450</v>
          </cell>
          <cell r="G80">
            <v>140000</v>
          </cell>
          <cell r="H80">
            <v>54240</v>
          </cell>
          <cell r="I80">
            <v>1</v>
          </cell>
          <cell r="J80">
            <v>1</v>
          </cell>
          <cell r="K80">
            <v>1780</v>
          </cell>
          <cell r="L80" t="str">
            <v>99-556</v>
          </cell>
        </row>
        <row r="81">
          <cell r="B81" t="str">
            <v>케이에스물산㈜</v>
          </cell>
          <cell r="C81">
            <v>36512</v>
          </cell>
          <cell r="D81" t="str">
            <v>케이에스물산㈜</v>
          </cell>
          <cell r="E81">
            <v>65387111</v>
          </cell>
          <cell r="F81">
            <v>2203</v>
          </cell>
          <cell r="G81">
            <v>299200</v>
          </cell>
          <cell r="H81">
            <v>72320</v>
          </cell>
          <cell r="I81">
            <v>1</v>
          </cell>
          <cell r="J81">
            <v>1</v>
          </cell>
          <cell r="K81">
            <v>4341</v>
          </cell>
          <cell r="L81" t="str">
            <v>99-565</v>
          </cell>
        </row>
        <row r="82">
          <cell r="B82" t="str">
            <v>보국산업㈜</v>
          </cell>
          <cell r="D82" t="str">
            <v>보국산업㈜</v>
          </cell>
          <cell r="E82">
            <v>68936500</v>
          </cell>
          <cell r="F82">
            <v>2239</v>
          </cell>
          <cell r="G82">
            <v>315200</v>
          </cell>
          <cell r="H82">
            <v>54240</v>
          </cell>
          <cell r="I82">
            <v>1</v>
          </cell>
          <cell r="J82">
            <v>1</v>
          </cell>
          <cell r="K82">
            <v>8330</v>
          </cell>
          <cell r="L82" t="str">
            <v>99-568</v>
          </cell>
        </row>
        <row r="83">
          <cell r="B83" t="str">
            <v>노재민</v>
          </cell>
          <cell r="C83">
            <v>36486</v>
          </cell>
          <cell r="D83" t="str">
            <v>노재민</v>
          </cell>
          <cell r="E83">
            <v>86479826</v>
          </cell>
          <cell r="F83">
            <v>2410</v>
          </cell>
          <cell r="G83">
            <v>394100</v>
          </cell>
          <cell r="H83">
            <v>135600</v>
          </cell>
          <cell r="I83">
            <v>1</v>
          </cell>
          <cell r="J83">
            <v>1</v>
          </cell>
          <cell r="K83">
            <v>5911</v>
          </cell>
          <cell r="L83" t="str">
            <v>99-571</v>
          </cell>
        </row>
        <row r="84">
          <cell r="B84" t="str">
            <v>조석진</v>
          </cell>
          <cell r="C84">
            <v>36522</v>
          </cell>
          <cell r="D84" t="str">
            <v>조석진</v>
          </cell>
          <cell r="E84">
            <v>240175224</v>
          </cell>
          <cell r="F84">
            <v>3250</v>
          </cell>
          <cell r="G84">
            <v>1015700</v>
          </cell>
          <cell r="H84">
            <v>135600</v>
          </cell>
          <cell r="I84">
            <v>1</v>
          </cell>
          <cell r="J84">
            <v>1</v>
          </cell>
          <cell r="K84">
            <v>2015</v>
          </cell>
          <cell r="L84" t="str">
            <v>99-577</v>
          </cell>
        </row>
        <row r="85">
          <cell r="B85" t="str">
            <v>조석용</v>
          </cell>
          <cell r="D85" t="str">
            <v>조석용</v>
          </cell>
          <cell r="E85">
            <v>8542721</v>
          </cell>
          <cell r="F85">
            <v>577</v>
          </cell>
          <cell r="G85">
            <v>42700</v>
          </cell>
          <cell r="H85">
            <v>113000</v>
          </cell>
          <cell r="I85">
            <v>1</v>
          </cell>
          <cell r="J85">
            <v>1</v>
          </cell>
          <cell r="K85">
            <v>4191</v>
          </cell>
          <cell r="L85" t="str">
            <v>99-589</v>
          </cell>
        </row>
        <row r="86">
          <cell r="B86" t="str">
            <v>한기완</v>
          </cell>
          <cell r="D86" t="str">
            <v>김영섭</v>
          </cell>
          <cell r="E86">
            <v>15000000</v>
          </cell>
          <cell r="F86">
            <v>850</v>
          </cell>
          <cell r="G86">
            <v>0</v>
          </cell>
          <cell r="H86">
            <v>0</v>
          </cell>
          <cell r="I86">
            <v>1</v>
          </cell>
          <cell r="J86">
            <v>4</v>
          </cell>
          <cell r="K86" t="str">
            <v>경매</v>
          </cell>
          <cell r="L86" t="str">
            <v>99-593</v>
          </cell>
        </row>
        <row r="87">
          <cell r="B87" t="str">
            <v>이혁진</v>
          </cell>
          <cell r="D87" t="str">
            <v>이혁진</v>
          </cell>
          <cell r="E87">
            <v>20000000</v>
          </cell>
          <cell r="F87">
            <v>1050</v>
          </cell>
          <cell r="G87">
            <v>0</v>
          </cell>
          <cell r="H87">
            <v>0</v>
          </cell>
          <cell r="I87">
            <v>1</v>
          </cell>
          <cell r="J87">
            <v>4</v>
          </cell>
          <cell r="K87" t="str">
            <v>성수남</v>
          </cell>
          <cell r="L87" t="str">
            <v>99-594</v>
          </cell>
        </row>
        <row r="88">
          <cell r="B88" t="str">
            <v>세진샤슈공업㈜</v>
          </cell>
          <cell r="C88">
            <v>36493</v>
          </cell>
          <cell r="D88" t="str">
            <v>김양기</v>
          </cell>
          <cell r="E88">
            <v>7800000</v>
          </cell>
          <cell r="F88">
            <v>540</v>
          </cell>
          <cell r="G88">
            <v>39000</v>
          </cell>
          <cell r="H88">
            <v>101700</v>
          </cell>
          <cell r="I88">
            <v>1</v>
          </cell>
          <cell r="J88">
            <v>1</v>
          </cell>
          <cell r="K88">
            <v>513</v>
          </cell>
          <cell r="L88" t="str">
            <v>99-600</v>
          </cell>
        </row>
        <row r="89">
          <cell r="B89" t="str">
            <v>한휘정</v>
          </cell>
          <cell r="C89">
            <v>36500</v>
          </cell>
          <cell r="D89" t="str">
            <v>한휘정</v>
          </cell>
          <cell r="E89">
            <v>66586187</v>
          </cell>
          <cell r="F89">
            <v>2215</v>
          </cell>
          <cell r="G89">
            <v>0</v>
          </cell>
          <cell r="H89">
            <v>0</v>
          </cell>
          <cell r="I89">
            <v>1</v>
          </cell>
          <cell r="J89">
            <v>3</v>
          </cell>
          <cell r="K89" t="str">
            <v>경매</v>
          </cell>
          <cell r="L89" t="str">
            <v>99-601</v>
          </cell>
        </row>
        <row r="90">
          <cell r="B90" t="str">
            <v>이윤구</v>
          </cell>
          <cell r="D90" t="str">
            <v>이윤구</v>
          </cell>
          <cell r="E90">
            <v>100000000</v>
          </cell>
          <cell r="F90">
            <v>2550</v>
          </cell>
          <cell r="G90">
            <v>0</v>
          </cell>
          <cell r="H90">
            <v>0</v>
          </cell>
          <cell r="I90">
            <v>1</v>
          </cell>
          <cell r="J90">
            <v>1</v>
          </cell>
          <cell r="K90" t="str">
            <v>특수</v>
          </cell>
          <cell r="L90" t="str">
            <v>99-602</v>
          </cell>
        </row>
        <row r="91">
          <cell r="B91" t="str">
            <v>김승락</v>
          </cell>
          <cell r="D91" t="str">
            <v>조병찬</v>
          </cell>
          <cell r="E91">
            <v>1344390</v>
          </cell>
          <cell r="F91">
            <v>130</v>
          </cell>
          <cell r="G91">
            <v>6700</v>
          </cell>
          <cell r="H91">
            <v>22600</v>
          </cell>
          <cell r="I91">
            <v>1</v>
          </cell>
          <cell r="J91">
            <v>1</v>
          </cell>
          <cell r="K91">
            <v>18002</v>
          </cell>
          <cell r="L91" t="str">
            <v>99-610</v>
          </cell>
        </row>
        <row r="92">
          <cell r="B92" t="str">
            <v>㈜태은금속</v>
          </cell>
          <cell r="D92" t="str">
            <v>중소기업은행</v>
          </cell>
          <cell r="E92">
            <v>50000000</v>
          </cell>
          <cell r="F92">
            <v>2050</v>
          </cell>
          <cell r="G92">
            <v>230000</v>
          </cell>
          <cell r="H92">
            <v>36160</v>
          </cell>
          <cell r="I92">
            <v>1</v>
          </cell>
          <cell r="J92">
            <v>3</v>
          </cell>
          <cell r="K92" t="str">
            <v>경인</v>
          </cell>
          <cell r="L92" t="str">
            <v>99-619</v>
          </cell>
        </row>
        <row r="93">
          <cell r="B93" t="str">
            <v>㈜화연</v>
          </cell>
          <cell r="D93" t="str">
            <v>이용호</v>
          </cell>
          <cell r="E93">
            <v>8400000</v>
          </cell>
          <cell r="F93">
            <v>570</v>
          </cell>
          <cell r="G93">
            <v>42000</v>
          </cell>
          <cell r="H93">
            <v>56500</v>
          </cell>
          <cell r="I93">
            <v>1</v>
          </cell>
          <cell r="J93">
            <v>2</v>
          </cell>
          <cell r="K93" t="str">
            <v>경인</v>
          </cell>
          <cell r="L93" t="str">
            <v>99-620</v>
          </cell>
        </row>
        <row r="94">
          <cell r="B94" t="str">
            <v>조동희</v>
          </cell>
          <cell r="C94">
            <v>36508</v>
          </cell>
          <cell r="D94" t="str">
            <v>구본석</v>
          </cell>
          <cell r="E94">
            <v>26000000</v>
          </cell>
          <cell r="F94">
            <v>1290</v>
          </cell>
          <cell r="G94">
            <v>183000</v>
          </cell>
          <cell r="H94">
            <v>45200</v>
          </cell>
          <cell r="I94">
            <v>1</v>
          </cell>
          <cell r="J94">
            <v>4</v>
          </cell>
          <cell r="K94" t="str">
            <v>경인</v>
          </cell>
          <cell r="L94" t="str">
            <v>99-621</v>
          </cell>
        </row>
        <row r="95">
          <cell r="B95" t="str">
            <v>황순화</v>
          </cell>
          <cell r="D95" t="str">
            <v>황순화</v>
          </cell>
          <cell r="E95">
            <v>14780000</v>
          </cell>
          <cell r="F95">
            <v>841</v>
          </cell>
          <cell r="G95">
            <v>0</v>
          </cell>
          <cell r="H95">
            <v>0</v>
          </cell>
          <cell r="I95">
            <v>1</v>
          </cell>
          <cell r="J95">
            <v>2</v>
          </cell>
          <cell r="K95" t="str">
            <v>경수</v>
          </cell>
          <cell r="L95" t="str">
            <v>99-622</v>
          </cell>
        </row>
        <row r="96">
          <cell r="B96" t="str">
            <v>공우춘</v>
          </cell>
          <cell r="D96" t="str">
            <v>공우춘</v>
          </cell>
          <cell r="E96">
            <v>6180896</v>
          </cell>
          <cell r="F96">
            <v>500</v>
          </cell>
          <cell r="G96">
            <v>30900</v>
          </cell>
          <cell r="H96">
            <v>22600</v>
          </cell>
          <cell r="I96">
            <v>1</v>
          </cell>
          <cell r="J96">
            <v>1</v>
          </cell>
          <cell r="K96" t="str">
            <v>중앙</v>
          </cell>
          <cell r="L96" t="str">
            <v>99-623</v>
          </cell>
        </row>
        <row r="97">
          <cell r="B97" t="str">
            <v>길귀순</v>
          </cell>
          <cell r="D97" t="str">
            <v>길귀순</v>
          </cell>
          <cell r="E97">
            <v>67255414</v>
          </cell>
          <cell r="F97">
            <v>2134</v>
          </cell>
          <cell r="G97">
            <v>307600</v>
          </cell>
          <cell r="H97">
            <v>54240</v>
          </cell>
          <cell r="I97">
            <v>1</v>
          </cell>
          <cell r="J97">
            <v>1</v>
          </cell>
          <cell r="K97" t="str">
            <v>권승수</v>
          </cell>
          <cell r="L97" t="str">
            <v>99-627</v>
          </cell>
        </row>
        <row r="98">
          <cell r="B98" t="str">
            <v>아한상사</v>
          </cell>
          <cell r="C98">
            <v>36487</v>
          </cell>
          <cell r="D98" t="str">
            <v>아한상사</v>
          </cell>
          <cell r="E98">
            <v>20249462</v>
          </cell>
          <cell r="F98">
            <v>1059</v>
          </cell>
          <cell r="G98">
            <v>96100</v>
          </cell>
          <cell r="H98">
            <v>54240</v>
          </cell>
          <cell r="I98">
            <v>1</v>
          </cell>
          <cell r="J98">
            <v>1</v>
          </cell>
          <cell r="K98" t="str">
            <v>특수</v>
          </cell>
          <cell r="L98" t="str">
            <v>99-629</v>
          </cell>
        </row>
        <row r="99">
          <cell r="B99" t="str">
            <v>윤정복</v>
          </cell>
          <cell r="D99" t="str">
            <v>윤정복</v>
          </cell>
          <cell r="E99">
            <v>350000000</v>
          </cell>
          <cell r="F99">
            <v>2555</v>
          </cell>
          <cell r="G99">
            <v>917000</v>
          </cell>
          <cell r="H99">
            <v>0</v>
          </cell>
          <cell r="I99">
            <v>1</v>
          </cell>
          <cell r="J99">
            <v>1</v>
          </cell>
          <cell r="L99" t="str">
            <v>99-634</v>
          </cell>
        </row>
        <row r="100">
          <cell r="B100" t="str">
            <v>우창산업㈜</v>
          </cell>
          <cell r="D100" t="str">
            <v>우창산업㈜</v>
          </cell>
          <cell r="E100">
            <v>69193416</v>
          </cell>
          <cell r="F100">
            <v>2241</v>
          </cell>
          <cell r="G100">
            <v>316300</v>
          </cell>
          <cell r="H100">
            <v>72320</v>
          </cell>
          <cell r="I100">
            <v>1</v>
          </cell>
          <cell r="J100">
            <v>1</v>
          </cell>
          <cell r="K100">
            <v>5713</v>
          </cell>
          <cell r="L100" t="str">
            <v>99-636</v>
          </cell>
        </row>
        <row r="101">
          <cell r="B101" t="str">
            <v>정수엔바이로㈜</v>
          </cell>
          <cell r="C101">
            <v>36502</v>
          </cell>
          <cell r="D101" t="str">
            <v>정수엔바이로㈜</v>
          </cell>
          <cell r="E101">
            <v>41393050</v>
          </cell>
          <cell r="F101">
            <v>1790</v>
          </cell>
          <cell r="G101">
            <v>191200</v>
          </cell>
          <cell r="H101">
            <v>72320</v>
          </cell>
          <cell r="I101">
            <v>1</v>
          </cell>
          <cell r="J101">
            <v>1</v>
          </cell>
          <cell r="K101" t="str">
            <v>경수</v>
          </cell>
          <cell r="L101" t="str">
            <v>99-640</v>
          </cell>
        </row>
        <row r="102">
          <cell r="B102" t="str">
            <v>김선태</v>
          </cell>
          <cell r="D102" t="str">
            <v>김선태</v>
          </cell>
          <cell r="E102">
            <v>26767858</v>
          </cell>
          <cell r="F102">
            <v>1320</v>
          </cell>
          <cell r="G102">
            <v>125400</v>
          </cell>
          <cell r="H102">
            <v>54240</v>
          </cell>
          <cell r="I102">
            <v>1</v>
          </cell>
          <cell r="J102">
            <v>1</v>
          </cell>
          <cell r="K102">
            <v>1753</v>
          </cell>
          <cell r="L102" t="str">
            <v>99-644</v>
          </cell>
        </row>
        <row r="103">
          <cell r="B103" t="str">
            <v>노진례</v>
          </cell>
          <cell r="C103">
            <v>36483</v>
          </cell>
          <cell r="D103" t="str">
            <v>노진례</v>
          </cell>
          <cell r="E103">
            <v>2137776</v>
          </cell>
          <cell r="F103">
            <v>201</v>
          </cell>
          <cell r="G103">
            <v>10600</v>
          </cell>
          <cell r="H103">
            <v>33900</v>
          </cell>
          <cell r="I103">
            <v>1</v>
          </cell>
          <cell r="J103">
            <v>1</v>
          </cell>
          <cell r="K103">
            <v>7405</v>
          </cell>
          <cell r="L103" t="str">
            <v>99-651</v>
          </cell>
        </row>
        <row r="104">
          <cell r="B104" t="str">
            <v>정종삼</v>
          </cell>
          <cell r="D104" t="str">
            <v>정종삼</v>
          </cell>
          <cell r="E104">
            <v>220000000</v>
          </cell>
          <cell r="F104">
            <v>3150</v>
          </cell>
          <cell r="G104">
            <v>0</v>
          </cell>
          <cell r="H104">
            <v>0</v>
          </cell>
          <cell r="I104">
            <v>1</v>
          </cell>
          <cell r="J104">
            <v>1</v>
          </cell>
          <cell r="L104" t="str">
            <v>99-655</v>
          </cell>
        </row>
        <row r="105">
          <cell r="B105" t="str">
            <v>김옥숙</v>
          </cell>
          <cell r="D105" t="str">
            <v>유재금</v>
          </cell>
          <cell r="E105">
            <v>60000000</v>
          </cell>
          <cell r="F105">
            <v>2150</v>
          </cell>
          <cell r="G105">
            <v>0</v>
          </cell>
          <cell r="H105">
            <v>0</v>
          </cell>
          <cell r="I105">
            <v>1</v>
          </cell>
          <cell r="J105">
            <v>3</v>
          </cell>
          <cell r="K105" t="str">
            <v>경매</v>
          </cell>
          <cell r="L105" t="str">
            <v>99-657</v>
          </cell>
        </row>
        <row r="106">
          <cell r="B106" t="str">
            <v>신형범</v>
          </cell>
          <cell r="C106">
            <v>36481</v>
          </cell>
          <cell r="D106" t="str">
            <v>신형범</v>
          </cell>
          <cell r="E106">
            <v>37989439</v>
          </cell>
          <cell r="F106">
            <v>1689</v>
          </cell>
          <cell r="G106">
            <v>0</v>
          </cell>
          <cell r="H106">
            <v>0</v>
          </cell>
          <cell r="I106">
            <v>1</v>
          </cell>
          <cell r="J106">
            <v>1</v>
          </cell>
          <cell r="L106" t="str">
            <v>99-658</v>
          </cell>
        </row>
        <row r="107">
          <cell r="B107" t="str">
            <v>신규철</v>
          </cell>
          <cell r="C107">
            <v>36525</v>
          </cell>
          <cell r="D107" t="str">
            <v>신규철</v>
          </cell>
          <cell r="E107">
            <v>4908434</v>
          </cell>
          <cell r="F107">
            <v>390</v>
          </cell>
          <cell r="G107">
            <v>24500</v>
          </cell>
          <cell r="H107">
            <v>33900</v>
          </cell>
          <cell r="I107">
            <v>1</v>
          </cell>
          <cell r="J107">
            <v>1</v>
          </cell>
          <cell r="K107">
            <v>7240</v>
          </cell>
          <cell r="L107" t="str">
            <v>99-660</v>
          </cell>
        </row>
        <row r="108">
          <cell r="B108" t="str">
            <v>전영희</v>
          </cell>
          <cell r="C108">
            <v>36489</v>
          </cell>
          <cell r="D108" t="str">
            <v>전영희</v>
          </cell>
          <cell r="E108">
            <v>9902660</v>
          </cell>
          <cell r="F108">
            <v>640</v>
          </cell>
          <cell r="G108">
            <v>49500</v>
          </cell>
          <cell r="H108">
            <v>33900</v>
          </cell>
          <cell r="I108">
            <v>1</v>
          </cell>
          <cell r="J108">
            <v>1</v>
          </cell>
          <cell r="K108">
            <v>7863</v>
          </cell>
          <cell r="L108" t="str">
            <v>99-661</v>
          </cell>
        </row>
        <row r="109">
          <cell r="B109" t="str">
            <v>홍양표</v>
          </cell>
          <cell r="C109">
            <v>36489</v>
          </cell>
          <cell r="D109" t="str">
            <v>홍양표</v>
          </cell>
          <cell r="E109">
            <v>10131521</v>
          </cell>
          <cell r="F109">
            <v>650</v>
          </cell>
          <cell r="G109">
            <v>50500</v>
          </cell>
          <cell r="H109">
            <v>33900</v>
          </cell>
          <cell r="I109">
            <v>1</v>
          </cell>
          <cell r="J109">
            <v>1</v>
          </cell>
          <cell r="K109" t="str">
            <v>경수</v>
          </cell>
          <cell r="L109" t="str">
            <v>99-663</v>
          </cell>
        </row>
        <row r="110">
          <cell r="B110" t="str">
            <v>성윤용</v>
          </cell>
          <cell r="D110" t="str">
            <v>성윤용</v>
          </cell>
          <cell r="E110">
            <v>12289251</v>
          </cell>
          <cell r="F110">
            <v>740</v>
          </cell>
          <cell r="G110">
            <v>60300</v>
          </cell>
          <cell r="H110">
            <v>33900</v>
          </cell>
          <cell r="I110">
            <v>1</v>
          </cell>
          <cell r="J110">
            <v>1</v>
          </cell>
          <cell r="K110" t="str">
            <v>`</v>
          </cell>
          <cell r="L110" t="str">
            <v>99-665</v>
          </cell>
        </row>
        <row r="111">
          <cell r="B111" t="str">
            <v>허남선</v>
          </cell>
          <cell r="C111">
            <v>36489</v>
          </cell>
          <cell r="D111" t="str">
            <v>허남선</v>
          </cell>
          <cell r="E111">
            <v>11949306</v>
          </cell>
          <cell r="F111">
            <v>720</v>
          </cell>
          <cell r="G111">
            <v>52700</v>
          </cell>
          <cell r="H111">
            <v>33900</v>
          </cell>
          <cell r="I111">
            <v>1</v>
          </cell>
          <cell r="J111">
            <v>1</v>
          </cell>
          <cell r="K111">
            <v>5008</v>
          </cell>
          <cell r="L111" t="str">
            <v>99-666</v>
          </cell>
        </row>
        <row r="112">
          <cell r="B112" t="str">
            <v xml:space="preserve">(주)인터팩스무역   </v>
          </cell>
          <cell r="C112">
            <v>36481</v>
          </cell>
          <cell r="D112" t="str">
            <v>인터팩스무역</v>
          </cell>
          <cell r="E112">
            <v>99951138</v>
          </cell>
          <cell r="F112">
            <v>2549</v>
          </cell>
          <cell r="G112">
            <v>454700</v>
          </cell>
          <cell r="H112">
            <v>72320</v>
          </cell>
          <cell r="I112">
            <v>1</v>
          </cell>
          <cell r="J112">
            <v>1</v>
          </cell>
          <cell r="L112" t="str">
            <v>99-668</v>
          </cell>
        </row>
        <row r="113">
          <cell r="B113" t="str">
            <v>청세어패럴</v>
          </cell>
          <cell r="D113" t="str">
            <v>청세어패럴</v>
          </cell>
          <cell r="E113">
            <v>116109420</v>
          </cell>
          <cell r="F113">
            <v>2630</v>
          </cell>
          <cell r="G113">
            <v>519400</v>
          </cell>
          <cell r="H113">
            <v>90400</v>
          </cell>
          <cell r="I113">
            <v>1</v>
          </cell>
          <cell r="J113">
            <v>1</v>
          </cell>
          <cell r="K113" t="str">
            <v>특채</v>
          </cell>
          <cell r="L113" t="str">
            <v>99-669</v>
          </cell>
        </row>
        <row r="114">
          <cell r="B114" t="str">
            <v>권태근</v>
          </cell>
          <cell r="C114">
            <v>36493</v>
          </cell>
          <cell r="D114" t="str">
            <v>권태근</v>
          </cell>
          <cell r="E114">
            <v>22328861</v>
          </cell>
          <cell r="F114">
            <v>1142</v>
          </cell>
          <cell r="G114">
            <v>105400</v>
          </cell>
          <cell r="H114">
            <v>72320</v>
          </cell>
          <cell r="I114">
            <v>1</v>
          </cell>
          <cell r="J114">
            <v>1</v>
          </cell>
          <cell r="K114">
            <v>8265</v>
          </cell>
          <cell r="L114" t="str">
            <v>99-670</v>
          </cell>
        </row>
        <row r="115">
          <cell r="B115" t="str">
            <v>정대영</v>
          </cell>
          <cell r="D115" t="str">
            <v>정대영</v>
          </cell>
          <cell r="E115">
            <v>63473643</v>
          </cell>
          <cell r="F115">
            <v>2184</v>
          </cell>
          <cell r="G115">
            <v>290600</v>
          </cell>
          <cell r="H115">
            <v>54240</v>
          </cell>
          <cell r="I115">
            <v>1</v>
          </cell>
          <cell r="J115">
            <v>1</v>
          </cell>
          <cell r="K115">
            <v>9658</v>
          </cell>
          <cell r="L115" t="str">
            <v>99-671</v>
          </cell>
        </row>
        <row r="116">
          <cell r="B116" t="str">
            <v>크레스툴</v>
          </cell>
          <cell r="D116" t="str">
            <v>크레스툴</v>
          </cell>
          <cell r="E116">
            <v>42835554</v>
          </cell>
          <cell r="F116">
            <v>1835</v>
          </cell>
          <cell r="G116">
            <v>197700</v>
          </cell>
          <cell r="H116">
            <v>72320</v>
          </cell>
          <cell r="I116">
            <v>1</v>
          </cell>
          <cell r="J116">
            <v>1</v>
          </cell>
          <cell r="K116" t="str">
            <v>특채</v>
          </cell>
          <cell r="L116" t="str">
            <v>99-672</v>
          </cell>
        </row>
        <row r="117">
          <cell r="B117" t="str">
            <v>㈜보성</v>
          </cell>
          <cell r="D117" t="str">
            <v>보성</v>
          </cell>
          <cell r="E117">
            <v>70891583</v>
          </cell>
          <cell r="F117">
            <v>2258</v>
          </cell>
          <cell r="G117">
            <v>324000</v>
          </cell>
          <cell r="H117">
            <v>90400</v>
          </cell>
          <cell r="I117">
            <v>1</v>
          </cell>
          <cell r="J117">
            <v>1</v>
          </cell>
          <cell r="K117">
            <v>8138</v>
          </cell>
          <cell r="L117" t="str">
            <v>99-684</v>
          </cell>
        </row>
        <row r="118">
          <cell r="B118" t="str">
            <v>(주)브니엘물산</v>
          </cell>
          <cell r="C118">
            <v>36509</v>
          </cell>
          <cell r="D118" t="str">
            <v>브니엘물산</v>
          </cell>
          <cell r="E118">
            <v>118094301</v>
          </cell>
          <cell r="F118">
            <v>2640</v>
          </cell>
          <cell r="G118">
            <v>527300</v>
          </cell>
          <cell r="H118">
            <v>72320</v>
          </cell>
          <cell r="I118">
            <v>1</v>
          </cell>
          <cell r="J118">
            <v>1</v>
          </cell>
          <cell r="K118">
            <v>4507</v>
          </cell>
          <cell r="L118" t="str">
            <v>99-687</v>
          </cell>
        </row>
        <row r="119">
          <cell r="B119" t="str">
            <v>최일수</v>
          </cell>
          <cell r="D119" t="str">
            <v>송진의</v>
          </cell>
          <cell r="E119">
            <v>13412916</v>
          </cell>
          <cell r="F119">
            <v>786</v>
          </cell>
          <cell r="G119">
            <v>65300</v>
          </cell>
          <cell r="H119">
            <v>56500</v>
          </cell>
          <cell r="I119">
            <v>1</v>
          </cell>
          <cell r="J119">
            <v>1</v>
          </cell>
          <cell r="K119">
            <v>7397</v>
          </cell>
          <cell r="L119" t="str">
            <v>99-690</v>
          </cell>
        </row>
        <row r="120">
          <cell r="B120" t="str">
            <v>김승열</v>
          </cell>
          <cell r="C120">
            <v>36525</v>
          </cell>
          <cell r="D120" t="str">
            <v>송길수</v>
          </cell>
          <cell r="E120">
            <v>5909600</v>
          </cell>
          <cell r="F120">
            <v>750</v>
          </cell>
          <cell r="G120">
            <v>39500</v>
          </cell>
          <cell r="H120">
            <v>45200</v>
          </cell>
          <cell r="I120">
            <v>1</v>
          </cell>
          <cell r="J120">
            <v>1</v>
          </cell>
          <cell r="K120" t="str">
            <v>경인</v>
          </cell>
          <cell r="L120" t="str">
            <v>99-693</v>
          </cell>
        </row>
        <row r="121">
          <cell r="B121" t="str">
            <v>박형식</v>
          </cell>
          <cell r="D121" t="str">
            <v>박형식</v>
          </cell>
          <cell r="E121">
            <v>13107170</v>
          </cell>
          <cell r="F121">
            <v>775</v>
          </cell>
          <cell r="G121">
            <v>63900</v>
          </cell>
          <cell r="H121">
            <v>33900</v>
          </cell>
          <cell r="I121">
            <v>1</v>
          </cell>
          <cell r="J121">
            <v>1</v>
          </cell>
          <cell r="K121">
            <v>4994</v>
          </cell>
          <cell r="L121" t="str">
            <v>99-694</v>
          </cell>
        </row>
        <row r="122">
          <cell r="B122" t="str">
            <v>김명수</v>
          </cell>
          <cell r="C122">
            <v>36488</v>
          </cell>
          <cell r="D122" t="str">
            <v>김명수</v>
          </cell>
          <cell r="E122">
            <v>10540318</v>
          </cell>
          <cell r="F122">
            <v>680</v>
          </cell>
          <cell r="G122">
            <v>52400</v>
          </cell>
          <cell r="H122">
            <v>33900</v>
          </cell>
          <cell r="I122">
            <v>1</v>
          </cell>
          <cell r="J122">
            <v>1</v>
          </cell>
          <cell r="K122">
            <v>7127</v>
          </cell>
          <cell r="L122" t="str">
            <v>99-695</v>
          </cell>
        </row>
        <row r="123">
          <cell r="B123" t="str">
            <v>윤경순</v>
          </cell>
          <cell r="C123">
            <v>36488</v>
          </cell>
          <cell r="D123" t="str">
            <v>윤경순</v>
          </cell>
          <cell r="E123">
            <v>10858080</v>
          </cell>
          <cell r="F123">
            <v>700</v>
          </cell>
          <cell r="G123">
            <v>53800</v>
          </cell>
          <cell r="H123">
            <v>33900</v>
          </cell>
          <cell r="I123">
            <v>1</v>
          </cell>
          <cell r="J123">
            <v>1</v>
          </cell>
          <cell r="K123">
            <v>7092</v>
          </cell>
          <cell r="L123" t="str">
            <v>99-696</v>
          </cell>
        </row>
        <row r="124">
          <cell r="B124" t="str">
            <v>김양자</v>
          </cell>
          <cell r="C124">
            <v>36476</v>
          </cell>
          <cell r="D124" t="str">
            <v>김양자</v>
          </cell>
          <cell r="E124">
            <v>24191840</v>
          </cell>
          <cell r="F124">
            <v>1217</v>
          </cell>
          <cell r="G124">
            <v>113800</v>
          </cell>
          <cell r="H124">
            <v>33900</v>
          </cell>
          <cell r="I124">
            <v>1</v>
          </cell>
          <cell r="J124">
            <v>1</v>
          </cell>
          <cell r="K124">
            <v>1603</v>
          </cell>
          <cell r="L124" t="str">
            <v>99-706</v>
          </cell>
        </row>
        <row r="125">
          <cell r="B125" t="str">
            <v>이화자</v>
          </cell>
          <cell r="D125" t="str">
            <v>이화자</v>
          </cell>
          <cell r="E125">
            <v>2000000</v>
          </cell>
          <cell r="F125">
            <v>190</v>
          </cell>
          <cell r="G125">
            <v>10000</v>
          </cell>
          <cell r="H125">
            <v>33900</v>
          </cell>
          <cell r="I125">
            <v>1</v>
          </cell>
          <cell r="J125">
            <v>1</v>
          </cell>
          <cell r="K125">
            <v>3226</v>
          </cell>
          <cell r="L125" t="str">
            <v>99-711</v>
          </cell>
        </row>
        <row r="126">
          <cell r="B126" t="str">
            <v>이춘기</v>
          </cell>
          <cell r="D126" t="str">
            <v>이춘기</v>
          </cell>
          <cell r="E126">
            <v>8209910</v>
          </cell>
          <cell r="F126">
            <v>560</v>
          </cell>
          <cell r="G126">
            <v>41000</v>
          </cell>
          <cell r="H126">
            <v>45200</v>
          </cell>
          <cell r="I126">
            <v>1</v>
          </cell>
          <cell r="J126">
            <v>1</v>
          </cell>
          <cell r="K126" t="str">
            <v>경인</v>
          </cell>
          <cell r="L126" t="str">
            <v>99-714</v>
          </cell>
        </row>
        <row r="127">
          <cell r="B127" t="str">
            <v>인풍종합건설㈜</v>
          </cell>
          <cell r="C127">
            <v>36481</v>
          </cell>
          <cell r="D127" t="str">
            <v>김재완</v>
          </cell>
          <cell r="E127">
            <v>115095500</v>
          </cell>
          <cell r="F127">
            <v>2625</v>
          </cell>
          <cell r="G127">
            <v>0</v>
          </cell>
          <cell r="H127">
            <v>0</v>
          </cell>
          <cell r="I127">
            <v>1</v>
          </cell>
          <cell r="J127">
            <v>3</v>
          </cell>
          <cell r="K127" t="str">
            <v>경수</v>
          </cell>
          <cell r="L127" t="str">
            <v>99-715</v>
          </cell>
        </row>
        <row r="128">
          <cell r="B128" t="str">
            <v>김태순</v>
          </cell>
          <cell r="C128">
            <v>36489</v>
          </cell>
          <cell r="D128" t="str">
            <v>김태순</v>
          </cell>
          <cell r="E128">
            <v>4358685</v>
          </cell>
          <cell r="F128">
            <v>361</v>
          </cell>
          <cell r="G128">
            <v>21700</v>
          </cell>
          <cell r="H128">
            <v>33900</v>
          </cell>
          <cell r="I128">
            <v>1</v>
          </cell>
          <cell r="J128">
            <v>1</v>
          </cell>
          <cell r="K128">
            <v>6852</v>
          </cell>
          <cell r="L128" t="str">
            <v>99-716</v>
          </cell>
        </row>
        <row r="129">
          <cell r="B129" t="str">
            <v>박봉인</v>
          </cell>
          <cell r="D129" t="str">
            <v>박봉인</v>
          </cell>
          <cell r="E129">
            <v>5755071</v>
          </cell>
          <cell r="F129">
            <v>437</v>
          </cell>
          <cell r="G129">
            <v>28700</v>
          </cell>
          <cell r="H129">
            <v>33900</v>
          </cell>
          <cell r="I129">
            <v>1</v>
          </cell>
          <cell r="J129">
            <v>1</v>
          </cell>
          <cell r="K129">
            <v>6850</v>
          </cell>
          <cell r="L129" t="str">
            <v>99-717</v>
          </cell>
        </row>
        <row r="130">
          <cell r="B130" t="str">
            <v>정한량</v>
          </cell>
          <cell r="C130">
            <v>36489</v>
          </cell>
          <cell r="D130" t="str">
            <v>정한량</v>
          </cell>
          <cell r="E130">
            <v>2664739</v>
          </cell>
          <cell r="F130">
            <v>243</v>
          </cell>
          <cell r="G130">
            <v>13300</v>
          </cell>
          <cell r="H130">
            <v>22600</v>
          </cell>
          <cell r="I130">
            <v>1</v>
          </cell>
          <cell r="J130">
            <v>1</v>
          </cell>
          <cell r="K130">
            <v>6522</v>
          </cell>
          <cell r="L130" t="str">
            <v>99-719</v>
          </cell>
        </row>
        <row r="131">
          <cell r="B131" t="str">
            <v>이호우</v>
          </cell>
          <cell r="C131">
            <v>36461</v>
          </cell>
          <cell r="D131" t="str">
            <v>이호우</v>
          </cell>
          <cell r="E131">
            <v>22704017</v>
          </cell>
          <cell r="F131">
            <v>1158</v>
          </cell>
          <cell r="G131">
            <v>107100</v>
          </cell>
          <cell r="H131">
            <v>33900</v>
          </cell>
          <cell r="I131">
            <v>1</v>
          </cell>
          <cell r="J131">
            <v>1</v>
          </cell>
          <cell r="K131">
            <v>6675</v>
          </cell>
          <cell r="L131" t="str">
            <v>99-723</v>
          </cell>
        </row>
        <row r="132">
          <cell r="B132" t="str">
            <v>강주경</v>
          </cell>
          <cell r="C132">
            <v>36475</v>
          </cell>
          <cell r="D132" t="str">
            <v>강주경</v>
          </cell>
          <cell r="E132">
            <v>10451192</v>
          </cell>
          <cell r="F132">
            <v>668</v>
          </cell>
          <cell r="G132">
            <v>52000</v>
          </cell>
          <cell r="H132">
            <v>33900</v>
          </cell>
          <cell r="I132">
            <v>1</v>
          </cell>
          <cell r="J132">
            <v>1</v>
          </cell>
          <cell r="K132" t="str">
            <v>특채</v>
          </cell>
          <cell r="L132" t="str">
            <v>99-726</v>
          </cell>
        </row>
        <row r="133">
          <cell r="B133" t="str">
            <v>최완경</v>
          </cell>
          <cell r="C133">
            <v>36475</v>
          </cell>
          <cell r="D133" t="str">
            <v>최완경</v>
          </cell>
          <cell r="E133">
            <v>16310499</v>
          </cell>
          <cell r="F133">
            <v>902</v>
          </cell>
          <cell r="G133">
            <v>78300</v>
          </cell>
          <cell r="H133">
            <v>45200</v>
          </cell>
          <cell r="I133">
            <v>1</v>
          </cell>
          <cell r="J133">
            <v>1</v>
          </cell>
          <cell r="K133" t="str">
            <v>특채</v>
          </cell>
          <cell r="L133" t="str">
            <v>99-727</v>
          </cell>
        </row>
        <row r="134">
          <cell r="B134" t="str">
            <v>㈜광한건미</v>
          </cell>
          <cell r="D134" t="str">
            <v>광한건미</v>
          </cell>
          <cell r="E134">
            <v>4675041</v>
          </cell>
          <cell r="F134">
            <v>380</v>
          </cell>
          <cell r="G134">
            <v>23300</v>
          </cell>
          <cell r="H134">
            <v>45200</v>
          </cell>
          <cell r="I134">
            <v>1</v>
          </cell>
          <cell r="J134">
            <v>1</v>
          </cell>
          <cell r="K134" t="str">
            <v>특채</v>
          </cell>
          <cell r="L134" t="str">
            <v>99-728</v>
          </cell>
        </row>
        <row r="135">
          <cell r="B135" t="str">
            <v>최영자</v>
          </cell>
          <cell r="C135">
            <v>36525</v>
          </cell>
          <cell r="D135" t="str">
            <v>최영자</v>
          </cell>
          <cell r="E135">
            <v>4583545</v>
          </cell>
          <cell r="F135">
            <v>400</v>
          </cell>
          <cell r="G135">
            <v>22900</v>
          </cell>
          <cell r="H135">
            <v>33900</v>
          </cell>
          <cell r="I135">
            <v>1</v>
          </cell>
          <cell r="J135">
            <v>1</v>
          </cell>
          <cell r="K135" t="str">
            <v>특채</v>
          </cell>
          <cell r="L135" t="str">
            <v>99-731</v>
          </cell>
        </row>
        <row r="136">
          <cell r="B136" t="str">
            <v>박옥</v>
          </cell>
          <cell r="C136">
            <v>36489</v>
          </cell>
          <cell r="D136" t="str">
            <v>박옥</v>
          </cell>
          <cell r="E136">
            <v>11518710</v>
          </cell>
          <cell r="F136">
            <v>710</v>
          </cell>
          <cell r="G136">
            <v>51800</v>
          </cell>
          <cell r="H136">
            <v>45200</v>
          </cell>
          <cell r="I136">
            <v>1</v>
          </cell>
          <cell r="J136">
            <v>1</v>
          </cell>
          <cell r="K136">
            <v>1918</v>
          </cell>
          <cell r="L136" t="str">
            <v>99-735</v>
          </cell>
        </row>
        <row r="137">
          <cell r="B137" t="str">
            <v>김종완</v>
          </cell>
          <cell r="C137">
            <v>36486</v>
          </cell>
          <cell r="D137" t="str">
            <v>김종완</v>
          </cell>
          <cell r="E137">
            <v>2203995</v>
          </cell>
          <cell r="F137">
            <v>200</v>
          </cell>
          <cell r="G137">
            <v>11000</v>
          </cell>
          <cell r="H137">
            <v>22600</v>
          </cell>
          <cell r="I137">
            <v>1</v>
          </cell>
          <cell r="J137">
            <v>1</v>
          </cell>
          <cell r="K137" t="str">
            <v>특채</v>
          </cell>
          <cell r="L137" t="str">
            <v>99-736</v>
          </cell>
        </row>
        <row r="138">
          <cell r="B138" t="str">
            <v>임규선</v>
          </cell>
          <cell r="C138">
            <v>36486</v>
          </cell>
          <cell r="D138" t="str">
            <v>임규선</v>
          </cell>
          <cell r="E138">
            <v>5734470</v>
          </cell>
          <cell r="F138">
            <v>430</v>
          </cell>
          <cell r="G138">
            <v>28600</v>
          </cell>
          <cell r="H138">
            <v>22600</v>
          </cell>
          <cell r="I138">
            <v>1</v>
          </cell>
          <cell r="J138">
            <v>1</v>
          </cell>
          <cell r="K138" t="str">
            <v>특채</v>
          </cell>
          <cell r="L138" t="str">
            <v>99-737</v>
          </cell>
        </row>
        <row r="139">
          <cell r="B139" t="str">
            <v>이재훈</v>
          </cell>
          <cell r="C139">
            <v>36529</v>
          </cell>
          <cell r="D139" t="str">
            <v>이재훈</v>
          </cell>
          <cell r="E139">
            <v>61569994</v>
          </cell>
          <cell r="F139">
            <v>2165</v>
          </cell>
          <cell r="G139">
            <v>282000</v>
          </cell>
          <cell r="H139">
            <v>67800</v>
          </cell>
          <cell r="I139">
            <v>1</v>
          </cell>
          <cell r="J139">
            <v>1</v>
          </cell>
          <cell r="K139" t="str">
            <v>특채</v>
          </cell>
          <cell r="L139" t="str">
            <v>99-738</v>
          </cell>
        </row>
        <row r="140">
          <cell r="B140" t="str">
            <v>㈜골드리치</v>
          </cell>
          <cell r="C140">
            <v>36524</v>
          </cell>
          <cell r="D140" t="str">
            <v>골드리치</v>
          </cell>
          <cell r="E140">
            <v>772805426</v>
          </cell>
          <cell r="F140">
            <v>5914</v>
          </cell>
          <cell r="G140">
            <v>3146200</v>
          </cell>
          <cell r="H140">
            <v>72320</v>
          </cell>
          <cell r="I140">
            <v>1</v>
          </cell>
          <cell r="J140">
            <v>1</v>
          </cell>
          <cell r="K140" t="str">
            <v>특채</v>
          </cell>
          <cell r="L140" t="str">
            <v>99-741</v>
          </cell>
        </row>
        <row r="141">
          <cell r="B141" t="str">
            <v>조동호</v>
          </cell>
          <cell r="C141">
            <v>36474</v>
          </cell>
          <cell r="D141" t="str">
            <v>조동호</v>
          </cell>
          <cell r="E141">
            <v>16500000</v>
          </cell>
          <cell r="F141">
            <v>910</v>
          </cell>
          <cell r="G141">
            <v>79200</v>
          </cell>
          <cell r="H141">
            <v>22600</v>
          </cell>
          <cell r="I141">
            <v>1</v>
          </cell>
          <cell r="J141">
            <v>2</v>
          </cell>
          <cell r="K141">
            <v>12157</v>
          </cell>
          <cell r="L141" t="str">
            <v>99-742</v>
          </cell>
        </row>
        <row r="142">
          <cell r="B142" t="str">
            <v>정승훈</v>
          </cell>
          <cell r="C142">
            <v>36474</v>
          </cell>
          <cell r="D142" t="str">
            <v>정승훈</v>
          </cell>
          <cell r="E142">
            <v>20434694</v>
          </cell>
          <cell r="F142">
            <v>1067</v>
          </cell>
          <cell r="G142">
            <v>96900</v>
          </cell>
          <cell r="H142">
            <v>54240</v>
          </cell>
          <cell r="I142">
            <v>1</v>
          </cell>
          <cell r="J142">
            <v>1</v>
          </cell>
          <cell r="K142">
            <v>1</v>
          </cell>
          <cell r="L142" t="str">
            <v>99-743</v>
          </cell>
        </row>
        <row r="143">
          <cell r="B143" t="str">
            <v>㈜동원항타</v>
          </cell>
          <cell r="C143">
            <v>36493</v>
          </cell>
          <cell r="D143" t="str">
            <v>동원항타</v>
          </cell>
          <cell r="E143">
            <v>160000000</v>
          </cell>
          <cell r="F143">
            <v>2850</v>
          </cell>
          <cell r="G143">
            <v>695000</v>
          </cell>
          <cell r="H143">
            <v>54240</v>
          </cell>
          <cell r="I143">
            <v>1</v>
          </cell>
          <cell r="J143">
            <v>2</v>
          </cell>
          <cell r="K143" t="str">
            <v>경매</v>
          </cell>
          <cell r="L143" t="str">
            <v>99-744</v>
          </cell>
        </row>
        <row r="144">
          <cell r="B144" t="str">
            <v>손낙유</v>
          </cell>
          <cell r="C144">
            <v>36512</v>
          </cell>
          <cell r="D144" t="str">
            <v>김영환</v>
          </cell>
          <cell r="E144">
            <v>12000000</v>
          </cell>
          <cell r="F144">
            <v>730</v>
          </cell>
          <cell r="G144">
            <v>0</v>
          </cell>
          <cell r="H144">
            <v>0</v>
          </cell>
          <cell r="I144">
            <v>1</v>
          </cell>
          <cell r="J144">
            <v>3</v>
          </cell>
          <cell r="K144" t="str">
            <v>심익중</v>
          </cell>
          <cell r="L144" t="str">
            <v>99-745</v>
          </cell>
        </row>
        <row r="145">
          <cell r="B145" t="str">
            <v>손낙유</v>
          </cell>
          <cell r="D145" t="str">
            <v>김장환</v>
          </cell>
          <cell r="E145">
            <v>12000000</v>
          </cell>
          <cell r="F145">
            <v>730</v>
          </cell>
          <cell r="G145">
            <v>0</v>
          </cell>
          <cell r="H145">
            <v>0</v>
          </cell>
          <cell r="I145">
            <v>1</v>
          </cell>
          <cell r="J145">
            <v>3</v>
          </cell>
          <cell r="K145" t="str">
            <v>심익중</v>
          </cell>
          <cell r="L145" t="str">
            <v>99-746</v>
          </cell>
        </row>
        <row r="146">
          <cell r="B146" t="str">
            <v>신순식</v>
          </cell>
          <cell r="C146">
            <v>36489</v>
          </cell>
          <cell r="D146" t="str">
            <v>신순식</v>
          </cell>
          <cell r="E146">
            <v>16420751</v>
          </cell>
          <cell r="F146">
            <v>906</v>
          </cell>
          <cell r="G146">
            <v>78800</v>
          </cell>
          <cell r="H146">
            <v>33900</v>
          </cell>
          <cell r="I146">
            <v>1</v>
          </cell>
          <cell r="J146">
            <v>1</v>
          </cell>
          <cell r="K146" t="str">
            <v>특채</v>
          </cell>
          <cell r="L146" t="str">
            <v>99-748</v>
          </cell>
        </row>
        <row r="147">
          <cell r="B147" t="str">
            <v>㈜대룡실업</v>
          </cell>
          <cell r="C147">
            <v>36474</v>
          </cell>
          <cell r="D147" t="str">
            <v>대룡실업</v>
          </cell>
          <cell r="E147">
            <v>133271030</v>
          </cell>
          <cell r="F147">
            <v>2716</v>
          </cell>
          <cell r="G147">
            <v>58800</v>
          </cell>
          <cell r="H147">
            <v>72320</v>
          </cell>
          <cell r="I147">
            <v>1</v>
          </cell>
          <cell r="J147">
            <v>1</v>
          </cell>
          <cell r="K147" t="str">
            <v>특채</v>
          </cell>
          <cell r="L147" t="str">
            <v>99-749</v>
          </cell>
        </row>
        <row r="148">
          <cell r="B148" t="str">
            <v>삼륭산업㈜</v>
          </cell>
          <cell r="C148">
            <v>36487</v>
          </cell>
          <cell r="D148" t="str">
            <v>삼륭산업㈜</v>
          </cell>
          <cell r="E148">
            <v>236284520</v>
          </cell>
          <cell r="F148">
            <v>3231</v>
          </cell>
          <cell r="G148">
            <v>1000100</v>
          </cell>
          <cell r="H148">
            <v>72320</v>
          </cell>
          <cell r="I148">
            <v>1</v>
          </cell>
          <cell r="J148">
            <v>1</v>
          </cell>
          <cell r="K148" t="str">
            <v>특채</v>
          </cell>
          <cell r="L148" t="str">
            <v>99-750</v>
          </cell>
        </row>
        <row r="149">
          <cell r="B149" t="str">
            <v>㈜봉쥴통상</v>
          </cell>
          <cell r="C149">
            <v>36486</v>
          </cell>
          <cell r="D149" t="str">
            <v>봉쥴통상</v>
          </cell>
          <cell r="E149">
            <v>39176695</v>
          </cell>
          <cell r="F149">
            <v>2000</v>
          </cell>
          <cell r="G149">
            <v>181200</v>
          </cell>
          <cell r="H149">
            <v>90400</v>
          </cell>
          <cell r="I149">
            <v>1</v>
          </cell>
          <cell r="J149">
            <v>1</v>
          </cell>
          <cell r="L149" t="str">
            <v>99-751</v>
          </cell>
        </row>
        <row r="150">
          <cell r="B150" t="str">
            <v>㈜진양크리에이션</v>
          </cell>
          <cell r="D150" t="str">
            <v>진양크리에이션</v>
          </cell>
          <cell r="E150">
            <v>94637088</v>
          </cell>
          <cell r="F150">
            <v>2450</v>
          </cell>
          <cell r="G150">
            <v>430800</v>
          </cell>
          <cell r="H150">
            <v>126560</v>
          </cell>
          <cell r="I150">
            <v>1</v>
          </cell>
          <cell r="J150">
            <v>1</v>
          </cell>
          <cell r="K150" t="str">
            <v>특채</v>
          </cell>
          <cell r="L150" t="str">
            <v>99-752</v>
          </cell>
        </row>
        <row r="151">
          <cell r="B151" t="str">
            <v>임진수</v>
          </cell>
          <cell r="C151">
            <v>36489</v>
          </cell>
          <cell r="D151" t="str">
            <v>임진수</v>
          </cell>
          <cell r="E151">
            <v>13596234</v>
          </cell>
          <cell r="F151">
            <v>1000</v>
          </cell>
          <cell r="G151">
            <v>66100</v>
          </cell>
          <cell r="H151">
            <v>45200</v>
          </cell>
          <cell r="I151">
            <v>1</v>
          </cell>
          <cell r="J151">
            <v>1</v>
          </cell>
          <cell r="K151" t="str">
            <v>특채</v>
          </cell>
          <cell r="L151" t="str">
            <v>99-753</v>
          </cell>
        </row>
        <row r="152">
          <cell r="B152" t="str">
            <v>천혜종합건설㈜</v>
          </cell>
          <cell r="C152">
            <v>36528</v>
          </cell>
          <cell r="D152" t="str">
            <v>천혜종합건설㈜</v>
          </cell>
          <cell r="E152">
            <v>854941019</v>
          </cell>
          <cell r="F152">
            <v>6324</v>
          </cell>
          <cell r="G152">
            <v>3852200</v>
          </cell>
          <cell r="H152">
            <v>72320</v>
          </cell>
          <cell r="I152">
            <v>1</v>
          </cell>
          <cell r="J152">
            <v>1</v>
          </cell>
          <cell r="K152" t="str">
            <v>특채</v>
          </cell>
          <cell r="L152" t="str">
            <v>99-754</v>
          </cell>
        </row>
        <row r="153">
          <cell r="B153" t="str">
            <v>이정인</v>
          </cell>
          <cell r="C153">
            <v>36477</v>
          </cell>
          <cell r="D153" t="str">
            <v>이정인</v>
          </cell>
          <cell r="E153">
            <v>37493983</v>
          </cell>
          <cell r="F153">
            <v>1774</v>
          </cell>
          <cell r="G153">
            <v>173700</v>
          </cell>
          <cell r="H153">
            <v>54240</v>
          </cell>
          <cell r="I153">
            <v>1</v>
          </cell>
          <cell r="J153">
            <v>1</v>
          </cell>
          <cell r="L153" t="str">
            <v>99-755</v>
          </cell>
        </row>
        <row r="154">
          <cell r="B154" t="str">
            <v>엘리펀트</v>
          </cell>
          <cell r="C154">
            <v>36486</v>
          </cell>
          <cell r="D154" t="str">
            <v>엘리펀트</v>
          </cell>
          <cell r="E154">
            <v>436090516</v>
          </cell>
          <cell r="F154">
            <v>4230</v>
          </cell>
          <cell r="G154">
            <v>1779300</v>
          </cell>
          <cell r="H154">
            <v>113000</v>
          </cell>
          <cell r="I154">
            <v>1</v>
          </cell>
          <cell r="J154">
            <v>1</v>
          </cell>
          <cell r="K154">
            <v>4169</v>
          </cell>
          <cell r="L154" t="str">
            <v>99-758</v>
          </cell>
        </row>
        <row r="155">
          <cell r="B155" t="str">
            <v>㈜디자인케이</v>
          </cell>
          <cell r="D155" t="str">
            <v>디자인케이</v>
          </cell>
          <cell r="E155">
            <v>82666771</v>
          </cell>
          <cell r="F155">
            <v>2376</v>
          </cell>
          <cell r="G155">
            <v>377000</v>
          </cell>
          <cell r="H155">
            <v>72320</v>
          </cell>
          <cell r="I155">
            <v>1</v>
          </cell>
          <cell r="J155">
            <v>1</v>
          </cell>
          <cell r="K155" t="str">
            <v>특채</v>
          </cell>
          <cell r="L155" t="str">
            <v>99-759</v>
          </cell>
        </row>
        <row r="156">
          <cell r="B156" t="str">
            <v xml:space="preserve">㈜대진시스템  </v>
          </cell>
          <cell r="D156" t="str">
            <v>대진시스템</v>
          </cell>
          <cell r="E156">
            <v>68711871</v>
          </cell>
          <cell r="F156">
            <v>2237</v>
          </cell>
          <cell r="G156">
            <v>314200</v>
          </cell>
          <cell r="H156">
            <v>72320</v>
          </cell>
          <cell r="I156">
            <v>1</v>
          </cell>
          <cell r="J156">
            <v>1</v>
          </cell>
          <cell r="K156" t="str">
            <v>특채</v>
          </cell>
          <cell r="L156" t="str">
            <v>99-760</v>
          </cell>
        </row>
        <row r="157">
          <cell r="B157" t="str">
            <v>강정식</v>
          </cell>
          <cell r="C157">
            <v>36475</v>
          </cell>
          <cell r="D157" t="str">
            <v>강정식</v>
          </cell>
          <cell r="E157">
            <v>32128766</v>
          </cell>
          <cell r="F157">
            <v>1513</v>
          </cell>
          <cell r="G157">
            <v>149500</v>
          </cell>
          <cell r="H157">
            <v>34160</v>
          </cell>
          <cell r="I157">
            <v>1</v>
          </cell>
          <cell r="J157">
            <v>1</v>
          </cell>
          <cell r="K157" t="str">
            <v>특채</v>
          </cell>
          <cell r="L157" t="str">
            <v>99-761</v>
          </cell>
        </row>
        <row r="158">
          <cell r="B158" t="str">
            <v>이춘복</v>
          </cell>
          <cell r="D158" t="str">
            <v>이춘복</v>
          </cell>
          <cell r="E158">
            <v>18478079</v>
          </cell>
          <cell r="F158">
            <v>1089</v>
          </cell>
          <cell r="G158">
            <v>88100</v>
          </cell>
          <cell r="H158">
            <v>45200</v>
          </cell>
          <cell r="I158">
            <v>1</v>
          </cell>
          <cell r="J158">
            <v>1</v>
          </cell>
          <cell r="K158" t="str">
            <v>특채</v>
          </cell>
          <cell r="L158" t="str">
            <v>99-762</v>
          </cell>
        </row>
        <row r="159">
          <cell r="B159" t="str">
            <v>한병훈</v>
          </cell>
          <cell r="D159" t="str">
            <v>한병훈</v>
          </cell>
          <cell r="E159">
            <v>74458355</v>
          </cell>
          <cell r="F159">
            <v>2294</v>
          </cell>
          <cell r="G159">
            <v>0</v>
          </cell>
          <cell r="H159">
            <v>0</v>
          </cell>
          <cell r="I159">
            <v>1</v>
          </cell>
          <cell r="J159">
            <v>1</v>
          </cell>
          <cell r="K159" t="str">
            <v>인사부</v>
          </cell>
          <cell r="L159" t="str">
            <v>99-763</v>
          </cell>
        </row>
        <row r="160">
          <cell r="B160" t="str">
            <v>이재길</v>
          </cell>
          <cell r="D160" t="str">
            <v>이재길</v>
          </cell>
          <cell r="E160">
            <v>200000000</v>
          </cell>
          <cell r="F160">
            <v>3050</v>
          </cell>
          <cell r="G160">
            <v>855000</v>
          </cell>
          <cell r="H160">
            <v>45200</v>
          </cell>
          <cell r="I160">
            <v>1</v>
          </cell>
          <cell r="J160">
            <v>1</v>
          </cell>
          <cell r="K160" t="str">
            <v>중앙</v>
          </cell>
          <cell r="L160" t="str">
            <v>99-764</v>
          </cell>
        </row>
        <row r="161">
          <cell r="B161" t="str">
            <v>강종훈</v>
          </cell>
          <cell r="D161" t="str">
            <v>강종훈</v>
          </cell>
          <cell r="E161">
            <v>45562224</v>
          </cell>
          <cell r="F161">
            <v>1916</v>
          </cell>
          <cell r="G161">
            <v>210000</v>
          </cell>
          <cell r="H161">
            <v>45200</v>
          </cell>
          <cell r="I161">
            <v>1</v>
          </cell>
          <cell r="J161">
            <v>1</v>
          </cell>
          <cell r="K161" t="str">
            <v>중앙</v>
          </cell>
          <cell r="L161" t="str">
            <v>99-765</v>
          </cell>
        </row>
        <row r="162">
          <cell r="B162" t="str">
            <v>심이보</v>
          </cell>
          <cell r="C162">
            <v>36498</v>
          </cell>
          <cell r="D162" t="str">
            <v>심이보</v>
          </cell>
          <cell r="E162">
            <v>8640601</v>
          </cell>
          <cell r="F162">
            <v>580</v>
          </cell>
          <cell r="G162">
            <v>43200</v>
          </cell>
          <cell r="H162">
            <v>45200</v>
          </cell>
          <cell r="I162">
            <v>1</v>
          </cell>
          <cell r="J162">
            <v>1</v>
          </cell>
          <cell r="K162" t="str">
            <v>특채</v>
          </cell>
          <cell r="L162" t="str">
            <v>99-768</v>
          </cell>
        </row>
        <row r="163">
          <cell r="B163" t="str">
            <v>고영래</v>
          </cell>
          <cell r="C163">
            <v>36498</v>
          </cell>
          <cell r="D163" t="str">
            <v>고영래</v>
          </cell>
          <cell r="E163">
            <v>3085888</v>
          </cell>
          <cell r="F163">
            <v>270</v>
          </cell>
          <cell r="G163">
            <v>15400</v>
          </cell>
          <cell r="H163">
            <v>33900</v>
          </cell>
          <cell r="I163">
            <v>1</v>
          </cell>
          <cell r="J163">
            <v>1</v>
          </cell>
          <cell r="K163" t="str">
            <v>특채</v>
          </cell>
          <cell r="L163" t="str">
            <v>99-769</v>
          </cell>
        </row>
        <row r="164">
          <cell r="B164" t="str">
            <v>이문수</v>
          </cell>
          <cell r="C164">
            <v>36498</v>
          </cell>
          <cell r="D164" t="str">
            <v>이문수</v>
          </cell>
          <cell r="E164">
            <v>17473052</v>
          </cell>
          <cell r="F164">
            <v>940</v>
          </cell>
          <cell r="G164">
            <v>83600</v>
          </cell>
          <cell r="H164">
            <v>45200</v>
          </cell>
          <cell r="I164">
            <v>1</v>
          </cell>
          <cell r="J164">
            <v>1</v>
          </cell>
          <cell r="K164" t="str">
            <v>특채</v>
          </cell>
          <cell r="L164" t="str">
            <v>99-770</v>
          </cell>
        </row>
        <row r="165">
          <cell r="B165" t="str">
            <v>강연구</v>
          </cell>
          <cell r="C165">
            <v>36498</v>
          </cell>
          <cell r="D165" t="str">
            <v>강연구</v>
          </cell>
          <cell r="E165">
            <v>14769524</v>
          </cell>
          <cell r="F165">
            <v>840</v>
          </cell>
          <cell r="G165">
            <v>71400</v>
          </cell>
          <cell r="H165">
            <v>33900</v>
          </cell>
          <cell r="I165">
            <v>1</v>
          </cell>
          <cell r="J165">
            <v>1</v>
          </cell>
          <cell r="K165" t="str">
            <v>특채</v>
          </cell>
          <cell r="L165" t="str">
            <v>99-771</v>
          </cell>
        </row>
        <row r="166">
          <cell r="B166" t="str">
            <v>구자홍</v>
          </cell>
          <cell r="D166" t="str">
            <v>구자홍</v>
          </cell>
          <cell r="E166">
            <v>107343663</v>
          </cell>
          <cell r="F166">
            <v>2580</v>
          </cell>
          <cell r="G166">
            <v>484300</v>
          </cell>
          <cell r="H166">
            <v>90400</v>
          </cell>
          <cell r="I166">
            <v>1</v>
          </cell>
          <cell r="J166">
            <v>1</v>
          </cell>
          <cell r="K166" t="str">
            <v>특채</v>
          </cell>
          <cell r="L166" t="str">
            <v>99-772</v>
          </cell>
        </row>
        <row r="167">
          <cell r="B167" t="str">
            <v>백자현</v>
          </cell>
          <cell r="D167" t="str">
            <v>백자현</v>
          </cell>
          <cell r="E167">
            <v>20336075</v>
          </cell>
          <cell r="F167">
            <v>1100</v>
          </cell>
          <cell r="G167">
            <v>96500</v>
          </cell>
          <cell r="H167">
            <v>72320</v>
          </cell>
          <cell r="I167">
            <v>1</v>
          </cell>
          <cell r="J167">
            <v>1</v>
          </cell>
          <cell r="K167" t="str">
            <v>경인</v>
          </cell>
          <cell r="L167" t="str">
            <v>99-774</v>
          </cell>
        </row>
        <row r="168">
          <cell r="B168" t="str">
            <v>안준호</v>
          </cell>
          <cell r="D168" t="str">
            <v>안준호</v>
          </cell>
          <cell r="E168">
            <v>13506673</v>
          </cell>
          <cell r="F168">
            <v>800</v>
          </cell>
          <cell r="G168">
            <v>65700</v>
          </cell>
          <cell r="H168">
            <v>45200</v>
          </cell>
          <cell r="I168">
            <v>1</v>
          </cell>
          <cell r="J168">
            <v>1</v>
          </cell>
          <cell r="K168" t="str">
            <v>경인</v>
          </cell>
          <cell r="L168" t="str">
            <v>99-775</v>
          </cell>
        </row>
        <row r="169">
          <cell r="B169" t="str">
            <v>유기세</v>
          </cell>
          <cell r="C169">
            <v>36489</v>
          </cell>
          <cell r="D169" t="str">
            <v>유기세</v>
          </cell>
          <cell r="E169">
            <v>30000000</v>
          </cell>
          <cell r="F169">
            <v>1450</v>
          </cell>
          <cell r="G169">
            <v>140000</v>
          </cell>
          <cell r="H169">
            <v>36160</v>
          </cell>
          <cell r="I169">
            <v>1</v>
          </cell>
          <cell r="J169">
            <v>1</v>
          </cell>
          <cell r="K169">
            <v>5182</v>
          </cell>
          <cell r="L169" t="str">
            <v>99-776</v>
          </cell>
        </row>
        <row r="170">
          <cell r="B170" t="str">
            <v>대화원양㈜</v>
          </cell>
          <cell r="C170">
            <v>36525</v>
          </cell>
          <cell r="D170" t="str">
            <v>대화원양㈜</v>
          </cell>
          <cell r="E170">
            <v>132978045</v>
          </cell>
          <cell r="F170">
            <v>2714</v>
          </cell>
          <cell r="G170">
            <v>586900</v>
          </cell>
          <cell r="H170">
            <v>72320</v>
          </cell>
          <cell r="I170">
            <v>1</v>
          </cell>
          <cell r="J170">
            <v>1</v>
          </cell>
          <cell r="K170">
            <v>5449</v>
          </cell>
          <cell r="L170" t="str">
            <v>99-777</v>
          </cell>
        </row>
        <row r="171">
          <cell r="B171" t="str">
            <v>정우도시건설㈜</v>
          </cell>
          <cell r="C171">
            <v>36522</v>
          </cell>
          <cell r="D171" t="str">
            <v>정우도시건설㈜</v>
          </cell>
          <cell r="E171">
            <v>11061289</v>
          </cell>
          <cell r="F171">
            <v>692</v>
          </cell>
          <cell r="G171">
            <v>54700</v>
          </cell>
          <cell r="H171">
            <v>45200</v>
          </cell>
          <cell r="I171">
            <v>1</v>
          </cell>
          <cell r="J171">
            <v>1</v>
          </cell>
          <cell r="K171">
            <v>8363</v>
          </cell>
          <cell r="L171" t="str">
            <v>99-778</v>
          </cell>
        </row>
        <row r="172">
          <cell r="B172" t="str">
            <v>㈜익상실업</v>
          </cell>
          <cell r="C172">
            <v>36487</v>
          </cell>
          <cell r="D172" t="str">
            <v>익상실업</v>
          </cell>
          <cell r="E172">
            <v>285623485</v>
          </cell>
          <cell r="F172">
            <v>3478</v>
          </cell>
          <cell r="G172">
            <v>1197400</v>
          </cell>
          <cell r="H172">
            <v>54240</v>
          </cell>
          <cell r="I172">
            <v>1</v>
          </cell>
          <cell r="J172">
            <v>1</v>
          </cell>
          <cell r="K172">
            <v>12152</v>
          </cell>
          <cell r="L172" t="str">
            <v>99-779</v>
          </cell>
        </row>
        <row r="173">
          <cell r="B173" t="str">
            <v>세신물산㈜</v>
          </cell>
          <cell r="D173" t="str">
            <v>문태규</v>
          </cell>
          <cell r="E173">
            <v>2370300489</v>
          </cell>
          <cell r="F173">
            <v>14401</v>
          </cell>
          <cell r="G173">
            <v>8851000</v>
          </cell>
          <cell r="H173">
            <v>72320</v>
          </cell>
          <cell r="I173">
            <v>1</v>
          </cell>
          <cell r="J173">
            <v>1</v>
          </cell>
          <cell r="K173">
            <v>1699</v>
          </cell>
          <cell r="L173" t="str">
            <v>99-781</v>
          </cell>
        </row>
        <row r="174">
          <cell r="B174" t="str">
            <v>이신자</v>
          </cell>
          <cell r="C174">
            <v>36475</v>
          </cell>
          <cell r="D174" t="str">
            <v>이신자</v>
          </cell>
          <cell r="E174">
            <v>6219402</v>
          </cell>
          <cell r="F174">
            <v>460</v>
          </cell>
          <cell r="G174">
            <v>31000</v>
          </cell>
          <cell r="H174">
            <v>33900</v>
          </cell>
          <cell r="I174">
            <v>1</v>
          </cell>
          <cell r="J174">
            <v>1</v>
          </cell>
          <cell r="K174">
            <v>914</v>
          </cell>
          <cell r="L174" t="str">
            <v>99-782</v>
          </cell>
        </row>
        <row r="175">
          <cell r="B175" t="str">
            <v>정원화섬</v>
          </cell>
          <cell r="C175">
            <v>36524</v>
          </cell>
          <cell r="D175" t="str">
            <v>정원화섬</v>
          </cell>
          <cell r="E175">
            <v>54538535</v>
          </cell>
          <cell r="F175">
            <v>2095</v>
          </cell>
          <cell r="G175">
            <v>250400</v>
          </cell>
          <cell r="H175">
            <v>72320</v>
          </cell>
          <cell r="I175">
            <v>1</v>
          </cell>
          <cell r="J175">
            <v>1</v>
          </cell>
          <cell r="K175">
            <v>4001</v>
          </cell>
          <cell r="L175" t="str">
            <v>99-783</v>
          </cell>
        </row>
        <row r="176">
          <cell r="B176" t="str">
            <v>박영호</v>
          </cell>
          <cell r="C176">
            <v>36510</v>
          </cell>
          <cell r="D176" t="str">
            <v>박영호</v>
          </cell>
          <cell r="E176">
            <v>15398278</v>
          </cell>
          <cell r="F176">
            <v>861</v>
          </cell>
          <cell r="G176">
            <v>74200</v>
          </cell>
          <cell r="H176">
            <v>33900</v>
          </cell>
          <cell r="I176">
            <v>1</v>
          </cell>
          <cell r="J176">
            <v>1</v>
          </cell>
          <cell r="K176">
            <v>4925</v>
          </cell>
          <cell r="L176" t="str">
            <v>99-784</v>
          </cell>
        </row>
        <row r="177">
          <cell r="B177" t="str">
            <v>김호진</v>
          </cell>
          <cell r="C177">
            <v>36510</v>
          </cell>
          <cell r="D177" t="str">
            <v>김호진</v>
          </cell>
          <cell r="E177">
            <v>16529450</v>
          </cell>
          <cell r="F177">
            <v>911</v>
          </cell>
          <cell r="G177">
            <v>79300</v>
          </cell>
          <cell r="H177">
            <v>33900</v>
          </cell>
          <cell r="I177">
            <v>1</v>
          </cell>
          <cell r="J177">
            <v>1</v>
          </cell>
          <cell r="K177">
            <v>4733</v>
          </cell>
          <cell r="L177" t="str">
            <v>99-786</v>
          </cell>
        </row>
        <row r="178">
          <cell r="B178" t="str">
            <v>이헌정</v>
          </cell>
          <cell r="C178">
            <v>36510</v>
          </cell>
          <cell r="D178" t="str">
            <v>이헌정</v>
          </cell>
          <cell r="E178">
            <v>5515128</v>
          </cell>
          <cell r="F178">
            <v>425</v>
          </cell>
          <cell r="G178">
            <v>27500</v>
          </cell>
          <cell r="H178">
            <v>33900</v>
          </cell>
          <cell r="I178">
            <v>1</v>
          </cell>
          <cell r="J178">
            <v>1</v>
          </cell>
          <cell r="K178">
            <v>6833</v>
          </cell>
          <cell r="L178" t="str">
            <v>99-788</v>
          </cell>
        </row>
        <row r="179">
          <cell r="B179" t="str">
            <v>채천식</v>
          </cell>
          <cell r="C179">
            <v>36510</v>
          </cell>
          <cell r="D179" t="str">
            <v>채천식</v>
          </cell>
          <cell r="E179">
            <v>1830718</v>
          </cell>
          <cell r="F179">
            <v>174</v>
          </cell>
          <cell r="G179">
            <v>9100</v>
          </cell>
          <cell r="H179">
            <v>33900</v>
          </cell>
          <cell r="I179">
            <v>1</v>
          </cell>
          <cell r="J179">
            <v>1</v>
          </cell>
          <cell r="K179">
            <v>1739</v>
          </cell>
          <cell r="L179" t="str">
            <v>99-789</v>
          </cell>
        </row>
        <row r="180">
          <cell r="B180" t="str">
            <v>김순옥</v>
          </cell>
          <cell r="C180">
            <v>36510</v>
          </cell>
          <cell r="D180" t="str">
            <v>김순옥</v>
          </cell>
          <cell r="E180">
            <v>7207460</v>
          </cell>
          <cell r="F180">
            <v>510</v>
          </cell>
          <cell r="G180">
            <v>36000</v>
          </cell>
          <cell r="H180">
            <v>33900</v>
          </cell>
          <cell r="I180">
            <v>1</v>
          </cell>
          <cell r="J180">
            <v>1</v>
          </cell>
          <cell r="K180">
            <v>9556</v>
          </cell>
          <cell r="L180" t="str">
            <v>99-790</v>
          </cell>
        </row>
        <row r="181">
          <cell r="B181" t="str">
            <v>백창덕</v>
          </cell>
          <cell r="C181">
            <v>36510</v>
          </cell>
          <cell r="D181" t="str">
            <v>백창덕</v>
          </cell>
          <cell r="E181">
            <v>2559952</v>
          </cell>
          <cell r="F181">
            <v>234</v>
          </cell>
          <cell r="G181">
            <v>12700</v>
          </cell>
          <cell r="H181">
            <v>33900</v>
          </cell>
          <cell r="I181">
            <v>1</v>
          </cell>
          <cell r="J181">
            <v>1</v>
          </cell>
          <cell r="K181">
            <v>4754</v>
          </cell>
          <cell r="L181" t="str">
            <v>99-791</v>
          </cell>
        </row>
        <row r="182">
          <cell r="B182" t="str">
            <v>김동휘</v>
          </cell>
          <cell r="C182">
            <v>36510</v>
          </cell>
          <cell r="D182" t="str">
            <v>김동휘</v>
          </cell>
          <cell r="E182">
            <v>4977817</v>
          </cell>
          <cell r="F182">
            <v>388</v>
          </cell>
          <cell r="G182">
            <v>24800</v>
          </cell>
          <cell r="H182">
            <v>22600</v>
          </cell>
          <cell r="I182">
            <v>1</v>
          </cell>
          <cell r="J182">
            <v>1</v>
          </cell>
          <cell r="K182">
            <v>2155</v>
          </cell>
          <cell r="L182" t="str">
            <v>99-792</v>
          </cell>
        </row>
        <row r="183">
          <cell r="B183" t="str">
            <v>㈜데코상사</v>
          </cell>
          <cell r="C183">
            <v>36497</v>
          </cell>
          <cell r="D183" t="str">
            <v>데코상사</v>
          </cell>
          <cell r="E183">
            <v>994179193</v>
          </cell>
          <cell r="F183">
            <v>7020</v>
          </cell>
          <cell r="G183">
            <v>4031700</v>
          </cell>
          <cell r="H183">
            <v>90400</v>
          </cell>
          <cell r="I183">
            <v>1</v>
          </cell>
          <cell r="J183">
            <v>1</v>
          </cell>
          <cell r="K183">
            <v>4506</v>
          </cell>
          <cell r="L183" t="str">
            <v>99-794</v>
          </cell>
        </row>
        <row r="184">
          <cell r="B184" t="str">
            <v>㈜진부통산</v>
          </cell>
          <cell r="D184" t="str">
            <v>진부통산</v>
          </cell>
          <cell r="E184">
            <v>149352388</v>
          </cell>
          <cell r="F184">
            <v>3043</v>
          </cell>
          <cell r="G184">
            <v>652400</v>
          </cell>
          <cell r="H184">
            <v>54240</v>
          </cell>
          <cell r="I184">
            <v>1</v>
          </cell>
          <cell r="J184">
            <v>1</v>
          </cell>
          <cell r="K184">
            <v>25457</v>
          </cell>
          <cell r="L184" t="str">
            <v>99-795</v>
          </cell>
        </row>
        <row r="185">
          <cell r="B185" t="str">
            <v>우봉건설㈜</v>
          </cell>
          <cell r="D185" t="str">
            <v>우봉건설㈜</v>
          </cell>
          <cell r="E185">
            <v>52880409</v>
          </cell>
          <cell r="F185">
            <v>2078</v>
          </cell>
          <cell r="G185">
            <v>242900</v>
          </cell>
          <cell r="H185">
            <v>72320</v>
          </cell>
          <cell r="I185">
            <v>1</v>
          </cell>
          <cell r="J185">
            <v>1</v>
          </cell>
          <cell r="K185" t="str">
            <v>특채</v>
          </cell>
          <cell r="L185" t="str">
            <v>99-796</v>
          </cell>
        </row>
        <row r="186">
          <cell r="B186" t="str">
            <v>금학영</v>
          </cell>
          <cell r="C186">
            <v>36522</v>
          </cell>
          <cell r="D186" t="str">
            <v>금학영</v>
          </cell>
          <cell r="E186">
            <v>58695862</v>
          </cell>
          <cell r="F186">
            <v>2136</v>
          </cell>
          <cell r="G186">
            <v>269100</v>
          </cell>
          <cell r="H186">
            <v>72320</v>
          </cell>
          <cell r="I186">
            <v>1</v>
          </cell>
          <cell r="J186">
            <v>1</v>
          </cell>
          <cell r="K186" t="str">
            <v>특채</v>
          </cell>
          <cell r="L186" t="str">
            <v>99-797</v>
          </cell>
        </row>
        <row r="187">
          <cell r="B187" t="str">
            <v>㈜대창정수엔지니어링</v>
          </cell>
          <cell r="D187" t="str">
            <v>대창정수엔지니어링</v>
          </cell>
          <cell r="E187">
            <v>101892013</v>
          </cell>
          <cell r="F187">
            <v>2559</v>
          </cell>
          <cell r="G187">
            <v>462500</v>
          </cell>
          <cell r="H187">
            <v>72320</v>
          </cell>
          <cell r="I187">
            <v>1</v>
          </cell>
          <cell r="J187">
            <v>1</v>
          </cell>
          <cell r="K187" t="str">
            <v>특채</v>
          </cell>
          <cell r="L187" t="str">
            <v>99-798</v>
          </cell>
        </row>
        <row r="188">
          <cell r="B188" t="str">
            <v>서재욱</v>
          </cell>
          <cell r="C188">
            <v>36487</v>
          </cell>
          <cell r="D188" t="str">
            <v>서재욱</v>
          </cell>
          <cell r="E188">
            <v>21201904</v>
          </cell>
          <cell r="F188">
            <v>1098</v>
          </cell>
          <cell r="G188">
            <v>100400</v>
          </cell>
          <cell r="H188">
            <v>36160</v>
          </cell>
          <cell r="I188">
            <v>1</v>
          </cell>
          <cell r="J188">
            <v>1</v>
          </cell>
          <cell r="K188" t="str">
            <v>특채</v>
          </cell>
          <cell r="L188" t="str">
            <v>99-801</v>
          </cell>
        </row>
        <row r="189">
          <cell r="B189" t="str">
            <v>김동원</v>
          </cell>
          <cell r="C189">
            <v>36491</v>
          </cell>
          <cell r="D189" t="str">
            <v>김동원</v>
          </cell>
          <cell r="E189">
            <v>13131008</v>
          </cell>
          <cell r="F189">
            <v>775</v>
          </cell>
          <cell r="G189">
            <v>64000</v>
          </cell>
          <cell r="H189">
            <v>33900</v>
          </cell>
          <cell r="I189">
            <v>1</v>
          </cell>
          <cell r="J189">
            <v>1</v>
          </cell>
          <cell r="K189" t="str">
            <v>특채</v>
          </cell>
          <cell r="L189" t="str">
            <v>99-802</v>
          </cell>
        </row>
        <row r="190">
          <cell r="B190" t="str">
            <v>박경주</v>
          </cell>
          <cell r="C190">
            <v>36504</v>
          </cell>
          <cell r="D190" t="str">
            <v>박경주</v>
          </cell>
          <cell r="E190">
            <v>5631012</v>
          </cell>
          <cell r="F190">
            <v>431</v>
          </cell>
          <cell r="G190">
            <v>28100</v>
          </cell>
          <cell r="H190">
            <v>33900</v>
          </cell>
          <cell r="I190">
            <v>1</v>
          </cell>
          <cell r="J190">
            <v>1</v>
          </cell>
          <cell r="K190">
            <v>7723</v>
          </cell>
          <cell r="L190" t="str">
            <v>99-803</v>
          </cell>
        </row>
        <row r="191">
          <cell r="B191" t="str">
            <v>양홍녕</v>
          </cell>
          <cell r="C191">
            <v>36504</v>
          </cell>
          <cell r="D191" t="str">
            <v>양홍녕</v>
          </cell>
          <cell r="E191">
            <v>1831417</v>
          </cell>
          <cell r="F191">
            <v>174</v>
          </cell>
          <cell r="G191">
            <v>9100</v>
          </cell>
          <cell r="H191">
            <v>22600</v>
          </cell>
          <cell r="I191">
            <v>1</v>
          </cell>
          <cell r="J191">
            <v>1</v>
          </cell>
          <cell r="K191">
            <v>6400</v>
          </cell>
          <cell r="L191" t="str">
            <v>99-805</v>
          </cell>
        </row>
        <row r="192">
          <cell r="B192" t="str">
            <v>박강숙</v>
          </cell>
          <cell r="D192" t="str">
            <v>박강숙</v>
          </cell>
          <cell r="E192">
            <v>13790155</v>
          </cell>
          <cell r="F192">
            <v>801</v>
          </cell>
          <cell r="G192">
            <v>67000</v>
          </cell>
          <cell r="H192">
            <v>22600</v>
          </cell>
          <cell r="I192">
            <v>1</v>
          </cell>
          <cell r="J192">
            <v>1</v>
          </cell>
          <cell r="K192">
            <v>6129</v>
          </cell>
          <cell r="L192" t="str">
            <v>99-806</v>
          </cell>
        </row>
        <row r="193">
          <cell r="B193" t="str">
            <v>이재형</v>
          </cell>
          <cell r="C193">
            <v>36491</v>
          </cell>
          <cell r="D193" t="str">
            <v>이재형</v>
          </cell>
          <cell r="E193">
            <v>6563886</v>
          </cell>
          <cell r="F193">
            <v>478</v>
          </cell>
          <cell r="G193">
            <v>32800</v>
          </cell>
          <cell r="H193">
            <v>33900</v>
          </cell>
          <cell r="I193">
            <v>1</v>
          </cell>
          <cell r="J193">
            <v>1</v>
          </cell>
          <cell r="K193" t="str">
            <v>특채</v>
          </cell>
          <cell r="L193" t="str">
            <v>99-807</v>
          </cell>
        </row>
        <row r="194">
          <cell r="B194" t="str">
            <v>이세득</v>
          </cell>
          <cell r="C194">
            <v>36504</v>
          </cell>
          <cell r="D194" t="str">
            <v>이세득</v>
          </cell>
          <cell r="E194">
            <v>16182409</v>
          </cell>
          <cell r="F194">
            <v>897</v>
          </cell>
          <cell r="G194">
            <v>77800</v>
          </cell>
          <cell r="H194">
            <v>33900</v>
          </cell>
          <cell r="I194">
            <v>1</v>
          </cell>
          <cell r="J194">
            <v>1</v>
          </cell>
          <cell r="K194">
            <v>6325</v>
          </cell>
          <cell r="L194" t="str">
            <v>99-808</v>
          </cell>
        </row>
        <row r="195">
          <cell r="B195" t="str">
            <v>윤석종</v>
          </cell>
          <cell r="C195">
            <v>36504</v>
          </cell>
          <cell r="D195" t="str">
            <v>윤석종</v>
          </cell>
          <cell r="E195">
            <v>2899570</v>
          </cell>
          <cell r="F195">
            <v>261</v>
          </cell>
          <cell r="G195">
            <v>14400</v>
          </cell>
          <cell r="H195">
            <v>33900</v>
          </cell>
          <cell r="I195">
            <v>1</v>
          </cell>
          <cell r="J195">
            <v>1</v>
          </cell>
          <cell r="K195">
            <v>12542</v>
          </cell>
          <cell r="L195" t="str">
            <v>99-809</v>
          </cell>
        </row>
        <row r="196">
          <cell r="B196" t="str">
            <v>김영순</v>
          </cell>
          <cell r="C196">
            <v>36498</v>
          </cell>
          <cell r="D196" t="str">
            <v>김영순</v>
          </cell>
          <cell r="E196">
            <v>23552266</v>
          </cell>
          <cell r="F196">
            <v>1192</v>
          </cell>
          <cell r="G196">
            <v>110900</v>
          </cell>
          <cell r="H196">
            <v>36160</v>
          </cell>
          <cell r="I196">
            <v>1</v>
          </cell>
          <cell r="J196">
            <v>1</v>
          </cell>
          <cell r="K196">
            <v>6487</v>
          </cell>
          <cell r="L196" t="str">
            <v>99-810</v>
          </cell>
        </row>
        <row r="197">
          <cell r="B197" t="str">
            <v>도윤섭</v>
          </cell>
          <cell r="C197">
            <v>36475</v>
          </cell>
          <cell r="D197" t="str">
            <v>도윤섭</v>
          </cell>
          <cell r="E197">
            <v>11800519</v>
          </cell>
          <cell r="F197">
            <v>722</v>
          </cell>
          <cell r="G197">
            <v>58100</v>
          </cell>
          <cell r="H197">
            <v>33900</v>
          </cell>
          <cell r="I197">
            <v>1</v>
          </cell>
          <cell r="J197">
            <v>1</v>
          </cell>
          <cell r="K197">
            <v>10386</v>
          </cell>
          <cell r="L197" t="str">
            <v>99-811</v>
          </cell>
        </row>
        <row r="198">
          <cell r="B198" t="str">
            <v>한효성</v>
          </cell>
          <cell r="C198">
            <v>36504</v>
          </cell>
          <cell r="D198" t="str">
            <v>한효성</v>
          </cell>
          <cell r="E198">
            <v>11298186</v>
          </cell>
          <cell r="F198">
            <v>701</v>
          </cell>
          <cell r="G198">
            <v>55800</v>
          </cell>
          <cell r="H198">
            <v>67800</v>
          </cell>
          <cell r="I198">
            <v>1</v>
          </cell>
          <cell r="J198">
            <v>1</v>
          </cell>
          <cell r="K198">
            <v>7252</v>
          </cell>
          <cell r="L198" t="str">
            <v>99-812</v>
          </cell>
        </row>
        <row r="199">
          <cell r="B199" t="str">
            <v>한정덕</v>
          </cell>
          <cell r="C199">
            <v>36491</v>
          </cell>
          <cell r="D199" t="str">
            <v>한정덕</v>
          </cell>
          <cell r="E199">
            <v>9309791</v>
          </cell>
          <cell r="F199">
            <v>615</v>
          </cell>
          <cell r="G199">
            <v>46500</v>
          </cell>
          <cell r="H199">
            <v>33900</v>
          </cell>
          <cell r="I199">
            <v>1</v>
          </cell>
          <cell r="J199">
            <v>1</v>
          </cell>
          <cell r="K199" t="str">
            <v>특채</v>
          </cell>
          <cell r="L199" t="str">
            <v>99-814</v>
          </cell>
        </row>
        <row r="200">
          <cell r="B200" t="str">
            <v>전용원</v>
          </cell>
          <cell r="C200">
            <v>36530</v>
          </cell>
          <cell r="D200" t="str">
            <v>전용원</v>
          </cell>
          <cell r="E200">
            <v>3677635</v>
          </cell>
          <cell r="F200">
            <v>317</v>
          </cell>
          <cell r="G200">
            <v>18300</v>
          </cell>
          <cell r="H200">
            <v>22600</v>
          </cell>
          <cell r="I200">
            <v>1</v>
          </cell>
          <cell r="J200">
            <v>1</v>
          </cell>
          <cell r="K200" t="str">
            <v>특채</v>
          </cell>
          <cell r="L200" t="str">
            <v>99-815</v>
          </cell>
        </row>
        <row r="201">
          <cell r="B201" t="str">
            <v>김동준</v>
          </cell>
          <cell r="C201">
            <v>36504</v>
          </cell>
          <cell r="D201" t="str">
            <v>김동준</v>
          </cell>
          <cell r="E201">
            <v>11865410</v>
          </cell>
          <cell r="F201">
            <v>720</v>
          </cell>
          <cell r="G201">
            <v>58300</v>
          </cell>
          <cell r="H201">
            <v>33900</v>
          </cell>
          <cell r="I201">
            <v>1</v>
          </cell>
          <cell r="J201">
            <v>1</v>
          </cell>
          <cell r="K201">
            <v>10988</v>
          </cell>
          <cell r="L201" t="str">
            <v>99-817</v>
          </cell>
        </row>
        <row r="202">
          <cell r="B202" t="str">
            <v>남미애</v>
          </cell>
          <cell r="C202">
            <v>36475</v>
          </cell>
          <cell r="D202" t="str">
            <v>남미애</v>
          </cell>
          <cell r="E202">
            <v>3691082</v>
          </cell>
          <cell r="F202">
            <v>310</v>
          </cell>
          <cell r="G202">
            <v>18400</v>
          </cell>
          <cell r="H202">
            <v>22600</v>
          </cell>
          <cell r="I202">
            <v>1</v>
          </cell>
          <cell r="J202">
            <v>1</v>
          </cell>
          <cell r="K202">
            <v>6541</v>
          </cell>
          <cell r="L202" t="str">
            <v>99-818</v>
          </cell>
        </row>
        <row r="203">
          <cell r="B203" t="str">
            <v>홍승기</v>
          </cell>
          <cell r="C203">
            <v>36475</v>
          </cell>
          <cell r="D203" t="str">
            <v>홍승기</v>
          </cell>
          <cell r="E203">
            <v>2188355</v>
          </cell>
          <cell r="F203">
            <v>350</v>
          </cell>
          <cell r="G203">
            <v>10900</v>
          </cell>
          <cell r="H203">
            <v>22600</v>
          </cell>
          <cell r="I203">
            <v>1</v>
          </cell>
          <cell r="J203">
            <v>1</v>
          </cell>
          <cell r="K203">
            <v>6663</v>
          </cell>
          <cell r="L203" t="str">
            <v>99-819</v>
          </cell>
        </row>
        <row r="204">
          <cell r="B204" t="str">
            <v>박수길</v>
          </cell>
          <cell r="C204">
            <v>36504</v>
          </cell>
          <cell r="D204" t="str">
            <v>박수길</v>
          </cell>
          <cell r="E204">
            <v>2888636</v>
          </cell>
          <cell r="F204">
            <v>190</v>
          </cell>
          <cell r="G204">
            <v>14400</v>
          </cell>
          <cell r="H204">
            <v>33900</v>
          </cell>
          <cell r="I204">
            <v>1</v>
          </cell>
          <cell r="J204">
            <v>1</v>
          </cell>
          <cell r="K204">
            <v>11130</v>
          </cell>
          <cell r="L204" t="str">
            <v>99-820</v>
          </cell>
        </row>
        <row r="205">
          <cell r="B205" t="str">
            <v>황경란</v>
          </cell>
          <cell r="C205">
            <v>36504</v>
          </cell>
          <cell r="D205" t="str">
            <v>황경란</v>
          </cell>
          <cell r="E205">
            <v>9077313</v>
          </cell>
          <cell r="F205">
            <v>600</v>
          </cell>
          <cell r="G205">
            <v>45300</v>
          </cell>
          <cell r="H205">
            <v>33900</v>
          </cell>
          <cell r="I205">
            <v>1</v>
          </cell>
          <cell r="J205">
            <v>1</v>
          </cell>
          <cell r="K205">
            <v>6205</v>
          </cell>
          <cell r="L205" t="str">
            <v>99-821</v>
          </cell>
        </row>
        <row r="206">
          <cell r="B206" t="str">
            <v>유병흥</v>
          </cell>
          <cell r="C206">
            <v>36504</v>
          </cell>
          <cell r="D206" t="str">
            <v>유병흥</v>
          </cell>
          <cell r="E206">
            <v>8431850</v>
          </cell>
          <cell r="F206">
            <v>820</v>
          </cell>
          <cell r="G206">
            <v>42100</v>
          </cell>
          <cell r="H206">
            <v>33900</v>
          </cell>
          <cell r="I206">
            <v>1</v>
          </cell>
          <cell r="J206">
            <v>1</v>
          </cell>
          <cell r="K206">
            <v>6348</v>
          </cell>
          <cell r="L206" t="str">
            <v>99-822</v>
          </cell>
        </row>
        <row r="207">
          <cell r="B207" t="str">
            <v>김혜순</v>
          </cell>
          <cell r="D207" t="str">
            <v>김혜순</v>
          </cell>
          <cell r="E207">
            <v>4065396</v>
          </cell>
          <cell r="F207">
            <v>340</v>
          </cell>
          <cell r="G207">
            <v>20300</v>
          </cell>
          <cell r="H207">
            <v>33900</v>
          </cell>
          <cell r="I207">
            <v>1</v>
          </cell>
          <cell r="J207">
            <v>1</v>
          </cell>
          <cell r="K207">
            <v>6486</v>
          </cell>
          <cell r="L207" t="str">
            <v>99-823</v>
          </cell>
        </row>
        <row r="208">
          <cell r="B208" t="str">
            <v>고길원</v>
          </cell>
          <cell r="C208">
            <v>36475</v>
          </cell>
          <cell r="D208" t="str">
            <v>고길원</v>
          </cell>
          <cell r="E208">
            <v>15155850</v>
          </cell>
          <cell r="F208">
            <v>850</v>
          </cell>
          <cell r="G208">
            <v>73200</v>
          </cell>
          <cell r="H208">
            <v>33900</v>
          </cell>
          <cell r="I208">
            <v>1</v>
          </cell>
          <cell r="J208">
            <v>1</v>
          </cell>
          <cell r="K208">
            <v>4551</v>
          </cell>
          <cell r="L208" t="str">
            <v>99-824</v>
          </cell>
        </row>
        <row r="209">
          <cell r="B209" t="str">
            <v>최추식</v>
          </cell>
          <cell r="C209">
            <v>36475</v>
          </cell>
          <cell r="D209" t="str">
            <v>최추식</v>
          </cell>
          <cell r="E209">
            <v>11613228</v>
          </cell>
          <cell r="F209">
            <v>710</v>
          </cell>
          <cell r="G209">
            <v>57200</v>
          </cell>
          <cell r="H209">
            <v>45200</v>
          </cell>
          <cell r="I209">
            <v>1</v>
          </cell>
          <cell r="J209">
            <v>1</v>
          </cell>
          <cell r="K209">
            <v>4282</v>
          </cell>
          <cell r="L209" t="str">
            <v>99-825</v>
          </cell>
        </row>
        <row r="210">
          <cell r="B210" t="str">
            <v>박연미</v>
          </cell>
          <cell r="C210">
            <v>36475</v>
          </cell>
          <cell r="D210" t="str">
            <v>박연미</v>
          </cell>
          <cell r="E210">
            <v>5316020</v>
          </cell>
          <cell r="F210">
            <v>410</v>
          </cell>
          <cell r="G210">
            <v>26500</v>
          </cell>
          <cell r="H210">
            <v>22600</v>
          </cell>
          <cell r="I210">
            <v>1</v>
          </cell>
          <cell r="J210">
            <v>1</v>
          </cell>
          <cell r="K210">
            <v>4123</v>
          </cell>
          <cell r="L210" t="str">
            <v>99-826</v>
          </cell>
        </row>
        <row r="211">
          <cell r="B211" t="str">
            <v>오세완</v>
          </cell>
          <cell r="C211">
            <v>36475</v>
          </cell>
          <cell r="D211" t="str">
            <v>오세완</v>
          </cell>
          <cell r="E211">
            <v>9180530</v>
          </cell>
          <cell r="F211">
            <v>600</v>
          </cell>
          <cell r="G211">
            <v>45900</v>
          </cell>
          <cell r="H211">
            <v>22600</v>
          </cell>
          <cell r="I211">
            <v>1</v>
          </cell>
          <cell r="J211">
            <v>1</v>
          </cell>
          <cell r="K211">
            <v>4054</v>
          </cell>
          <cell r="L211" t="str">
            <v>99-827</v>
          </cell>
        </row>
        <row r="212">
          <cell r="B212" t="str">
            <v>윤창규</v>
          </cell>
          <cell r="C212">
            <v>36475</v>
          </cell>
          <cell r="D212" t="str">
            <v>윤창규</v>
          </cell>
          <cell r="E212">
            <v>8710812</v>
          </cell>
          <cell r="F212">
            <v>580</v>
          </cell>
          <cell r="G212">
            <v>43500</v>
          </cell>
          <cell r="H212">
            <v>22600</v>
          </cell>
          <cell r="I212">
            <v>1</v>
          </cell>
          <cell r="J212">
            <v>1</v>
          </cell>
          <cell r="K212">
            <v>2168</v>
          </cell>
          <cell r="L212" t="str">
            <v>99-828</v>
          </cell>
        </row>
        <row r="213">
          <cell r="B213" t="str">
            <v>천구실업㈜</v>
          </cell>
          <cell r="D213" t="str">
            <v>김정옥</v>
          </cell>
          <cell r="E213">
            <v>130000000</v>
          </cell>
          <cell r="F213">
            <v>2700</v>
          </cell>
          <cell r="G213">
            <v>0</v>
          </cell>
          <cell r="H213">
            <v>0</v>
          </cell>
          <cell r="I213">
            <v>1</v>
          </cell>
          <cell r="J213">
            <v>3</v>
          </cell>
          <cell r="K213" t="str">
            <v>강남</v>
          </cell>
          <cell r="L213" t="str">
            <v>99-829</v>
          </cell>
        </row>
        <row r="214">
          <cell r="B214" t="str">
            <v>조완장</v>
          </cell>
          <cell r="D214" t="str">
            <v>조완장</v>
          </cell>
          <cell r="E214">
            <v>10345910</v>
          </cell>
          <cell r="F214">
            <v>663</v>
          </cell>
          <cell r="G214">
            <v>51500</v>
          </cell>
          <cell r="H214">
            <v>33900</v>
          </cell>
          <cell r="I214">
            <v>1</v>
          </cell>
          <cell r="J214">
            <v>1</v>
          </cell>
          <cell r="L214" t="str">
            <v>99-830</v>
          </cell>
        </row>
        <row r="215">
          <cell r="B215" t="str">
            <v>김의진</v>
          </cell>
          <cell r="C215">
            <v>36529</v>
          </cell>
          <cell r="D215" t="str">
            <v>김의진</v>
          </cell>
          <cell r="E215">
            <v>4016540</v>
          </cell>
          <cell r="F215">
            <v>340</v>
          </cell>
          <cell r="G215">
            <v>20000</v>
          </cell>
          <cell r="H215">
            <v>22600</v>
          </cell>
          <cell r="I215">
            <v>1</v>
          </cell>
          <cell r="J215">
            <v>1</v>
          </cell>
          <cell r="L215" t="str">
            <v>99-831</v>
          </cell>
        </row>
        <row r="216">
          <cell r="B216" t="str">
            <v>연명호</v>
          </cell>
          <cell r="C216">
            <v>36504</v>
          </cell>
          <cell r="D216" t="str">
            <v>연명호</v>
          </cell>
          <cell r="E216">
            <v>71886147</v>
          </cell>
          <cell r="F216">
            <v>2268</v>
          </cell>
          <cell r="G216">
            <v>328400</v>
          </cell>
          <cell r="H216">
            <v>36160</v>
          </cell>
          <cell r="I216">
            <v>1</v>
          </cell>
          <cell r="J216">
            <v>1</v>
          </cell>
          <cell r="K216">
            <v>5175</v>
          </cell>
          <cell r="L216" t="str">
            <v>99-832</v>
          </cell>
        </row>
        <row r="217">
          <cell r="B217" t="str">
            <v>포항산업</v>
          </cell>
          <cell r="D217" t="str">
            <v>포항산업</v>
          </cell>
          <cell r="E217">
            <v>480942694</v>
          </cell>
          <cell r="F217">
            <v>4454</v>
          </cell>
          <cell r="G217">
            <v>1978700</v>
          </cell>
          <cell r="H217">
            <v>72320</v>
          </cell>
          <cell r="I217">
            <v>1</v>
          </cell>
          <cell r="J217">
            <v>1</v>
          </cell>
          <cell r="K217">
            <v>5120</v>
          </cell>
          <cell r="L217" t="str">
            <v>99-833</v>
          </cell>
        </row>
        <row r="218">
          <cell r="B218" t="str">
            <v>김차현</v>
          </cell>
          <cell r="C218">
            <v>36488</v>
          </cell>
          <cell r="D218" t="str">
            <v>김차현</v>
          </cell>
          <cell r="E218">
            <v>9406049</v>
          </cell>
          <cell r="F218">
            <v>620</v>
          </cell>
          <cell r="G218">
            <v>47000</v>
          </cell>
          <cell r="H218">
            <v>22600</v>
          </cell>
          <cell r="I218">
            <v>1</v>
          </cell>
          <cell r="J218">
            <v>1</v>
          </cell>
          <cell r="K218">
            <v>5073</v>
          </cell>
          <cell r="L218" t="str">
            <v>99-834</v>
          </cell>
        </row>
        <row r="219">
          <cell r="B219" t="str">
            <v>조연옥</v>
          </cell>
          <cell r="D219" t="str">
            <v>박춘자</v>
          </cell>
          <cell r="E219">
            <v>10794375</v>
          </cell>
          <cell r="F219">
            <v>681</v>
          </cell>
          <cell r="G219">
            <v>53500</v>
          </cell>
          <cell r="H219">
            <v>67800</v>
          </cell>
          <cell r="I219">
            <v>1</v>
          </cell>
          <cell r="J219">
            <v>1</v>
          </cell>
          <cell r="K219">
            <v>4634</v>
          </cell>
          <cell r="L219" t="str">
            <v>99-835</v>
          </cell>
        </row>
        <row r="220">
          <cell r="B220" t="str">
            <v>여한승</v>
          </cell>
          <cell r="C220">
            <v>36488</v>
          </cell>
          <cell r="D220" t="str">
            <v>여한승</v>
          </cell>
          <cell r="E220">
            <v>5280255</v>
          </cell>
          <cell r="F220">
            <v>414</v>
          </cell>
          <cell r="G220">
            <v>26400</v>
          </cell>
          <cell r="H220">
            <v>67800</v>
          </cell>
          <cell r="I220">
            <v>1</v>
          </cell>
          <cell r="J220">
            <v>1</v>
          </cell>
          <cell r="K220">
            <v>7744</v>
          </cell>
          <cell r="L220" t="str">
            <v>99-836</v>
          </cell>
        </row>
        <row r="221">
          <cell r="B221" t="str">
            <v>서림진흥㈜</v>
          </cell>
          <cell r="D221" t="str">
            <v>서림진흥㈜</v>
          </cell>
          <cell r="E221">
            <v>630227049</v>
          </cell>
          <cell r="F221">
            <v>5201</v>
          </cell>
          <cell r="G221">
            <v>2575900</v>
          </cell>
          <cell r="H221">
            <v>72320</v>
          </cell>
          <cell r="I221">
            <v>1</v>
          </cell>
          <cell r="J221">
            <v>1</v>
          </cell>
          <cell r="K221" t="str">
            <v>특채</v>
          </cell>
          <cell r="L221" t="str">
            <v>99-837</v>
          </cell>
        </row>
        <row r="222">
          <cell r="B222" t="str">
            <v>김건상</v>
          </cell>
          <cell r="C222">
            <v>36510</v>
          </cell>
          <cell r="D222" t="str">
            <v>감곤성</v>
          </cell>
          <cell r="E222">
            <v>21262223</v>
          </cell>
          <cell r="F222">
            <v>1100</v>
          </cell>
          <cell r="G222">
            <v>100600</v>
          </cell>
          <cell r="H222">
            <v>36160</v>
          </cell>
          <cell r="I222">
            <v>1</v>
          </cell>
          <cell r="J222">
            <v>1</v>
          </cell>
          <cell r="K222">
            <v>4038</v>
          </cell>
          <cell r="L222" t="str">
            <v>99-838</v>
          </cell>
        </row>
        <row r="223">
          <cell r="B223" t="str">
            <v>최필녀</v>
          </cell>
          <cell r="D223" t="str">
            <v>최필녀</v>
          </cell>
          <cell r="E223">
            <v>23754577</v>
          </cell>
          <cell r="F223">
            <v>1200</v>
          </cell>
          <cell r="G223">
            <v>111800</v>
          </cell>
          <cell r="H223">
            <v>54240</v>
          </cell>
          <cell r="I223">
            <v>1</v>
          </cell>
          <cell r="J223">
            <v>1</v>
          </cell>
          <cell r="K223">
            <v>9745</v>
          </cell>
          <cell r="L223" t="str">
            <v>99-839</v>
          </cell>
        </row>
        <row r="224">
          <cell r="B224" t="str">
            <v>성낙원</v>
          </cell>
          <cell r="C224">
            <v>36475</v>
          </cell>
          <cell r="D224" t="str">
            <v>최선모</v>
          </cell>
          <cell r="E224">
            <v>15778212</v>
          </cell>
          <cell r="F224">
            <v>900</v>
          </cell>
          <cell r="G224">
            <v>76000</v>
          </cell>
          <cell r="H224">
            <v>67800</v>
          </cell>
          <cell r="I224">
            <v>1</v>
          </cell>
          <cell r="J224">
            <v>1</v>
          </cell>
          <cell r="K224">
            <v>1959</v>
          </cell>
          <cell r="L224" t="str">
            <v>99-840</v>
          </cell>
        </row>
        <row r="225">
          <cell r="B225" t="str">
            <v>강은연</v>
          </cell>
          <cell r="D225" t="str">
            <v>강은연</v>
          </cell>
          <cell r="E225">
            <v>23296325</v>
          </cell>
          <cell r="F225">
            <v>1200</v>
          </cell>
          <cell r="G225">
            <v>109800</v>
          </cell>
          <cell r="H225">
            <v>72320</v>
          </cell>
          <cell r="I225">
            <v>1</v>
          </cell>
          <cell r="J225">
            <v>1</v>
          </cell>
          <cell r="K225">
            <v>2134</v>
          </cell>
          <cell r="L225" t="str">
            <v>99-841</v>
          </cell>
        </row>
        <row r="226">
          <cell r="B226" t="str">
            <v>지산</v>
          </cell>
          <cell r="C226">
            <v>36504</v>
          </cell>
          <cell r="D226" t="str">
            <v>제일전산원</v>
          </cell>
          <cell r="E226">
            <v>12846865</v>
          </cell>
          <cell r="F226">
            <v>800</v>
          </cell>
          <cell r="G226">
            <v>62800</v>
          </cell>
          <cell r="H226">
            <v>33900</v>
          </cell>
          <cell r="I226">
            <v>1</v>
          </cell>
          <cell r="J226">
            <v>1</v>
          </cell>
          <cell r="K226">
            <v>5213</v>
          </cell>
          <cell r="L226" t="str">
            <v>99-842</v>
          </cell>
        </row>
        <row r="227">
          <cell r="B227" t="str">
            <v>연정숙</v>
          </cell>
          <cell r="C227">
            <v>36475</v>
          </cell>
          <cell r="D227" t="str">
            <v>연정숙</v>
          </cell>
          <cell r="E227">
            <v>2101032</v>
          </cell>
          <cell r="F227">
            <v>200</v>
          </cell>
          <cell r="G227">
            <v>10500</v>
          </cell>
          <cell r="H227">
            <v>22600</v>
          </cell>
          <cell r="I227">
            <v>1</v>
          </cell>
          <cell r="J227">
            <v>1</v>
          </cell>
          <cell r="K227">
            <v>6212</v>
          </cell>
          <cell r="L227" t="str">
            <v>99-843</v>
          </cell>
        </row>
        <row r="228">
          <cell r="B228" t="str">
            <v>박숙현</v>
          </cell>
          <cell r="C228">
            <v>36475</v>
          </cell>
          <cell r="D228" t="str">
            <v>박숙현</v>
          </cell>
          <cell r="E228">
            <v>17559438</v>
          </cell>
          <cell r="F228">
            <v>1000</v>
          </cell>
          <cell r="G228">
            <v>84000</v>
          </cell>
          <cell r="H228">
            <v>56500</v>
          </cell>
          <cell r="I228">
            <v>1</v>
          </cell>
          <cell r="J228">
            <v>1</v>
          </cell>
          <cell r="K228">
            <v>9739</v>
          </cell>
          <cell r="L228" t="str">
            <v>99-844</v>
          </cell>
        </row>
        <row r="229">
          <cell r="B229" t="str">
            <v>이선애</v>
          </cell>
          <cell r="C229">
            <v>36475</v>
          </cell>
          <cell r="D229" t="str">
            <v>이선애</v>
          </cell>
          <cell r="E229">
            <v>9171091</v>
          </cell>
          <cell r="F229">
            <v>600</v>
          </cell>
          <cell r="G229">
            <v>45800</v>
          </cell>
          <cell r="H229">
            <v>33900</v>
          </cell>
          <cell r="I229">
            <v>1</v>
          </cell>
          <cell r="J229">
            <v>1</v>
          </cell>
          <cell r="K229">
            <v>5327</v>
          </cell>
          <cell r="L229" t="str">
            <v>99-845</v>
          </cell>
        </row>
        <row r="230">
          <cell r="B230" t="str">
            <v>민영미</v>
          </cell>
          <cell r="C230">
            <v>36504</v>
          </cell>
          <cell r="D230" t="str">
            <v>민영미</v>
          </cell>
          <cell r="E230">
            <v>2853120</v>
          </cell>
          <cell r="F230">
            <v>270</v>
          </cell>
          <cell r="G230">
            <v>14200</v>
          </cell>
          <cell r="H230">
            <v>33900</v>
          </cell>
          <cell r="I230">
            <v>1</v>
          </cell>
          <cell r="J230">
            <v>1</v>
          </cell>
          <cell r="K230">
            <v>5510</v>
          </cell>
          <cell r="L230" t="str">
            <v>99-846</v>
          </cell>
        </row>
        <row r="231">
          <cell r="B231" t="str">
            <v>신재수</v>
          </cell>
          <cell r="C231">
            <v>36504</v>
          </cell>
          <cell r="D231" t="str">
            <v>신재수</v>
          </cell>
          <cell r="E231">
            <v>2138097</v>
          </cell>
          <cell r="F231">
            <v>200</v>
          </cell>
          <cell r="G231">
            <v>10600</v>
          </cell>
          <cell r="H231">
            <v>33900</v>
          </cell>
          <cell r="I231">
            <v>1</v>
          </cell>
          <cell r="J231">
            <v>1</v>
          </cell>
          <cell r="K231">
            <v>6203</v>
          </cell>
          <cell r="L231" t="str">
            <v>99-847</v>
          </cell>
        </row>
        <row r="232">
          <cell r="B232" t="str">
            <v>최병준</v>
          </cell>
          <cell r="C232">
            <v>36504</v>
          </cell>
          <cell r="D232" t="str">
            <v>최병준</v>
          </cell>
          <cell r="E232">
            <v>13569321</v>
          </cell>
          <cell r="F232">
            <v>600</v>
          </cell>
          <cell r="G232">
            <v>66000</v>
          </cell>
          <cell r="H232">
            <v>33900</v>
          </cell>
          <cell r="I232">
            <v>1</v>
          </cell>
          <cell r="J232">
            <v>1</v>
          </cell>
          <cell r="K232">
            <v>6762</v>
          </cell>
          <cell r="L232" t="str">
            <v>99-848</v>
          </cell>
        </row>
        <row r="233">
          <cell r="B233" t="str">
            <v>황의곤</v>
          </cell>
          <cell r="D233" t="str">
            <v>황의곤</v>
          </cell>
          <cell r="E233">
            <v>11312491</v>
          </cell>
          <cell r="F233">
            <v>670</v>
          </cell>
          <cell r="G233">
            <v>55900</v>
          </cell>
          <cell r="H233">
            <v>33900</v>
          </cell>
          <cell r="I233">
            <v>1</v>
          </cell>
          <cell r="J233">
            <v>1</v>
          </cell>
          <cell r="K233">
            <v>6518</v>
          </cell>
          <cell r="L233" t="str">
            <v>99-849</v>
          </cell>
        </row>
        <row r="234">
          <cell r="B234" t="str">
            <v>김홍수</v>
          </cell>
          <cell r="C234">
            <v>36475</v>
          </cell>
          <cell r="D234" t="str">
            <v>김홍수</v>
          </cell>
          <cell r="E234">
            <v>4778385</v>
          </cell>
          <cell r="F234">
            <v>390</v>
          </cell>
          <cell r="G234">
            <v>23800</v>
          </cell>
          <cell r="H234">
            <v>33900</v>
          </cell>
          <cell r="I234">
            <v>1</v>
          </cell>
          <cell r="J234">
            <v>1</v>
          </cell>
          <cell r="K234">
            <v>6014</v>
          </cell>
          <cell r="L234" t="str">
            <v>99-850</v>
          </cell>
        </row>
        <row r="235">
          <cell r="B235" t="str">
            <v>조한석</v>
          </cell>
          <cell r="C235">
            <v>36504</v>
          </cell>
          <cell r="D235" t="str">
            <v>조한석</v>
          </cell>
          <cell r="E235">
            <v>10299550</v>
          </cell>
          <cell r="F235">
            <v>670</v>
          </cell>
          <cell r="G235">
            <v>51300</v>
          </cell>
          <cell r="H235">
            <v>33900</v>
          </cell>
          <cell r="I235">
            <v>1</v>
          </cell>
          <cell r="J235">
            <v>1</v>
          </cell>
          <cell r="K235">
            <v>6280</v>
          </cell>
          <cell r="L235" t="str">
            <v>99-851</v>
          </cell>
        </row>
        <row r="236">
          <cell r="B236" t="str">
            <v>김영선</v>
          </cell>
          <cell r="C236">
            <v>36475</v>
          </cell>
          <cell r="D236" t="str">
            <v>김영선</v>
          </cell>
          <cell r="E236">
            <v>17205477</v>
          </cell>
          <cell r="F236">
            <v>950</v>
          </cell>
          <cell r="G236">
            <v>82400</v>
          </cell>
          <cell r="H236">
            <v>33900</v>
          </cell>
          <cell r="I236">
            <v>1</v>
          </cell>
          <cell r="J236">
            <v>1</v>
          </cell>
          <cell r="K236" t="str">
            <v>특채</v>
          </cell>
          <cell r="L236" t="str">
            <v>99-852</v>
          </cell>
        </row>
        <row r="237">
          <cell r="B237" t="str">
            <v>김수갑</v>
          </cell>
          <cell r="C237">
            <v>36475</v>
          </cell>
          <cell r="D237" t="str">
            <v>김동수</v>
          </cell>
          <cell r="E237">
            <v>10223142</v>
          </cell>
          <cell r="F237">
            <v>650</v>
          </cell>
          <cell r="G237">
            <v>51000</v>
          </cell>
          <cell r="H237">
            <v>22600</v>
          </cell>
          <cell r="I237">
            <v>1</v>
          </cell>
          <cell r="J237">
            <v>1</v>
          </cell>
          <cell r="K237">
            <v>4482</v>
          </cell>
          <cell r="L237" t="str">
            <v>99-853</v>
          </cell>
        </row>
        <row r="238">
          <cell r="B238" t="str">
            <v>최학수</v>
          </cell>
          <cell r="C238">
            <v>36475</v>
          </cell>
          <cell r="D238" t="str">
            <v>최학수</v>
          </cell>
          <cell r="E238">
            <v>13600036</v>
          </cell>
          <cell r="F238">
            <v>800</v>
          </cell>
          <cell r="G238">
            <v>66200</v>
          </cell>
          <cell r="H238">
            <v>22600</v>
          </cell>
          <cell r="I238">
            <v>1</v>
          </cell>
          <cell r="J238">
            <v>1</v>
          </cell>
          <cell r="K238" t="str">
            <v>특채</v>
          </cell>
          <cell r="L238" t="str">
            <v>99-854</v>
          </cell>
        </row>
        <row r="239">
          <cell r="B239" t="str">
            <v>정옥자</v>
          </cell>
          <cell r="C239">
            <v>36508</v>
          </cell>
          <cell r="D239" t="str">
            <v>신여식</v>
          </cell>
          <cell r="E239">
            <v>12000000</v>
          </cell>
          <cell r="F239">
            <v>730</v>
          </cell>
          <cell r="G239">
            <v>0</v>
          </cell>
          <cell r="H239">
            <v>0</v>
          </cell>
          <cell r="I239">
            <v>1</v>
          </cell>
          <cell r="J239">
            <v>3</v>
          </cell>
          <cell r="K239" t="str">
            <v>경매</v>
          </cell>
          <cell r="L239" t="str">
            <v>99-855</v>
          </cell>
        </row>
        <row r="240">
          <cell r="B240" t="str">
            <v>정옥자</v>
          </cell>
          <cell r="C240">
            <v>36531</v>
          </cell>
          <cell r="D240" t="str">
            <v>최영국</v>
          </cell>
          <cell r="E240">
            <v>12000000</v>
          </cell>
          <cell r="F240">
            <v>730</v>
          </cell>
          <cell r="G240">
            <v>0</v>
          </cell>
          <cell r="H240">
            <v>0</v>
          </cell>
          <cell r="I240">
            <v>1</v>
          </cell>
          <cell r="J240">
            <v>3</v>
          </cell>
          <cell r="K240" t="str">
            <v>경매</v>
          </cell>
          <cell r="L240" t="str">
            <v>99-856</v>
          </cell>
        </row>
        <row r="241">
          <cell r="B241" t="str">
            <v>최순권</v>
          </cell>
          <cell r="C241">
            <v>36475</v>
          </cell>
          <cell r="D241" t="str">
            <v>최순권</v>
          </cell>
          <cell r="E241">
            <v>12983491</v>
          </cell>
          <cell r="F241">
            <v>770</v>
          </cell>
          <cell r="G241">
            <v>63400</v>
          </cell>
          <cell r="H241">
            <v>45200</v>
          </cell>
          <cell r="I241">
            <v>1</v>
          </cell>
          <cell r="J241">
            <v>1</v>
          </cell>
          <cell r="K241">
            <v>4587</v>
          </cell>
          <cell r="L241" t="str">
            <v>99-857</v>
          </cell>
        </row>
        <row r="242">
          <cell r="B242" t="str">
            <v>고주식</v>
          </cell>
          <cell r="C242">
            <v>36475</v>
          </cell>
          <cell r="D242" t="str">
            <v>고주식</v>
          </cell>
          <cell r="E242">
            <v>14016575</v>
          </cell>
          <cell r="F242">
            <v>850</v>
          </cell>
          <cell r="G242">
            <v>68000</v>
          </cell>
          <cell r="H242">
            <v>33900</v>
          </cell>
          <cell r="I242">
            <v>1</v>
          </cell>
          <cell r="J242">
            <v>1</v>
          </cell>
          <cell r="K242">
            <v>4579</v>
          </cell>
          <cell r="L242" t="str">
            <v>99-858</v>
          </cell>
        </row>
        <row r="243">
          <cell r="B243" t="str">
            <v>이관영</v>
          </cell>
          <cell r="C243">
            <v>36475</v>
          </cell>
          <cell r="D243" t="str">
            <v>이관영</v>
          </cell>
          <cell r="E243">
            <v>14600756</v>
          </cell>
          <cell r="F243">
            <v>850</v>
          </cell>
          <cell r="G243">
            <v>70700</v>
          </cell>
          <cell r="H243">
            <v>33900</v>
          </cell>
          <cell r="I243">
            <v>1</v>
          </cell>
          <cell r="J243">
            <v>1</v>
          </cell>
          <cell r="K243">
            <v>4603</v>
          </cell>
          <cell r="L243" t="str">
            <v>99-859</v>
          </cell>
        </row>
        <row r="244">
          <cell r="B244" t="str">
            <v>이옥승</v>
          </cell>
          <cell r="C244">
            <v>36475</v>
          </cell>
          <cell r="D244" t="str">
            <v>이옥승</v>
          </cell>
          <cell r="E244">
            <v>14183420</v>
          </cell>
          <cell r="F244">
            <v>850</v>
          </cell>
          <cell r="G244">
            <v>68800</v>
          </cell>
          <cell r="H244">
            <v>33900</v>
          </cell>
          <cell r="I244">
            <v>1</v>
          </cell>
          <cell r="J244">
            <v>1</v>
          </cell>
          <cell r="K244">
            <v>4628</v>
          </cell>
          <cell r="L244" t="str">
            <v>99-860</v>
          </cell>
        </row>
        <row r="245">
          <cell r="B245" t="str">
            <v>김순남</v>
          </cell>
          <cell r="C245">
            <v>36475</v>
          </cell>
          <cell r="D245" t="str">
            <v>김순남</v>
          </cell>
          <cell r="E245">
            <v>9599183</v>
          </cell>
          <cell r="F245">
            <v>650</v>
          </cell>
          <cell r="G245">
            <v>47900</v>
          </cell>
          <cell r="H245">
            <v>33900</v>
          </cell>
          <cell r="I245">
            <v>1</v>
          </cell>
          <cell r="J245">
            <v>1</v>
          </cell>
          <cell r="K245">
            <v>4641</v>
          </cell>
          <cell r="L245" t="str">
            <v>99-861</v>
          </cell>
        </row>
        <row r="246">
          <cell r="B246" t="str">
            <v>방정자</v>
          </cell>
          <cell r="C246">
            <v>36475</v>
          </cell>
          <cell r="D246" t="str">
            <v>방정자</v>
          </cell>
          <cell r="E246">
            <v>14411892</v>
          </cell>
          <cell r="F246">
            <v>820</v>
          </cell>
          <cell r="G246">
            <v>69800</v>
          </cell>
          <cell r="H246">
            <v>33900</v>
          </cell>
          <cell r="I246">
            <v>1</v>
          </cell>
          <cell r="J246">
            <v>1</v>
          </cell>
          <cell r="K246">
            <v>4644</v>
          </cell>
          <cell r="L246" t="str">
            <v>99-862</v>
          </cell>
        </row>
        <row r="247">
          <cell r="B247" t="str">
            <v>홍길자</v>
          </cell>
          <cell r="C247">
            <v>36488</v>
          </cell>
          <cell r="D247" t="str">
            <v>홍길자</v>
          </cell>
          <cell r="E247">
            <v>11698074</v>
          </cell>
          <cell r="F247">
            <v>717</v>
          </cell>
          <cell r="G247">
            <v>57600</v>
          </cell>
          <cell r="H247">
            <v>45200</v>
          </cell>
          <cell r="I247">
            <v>1</v>
          </cell>
          <cell r="J247">
            <v>1</v>
          </cell>
          <cell r="K247">
            <v>7028</v>
          </cell>
          <cell r="L247" t="str">
            <v>99-863</v>
          </cell>
        </row>
        <row r="248">
          <cell r="B248" t="str">
            <v>김영미</v>
          </cell>
          <cell r="C248">
            <v>36488</v>
          </cell>
          <cell r="D248" t="str">
            <v>김영미</v>
          </cell>
          <cell r="E248">
            <v>5813749</v>
          </cell>
          <cell r="F248">
            <v>440</v>
          </cell>
          <cell r="G248">
            <v>29000</v>
          </cell>
          <cell r="H248">
            <v>33900</v>
          </cell>
          <cell r="I248">
            <v>1</v>
          </cell>
          <cell r="J248">
            <v>1</v>
          </cell>
          <cell r="K248">
            <v>7299</v>
          </cell>
          <cell r="L248" t="str">
            <v>99-864</v>
          </cell>
        </row>
        <row r="249">
          <cell r="B249" t="str">
            <v>김형순</v>
          </cell>
          <cell r="C249">
            <v>36488</v>
          </cell>
          <cell r="D249" t="str">
            <v>김형순</v>
          </cell>
          <cell r="E249">
            <v>14488242</v>
          </cell>
          <cell r="F249">
            <v>829</v>
          </cell>
          <cell r="G249">
            <v>70100</v>
          </cell>
          <cell r="H249">
            <v>33900</v>
          </cell>
          <cell r="I249">
            <v>1</v>
          </cell>
          <cell r="J249">
            <v>1</v>
          </cell>
          <cell r="K249">
            <v>7185</v>
          </cell>
          <cell r="L249" t="str">
            <v>99-865</v>
          </cell>
        </row>
        <row r="250">
          <cell r="B250" t="str">
            <v>이윤길</v>
          </cell>
          <cell r="C250">
            <v>36522</v>
          </cell>
          <cell r="D250" t="str">
            <v>이윤길</v>
          </cell>
          <cell r="E250">
            <v>13593384</v>
          </cell>
          <cell r="F250">
            <v>793</v>
          </cell>
          <cell r="G250">
            <v>66100</v>
          </cell>
          <cell r="H250">
            <v>33900</v>
          </cell>
          <cell r="I250">
            <v>1</v>
          </cell>
          <cell r="J250">
            <v>1</v>
          </cell>
          <cell r="K250">
            <v>4185</v>
          </cell>
          <cell r="L250" t="str">
            <v>99-866</v>
          </cell>
        </row>
        <row r="251">
          <cell r="B251" t="str">
            <v>이강분</v>
          </cell>
          <cell r="C251">
            <v>36488</v>
          </cell>
          <cell r="D251" t="str">
            <v>이강분</v>
          </cell>
          <cell r="E251">
            <v>9338462</v>
          </cell>
          <cell r="F251">
            <v>616</v>
          </cell>
          <cell r="G251">
            <v>46600</v>
          </cell>
          <cell r="H251">
            <v>33900</v>
          </cell>
          <cell r="I251">
            <v>1</v>
          </cell>
          <cell r="J251">
            <v>1</v>
          </cell>
          <cell r="K251">
            <v>6953</v>
          </cell>
          <cell r="L251" t="str">
            <v>99-867</v>
          </cell>
        </row>
        <row r="252">
          <cell r="B252" t="str">
            <v>유영선</v>
          </cell>
          <cell r="C252">
            <v>36522</v>
          </cell>
          <cell r="D252" t="str">
            <v>유영선</v>
          </cell>
          <cell r="E252">
            <v>9677009</v>
          </cell>
          <cell r="F252">
            <v>633</v>
          </cell>
          <cell r="G252">
            <v>48300</v>
          </cell>
          <cell r="H252">
            <v>33900</v>
          </cell>
          <cell r="I252">
            <v>1</v>
          </cell>
          <cell r="J252">
            <v>1</v>
          </cell>
          <cell r="K252">
            <v>6957</v>
          </cell>
          <cell r="L252" t="str">
            <v>99-868</v>
          </cell>
        </row>
        <row r="253">
          <cell r="B253" t="str">
            <v>민윤기</v>
          </cell>
          <cell r="C253">
            <v>36504</v>
          </cell>
          <cell r="D253" t="str">
            <v>민윤기</v>
          </cell>
          <cell r="E253">
            <v>23111501</v>
          </cell>
          <cell r="F253">
            <v>1174</v>
          </cell>
          <cell r="G253">
            <v>109000</v>
          </cell>
          <cell r="H253">
            <v>36160</v>
          </cell>
          <cell r="I253">
            <v>1</v>
          </cell>
          <cell r="J253">
            <v>1</v>
          </cell>
          <cell r="K253">
            <v>6610</v>
          </cell>
          <cell r="L253" t="str">
            <v>99-869</v>
          </cell>
        </row>
        <row r="254">
          <cell r="B254" t="str">
            <v>이경호</v>
          </cell>
          <cell r="C254">
            <v>36488</v>
          </cell>
          <cell r="D254" t="str">
            <v>이경호</v>
          </cell>
          <cell r="E254">
            <v>2371332</v>
          </cell>
          <cell r="F254">
            <v>219</v>
          </cell>
          <cell r="G254">
            <v>11800</v>
          </cell>
          <cell r="H254">
            <v>22600</v>
          </cell>
          <cell r="I254">
            <v>1</v>
          </cell>
          <cell r="J254">
            <v>1</v>
          </cell>
          <cell r="K254">
            <v>7139</v>
          </cell>
          <cell r="L254" t="str">
            <v>99-870</v>
          </cell>
        </row>
        <row r="255">
          <cell r="B255" t="str">
            <v>곽희주</v>
          </cell>
          <cell r="C255">
            <v>36522</v>
          </cell>
          <cell r="D255" t="str">
            <v>곽희주</v>
          </cell>
          <cell r="E255">
            <v>2623792</v>
          </cell>
          <cell r="F255">
            <v>239</v>
          </cell>
          <cell r="G255">
            <v>13100</v>
          </cell>
          <cell r="H255">
            <v>22600</v>
          </cell>
          <cell r="I255">
            <v>1</v>
          </cell>
          <cell r="J255">
            <v>1</v>
          </cell>
          <cell r="K255">
            <v>6573</v>
          </cell>
          <cell r="L255" t="str">
            <v>99-871</v>
          </cell>
        </row>
        <row r="256">
          <cell r="B256" t="str">
            <v>신용주</v>
          </cell>
          <cell r="C256">
            <v>36522</v>
          </cell>
          <cell r="D256" t="str">
            <v>신용주</v>
          </cell>
          <cell r="E256">
            <v>13007679</v>
          </cell>
          <cell r="F256">
            <v>770</v>
          </cell>
          <cell r="G256">
            <v>63500</v>
          </cell>
          <cell r="H256">
            <v>33900</v>
          </cell>
          <cell r="I256">
            <v>1</v>
          </cell>
          <cell r="J256">
            <v>1</v>
          </cell>
          <cell r="K256">
            <v>6529</v>
          </cell>
          <cell r="L256" t="str">
            <v>99-872</v>
          </cell>
        </row>
        <row r="257">
          <cell r="B257" t="str">
            <v>우한공</v>
          </cell>
          <cell r="C257">
            <v>36522</v>
          </cell>
          <cell r="D257" t="str">
            <v>우한공</v>
          </cell>
          <cell r="E257">
            <v>13097144</v>
          </cell>
          <cell r="F257">
            <v>773</v>
          </cell>
          <cell r="G257">
            <v>63900</v>
          </cell>
          <cell r="H257">
            <v>33900</v>
          </cell>
          <cell r="I257">
            <v>1</v>
          </cell>
          <cell r="J257">
            <v>1</v>
          </cell>
          <cell r="K257">
            <v>1978</v>
          </cell>
          <cell r="L257" t="str">
            <v>99-873</v>
          </cell>
        </row>
        <row r="258">
          <cell r="B258" t="str">
            <v>채영규</v>
          </cell>
          <cell r="D258" t="str">
            <v>채영규</v>
          </cell>
          <cell r="E258">
            <v>23148521</v>
          </cell>
          <cell r="F258">
            <v>1175</v>
          </cell>
          <cell r="G258">
            <v>109100</v>
          </cell>
          <cell r="H258">
            <v>36160</v>
          </cell>
          <cell r="I258">
            <v>1</v>
          </cell>
          <cell r="J258">
            <v>1</v>
          </cell>
          <cell r="K258">
            <v>2087</v>
          </cell>
          <cell r="L258" t="str">
            <v>99-874</v>
          </cell>
        </row>
        <row r="259">
          <cell r="B259" t="str">
            <v>이명숙</v>
          </cell>
          <cell r="D259" t="str">
            <v>이명숙</v>
          </cell>
          <cell r="E259">
            <v>16252088</v>
          </cell>
          <cell r="F259">
            <v>900</v>
          </cell>
          <cell r="G259">
            <v>78100</v>
          </cell>
          <cell r="H259">
            <v>33900</v>
          </cell>
          <cell r="I259">
            <v>1</v>
          </cell>
          <cell r="J259">
            <v>1</v>
          </cell>
          <cell r="K259">
            <v>4248</v>
          </cell>
          <cell r="L259" t="str">
            <v>99-875</v>
          </cell>
        </row>
        <row r="260">
          <cell r="B260" t="str">
            <v>박춘애</v>
          </cell>
          <cell r="C260">
            <v>36522</v>
          </cell>
          <cell r="D260" t="str">
            <v>박춘애</v>
          </cell>
          <cell r="E260">
            <v>3907608</v>
          </cell>
          <cell r="F260">
            <v>333</v>
          </cell>
          <cell r="G260">
            <v>19500</v>
          </cell>
          <cell r="H260">
            <v>33900</v>
          </cell>
          <cell r="I260">
            <v>1</v>
          </cell>
          <cell r="J260">
            <v>1</v>
          </cell>
          <cell r="K260">
            <v>4537</v>
          </cell>
          <cell r="L260" t="str">
            <v>99-876</v>
          </cell>
        </row>
        <row r="261">
          <cell r="B261" t="str">
            <v>㈜동원항타</v>
          </cell>
          <cell r="C261">
            <v>36493</v>
          </cell>
          <cell r="D261" t="str">
            <v>동원항타</v>
          </cell>
          <cell r="E261">
            <v>50000000</v>
          </cell>
          <cell r="F261">
            <v>2050</v>
          </cell>
          <cell r="G261">
            <v>230000</v>
          </cell>
          <cell r="H261">
            <v>54240</v>
          </cell>
          <cell r="I261">
            <v>1</v>
          </cell>
          <cell r="J261">
            <v>2</v>
          </cell>
          <cell r="K261" t="str">
            <v>경매</v>
          </cell>
          <cell r="L261" t="str">
            <v>99-877</v>
          </cell>
        </row>
        <row r="262">
          <cell r="B262" t="str">
            <v>김근호</v>
          </cell>
          <cell r="D262" t="str">
            <v>김근호</v>
          </cell>
          <cell r="E262">
            <v>27813849</v>
          </cell>
          <cell r="F262">
            <v>1360</v>
          </cell>
          <cell r="G262">
            <v>130100</v>
          </cell>
          <cell r="H262">
            <v>54240</v>
          </cell>
          <cell r="I262">
            <v>1</v>
          </cell>
          <cell r="J262">
            <v>1</v>
          </cell>
          <cell r="K262">
            <v>9665</v>
          </cell>
          <cell r="L262" t="str">
            <v>99-878</v>
          </cell>
        </row>
        <row r="263">
          <cell r="B263" t="str">
            <v>이민휘</v>
          </cell>
          <cell r="C263">
            <v>36488</v>
          </cell>
          <cell r="D263" t="str">
            <v>이민휘</v>
          </cell>
          <cell r="E263">
            <v>2544127</v>
          </cell>
          <cell r="F263">
            <v>230</v>
          </cell>
          <cell r="G263">
            <v>12700</v>
          </cell>
          <cell r="H263">
            <v>33900</v>
          </cell>
          <cell r="I263">
            <v>1</v>
          </cell>
          <cell r="J263">
            <v>1</v>
          </cell>
          <cell r="K263">
            <v>8304</v>
          </cell>
          <cell r="L263" t="str">
            <v>99-879</v>
          </cell>
        </row>
        <row r="264">
          <cell r="B264" t="str">
            <v>윤종호</v>
          </cell>
          <cell r="C264">
            <v>36488</v>
          </cell>
          <cell r="D264" t="str">
            <v>윤종호</v>
          </cell>
          <cell r="E264">
            <v>12287108</v>
          </cell>
          <cell r="F264">
            <v>400</v>
          </cell>
          <cell r="G264">
            <v>60200</v>
          </cell>
          <cell r="H264">
            <v>22600</v>
          </cell>
          <cell r="I264">
            <v>1</v>
          </cell>
          <cell r="J264">
            <v>1</v>
          </cell>
          <cell r="K264">
            <v>4828</v>
          </cell>
          <cell r="L264" t="str">
            <v>99-880</v>
          </cell>
        </row>
        <row r="265">
          <cell r="B265" t="str">
            <v>홍순모</v>
          </cell>
          <cell r="C265">
            <v>36522</v>
          </cell>
          <cell r="D265" t="str">
            <v>홍순모</v>
          </cell>
          <cell r="E265">
            <v>10613012</v>
          </cell>
          <cell r="F265">
            <v>650</v>
          </cell>
          <cell r="G265">
            <v>52700</v>
          </cell>
          <cell r="H265">
            <v>33900</v>
          </cell>
          <cell r="I265">
            <v>1</v>
          </cell>
          <cell r="J265">
            <v>1</v>
          </cell>
          <cell r="K265">
            <v>8103</v>
          </cell>
          <cell r="L265" t="str">
            <v>99-881</v>
          </cell>
        </row>
        <row r="266">
          <cell r="B266" t="str">
            <v>이정섭</v>
          </cell>
          <cell r="D266" t="str">
            <v>이정섭</v>
          </cell>
          <cell r="E266">
            <v>20844328</v>
          </cell>
          <cell r="F266">
            <v>1080</v>
          </cell>
          <cell r="G266">
            <v>98700</v>
          </cell>
          <cell r="H266">
            <v>72320</v>
          </cell>
          <cell r="I266">
            <v>1</v>
          </cell>
          <cell r="J266">
            <v>1</v>
          </cell>
          <cell r="K266" t="str">
            <v>특채</v>
          </cell>
          <cell r="L266" t="str">
            <v>99-882</v>
          </cell>
        </row>
        <row r="267">
          <cell r="B267" t="str">
            <v>양종길</v>
          </cell>
          <cell r="C267">
            <v>36522</v>
          </cell>
          <cell r="D267" t="str">
            <v>양종길</v>
          </cell>
          <cell r="E267">
            <v>13532107</v>
          </cell>
          <cell r="F267">
            <v>790</v>
          </cell>
          <cell r="G267">
            <v>65800</v>
          </cell>
          <cell r="H267">
            <v>22600</v>
          </cell>
          <cell r="I267">
            <v>1</v>
          </cell>
          <cell r="J267">
            <v>1</v>
          </cell>
          <cell r="K267" t="str">
            <v>특채</v>
          </cell>
          <cell r="L267" t="str">
            <v>99-883</v>
          </cell>
        </row>
        <row r="268">
          <cell r="B268" t="str">
            <v>김옥숙</v>
          </cell>
          <cell r="C268">
            <v>36528</v>
          </cell>
          <cell r="D268" t="str">
            <v>유재환</v>
          </cell>
          <cell r="E268">
            <v>52861086</v>
          </cell>
          <cell r="F268">
            <v>2070</v>
          </cell>
          <cell r="G268">
            <v>242800</v>
          </cell>
          <cell r="H268">
            <v>90400</v>
          </cell>
          <cell r="I268">
            <v>1</v>
          </cell>
          <cell r="J268">
            <v>1</v>
          </cell>
          <cell r="K268" t="str">
            <v>특채</v>
          </cell>
          <cell r="L268" t="str">
            <v>99-884</v>
          </cell>
        </row>
        <row r="269">
          <cell r="B269" t="str">
            <v>박민수</v>
          </cell>
          <cell r="C269">
            <v>36475</v>
          </cell>
          <cell r="D269" t="str">
            <v>박민수</v>
          </cell>
          <cell r="E269">
            <v>7989470</v>
          </cell>
          <cell r="F269">
            <v>549</v>
          </cell>
          <cell r="G269">
            <v>33900</v>
          </cell>
          <cell r="H269">
            <v>33900</v>
          </cell>
          <cell r="I269">
            <v>1</v>
          </cell>
          <cell r="J269">
            <v>1</v>
          </cell>
          <cell r="L269" t="str">
            <v>99-885</v>
          </cell>
        </row>
        <row r="270">
          <cell r="B270" t="str">
            <v>안영순</v>
          </cell>
          <cell r="C270">
            <v>36475</v>
          </cell>
          <cell r="D270" t="str">
            <v>안영순</v>
          </cell>
          <cell r="E270">
            <v>12385635</v>
          </cell>
          <cell r="F270">
            <v>745</v>
          </cell>
          <cell r="G270">
            <v>60700</v>
          </cell>
          <cell r="H270">
            <v>22600</v>
          </cell>
          <cell r="I270">
            <v>1</v>
          </cell>
          <cell r="J270">
            <v>1</v>
          </cell>
          <cell r="L270" t="str">
            <v>99-886</v>
          </cell>
        </row>
        <row r="271">
          <cell r="B271" t="str">
            <v>대현종합건설㈜</v>
          </cell>
          <cell r="D271" t="str">
            <v>대현종합건설㈜</v>
          </cell>
          <cell r="E271">
            <v>45221968</v>
          </cell>
          <cell r="F271">
            <v>1906</v>
          </cell>
          <cell r="G271">
            <v>208400</v>
          </cell>
          <cell r="H271">
            <v>72320</v>
          </cell>
          <cell r="I271">
            <v>1</v>
          </cell>
          <cell r="J271">
            <v>1</v>
          </cell>
          <cell r="K271" t="str">
            <v>특채</v>
          </cell>
          <cell r="L271" t="str">
            <v>99-887</v>
          </cell>
        </row>
        <row r="272">
          <cell r="B272" t="str">
            <v>조규식</v>
          </cell>
          <cell r="D272" t="str">
            <v>조규식</v>
          </cell>
          <cell r="E272">
            <v>73366231</v>
          </cell>
          <cell r="F272">
            <v>2283</v>
          </cell>
          <cell r="G272">
            <v>335100</v>
          </cell>
          <cell r="H272">
            <v>72320</v>
          </cell>
          <cell r="I272">
            <v>1</v>
          </cell>
          <cell r="J272">
            <v>1</v>
          </cell>
          <cell r="K272">
            <v>8362</v>
          </cell>
          <cell r="L272" t="str">
            <v>99-888</v>
          </cell>
        </row>
        <row r="273">
          <cell r="B273" t="str">
            <v>동원전설산업㈜</v>
          </cell>
          <cell r="C273">
            <v>36494</v>
          </cell>
          <cell r="D273" t="str">
            <v>동원전설산업㈜</v>
          </cell>
          <cell r="E273">
            <v>175194150</v>
          </cell>
          <cell r="F273">
            <v>2925</v>
          </cell>
          <cell r="G273">
            <v>255700</v>
          </cell>
          <cell r="H273">
            <v>54240</v>
          </cell>
          <cell r="I273">
            <v>1</v>
          </cell>
          <cell r="J273">
            <v>1</v>
          </cell>
          <cell r="L273" t="str">
            <v>99-889</v>
          </cell>
        </row>
        <row r="274">
          <cell r="B274" t="str">
            <v>㈜조한인터내셔날</v>
          </cell>
          <cell r="D274" t="str">
            <v>조한인터내셔날</v>
          </cell>
          <cell r="E274">
            <v>173272072</v>
          </cell>
          <cell r="F274">
            <v>2916</v>
          </cell>
          <cell r="G274">
            <v>748000</v>
          </cell>
          <cell r="H274">
            <v>72320</v>
          </cell>
          <cell r="I274">
            <v>1</v>
          </cell>
          <cell r="J274">
            <v>1</v>
          </cell>
          <cell r="K274">
            <v>4171</v>
          </cell>
          <cell r="L274" t="str">
            <v>99-890</v>
          </cell>
        </row>
        <row r="275">
          <cell r="B275" t="str">
            <v>고중욱</v>
          </cell>
          <cell r="D275" t="str">
            <v>고중욱</v>
          </cell>
          <cell r="E275">
            <v>27133424</v>
          </cell>
          <cell r="F275">
            <v>1335</v>
          </cell>
          <cell r="G275">
            <v>127100</v>
          </cell>
          <cell r="H275">
            <v>36160</v>
          </cell>
          <cell r="I275">
            <v>1</v>
          </cell>
          <cell r="J275">
            <v>1</v>
          </cell>
          <cell r="K275">
            <v>5426</v>
          </cell>
          <cell r="L275" t="str">
            <v>99-891</v>
          </cell>
        </row>
        <row r="276">
          <cell r="B276" t="str">
            <v>이대진</v>
          </cell>
          <cell r="C276">
            <v>36475</v>
          </cell>
          <cell r="D276" t="str">
            <v>이대진</v>
          </cell>
          <cell r="E276">
            <v>7058532</v>
          </cell>
          <cell r="F276">
            <v>502</v>
          </cell>
          <cell r="G276">
            <v>35200</v>
          </cell>
          <cell r="H276">
            <v>22600</v>
          </cell>
          <cell r="I276">
            <v>1</v>
          </cell>
          <cell r="J276">
            <v>1</v>
          </cell>
          <cell r="L276" t="str">
            <v>99-892</v>
          </cell>
        </row>
        <row r="277">
          <cell r="B277" t="str">
            <v>영동중앙물산㈜</v>
          </cell>
          <cell r="D277" t="str">
            <v>영동중앙물산㈜</v>
          </cell>
          <cell r="E277">
            <v>1565412216</v>
          </cell>
          <cell r="F277">
            <v>9877</v>
          </cell>
          <cell r="G277">
            <v>6033900</v>
          </cell>
          <cell r="H277">
            <v>54240</v>
          </cell>
          <cell r="I277">
            <v>1</v>
          </cell>
          <cell r="J277">
            <v>4</v>
          </cell>
          <cell r="K277" t="str">
            <v>한일렌탈</v>
          </cell>
          <cell r="L277" t="str">
            <v>99-893</v>
          </cell>
        </row>
        <row r="278">
          <cell r="B278" t="str">
            <v>조영린</v>
          </cell>
          <cell r="D278" t="str">
            <v>한범석</v>
          </cell>
          <cell r="E278">
            <v>2469900</v>
          </cell>
          <cell r="F278">
            <v>227</v>
          </cell>
          <cell r="G278">
            <v>12300</v>
          </cell>
          <cell r="H278">
            <v>36160</v>
          </cell>
          <cell r="I278">
            <v>1</v>
          </cell>
          <cell r="J278">
            <v>3</v>
          </cell>
          <cell r="K278" t="str">
            <v>경매</v>
          </cell>
          <cell r="L278" t="str">
            <v>99-894</v>
          </cell>
        </row>
        <row r="279">
          <cell r="B279" t="str">
            <v>김세종</v>
          </cell>
          <cell r="D279" t="str">
            <v>유수옥</v>
          </cell>
          <cell r="E279">
            <v>5000000</v>
          </cell>
          <cell r="F279">
            <v>400</v>
          </cell>
          <cell r="G279">
            <v>25000</v>
          </cell>
          <cell r="H279">
            <v>36160</v>
          </cell>
          <cell r="I279">
            <v>1</v>
          </cell>
          <cell r="J279">
            <v>3</v>
          </cell>
          <cell r="K279" t="str">
            <v>경매</v>
          </cell>
          <cell r="L279" t="str">
            <v>99-895</v>
          </cell>
        </row>
        <row r="280">
          <cell r="B280" t="str">
            <v>거성인슈판넬㈜</v>
          </cell>
          <cell r="D280" t="str">
            <v>거성인슈판넬㈜</v>
          </cell>
          <cell r="E280">
            <v>45536300</v>
          </cell>
          <cell r="F280">
            <v>1916</v>
          </cell>
          <cell r="G280">
            <v>209900</v>
          </cell>
          <cell r="H280">
            <v>126560</v>
          </cell>
          <cell r="I280">
            <v>1</v>
          </cell>
          <cell r="J280">
            <v>2</v>
          </cell>
          <cell r="K280" t="str">
            <v>경인</v>
          </cell>
          <cell r="L280" t="str">
            <v>99-896</v>
          </cell>
        </row>
        <row r="281">
          <cell r="B281" t="str">
            <v>김수형</v>
          </cell>
          <cell r="C281">
            <v>36498</v>
          </cell>
          <cell r="D281" t="str">
            <v>김수형</v>
          </cell>
          <cell r="E281">
            <v>14979088</v>
          </cell>
          <cell r="F281">
            <v>849</v>
          </cell>
          <cell r="G281">
            <v>72400</v>
          </cell>
          <cell r="H281">
            <v>45200</v>
          </cell>
          <cell r="I281">
            <v>1</v>
          </cell>
          <cell r="J281">
            <v>1</v>
          </cell>
          <cell r="L281" t="str">
            <v>99-897</v>
          </cell>
        </row>
        <row r="282">
          <cell r="B282" t="str">
            <v>전진희</v>
          </cell>
          <cell r="D282" t="str">
            <v>전진희</v>
          </cell>
          <cell r="E282">
            <v>4707500</v>
          </cell>
          <cell r="F282">
            <v>340</v>
          </cell>
          <cell r="G282">
            <v>23500</v>
          </cell>
          <cell r="H282">
            <v>33900</v>
          </cell>
          <cell r="I282">
            <v>1</v>
          </cell>
          <cell r="J282">
            <v>1</v>
          </cell>
          <cell r="K282">
            <v>1834</v>
          </cell>
          <cell r="L282" t="str">
            <v>99-898</v>
          </cell>
        </row>
        <row r="283">
          <cell r="B283" t="str">
            <v>김영훈</v>
          </cell>
          <cell r="D283" t="str">
            <v>김영훈</v>
          </cell>
          <cell r="E283">
            <v>8888853</v>
          </cell>
          <cell r="F283">
            <v>590</v>
          </cell>
          <cell r="G283">
            <v>44400</v>
          </cell>
          <cell r="H283">
            <v>45200</v>
          </cell>
          <cell r="I283">
            <v>1</v>
          </cell>
          <cell r="J283">
            <v>1</v>
          </cell>
          <cell r="K283">
            <v>7932</v>
          </cell>
          <cell r="L283" t="str">
            <v>99-899</v>
          </cell>
        </row>
        <row r="284">
          <cell r="B284" t="str">
            <v>송주성</v>
          </cell>
          <cell r="C284">
            <v>36481</v>
          </cell>
          <cell r="D284" t="str">
            <v>송주성</v>
          </cell>
          <cell r="E284">
            <v>13936176</v>
          </cell>
          <cell r="F284">
            <v>780</v>
          </cell>
          <cell r="G284">
            <v>67700</v>
          </cell>
          <cell r="H284">
            <v>33900</v>
          </cell>
          <cell r="I284">
            <v>1</v>
          </cell>
          <cell r="J284">
            <v>1</v>
          </cell>
          <cell r="K284">
            <v>4361</v>
          </cell>
          <cell r="L284" t="str">
            <v>99-900</v>
          </cell>
        </row>
        <row r="285">
          <cell r="B285" t="str">
            <v>㈜영동파이프</v>
          </cell>
          <cell r="D285" t="str">
            <v>영동파이프</v>
          </cell>
          <cell r="E285">
            <v>31144935</v>
          </cell>
          <cell r="F285">
            <v>1480</v>
          </cell>
          <cell r="G285">
            <v>145100</v>
          </cell>
          <cell r="H285">
            <v>54240</v>
          </cell>
          <cell r="I285">
            <v>1</v>
          </cell>
          <cell r="J285">
            <v>1</v>
          </cell>
          <cell r="K285">
            <v>2027</v>
          </cell>
          <cell r="L285" t="str">
            <v>99-901</v>
          </cell>
        </row>
        <row r="286">
          <cell r="B286" t="str">
            <v>최일출</v>
          </cell>
          <cell r="D286" t="str">
            <v>최일출</v>
          </cell>
          <cell r="E286">
            <v>25411123</v>
          </cell>
          <cell r="F286">
            <v>1260</v>
          </cell>
          <cell r="G286">
            <v>119300</v>
          </cell>
          <cell r="H286">
            <v>54240</v>
          </cell>
          <cell r="I286">
            <v>1</v>
          </cell>
          <cell r="J286">
            <v>1</v>
          </cell>
          <cell r="K286">
            <v>1887</v>
          </cell>
          <cell r="L286" t="str">
            <v>99-902</v>
          </cell>
        </row>
        <row r="287">
          <cell r="B287" t="str">
            <v>배장완</v>
          </cell>
          <cell r="C287">
            <v>36523</v>
          </cell>
          <cell r="D287" t="str">
            <v>배장완</v>
          </cell>
          <cell r="E287">
            <v>8334123</v>
          </cell>
          <cell r="F287">
            <v>560</v>
          </cell>
          <cell r="G287">
            <v>41600</v>
          </cell>
          <cell r="H287">
            <v>22600</v>
          </cell>
          <cell r="I287">
            <v>1</v>
          </cell>
          <cell r="J287">
            <v>1</v>
          </cell>
          <cell r="K287" t="str">
            <v>특채</v>
          </cell>
          <cell r="L287" t="str">
            <v>99-903</v>
          </cell>
        </row>
        <row r="288">
          <cell r="B288" t="str">
            <v>이범희</v>
          </cell>
          <cell r="D288" t="str">
            <v>이범희</v>
          </cell>
          <cell r="E288">
            <v>14415138</v>
          </cell>
          <cell r="F288">
            <v>820</v>
          </cell>
          <cell r="G288">
            <v>69800</v>
          </cell>
          <cell r="H288">
            <v>22600</v>
          </cell>
          <cell r="I288">
            <v>1</v>
          </cell>
          <cell r="J288">
            <v>1</v>
          </cell>
          <cell r="K288" t="str">
            <v>특채</v>
          </cell>
          <cell r="L288" t="str">
            <v>99-904</v>
          </cell>
        </row>
        <row r="289">
          <cell r="B289" t="str">
            <v>김혜숙</v>
          </cell>
          <cell r="C289">
            <v>36481</v>
          </cell>
          <cell r="D289" t="str">
            <v>김혜숙</v>
          </cell>
          <cell r="E289">
            <v>14094951</v>
          </cell>
          <cell r="F289">
            <v>810</v>
          </cell>
          <cell r="G289">
            <v>68400</v>
          </cell>
          <cell r="H289">
            <v>33900</v>
          </cell>
          <cell r="I289">
            <v>1</v>
          </cell>
          <cell r="J289">
            <v>1</v>
          </cell>
          <cell r="K289" t="str">
            <v>특채</v>
          </cell>
          <cell r="L289" t="str">
            <v>99-905</v>
          </cell>
        </row>
        <row r="290">
          <cell r="B290" t="str">
            <v>㈜궁전퍼니처</v>
          </cell>
          <cell r="D290" t="str">
            <v>궁전퍼니처</v>
          </cell>
          <cell r="E290">
            <v>24080354</v>
          </cell>
          <cell r="F290">
            <v>1210</v>
          </cell>
          <cell r="G290">
            <v>113300</v>
          </cell>
          <cell r="H290">
            <v>72320</v>
          </cell>
          <cell r="I290">
            <v>1</v>
          </cell>
          <cell r="J290">
            <v>1</v>
          </cell>
          <cell r="K290" t="str">
            <v>특채</v>
          </cell>
          <cell r="L290" t="str">
            <v>99-906</v>
          </cell>
        </row>
        <row r="291">
          <cell r="B291" t="str">
            <v>일진통상㈜</v>
          </cell>
          <cell r="D291" t="str">
            <v>이명옥</v>
          </cell>
          <cell r="E291">
            <v>31750000</v>
          </cell>
          <cell r="F291">
            <v>1502</v>
          </cell>
          <cell r="G291">
            <v>147800</v>
          </cell>
          <cell r="H291">
            <v>36160</v>
          </cell>
          <cell r="I291">
            <v>1</v>
          </cell>
          <cell r="J291">
            <v>2</v>
          </cell>
          <cell r="K291">
            <v>23780</v>
          </cell>
          <cell r="L291" t="str">
            <v>99-907</v>
          </cell>
        </row>
        <row r="292">
          <cell r="B292" t="str">
            <v>윤병립</v>
          </cell>
          <cell r="D292" t="str">
            <v>윤병립</v>
          </cell>
          <cell r="E292">
            <v>120000000</v>
          </cell>
          <cell r="F292">
            <v>2650</v>
          </cell>
          <cell r="G292">
            <v>545000</v>
          </cell>
          <cell r="H292">
            <v>54240</v>
          </cell>
          <cell r="I292">
            <v>1</v>
          </cell>
          <cell r="J292">
            <v>1</v>
          </cell>
          <cell r="K292" t="str">
            <v>고창득</v>
          </cell>
          <cell r="L292" t="str">
            <v>99-908</v>
          </cell>
        </row>
        <row r="293">
          <cell r="B293" t="str">
            <v>김혜숙</v>
          </cell>
          <cell r="D293" t="str">
            <v>김혜숙</v>
          </cell>
          <cell r="E293">
            <v>14588060</v>
          </cell>
          <cell r="F293">
            <v>833</v>
          </cell>
          <cell r="G293">
            <v>70600</v>
          </cell>
          <cell r="H293">
            <v>45200</v>
          </cell>
          <cell r="I293">
            <v>1</v>
          </cell>
          <cell r="J293">
            <v>1</v>
          </cell>
          <cell r="K293">
            <v>1968</v>
          </cell>
          <cell r="L293" t="str">
            <v>99-909</v>
          </cell>
        </row>
        <row r="294">
          <cell r="B294" t="str">
            <v>임용철</v>
          </cell>
          <cell r="D294" t="str">
            <v>임용철</v>
          </cell>
          <cell r="E294">
            <v>25673833</v>
          </cell>
          <cell r="F294">
            <v>1276</v>
          </cell>
          <cell r="G294">
            <v>120500</v>
          </cell>
          <cell r="H294">
            <v>72320</v>
          </cell>
          <cell r="I294">
            <v>1</v>
          </cell>
          <cell r="J294">
            <v>1</v>
          </cell>
          <cell r="K294">
            <v>18987</v>
          </cell>
          <cell r="L294" t="str">
            <v>99-910</v>
          </cell>
        </row>
        <row r="295">
          <cell r="B295" t="str">
            <v>㈜두성양말</v>
          </cell>
          <cell r="D295" t="str">
            <v>두성양말</v>
          </cell>
          <cell r="E295">
            <v>403295368</v>
          </cell>
          <cell r="F295">
            <v>4066</v>
          </cell>
          <cell r="G295">
            <v>1668100</v>
          </cell>
          <cell r="H295">
            <v>72320</v>
          </cell>
          <cell r="I295">
            <v>1</v>
          </cell>
          <cell r="J295">
            <v>1</v>
          </cell>
          <cell r="K295" t="str">
            <v>특채</v>
          </cell>
          <cell r="L295" t="str">
            <v>99-911</v>
          </cell>
        </row>
        <row r="296">
          <cell r="B296" t="str">
            <v>최장규</v>
          </cell>
          <cell r="C296">
            <v>36502</v>
          </cell>
          <cell r="D296" t="str">
            <v>최장규</v>
          </cell>
          <cell r="E296">
            <v>23288765</v>
          </cell>
          <cell r="F296">
            <v>1181</v>
          </cell>
          <cell r="G296">
            <v>109700</v>
          </cell>
          <cell r="H296">
            <v>36160</v>
          </cell>
          <cell r="I296">
            <v>1</v>
          </cell>
          <cell r="J296">
            <v>1</v>
          </cell>
          <cell r="K296">
            <v>2092</v>
          </cell>
          <cell r="L296" t="str">
            <v>99-914</v>
          </cell>
        </row>
        <row r="297">
          <cell r="B297" t="str">
            <v>박영국</v>
          </cell>
          <cell r="C297">
            <v>36481</v>
          </cell>
          <cell r="D297" t="str">
            <v>박영국</v>
          </cell>
          <cell r="E297">
            <v>4746956</v>
          </cell>
          <cell r="F297">
            <v>392</v>
          </cell>
          <cell r="G297">
            <v>23700</v>
          </cell>
          <cell r="H297">
            <v>33900</v>
          </cell>
          <cell r="I297">
            <v>1</v>
          </cell>
          <cell r="J297">
            <v>1</v>
          </cell>
          <cell r="K297">
            <v>1787</v>
          </cell>
          <cell r="L297" t="str">
            <v>99-915</v>
          </cell>
        </row>
        <row r="298">
          <cell r="B298" t="str">
            <v>동천선재㈜</v>
          </cell>
          <cell r="C298">
            <v>36511</v>
          </cell>
          <cell r="D298" t="str">
            <v>동천선재㈜</v>
          </cell>
          <cell r="E298">
            <v>392070134</v>
          </cell>
          <cell r="F298">
            <v>4010</v>
          </cell>
          <cell r="G298">
            <v>1623200</v>
          </cell>
          <cell r="H298">
            <v>54240</v>
          </cell>
          <cell r="I298">
            <v>1</v>
          </cell>
          <cell r="J298">
            <v>1</v>
          </cell>
          <cell r="K298">
            <v>8216</v>
          </cell>
          <cell r="L298" t="str">
            <v>99-916</v>
          </cell>
        </row>
        <row r="299">
          <cell r="B299" t="str">
            <v>㈜한주프라자</v>
          </cell>
          <cell r="C299">
            <v>36481</v>
          </cell>
          <cell r="D299" t="str">
            <v>한주프라자</v>
          </cell>
          <cell r="E299">
            <v>6632818</v>
          </cell>
          <cell r="F299">
            <v>481</v>
          </cell>
          <cell r="G299">
            <v>33100</v>
          </cell>
          <cell r="H299">
            <v>45200</v>
          </cell>
          <cell r="I299">
            <v>1</v>
          </cell>
          <cell r="J299">
            <v>1</v>
          </cell>
          <cell r="K299">
            <v>1785</v>
          </cell>
          <cell r="L299" t="str">
            <v>99-917</v>
          </cell>
        </row>
        <row r="300">
          <cell r="B300" t="str">
            <v>이화주</v>
          </cell>
          <cell r="C300">
            <v>36481</v>
          </cell>
          <cell r="D300" t="str">
            <v>이화주</v>
          </cell>
          <cell r="E300">
            <v>10217636</v>
          </cell>
          <cell r="F300">
            <v>658</v>
          </cell>
          <cell r="G300">
            <v>50900</v>
          </cell>
          <cell r="H300">
            <v>45200</v>
          </cell>
          <cell r="I300">
            <v>1</v>
          </cell>
          <cell r="J300">
            <v>1</v>
          </cell>
          <cell r="K300">
            <v>4380</v>
          </cell>
          <cell r="L300" t="str">
            <v>99-918</v>
          </cell>
        </row>
        <row r="301">
          <cell r="B301" t="str">
            <v>고윤미</v>
          </cell>
          <cell r="C301">
            <v>36523</v>
          </cell>
          <cell r="D301" t="str">
            <v>고윤미</v>
          </cell>
          <cell r="E301">
            <v>13751201</v>
          </cell>
          <cell r="F301">
            <v>800</v>
          </cell>
          <cell r="G301">
            <v>66800</v>
          </cell>
          <cell r="H301">
            <v>45200</v>
          </cell>
          <cell r="I301">
            <v>1</v>
          </cell>
          <cell r="J301">
            <v>1</v>
          </cell>
          <cell r="K301">
            <v>2146</v>
          </cell>
          <cell r="L301" t="str">
            <v>99-919</v>
          </cell>
        </row>
        <row r="302">
          <cell r="B302" t="str">
            <v>이종구</v>
          </cell>
          <cell r="C302">
            <v>36502</v>
          </cell>
          <cell r="D302" t="str">
            <v>이종구</v>
          </cell>
          <cell r="E302">
            <v>50696296</v>
          </cell>
          <cell r="F302">
            <v>2056</v>
          </cell>
          <cell r="G302">
            <v>233100</v>
          </cell>
          <cell r="H302">
            <v>36160</v>
          </cell>
          <cell r="I302">
            <v>1</v>
          </cell>
          <cell r="J302">
            <v>1</v>
          </cell>
          <cell r="L302" t="str">
            <v>99-920</v>
          </cell>
        </row>
        <row r="303">
          <cell r="B303" t="str">
            <v>장세준</v>
          </cell>
          <cell r="C303">
            <v>36481</v>
          </cell>
          <cell r="D303" t="str">
            <v>장세준</v>
          </cell>
          <cell r="E303">
            <v>1892831</v>
          </cell>
          <cell r="F303">
            <v>180</v>
          </cell>
          <cell r="G303">
            <v>9400</v>
          </cell>
          <cell r="H303">
            <v>33900</v>
          </cell>
          <cell r="I303">
            <v>1</v>
          </cell>
          <cell r="J303">
            <v>1</v>
          </cell>
          <cell r="K303">
            <v>4379</v>
          </cell>
          <cell r="L303" t="str">
            <v>99-921</v>
          </cell>
        </row>
        <row r="304">
          <cell r="B304" t="str">
            <v>황용웅</v>
          </cell>
          <cell r="C304">
            <v>36476</v>
          </cell>
          <cell r="D304" t="str">
            <v>황용웅</v>
          </cell>
          <cell r="E304">
            <v>10672688</v>
          </cell>
          <cell r="F304">
            <v>670</v>
          </cell>
          <cell r="G304">
            <v>53000</v>
          </cell>
          <cell r="H304">
            <v>101700</v>
          </cell>
          <cell r="I304">
            <v>1</v>
          </cell>
          <cell r="J304">
            <v>1</v>
          </cell>
          <cell r="K304">
            <v>913</v>
          </cell>
          <cell r="L304" t="str">
            <v>99-922</v>
          </cell>
        </row>
        <row r="305">
          <cell r="B305" t="str">
            <v>최휘신</v>
          </cell>
          <cell r="D305" t="str">
            <v>최휘신</v>
          </cell>
          <cell r="E305">
            <v>39985587</v>
          </cell>
          <cell r="F305">
            <v>1750</v>
          </cell>
          <cell r="G305">
            <v>184900</v>
          </cell>
          <cell r="H305">
            <v>72320</v>
          </cell>
          <cell r="I305">
            <v>1</v>
          </cell>
          <cell r="J305">
            <v>1</v>
          </cell>
          <cell r="K305" t="str">
            <v>민주홍</v>
          </cell>
          <cell r="L305" t="str">
            <v>99-924</v>
          </cell>
        </row>
        <row r="306">
          <cell r="B306" t="str">
            <v>김범준</v>
          </cell>
          <cell r="C306">
            <v>36488</v>
          </cell>
          <cell r="D306" t="str">
            <v>김범준</v>
          </cell>
          <cell r="E306">
            <v>1443992</v>
          </cell>
          <cell r="F306">
            <v>139</v>
          </cell>
          <cell r="G306">
            <v>7200</v>
          </cell>
          <cell r="H306">
            <v>22600</v>
          </cell>
          <cell r="I306">
            <v>1</v>
          </cell>
          <cell r="J306">
            <v>1</v>
          </cell>
          <cell r="L306" t="str">
            <v>99-925</v>
          </cell>
        </row>
        <row r="307">
          <cell r="B307" t="str">
            <v>이아물산㈜</v>
          </cell>
          <cell r="D307" t="str">
            <v>이아물산㈜</v>
          </cell>
          <cell r="E307">
            <v>36522075</v>
          </cell>
          <cell r="F307">
            <v>1645</v>
          </cell>
          <cell r="G307">
            <v>169300</v>
          </cell>
          <cell r="H307">
            <v>126560</v>
          </cell>
          <cell r="I307">
            <v>1</v>
          </cell>
          <cell r="J307">
            <v>1</v>
          </cell>
          <cell r="L307" t="str">
            <v>99-926</v>
          </cell>
        </row>
        <row r="308">
          <cell r="B308" t="str">
            <v>오영환</v>
          </cell>
          <cell r="D308" t="str">
            <v>오영환</v>
          </cell>
          <cell r="E308">
            <v>65000000</v>
          </cell>
          <cell r="F308">
            <v>2200</v>
          </cell>
          <cell r="G308">
            <v>0</v>
          </cell>
          <cell r="H308">
            <v>0</v>
          </cell>
          <cell r="I308">
            <v>1</v>
          </cell>
          <cell r="J308">
            <v>4</v>
          </cell>
          <cell r="K308" t="str">
            <v>경매</v>
          </cell>
          <cell r="L308" t="str">
            <v>99-927</v>
          </cell>
        </row>
        <row r="309">
          <cell r="B309" t="str">
            <v>박희서</v>
          </cell>
          <cell r="C309">
            <v>36523</v>
          </cell>
          <cell r="D309" t="str">
            <v>박희서</v>
          </cell>
          <cell r="E309">
            <v>3615056</v>
          </cell>
          <cell r="F309">
            <v>280</v>
          </cell>
          <cell r="G309">
            <v>18000</v>
          </cell>
          <cell r="H309">
            <v>33900</v>
          </cell>
          <cell r="I309">
            <v>1</v>
          </cell>
          <cell r="J309">
            <v>1</v>
          </cell>
          <cell r="K309">
            <v>5513</v>
          </cell>
          <cell r="L309" t="str">
            <v>99-928</v>
          </cell>
        </row>
        <row r="310">
          <cell r="B310" t="str">
            <v>박영미</v>
          </cell>
          <cell r="C310">
            <v>36490</v>
          </cell>
          <cell r="D310" t="str">
            <v>박영미</v>
          </cell>
          <cell r="E310">
            <v>4166200</v>
          </cell>
          <cell r="F310">
            <v>340</v>
          </cell>
          <cell r="G310">
            <v>20800</v>
          </cell>
          <cell r="H310">
            <v>33900</v>
          </cell>
          <cell r="I310">
            <v>1</v>
          </cell>
          <cell r="J310">
            <v>1</v>
          </cell>
          <cell r="K310">
            <v>5440</v>
          </cell>
          <cell r="L310" t="str">
            <v>99-929</v>
          </cell>
        </row>
        <row r="311">
          <cell r="B311" t="str">
            <v>양홍기</v>
          </cell>
          <cell r="C311">
            <v>36525</v>
          </cell>
          <cell r="D311" t="str">
            <v>양홍기</v>
          </cell>
          <cell r="E311">
            <v>17737376</v>
          </cell>
          <cell r="F311">
            <v>950</v>
          </cell>
          <cell r="G311">
            <v>84800</v>
          </cell>
          <cell r="H311">
            <v>33900</v>
          </cell>
          <cell r="I311">
            <v>1</v>
          </cell>
          <cell r="J311">
            <v>1</v>
          </cell>
          <cell r="K311">
            <v>18736</v>
          </cell>
          <cell r="L311" t="str">
            <v>99-930</v>
          </cell>
        </row>
        <row r="312">
          <cell r="B312" t="str">
            <v>조미란</v>
          </cell>
          <cell r="C312">
            <v>36523</v>
          </cell>
          <cell r="D312" t="str">
            <v>조미란</v>
          </cell>
          <cell r="E312">
            <v>10583851</v>
          </cell>
          <cell r="F312">
            <v>650</v>
          </cell>
          <cell r="G312">
            <v>52600</v>
          </cell>
          <cell r="H312">
            <v>22600</v>
          </cell>
          <cell r="I312">
            <v>1</v>
          </cell>
          <cell r="J312">
            <v>1</v>
          </cell>
          <cell r="K312">
            <v>2207</v>
          </cell>
          <cell r="L312" t="str">
            <v>99-931</v>
          </cell>
        </row>
        <row r="313">
          <cell r="B313" t="str">
            <v>한용구</v>
          </cell>
          <cell r="C313">
            <v>36490</v>
          </cell>
          <cell r="D313" t="str">
            <v>한용구</v>
          </cell>
          <cell r="E313">
            <v>5695821</v>
          </cell>
          <cell r="F313">
            <v>430</v>
          </cell>
          <cell r="G313">
            <v>28400</v>
          </cell>
          <cell r="H313">
            <v>33900</v>
          </cell>
          <cell r="I313">
            <v>1</v>
          </cell>
          <cell r="J313">
            <v>1</v>
          </cell>
          <cell r="K313">
            <v>6230</v>
          </cell>
          <cell r="L313" t="str">
            <v>99-932</v>
          </cell>
        </row>
        <row r="314">
          <cell r="B314" t="str">
            <v>서명한</v>
          </cell>
          <cell r="C314">
            <v>36523</v>
          </cell>
          <cell r="D314" t="str">
            <v>서명한</v>
          </cell>
          <cell r="E314">
            <v>8800697</v>
          </cell>
          <cell r="F314">
            <v>560</v>
          </cell>
          <cell r="G314">
            <v>44000</v>
          </cell>
          <cell r="H314">
            <v>22600</v>
          </cell>
          <cell r="I314">
            <v>1</v>
          </cell>
          <cell r="J314">
            <v>1</v>
          </cell>
          <cell r="K314">
            <v>12248</v>
          </cell>
          <cell r="L314" t="str">
            <v>99-933</v>
          </cell>
        </row>
        <row r="315">
          <cell r="B315" t="str">
            <v>정혜봉</v>
          </cell>
          <cell r="C315">
            <v>36523</v>
          </cell>
          <cell r="D315" t="str">
            <v>정혜봉</v>
          </cell>
          <cell r="E315">
            <v>4449584</v>
          </cell>
          <cell r="F315">
            <v>270</v>
          </cell>
          <cell r="G315">
            <v>22200</v>
          </cell>
          <cell r="H315">
            <v>33900</v>
          </cell>
          <cell r="I315">
            <v>1</v>
          </cell>
          <cell r="J315">
            <v>1</v>
          </cell>
          <cell r="K315">
            <v>12578</v>
          </cell>
          <cell r="L315" t="str">
            <v>99-934</v>
          </cell>
        </row>
        <row r="316">
          <cell r="B316" t="str">
            <v>신정애</v>
          </cell>
          <cell r="C316">
            <v>36530</v>
          </cell>
          <cell r="D316" t="str">
            <v>신정애</v>
          </cell>
          <cell r="E316">
            <v>27381669</v>
          </cell>
          <cell r="F316">
            <v>1290</v>
          </cell>
          <cell r="G316">
            <v>128000</v>
          </cell>
          <cell r="H316">
            <v>54240</v>
          </cell>
          <cell r="I316">
            <v>1</v>
          </cell>
          <cell r="J316">
            <v>1</v>
          </cell>
          <cell r="K316">
            <v>4390</v>
          </cell>
          <cell r="L316" t="str">
            <v>99-935</v>
          </cell>
        </row>
        <row r="317">
          <cell r="B317" t="str">
            <v>오수희</v>
          </cell>
          <cell r="D317" t="str">
            <v>오수희</v>
          </cell>
          <cell r="E317">
            <v>26957036</v>
          </cell>
          <cell r="F317">
            <v>1320</v>
          </cell>
          <cell r="G317">
            <v>126300</v>
          </cell>
          <cell r="H317">
            <v>36160</v>
          </cell>
          <cell r="I317">
            <v>1</v>
          </cell>
          <cell r="J317">
            <v>1</v>
          </cell>
          <cell r="K317">
            <v>1761</v>
          </cell>
          <cell r="L317" t="str">
            <v>99-936</v>
          </cell>
        </row>
        <row r="318">
          <cell r="B318" t="str">
            <v>강호철</v>
          </cell>
          <cell r="C318">
            <v>36490</v>
          </cell>
          <cell r="D318" t="str">
            <v>강호철</v>
          </cell>
          <cell r="E318">
            <v>14023878</v>
          </cell>
          <cell r="F318">
            <v>810</v>
          </cell>
          <cell r="G318">
            <v>68100</v>
          </cell>
          <cell r="H318">
            <v>33900</v>
          </cell>
          <cell r="I318">
            <v>1</v>
          </cell>
          <cell r="J318">
            <v>1</v>
          </cell>
          <cell r="K318">
            <v>5017</v>
          </cell>
          <cell r="L318" t="str">
            <v>99-937</v>
          </cell>
        </row>
        <row r="319">
          <cell r="B319" t="str">
            <v>박애득</v>
          </cell>
          <cell r="C319">
            <v>36523</v>
          </cell>
          <cell r="D319" t="str">
            <v>박애득</v>
          </cell>
          <cell r="E319">
            <v>16605477</v>
          </cell>
          <cell r="F319">
            <v>910</v>
          </cell>
          <cell r="G319">
            <v>79700</v>
          </cell>
          <cell r="H319">
            <v>33900</v>
          </cell>
          <cell r="I319">
            <v>1</v>
          </cell>
          <cell r="J319">
            <v>1</v>
          </cell>
          <cell r="K319">
            <v>2197</v>
          </cell>
          <cell r="L319" t="str">
            <v>99-938</v>
          </cell>
        </row>
        <row r="320">
          <cell r="B320" t="str">
            <v>정윤민</v>
          </cell>
          <cell r="C320">
            <v>36490</v>
          </cell>
          <cell r="D320" t="str">
            <v>정윤민</v>
          </cell>
          <cell r="E320">
            <v>3336678</v>
          </cell>
          <cell r="F320">
            <v>290</v>
          </cell>
          <cell r="G320">
            <v>16600</v>
          </cell>
          <cell r="H320">
            <v>45200</v>
          </cell>
          <cell r="I320">
            <v>1</v>
          </cell>
          <cell r="J320">
            <v>1</v>
          </cell>
          <cell r="K320">
            <v>1859</v>
          </cell>
          <cell r="L320" t="str">
            <v>99-939</v>
          </cell>
        </row>
        <row r="321">
          <cell r="B321" t="str">
            <v>박양심</v>
          </cell>
          <cell r="C321">
            <v>36523</v>
          </cell>
          <cell r="D321" t="str">
            <v>박양심</v>
          </cell>
          <cell r="E321">
            <v>16691642</v>
          </cell>
          <cell r="F321">
            <v>910</v>
          </cell>
          <cell r="G321">
            <v>80100</v>
          </cell>
          <cell r="H321">
            <v>45200</v>
          </cell>
          <cell r="I321">
            <v>1</v>
          </cell>
          <cell r="J321">
            <v>1</v>
          </cell>
          <cell r="K321">
            <v>2198</v>
          </cell>
          <cell r="L321" t="str">
            <v>99-940</v>
          </cell>
        </row>
        <row r="322">
          <cell r="B322" t="str">
            <v>조혜숙</v>
          </cell>
          <cell r="D322" t="str">
            <v>조혜숙</v>
          </cell>
          <cell r="E322">
            <v>27497174</v>
          </cell>
          <cell r="F322">
            <v>1340</v>
          </cell>
          <cell r="G322">
            <v>128700</v>
          </cell>
          <cell r="H322">
            <v>36160</v>
          </cell>
          <cell r="I322">
            <v>1</v>
          </cell>
          <cell r="J322">
            <v>1</v>
          </cell>
          <cell r="K322">
            <v>2090</v>
          </cell>
          <cell r="L322" t="str">
            <v>99-941</v>
          </cell>
        </row>
        <row r="323">
          <cell r="B323" t="str">
            <v>이춘자</v>
          </cell>
          <cell r="C323">
            <v>36523</v>
          </cell>
          <cell r="D323" t="str">
            <v>이춘자</v>
          </cell>
          <cell r="E323">
            <v>17482326</v>
          </cell>
          <cell r="F323">
            <v>940</v>
          </cell>
          <cell r="G323">
            <v>83600</v>
          </cell>
          <cell r="H323">
            <v>33900</v>
          </cell>
          <cell r="I323">
            <v>1</v>
          </cell>
          <cell r="J323">
            <v>1</v>
          </cell>
          <cell r="K323">
            <v>2148</v>
          </cell>
          <cell r="L323" t="str">
            <v>99-942</v>
          </cell>
        </row>
        <row r="324">
          <cell r="B324" t="str">
            <v>김삼회</v>
          </cell>
          <cell r="D324" t="str">
            <v>김삼회</v>
          </cell>
          <cell r="E324">
            <v>12525711</v>
          </cell>
          <cell r="F324">
            <v>750</v>
          </cell>
          <cell r="G324">
            <v>61300</v>
          </cell>
          <cell r="H324">
            <v>33900</v>
          </cell>
          <cell r="I324">
            <v>1</v>
          </cell>
          <cell r="J324">
            <v>1</v>
          </cell>
          <cell r="K324">
            <v>13765</v>
          </cell>
          <cell r="L324" t="str">
            <v>99-943</v>
          </cell>
        </row>
        <row r="325">
          <cell r="B325" t="str">
            <v>㈜남광엔지니어링</v>
          </cell>
          <cell r="C325">
            <v>36509</v>
          </cell>
          <cell r="D325" t="str">
            <v>남광엔지니어링</v>
          </cell>
          <cell r="E325">
            <v>4100717014</v>
          </cell>
          <cell r="F325">
            <v>22550</v>
          </cell>
          <cell r="G325">
            <v>14907500</v>
          </cell>
          <cell r="H325">
            <v>90400</v>
          </cell>
          <cell r="I325">
            <v>1</v>
          </cell>
          <cell r="J325">
            <v>1</v>
          </cell>
          <cell r="K325" t="str">
            <v>렌탈</v>
          </cell>
          <cell r="L325" t="str">
            <v>99-944</v>
          </cell>
        </row>
        <row r="326">
          <cell r="B326" t="str">
            <v>남이현</v>
          </cell>
          <cell r="C326">
            <v>36517</v>
          </cell>
          <cell r="D326" t="str">
            <v>남이현</v>
          </cell>
          <cell r="E326">
            <v>20000000</v>
          </cell>
          <cell r="F326">
            <v>1050</v>
          </cell>
          <cell r="G326">
            <v>95000</v>
          </cell>
          <cell r="H326">
            <v>45200</v>
          </cell>
          <cell r="I326">
            <v>1</v>
          </cell>
          <cell r="J326">
            <v>1</v>
          </cell>
          <cell r="L326" t="str">
            <v>99-945</v>
          </cell>
        </row>
        <row r="327">
          <cell r="B327" t="str">
            <v>김영철</v>
          </cell>
          <cell r="C327">
            <v>36517</v>
          </cell>
          <cell r="D327" t="str">
            <v>김영철</v>
          </cell>
          <cell r="E327">
            <v>3899703</v>
          </cell>
          <cell r="F327">
            <v>332</v>
          </cell>
          <cell r="G327">
            <v>19400</v>
          </cell>
          <cell r="H327">
            <v>33900</v>
          </cell>
          <cell r="I327">
            <v>1</v>
          </cell>
          <cell r="J327">
            <v>1</v>
          </cell>
          <cell r="K327">
            <v>27105</v>
          </cell>
          <cell r="L327" t="str">
            <v>99-946</v>
          </cell>
        </row>
        <row r="328">
          <cell r="B328" t="str">
            <v>성우주택건설㈜</v>
          </cell>
          <cell r="C328">
            <v>36530</v>
          </cell>
          <cell r="D328" t="str">
            <v>성우주택건설㈜</v>
          </cell>
          <cell r="E328">
            <v>99708339</v>
          </cell>
          <cell r="F328">
            <v>2547</v>
          </cell>
          <cell r="G328">
            <v>453600</v>
          </cell>
          <cell r="H328">
            <v>72320</v>
          </cell>
          <cell r="I328">
            <v>1</v>
          </cell>
          <cell r="J328">
            <v>1</v>
          </cell>
          <cell r="K328" t="str">
            <v>특채</v>
          </cell>
          <cell r="L328" t="str">
            <v>99-947</v>
          </cell>
        </row>
        <row r="329">
          <cell r="B329" t="str">
            <v>남정희</v>
          </cell>
          <cell r="C329">
            <v>36564</v>
          </cell>
          <cell r="D329" t="str">
            <v>남정희</v>
          </cell>
          <cell r="E329">
            <v>30353218</v>
          </cell>
          <cell r="F329">
            <v>1460</v>
          </cell>
          <cell r="G329">
            <v>141500</v>
          </cell>
          <cell r="H329">
            <v>72320</v>
          </cell>
          <cell r="I329">
            <v>1</v>
          </cell>
          <cell r="J329">
            <v>1</v>
          </cell>
          <cell r="K329" t="str">
            <v>특채</v>
          </cell>
          <cell r="L329" t="str">
            <v>99-948</v>
          </cell>
        </row>
        <row r="330">
          <cell r="B330" t="str">
            <v>이영진</v>
          </cell>
          <cell r="D330" t="str">
            <v>김일</v>
          </cell>
          <cell r="E330">
            <v>28881224</v>
          </cell>
          <cell r="F330">
            <v>1405</v>
          </cell>
          <cell r="G330">
            <v>134900</v>
          </cell>
          <cell r="H330">
            <v>72320</v>
          </cell>
          <cell r="I330">
            <v>1</v>
          </cell>
          <cell r="J330">
            <v>3</v>
          </cell>
          <cell r="K330" t="str">
            <v>경매</v>
          </cell>
          <cell r="L330" t="str">
            <v>99-949</v>
          </cell>
        </row>
        <row r="331">
          <cell r="B331" t="str">
            <v>정광융</v>
          </cell>
          <cell r="C331">
            <v>36491</v>
          </cell>
          <cell r="D331" t="str">
            <v>정광융</v>
          </cell>
          <cell r="E331">
            <v>11234212</v>
          </cell>
          <cell r="F331">
            <v>699</v>
          </cell>
          <cell r="G331">
            <v>55500</v>
          </cell>
          <cell r="H331">
            <v>33900</v>
          </cell>
          <cell r="I331">
            <v>1</v>
          </cell>
          <cell r="J331">
            <v>1</v>
          </cell>
          <cell r="K331" t="str">
            <v>특채</v>
          </cell>
          <cell r="L331" t="str">
            <v>99-950</v>
          </cell>
        </row>
        <row r="332">
          <cell r="B332" t="str">
            <v>㈜두웅스텐레스</v>
          </cell>
          <cell r="D332" t="str">
            <v>두웅스텐레스</v>
          </cell>
          <cell r="E332">
            <v>36247519</v>
          </cell>
          <cell r="F332">
            <v>1637</v>
          </cell>
          <cell r="G332">
            <v>168100</v>
          </cell>
          <cell r="H332">
            <v>90400</v>
          </cell>
          <cell r="I332">
            <v>1</v>
          </cell>
          <cell r="J332">
            <v>1</v>
          </cell>
          <cell r="K332" t="str">
            <v>특채</v>
          </cell>
          <cell r="L332" t="str">
            <v>99-951</v>
          </cell>
        </row>
        <row r="333">
          <cell r="B333" t="str">
            <v>탁복녀</v>
          </cell>
          <cell r="D333" t="str">
            <v>탁복녀</v>
          </cell>
          <cell r="E333">
            <v>6940553</v>
          </cell>
          <cell r="F333">
            <v>497</v>
          </cell>
          <cell r="G333">
            <v>34700</v>
          </cell>
          <cell r="H333">
            <v>45200</v>
          </cell>
          <cell r="I333">
            <v>1</v>
          </cell>
          <cell r="J333">
            <v>1</v>
          </cell>
          <cell r="K333" t="str">
            <v>특채</v>
          </cell>
          <cell r="L333" t="str">
            <v>99-952</v>
          </cell>
        </row>
        <row r="334">
          <cell r="B334" t="str">
            <v>최종석</v>
          </cell>
          <cell r="D334" t="str">
            <v>최종석</v>
          </cell>
          <cell r="E334">
            <v>12016615</v>
          </cell>
          <cell r="F334">
            <v>730</v>
          </cell>
          <cell r="G334">
            <v>59000</v>
          </cell>
          <cell r="H334">
            <v>45200</v>
          </cell>
          <cell r="I334">
            <v>1</v>
          </cell>
          <cell r="J334">
            <v>1</v>
          </cell>
          <cell r="K334" t="str">
            <v>특채</v>
          </cell>
          <cell r="L334" t="str">
            <v>99-953</v>
          </cell>
        </row>
        <row r="335">
          <cell r="B335" t="str">
            <v>하이엽</v>
          </cell>
          <cell r="C335">
            <v>36530</v>
          </cell>
          <cell r="D335" t="str">
            <v>하이엽</v>
          </cell>
          <cell r="E335">
            <v>3159685</v>
          </cell>
          <cell r="F335">
            <v>281</v>
          </cell>
          <cell r="G335">
            <v>15700</v>
          </cell>
          <cell r="H335">
            <v>33900</v>
          </cell>
          <cell r="I335">
            <v>1</v>
          </cell>
          <cell r="J335">
            <v>1</v>
          </cell>
          <cell r="K335" t="str">
            <v>특채</v>
          </cell>
          <cell r="L335" t="str">
            <v>99-954</v>
          </cell>
        </row>
        <row r="336">
          <cell r="B336" t="str">
            <v>황숙자</v>
          </cell>
          <cell r="C336">
            <v>36530</v>
          </cell>
          <cell r="D336" t="str">
            <v>황숙자</v>
          </cell>
          <cell r="E336">
            <v>3630511</v>
          </cell>
          <cell r="F336">
            <v>314</v>
          </cell>
          <cell r="G336">
            <v>18100</v>
          </cell>
          <cell r="H336">
            <v>45200</v>
          </cell>
          <cell r="I336">
            <v>1</v>
          </cell>
          <cell r="J336">
            <v>1</v>
          </cell>
          <cell r="K336">
            <v>27183</v>
          </cell>
          <cell r="L336" t="str">
            <v>99-955</v>
          </cell>
        </row>
        <row r="337">
          <cell r="B337" t="str">
            <v>홍성규</v>
          </cell>
          <cell r="C337">
            <v>36530</v>
          </cell>
          <cell r="D337" t="str">
            <v>홍성규</v>
          </cell>
          <cell r="E337">
            <v>11682288</v>
          </cell>
          <cell r="F337">
            <v>717</v>
          </cell>
          <cell r="G337">
            <v>57500</v>
          </cell>
          <cell r="H337">
            <v>33900</v>
          </cell>
          <cell r="I337">
            <v>1</v>
          </cell>
          <cell r="J337">
            <v>1</v>
          </cell>
          <cell r="K337">
            <v>4474</v>
          </cell>
          <cell r="L337" t="str">
            <v>99-956</v>
          </cell>
        </row>
        <row r="338">
          <cell r="B338" t="str">
            <v>최종태</v>
          </cell>
          <cell r="D338" t="str">
            <v>최종태</v>
          </cell>
          <cell r="E338">
            <v>60228784</v>
          </cell>
          <cell r="F338">
            <v>2152</v>
          </cell>
          <cell r="G338">
            <v>276000</v>
          </cell>
          <cell r="H338">
            <v>54240</v>
          </cell>
          <cell r="I338">
            <v>1</v>
          </cell>
          <cell r="J338">
            <v>1</v>
          </cell>
          <cell r="K338">
            <v>6012</v>
          </cell>
          <cell r="L338" t="str">
            <v>99-957</v>
          </cell>
        </row>
        <row r="339">
          <cell r="B339" t="str">
            <v>오혜란</v>
          </cell>
          <cell r="D339" t="str">
            <v>오혜란</v>
          </cell>
          <cell r="E339">
            <v>43974779</v>
          </cell>
          <cell r="F339">
            <v>1869</v>
          </cell>
          <cell r="G339">
            <v>202800</v>
          </cell>
          <cell r="H339">
            <v>54240</v>
          </cell>
          <cell r="I339">
            <v>1</v>
          </cell>
          <cell r="J339">
            <v>1</v>
          </cell>
          <cell r="K339">
            <v>5918</v>
          </cell>
          <cell r="L339" t="str">
            <v>99-958</v>
          </cell>
        </row>
        <row r="340">
          <cell r="B340" t="str">
            <v>강병철</v>
          </cell>
          <cell r="C340">
            <v>36491</v>
          </cell>
          <cell r="D340" t="str">
            <v>강병철</v>
          </cell>
          <cell r="E340">
            <v>11037555</v>
          </cell>
          <cell r="F340">
            <v>651</v>
          </cell>
          <cell r="G340">
            <v>54600</v>
          </cell>
          <cell r="H340">
            <v>33900</v>
          </cell>
          <cell r="I340">
            <v>1</v>
          </cell>
          <cell r="J340">
            <v>1</v>
          </cell>
          <cell r="K340">
            <v>1901</v>
          </cell>
          <cell r="L340" t="str">
            <v>99-959</v>
          </cell>
        </row>
        <row r="341">
          <cell r="B341" t="str">
            <v>심은령</v>
          </cell>
          <cell r="C341">
            <v>36530</v>
          </cell>
          <cell r="D341" t="str">
            <v>심은령</v>
          </cell>
          <cell r="E341">
            <v>13897488</v>
          </cell>
          <cell r="F341">
            <v>805</v>
          </cell>
          <cell r="G341">
            <v>67500</v>
          </cell>
          <cell r="H341">
            <v>45200</v>
          </cell>
          <cell r="I341">
            <v>1</v>
          </cell>
          <cell r="J341">
            <v>1</v>
          </cell>
          <cell r="K341">
            <v>4559</v>
          </cell>
          <cell r="L341" t="str">
            <v>99-960</v>
          </cell>
        </row>
        <row r="342">
          <cell r="B342" t="str">
            <v>김재순</v>
          </cell>
          <cell r="C342">
            <v>36530</v>
          </cell>
          <cell r="D342" t="str">
            <v>김재순</v>
          </cell>
          <cell r="E342">
            <v>18384518</v>
          </cell>
          <cell r="F342">
            <v>985</v>
          </cell>
          <cell r="G342">
            <v>87700</v>
          </cell>
          <cell r="H342">
            <v>33900</v>
          </cell>
          <cell r="I342">
            <v>1</v>
          </cell>
          <cell r="J342">
            <v>1</v>
          </cell>
          <cell r="K342">
            <v>1961</v>
          </cell>
          <cell r="L342" t="str">
            <v>99-961</v>
          </cell>
        </row>
        <row r="343">
          <cell r="B343" t="str">
            <v>이영옥</v>
          </cell>
          <cell r="C343">
            <v>36530</v>
          </cell>
          <cell r="D343" t="str">
            <v>이영옥</v>
          </cell>
          <cell r="E343">
            <v>15908344</v>
          </cell>
          <cell r="F343">
            <v>886</v>
          </cell>
          <cell r="G343">
            <v>76500</v>
          </cell>
          <cell r="H343">
            <v>33900</v>
          </cell>
          <cell r="I343">
            <v>1</v>
          </cell>
          <cell r="J343">
            <v>1</v>
          </cell>
          <cell r="K343">
            <v>1969</v>
          </cell>
          <cell r="L343" t="str">
            <v>99-962</v>
          </cell>
        </row>
        <row r="344">
          <cell r="B344" t="str">
            <v>유화숙</v>
          </cell>
          <cell r="C344">
            <v>36530</v>
          </cell>
          <cell r="D344" t="str">
            <v>유화숙</v>
          </cell>
          <cell r="E344">
            <v>14040006</v>
          </cell>
          <cell r="F344">
            <v>811</v>
          </cell>
          <cell r="G344">
            <v>68100</v>
          </cell>
          <cell r="H344">
            <v>33900</v>
          </cell>
          <cell r="I344">
            <v>1</v>
          </cell>
          <cell r="J344">
            <v>1</v>
          </cell>
          <cell r="K344">
            <v>1980</v>
          </cell>
          <cell r="L344" t="str">
            <v>99-963</v>
          </cell>
        </row>
        <row r="345">
          <cell r="B345" t="str">
            <v>오태석</v>
          </cell>
          <cell r="C345">
            <v>36530</v>
          </cell>
          <cell r="D345" t="str">
            <v>오태석</v>
          </cell>
          <cell r="E345">
            <v>13739467</v>
          </cell>
          <cell r="F345">
            <v>799</v>
          </cell>
          <cell r="G345">
            <v>6800</v>
          </cell>
          <cell r="H345">
            <v>33900</v>
          </cell>
          <cell r="I345">
            <v>1</v>
          </cell>
          <cell r="J345">
            <v>1</v>
          </cell>
          <cell r="K345">
            <v>5922</v>
          </cell>
          <cell r="L345" t="str">
            <v>99-964</v>
          </cell>
        </row>
        <row r="346">
          <cell r="B346" t="str">
            <v>이갑열</v>
          </cell>
          <cell r="C346">
            <v>36491</v>
          </cell>
          <cell r="D346" t="str">
            <v>이갑열</v>
          </cell>
          <cell r="E346">
            <v>10667739</v>
          </cell>
          <cell r="F346">
            <v>676</v>
          </cell>
          <cell r="G346">
            <v>53000</v>
          </cell>
          <cell r="H346">
            <v>33900</v>
          </cell>
          <cell r="I346">
            <v>1</v>
          </cell>
          <cell r="J346">
            <v>1</v>
          </cell>
          <cell r="K346">
            <v>1840</v>
          </cell>
          <cell r="L346" t="str">
            <v>99-965</v>
          </cell>
        </row>
        <row r="347">
          <cell r="B347" t="str">
            <v>조선환</v>
          </cell>
          <cell r="C347">
            <v>36483</v>
          </cell>
          <cell r="D347" t="str">
            <v>조선환</v>
          </cell>
          <cell r="E347">
            <v>10814301</v>
          </cell>
          <cell r="F347">
            <v>682</v>
          </cell>
          <cell r="G347">
            <v>53600</v>
          </cell>
          <cell r="H347">
            <v>33900</v>
          </cell>
          <cell r="I347">
            <v>1</v>
          </cell>
          <cell r="J347">
            <v>1</v>
          </cell>
          <cell r="L347" t="str">
            <v>99-966</v>
          </cell>
        </row>
        <row r="348">
          <cell r="B348" t="str">
            <v>최종구</v>
          </cell>
          <cell r="C348">
            <v>36517</v>
          </cell>
          <cell r="D348" t="str">
            <v>최종구</v>
          </cell>
          <cell r="E348">
            <v>5893234</v>
          </cell>
          <cell r="F348">
            <v>444</v>
          </cell>
          <cell r="G348">
            <v>29400</v>
          </cell>
          <cell r="H348">
            <v>33900</v>
          </cell>
          <cell r="I348">
            <v>1</v>
          </cell>
          <cell r="J348">
            <v>1</v>
          </cell>
          <cell r="K348">
            <v>4804</v>
          </cell>
          <cell r="L348" t="str">
            <v>99-967</v>
          </cell>
        </row>
        <row r="349">
          <cell r="B349" t="str">
            <v>이미희(장지식)</v>
          </cell>
          <cell r="C349">
            <v>36494</v>
          </cell>
          <cell r="D349" t="str">
            <v>이미희(장지식)</v>
          </cell>
          <cell r="E349">
            <v>18401093</v>
          </cell>
          <cell r="F349">
            <v>986</v>
          </cell>
          <cell r="G349">
            <v>87800</v>
          </cell>
          <cell r="H349">
            <v>56500</v>
          </cell>
          <cell r="I349">
            <v>1</v>
          </cell>
          <cell r="J349">
            <v>1</v>
          </cell>
          <cell r="K349">
            <v>1922</v>
          </cell>
          <cell r="L349" t="str">
            <v>99-968</v>
          </cell>
        </row>
        <row r="350">
          <cell r="B350" t="str">
            <v>양정성</v>
          </cell>
          <cell r="C350">
            <v>36530</v>
          </cell>
          <cell r="D350" t="str">
            <v>양정성</v>
          </cell>
          <cell r="E350">
            <v>9544102</v>
          </cell>
          <cell r="F350">
            <v>627</v>
          </cell>
          <cell r="G350">
            <v>47700</v>
          </cell>
          <cell r="H350">
            <v>33900</v>
          </cell>
          <cell r="I350">
            <v>1</v>
          </cell>
          <cell r="J350">
            <v>1</v>
          </cell>
          <cell r="K350">
            <v>2067</v>
          </cell>
          <cell r="L350" t="str">
            <v>99-969</v>
          </cell>
        </row>
        <row r="351">
          <cell r="B351" t="str">
            <v>변대환</v>
          </cell>
          <cell r="D351" t="str">
            <v>변대환</v>
          </cell>
          <cell r="E351">
            <v>162755000</v>
          </cell>
          <cell r="F351">
            <v>2863</v>
          </cell>
          <cell r="G351">
            <v>706000</v>
          </cell>
          <cell r="H351">
            <v>54240</v>
          </cell>
          <cell r="I351">
            <v>1</v>
          </cell>
          <cell r="J351">
            <v>1</v>
          </cell>
          <cell r="K351">
            <v>2014</v>
          </cell>
          <cell r="L351" t="str">
            <v>99-970</v>
          </cell>
        </row>
        <row r="352">
          <cell r="B352" t="str">
            <v>서부직물</v>
          </cell>
          <cell r="C352">
            <v>36524</v>
          </cell>
          <cell r="D352" t="str">
            <v>서부직물</v>
          </cell>
          <cell r="E352">
            <v>153524438</v>
          </cell>
          <cell r="F352">
            <v>2810</v>
          </cell>
          <cell r="G352">
            <v>669900</v>
          </cell>
          <cell r="H352">
            <v>113000</v>
          </cell>
          <cell r="I352">
            <v>1</v>
          </cell>
          <cell r="J352">
            <v>1</v>
          </cell>
          <cell r="K352">
            <v>940383</v>
          </cell>
          <cell r="L352" t="str">
            <v>99-971</v>
          </cell>
        </row>
        <row r="353">
          <cell r="B353" t="str">
            <v>오병철</v>
          </cell>
          <cell r="C353">
            <v>36530</v>
          </cell>
          <cell r="D353" t="str">
            <v>오병철</v>
          </cell>
          <cell r="E353">
            <v>5414708</v>
          </cell>
          <cell r="F353">
            <v>420</v>
          </cell>
          <cell r="G353">
            <v>27000</v>
          </cell>
          <cell r="H353">
            <v>45200</v>
          </cell>
          <cell r="I353">
            <v>1</v>
          </cell>
          <cell r="J353">
            <v>1</v>
          </cell>
          <cell r="K353" t="str">
            <v>특채</v>
          </cell>
          <cell r="L353" t="str">
            <v>99-972</v>
          </cell>
        </row>
        <row r="354">
          <cell r="B354" t="str">
            <v>마상채</v>
          </cell>
          <cell r="D354" t="str">
            <v>마상채</v>
          </cell>
          <cell r="E354">
            <v>3943865</v>
          </cell>
          <cell r="F354">
            <v>336</v>
          </cell>
          <cell r="G354">
            <v>35600</v>
          </cell>
          <cell r="H354">
            <v>33900</v>
          </cell>
          <cell r="I354">
            <v>1</v>
          </cell>
          <cell r="J354">
            <v>1</v>
          </cell>
          <cell r="K354" t="str">
            <v>특채</v>
          </cell>
          <cell r="L354" t="str">
            <v>99-973</v>
          </cell>
        </row>
        <row r="355">
          <cell r="B355" t="str">
            <v>나순자</v>
          </cell>
          <cell r="C355">
            <v>36491</v>
          </cell>
          <cell r="D355" t="str">
            <v>나순자</v>
          </cell>
          <cell r="E355">
            <v>3526976</v>
          </cell>
          <cell r="F355">
            <v>300</v>
          </cell>
          <cell r="G355">
            <v>17600</v>
          </cell>
          <cell r="H355">
            <v>33900</v>
          </cell>
          <cell r="I355">
            <v>1</v>
          </cell>
          <cell r="J355">
            <v>1</v>
          </cell>
          <cell r="K355" t="str">
            <v>특채</v>
          </cell>
          <cell r="L355" t="str">
            <v>99-974</v>
          </cell>
        </row>
        <row r="356">
          <cell r="B356" t="str">
            <v>신윤섭</v>
          </cell>
          <cell r="C356">
            <v>36530</v>
          </cell>
          <cell r="D356" t="str">
            <v>신윤섭</v>
          </cell>
          <cell r="E356">
            <v>7333614</v>
          </cell>
          <cell r="F356">
            <v>510</v>
          </cell>
          <cell r="G356">
            <v>36600</v>
          </cell>
          <cell r="H356">
            <v>33900</v>
          </cell>
          <cell r="I356">
            <v>1</v>
          </cell>
          <cell r="J356">
            <v>1</v>
          </cell>
          <cell r="K356" t="str">
            <v>특채</v>
          </cell>
          <cell r="L356" t="str">
            <v>99-975</v>
          </cell>
        </row>
        <row r="357">
          <cell r="B357" t="str">
            <v>권대환</v>
          </cell>
          <cell r="C357">
            <v>36530</v>
          </cell>
          <cell r="D357" t="str">
            <v>권대환</v>
          </cell>
          <cell r="E357">
            <v>14247204</v>
          </cell>
          <cell r="F357">
            <v>819</v>
          </cell>
          <cell r="G357">
            <v>69100</v>
          </cell>
          <cell r="H357">
            <v>33900</v>
          </cell>
          <cell r="I357">
            <v>1</v>
          </cell>
          <cell r="J357">
            <v>1</v>
          </cell>
          <cell r="K357">
            <v>14697</v>
          </cell>
          <cell r="L357" t="str">
            <v>99-976</v>
          </cell>
        </row>
        <row r="358">
          <cell r="B358" t="str">
            <v>장재만</v>
          </cell>
          <cell r="C358">
            <v>36491</v>
          </cell>
          <cell r="D358" t="str">
            <v>장재만</v>
          </cell>
          <cell r="E358">
            <v>4370989</v>
          </cell>
          <cell r="F358">
            <v>362</v>
          </cell>
          <cell r="G358">
            <v>21800</v>
          </cell>
          <cell r="H358">
            <v>33900</v>
          </cell>
          <cell r="I358">
            <v>1</v>
          </cell>
          <cell r="J358">
            <v>1</v>
          </cell>
          <cell r="K358">
            <v>14902</v>
          </cell>
          <cell r="L358" t="str">
            <v>99-977</v>
          </cell>
        </row>
        <row r="359">
          <cell r="B359" t="str">
            <v>강일주</v>
          </cell>
          <cell r="C359">
            <v>36530</v>
          </cell>
          <cell r="D359" t="str">
            <v>강일주</v>
          </cell>
          <cell r="E359">
            <v>12736685</v>
          </cell>
          <cell r="F359">
            <v>759</v>
          </cell>
          <cell r="G359">
            <v>62300</v>
          </cell>
          <cell r="H359">
            <v>56500</v>
          </cell>
          <cell r="I359">
            <v>1</v>
          </cell>
          <cell r="J359">
            <v>1</v>
          </cell>
          <cell r="K359">
            <v>4186</v>
          </cell>
          <cell r="L359" t="str">
            <v>99-978</v>
          </cell>
        </row>
        <row r="360">
          <cell r="B360" t="str">
            <v>유병두</v>
          </cell>
          <cell r="C360">
            <v>36491</v>
          </cell>
          <cell r="D360" t="str">
            <v>유병두</v>
          </cell>
          <cell r="E360">
            <v>2441202</v>
          </cell>
          <cell r="F360">
            <v>225</v>
          </cell>
          <cell r="G360">
            <v>12200</v>
          </cell>
          <cell r="H360">
            <v>45200</v>
          </cell>
          <cell r="I360">
            <v>1</v>
          </cell>
          <cell r="J360">
            <v>1</v>
          </cell>
          <cell r="K360">
            <v>2097</v>
          </cell>
          <cell r="L360" t="str">
            <v>99-979</v>
          </cell>
        </row>
        <row r="361">
          <cell r="B361" t="str">
            <v>㈜삼원</v>
          </cell>
          <cell r="D361" t="str">
            <v>삼원</v>
          </cell>
          <cell r="E361">
            <v>1100000000</v>
          </cell>
          <cell r="F361">
            <v>7550</v>
          </cell>
          <cell r="G361">
            <v>4405000</v>
          </cell>
          <cell r="H361">
            <v>162720</v>
          </cell>
          <cell r="I361">
            <v>1</v>
          </cell>
          <cell r="J361">
            <v>1</v>
          </cell>
          <cell r="K361" t="str">
            <v>렌탈</v>
          </cell>
          <cell r="L361" t="str">
            <v>99-980</v>
          </cell>
        </row>
        <row r="362">
          <cell r="B362" t="str">
            <v>문상순(홍세희)</v>
          </cell>
          <cell r="D362" t="str">
            <v>문상순</v>
          </cell>
          <cell r="E362">
            <v>22202172</v>
          </cell>
          <cell r="F362">
            <v>1140</v>
          </cell>
          <cell r="G362">
            <v>104900</v>
          </cell>
          <cell r="H362">
            <v>90400</v>
          </cell>
          <cell r="I362">
            <v>1</v>
          </cell>
          <cell r="J362">
            <v>1</v>
          </cell>
          <cell r="K362" t="str">
            <v>김관옥</v>
          </cell>
          <cell r="L362" t="str">
            <v>99-981</v>
          </cell>
        </row>
        <row r="363">
          <cell r="B363" t="str">
            <v>이재만</v>
          </cell>
          <cell r="C363">
            <v>36530</v>
          </cell>
          <cell r="D363" t="str">
            <v>이재만</v>
          </cell>
          <cell r="E363">
            <v>17767313</v>
          </cell>
          <cell r="F363">
            <v>960</v>
          </cell>
          <cell r="G363">
            <v>84900</v>
          </cell>
          <cell r="H363">
            <v>45200</v>
          </cell>
          <cell r="I363">
            <v>1</v>
          </cell>
          <cell r="J363">
            <v>1</v>
          </cell>
          <cell r="K363" t="str">
            <v>김관옥</v>
          </cell>
          <cell r="L363" t="str">
            <v>99-982</v>
          </cell>
        </row>
        <row r="364">
          <cell r="B364" t="str">
            <v>이재만</v>
          </cell>
          <cell r="C364">
            <v>36491</v>
          </cell>
          <cell r="D364" t="str">
            <v>김부남</v>
          </cell>
          <cell r="E364">
            <v>15817542</v>
          </cell>
          <cell r="F364">
            <v>900</v>
          </cell>
          <cell r="G364">
            <v>76100</v>
          </cell>
          <cell r="H364">
            <v>33900</v>
          </cell>
          <cell r="I364">
            <v>1</v>
          </cell>
          <cell r="J364">
            <v>1</v>
          </cell>
          <cell r="K364" t="str">
            <v>김관옥</v>
          </cell>
          <cell r="L364" t="str">
            <v>99-983</v>
          </cell>
        </row>
        <row r="365">
          <cell r="B365" t="str">
            <v>진우전자산업㈜</v>
          </cell>
          <cell r="C365">
            <v>36524</v>
          </cell>
          <cell r="D365" t="str">
            <v>진우전자산업㈜</v>
          </cell>
          <cell r="E365">
            <v>380000000</v>
          </cell>
          <cell r="F365">
            <v>3950</v>
          </cell>
          <cell r="G365">
            <v>1575000</v>
          </cell>
          <cell r="H365">
            <v>72320</v>
          </cell>
          <cell r="I365">
            <v>1</v>
          </cell>
          <cell r="J365">
            <v>1</v>
          </cell>
          <cell r="K365" t="str">
            <v>경인</v>
          </cell>
          <cell r="L365" t="str">
            <v>99-984</v>
          </cell>
        </row>
        <row r="366">
          <cell r="B366" t="str">
            <v>유성호</v>
          </cell>
          <cell r="C366">
            <v>36494</v>
          </cell>
          <cell r="D366" t="str">
            <v>유성호</v>
          </cell>
          <cell r="E366">
            <v>1463625</v>
          </cell>
          <cell r="F366">
            <v>141</v>
          </cell>
          <cell r="G366">
            <v>7300</v>
          </cell>
          <cell r="H366">
            <v>22600</v>
          </cell>
          <cell r="I366">
            <v>1</v>
          </cell>
          <cell r="J366">
            <v>1</v>
          </cell>
          <cell r="K366">
            <v>5027</v>
          </cell>
          <cell r="L366" t="str">
            <v>99-985</v>
          </cell>
        </row>
        <row r="367">
          <cell r="B367" t="str">
            <v>정태화</v>
          </cell>
          <cell r="C367">
            <v>36530</v>
          </cell>
          <cell r="D367" t="str">
            <v>정태화</v>
          </cell>
          <cell r="E367">
            <v>13636029</v>
          </cell>
          <cell r="F367">
            <v>795</v>
          </cell>
          <cell r="G367">
            <v>66300</v>
          </cell>
          <cell r="H367">
            <v>33900</v>
          </cell>
          <cell r="I367">
            <v>1</v>
          </cell>
          <cell r="J367">
            <v>1</v>
          </cell>
          <cell r="K367">
            <v>5729</v>
          </cell>
          <cell r="L367" t="str">
            <v>99-986</v>
          </cell>
        </row>
        <row r="368">
          <cell r="B368" t="str">
            <v>심창한</v>
          </cell>
          <cell r="C368">
            <v>36530</v>
          </cell>
          <cell r="D368" t="str">
            <v>심창한</v>
          </cell>
          <cell r="E368">
            <v>4801232</v>
          </cell>
          <cell r="F368">
            <v>388</v>
          </cell>
          <cell r="G368">
            <v>2400</v>
          </cell>
          <cell r="H368">
            <v>33900</v>
          </cell>
          <cell r="I368">
            <v>1</v>
          </cell>
          <cell r="J368">
            <v>1</v>
          </cell>
          <cell r="K368">
            <v>7752</v>
          </cell>
          <cell r="L368" t="str">
            <v>99-987</v>
          </cell>
        </row>
        <row r="369">
          <cell r="B369" t="str">
            <v>김순덕</v>
          </cell>
          <cell r="C369">
            <v>36494</v>
          </cell>
          <cell r="D369" t="str">
            <v>김순덕</v>
          </cell>
          <cell r="E369">
            <v>2926903</v>
          </cell>
          <cell r="F369">
            <v>264</v>
          </cell>
          <cell r="G369">
            <v>14600</v>
          </cell>
          <cell r="H369">
            <v>33900</v>
          </cell>
          <cell r="I369">
            <v>1</v>
          </cell>
          <cell r="J369">
            <v>1</v>
          </cell>
          <cell r="K369">
            <v>4321</v>
          </cell>
          <cell r="L369" t="str">
            <v>99-988</v>
          </cell>
        </row>
        <row r="370">
          <cell r="B370" t="str">
            <v>이산운</v>
          </cell>
          <cell r="C370">
            <v>36494</v>
          </cell>
          <cell r="D370" t="str">
            <v>이산운</v>
          </cell>
          <cell r="E370">
            <v>13019431</v>
          </cell>
          <cell r="F370">
            <v>770</v>
          </cell>
          <cell r="G370">
            <v>63500</v>
          </cell>
          <cell r="H370">
            <v>33900</v>
          </cell>
          <cell r="I370">
            <v>1</v>
          </cell>
          <cell r="J370">
            <v>1</v>
          </cell>
          <cell r="K370">
            <v>6357</v>
          </cell>
          <cell r="L370" t="str">
            <v>99-989</v>
          </cell>
        </row>
        <row r="371">
          <cell r="B371" t="str">
            <v>권규석</v>
          </cell>
          <cell r="C371">
            <v>36494</v>
          </cell>
          <cell r="D371" t="str">
            <v>권규석</v>
          </cell>
          <cell r="E371">
            <v>2945920</v>
          </cell>
          <cell r="F371">
            <v>265</v>
          </cell>
          <cell r="G371">
            <v>14700</v>
          </cell>
          <cell r="H371">
            <v>33900</v>
          </cell>
          <cell r="I371">
            <v>1</v>
          </cell>
          <cell r="J371">
            <v>1</v>
          </cell>
          <cell r="K371">
            <v>4422</v>
          </cell>
          <cell r="L371" t="str">
            <v>99-990</v>
          </cell>
        </row>
        <row r="372">
          <cell r="B372" t="str">
            <v>한인숙</v>
          </cell>
          <cell r="C372">
            <v>36525</v>
          </cell>
          <cell r="D372" t="str">
            <v>한인숙</v>
          </cell>
          <cell r="E372">
            <v>8662921</v>
          </cell>
          <cell r="F372">
            <v>583</v>
          </cell>
          <cell r="G372">
            <v>43300</v>
          </cell>
          <cell r="H372">
            <v>33900</v>
          </cell>
          <cell r="I372">
            <v>1</v>
          </cell>
          <cell r="J372">
            <v>1</v>
          </cell>
          <cell r="K372">
            <v>5751</v>
          </cell>
          <cell r="L372" t="str">
            <v>99-991</v>
          </cell>
        </row>
        <row r="373">
          <cell r="B373" t="str">
            <v>김영옥</v>
          </cell>
          <cell r="D373" t="str">
            <v>김영옥</v>
          </cell>
          <cell r="E373">
            <v>7919108</v>
          </cell>
          <cell r="F373">
            <v>545</v>
          </cell>
          <cell r="G373">
            <v>39500</v>
          </cell>
          <cell r="H373">
            <v>33900</v>
          </cell>
          <cell r="I373">
            <v>1</v>
          </cell>
          <cell r="J373">
            <v>1</v>
          </cell>
          <cell r="K373">
            <v>6261</v>
          </cell>
          <cell r="L373" t="str">
            <v>99-992</v>
          </cell>
        </row>
        <row r="374">
          <cell r="B374" t="str">
            <v>이경자</v>
          </cell>
          <cell r="C374">
            <v>36494</v>
          </cell>
          <cell r="D374" t="str">
            <v>이경자</v>
          </cell>
          <cell r="E374">
            <v>4248240</v>
          </cell>
          <cell r="F374">
            <v>354</v>
          </cell>
          <cell r="G374">
            <v>21200</v>
          </cell>
          <cell r="H374">
            <v>22600</v>
          </cell>
          <cell r="I374">
            <v>1</v>
          </cell>
          <cell r="J374">
            <v>1</v>
          </cell>
          <cell r="K374">
            <v>5446</v>
          </cell>
          <cell r="L374" t="str">
            <v>99-993</v>
          </cell>
        </row>
        <row r="375">
          <cell r="B375" t="str">
            <v>문종석</v>
          </cell>
          <cell r="D375" t="str">
            <v>문종석</v>
          </cell>
          <cell r="E375">
            <v>4655978</v>
          </cell>
          <cell r="F375">
            <v>329</v>
          </cell>
          <cell r="G375">
            <v>23200</v>
          </cell>
          <cell r="H375">
            <v>22600</v>
          </cell>
          <cell r="I375">
            <v>1</v>
          </cell>
          <cell r="J375">
            <v>1</v>
          </cell>
          <cell r="K375">
            <v>4455</v>
          </cell>
          <cell r="L375" t="str">
            <v>99-994</v>
          </cell>
        </row>
        <row r="376">
          <cell r="B376" t="str">
            <v>민옥순</v>
          </cell>
          <cell r="C376">
            <v>36530</v>
          </cell>
          <cell r="D376" t="str">
            <v>민옥순</v>
          </cell>
          <cell r="E376">
            <v>8724463</v>
          </cell>
          <cell r="F376">
            <v>586</v>
          </cell>
          <cell r="G376">
            <v>43600</v>
          </cell>
          <cell r="H376">
            <v>33900</v>
          </cell>
          <cell r="I376">
            <v>1</v>
          </cell>
          <cell r="J376">
            <v>1</v>
          </cell>
          <cell r="K376">
            <v>4106</v>
          </cell>
          <cell r="L376" t="str">
            <v>99-995</v>
          </cell>
        </row>
        <row r="377">
          <cell r="B377" t="str">
            <v>정명순</v>
          </cell>
          <cell r="C377">
            <v>36525</v>
          </cell>
          <cell r="D377" t="str">
            <v>정명순</v>
          </cell>
          <cell r="E377">
            <v>13206598</v>
          </cell>
          <cell r="F377">
            <v>778</v>
          </cell>
          <cell r="G377">
            <v>64400</v>
          </cell>
          <cell r="H377">
            <v>33900</v>
          </cell>
          <cell r="I377">
            <v>1</v>
          </cell>
          <cell r="J377">
            <v>1</v>
          </cell>
          <cell r="K377">
            <v>5094</v>
          </cell>
          <cell r="L377" t="str">
            <v>99-996</v>
          </cell>
        </row>
        <row r="378">
          <cell r="B378" t="str">
            <v>라명실</v>
          </cell>
          <cell r="C378">
            <v>36530</v>
          </cell>
          <cell r="D378" t="str">
            <v>라명실</v>
          </cell>
          <cell r="E378">
            <v>15234544</v>
          </cell>
          <cell r="F378">
            <v>911</v>
          </cell>
          <cell r="G378">
            <v>73500</v>
          </cell>
          <cell r="H378">
            <v>33900</v>
          </cell>
          <cell r="I378">
            <v>1</v>
          </cell>
          <cell r="J378">
            <v>1</v>
          </cell>
          <cell r="K378">
            <v>5320</v>
          </cell>
          <cell r="L378" t="str">
            <v>99-997</v>
          </cell>
        </row>
        <row r="379">
          <cell r="B379" t="str">
            <v>김광현</v>
          </cell>
          <cell r="D379" t="str">
            <v>김광현</v>
          </cell>
          <cell r="E379">
            <v>14520647</v>
          </cell>
          <cell r="F379">
            <v>876</v>
          </cell>
          <cell r="G379">
            <v>70300</v>
          </cell>
          <cell r="H379">
            <v>33900</v>
          </cell>
          <cell r="I379">
            <v>1</v>
          </cell>
          <cell r="J379">
            <v>1</v>
          </cell>
          <cell r="K379">
            <v>4588</v>
          </cell>
          <cell r="L379" t="str">
            <v>99-998</v>
          </cell>
        </row>
        <row r="380">
          <cell r="B380" t="str">
            <v>전정숙</v>
          </cell>
          <cell r="C380">
            <v>36494</v>
          </cell>
          <cell r="D380" t="str">
            <v>전정숙</v>
          </cell>
          <cell r="E380">
            <v>19338802</v>
          </cell>
          <cell r="F380">
            <v>1116</v>
          </cell>
          <cell r="G380">
            <v>92000</v>
          </cell>
          <cell r="H380">
            <v>33900</v>
          </cell>
          <cell r="I380">
            <v>1</v>
          </cell>
          <cell r="J380">
            <v>1</v>
          </cell>
          <cell r="K380">
            <v>4893</v>
          </cell>
          <cell r="L380" t="str">
            <v>99-999</v>
          </cell>
        </row>
        <row r="381">
          <cell r="B381" t="str">
            <v>권순한</v>
          </cell>
          <cell r="C381">
            <v>36530</v>
          </cell>
          <cell r="D381" t="str">
            <v>권순한</v>
          </cell>
          <cell r="E381">
            <v>10931391</v>
          </cell>
          <cell r="F381">
            <v>696</v>
          </cell>
          <cell r="G381">
            <v>54100</v>
          </cell>
          <cell r="H381">
            <v>33900</v>
          </cell>
          <cell r="I381">
            <v>1</v>
          </cell>
          <cell r="J381">
            <v>1</v>
          </cell>
          <cell r="K381">
            <v>6582</v>
          </cell>
          <cell r="L381" t="str">
            <v>99-1000</v>
          </cell>
        </row>
        <row r="382">
          <cell r="B382" t="str">
            <v>인연숙</v>
          </cell>
          <cell r="C382">
            <v>36525</v>
          </cell>
          <cell r="D382" t="str">
            <v>인연숙</v>
          </cell>
          <cell r="E382">
            <v>14611798</v>
          </cell>
          <cell r="F382">
            <v>880</v>
          </cell>
          <cell r="G382">
            <v>70700</v>
          </cell>
          <cell r="H382">
            <v>33900</v>
          </cell>
          <cell r="I382">
            <v>1</v>
          </cell>
          <cell r="J382">
            <v>1</v>
          </cell>
          <cell r="K382">
            <v>6637</v>
          </cell>
          <cell r="L382" t="str">
            <v>99-1001</v>
          </cell>
        </row>
        <row r="383">
          <cell r="B383" t="str">
            <v>이조경</v>
          </cell>
          <cell r="C383">
            <v>36525</v>
          </cell>
          <cell r="D383" t="str">
            <v>이조경</v>
          </cell>
          <cell r="E383">
            <v>5970421</v>
          </cell>
          <cell r="F383">
            <v>497</v>
          </cell>
          <cell r="G383">
            <v>29800</v>
          </cell>
          <cell r="H383">
            <v>45200</v>
          </cell>
          <cell r="I383">
            <v>1</v>
          </cell>
          <cell r="J383">
            <v>1</v>
          </cell>
          <cell r="K383">
            <v>5550</v>
          </cell>
          <cell r="L383" t="str">
            <v>99-1002</v>
          </cell>
        </row>
        <row r="384">
          <cell r="B384" t="str">
            <v>김의남</v>
          </cell>
          <cell r="C384">
            <v>36495</v>
          </cell>
          <cell r="D384" t="str">
            <v>김의남</v>
          </cell>
          <cell r="E384">
            <v>8925190</v>
          </cell>
          <cell r="F384">
            <v>557</v>
          </cell>
          <cell r="G384">
            <v>44600</v>
          </cell>
          <cell r="H384">
            <v>22600</v>
          </cell>
          <cell r="I384">
            <v>1</v>
          </cell>
          <cell r="J384">
            <v>1</v>
          </cell>
          <cell r="K384">
            <v>2171</v>
          </cell>
          <cell r="L384" t="str">
            <v>99-1003</v>
          </cell>
        </row>
        <row r="385">
          <cell r="B385" t="str">
            <v>선우혜진</v>
          </cell>
          <cell r="C385">
            <v>36495</v>
          </cell>
          <cell r="D385" t="str">
            <v>선우혜진</v>
          </cell>
          <cell r="E385">
            <v>11648638</v>
          </cell>
          <cell r="F385">
            <v>715</v>
          </cell>
          <cell r="G385">
            <v>57400</v>
          </cell>
          <cell r="H385">
            <v>33900</v>
          </cell>
          <cell r="I385">
            <v>1</v>
          </cell>
          <cell r="J385">
            <v>1</v>
          </cell>
          <cell r="K385">
            <v>4427</v>
          </cell>
          <cell r="L385" t="str">
            <v>99-1004</v>
          </cell>
        </row>
        <row r="386">
          <cell r="B386" t="str">
            <v>정영현</v>
          </cell>
          <cell r="C386">
            <v>36525</v>
          </cell>
          <cell r="D386" t="str">
            <v>정영현</v>
          </cell>
          <cell r="E386">
            <v>12962170</v>
          </cell>
          <cell r="F386">
            <v>768</v>
          </cell>
          <cell r="G386">
            <v>63300</v>
          </cell>
          <cell r="H386">
            <v>33900</v>
          </cell>
          <cell r="I386">
            <v>1</v>
          </cell>
          <cell r="J386">
            <v>1</v>
          </cell>
          <cell r="K386">
            <v>961938</v>
          </cell>
          <cell r="L386" t="str">
            <v>99-1005</v>
          </cell>
        </row>
        <row r="387">
          <cell r="B387" t="str">
            <v>백상기</v>
          </cell>
          <cell r="C387">
            <v>36528</v>
          </cell>
          <cell r="D387" t="str">
            <v>백상기</v>
          </cell>
          <cell r="E387">
            <v>50966432</v>
          </cell>
          <cell r="F387">
            <v>2059</v>
          </cell>
          <cell r="G387">
            <v>234300</v>
          </cell>
          <cell r="H387">
            <v>54240</v>
          </cell>
          <cell r="I387">
            <v>1</v>
          </cell>
          <cell r="J387">
            <v>1</v>
          </cell>
          <cell r="K387">
            <v>5126</v>
          </cell>
          <cell r="L387" t="str">
            <v>99-1006</v>
          </cell>
        </row>
        <row r="388">
          <cell r="B388" t="str">
            <v>조숙관</v>
          </cell>
          <cell r="D388" t="str">
            <v>조숙관</v>
          </cell>
          <cell r="E388">
            <v>6329609</v>
          </cell>
          <cell r="F388">
            <v>466</v>
          </cell>
          <cell r="G388">
            <v>31600</v>
          </cell>
          <cell r="H388">
            <v>22600</v>
          </cell>
          <cell r="I388">
            <v>1</v>
          </cell>
          <cell r="J388">
            <v>1</v>
          </cell>
          <cell r="K388">
            <v>12207</v>
          </cell>
          <cell r="L388" t="str">
            <v>99-1007</v>
          </cell>
        </row>
        <row r="389">
          <cell r="B389" t="str">
            <v>박봉금</v>
          </cell>
          <cell r="C389">
            <v>36531</v>
          </cell>
          <cell r="D389" t="str">
            <v>박봉금</v>
          </cell>
          <cell r="E389">
            <v>7678217</v>
          </cell>
          <cell r="F389">
            <v>533</v>
          </cell>
          <cell r="G389">
            <v>38300</v>
          </cell>
          <cell r="H389">
            <v>33900</v>
          </cell>
          <cell r="I389">
            <v>1</v>
          </cell>
          <cell r="J389">
            <v>1</v>
          </cell>
          <cell r="K389">
            <v>963250</v>
          </cell>
          <cell r="L389" t="str">
            <v>99-1008</v>
          </cell>
        </row>
        <row r="390">
          <cell r="B390" t="str">
            <v>전선희</v>
          </cell>
          <cell r="C390">
            <v>36494</v>
          </cell>
          <cell r="D390" t="str">
            <v>전선희</v>
          </cell>
          <cell r="E390">
            <v>15191925</v>
          </cell>
          <cell r="F390">
            <v>857</v>
          </cell>
          <cell r="G390">
            <v>73300</v>
          </cell>
          <cell r="H390">
            <v>22600</v>
          </cell>
          <cell r="I390">
            <v>1</v>
          </cell>
          <cell r="J390">
            <v>1</v>
          </cell>
          <cell r="K390">
            <v>950042</v>
          </cell>
          <cell r="L390" t="str">
            <v>99-1009</v>
          </cell>
        </row>
        <row r="391">
          <cell r="B391" t="str">
            <v>유시자</v>
          </cell>
          <cell r="C391">
            <v>36495</v>
          </cell>
          <cell r="D391" t="str">
            <v>유시자</v>
          </cell>
          <cell r="E391">
            <v>4616428</v>
          </cell>
          <cell r="F391">
            <v>376</v>
          </cell>
          <cell r="G391">
            <v>23000</v>
          </cell>
          <cell r="H391">
            <v>67800</v>
          </cell>
          <cell r="I391">
            <v>1</v>
          </cell>
          <cell r="J391">
            <v>1</v>
          </cell>
          <cell r="K391">
            <v>678</v>
          </cell>
          <cell r="L391" t="str">
            <v>99-1010</v>
          </cell>
        </row>
        <row r="392">
          <cell r="B392" t="str">
            <v>조옥순</v>
          </cell>
          <cell r="C392">
            <v>36495</v>
          </cell>
          <cell r="D392" t="str">
            <v>조옥순</v>
          </cell>
          <cell r="E392">
            <v>5000000</v>
          </cell>
          <cell r="F392">
            <v>400</v>
          </cell>
          <cell r="G392">
            <v>25000</v>
          </cell>
          <cell r="H392">
            <v>79100</v>
          </cell>
          <cell r="I392">
            <v>1</v>
          </cell>
          <cell r="J392">
            <v>1</v>
          </cell>
          <cell r="K392">
            <v>676</v>
          </cell>
          <cell r="L392" t="str">
            <v>99-1011</v>
          </cell>
        </row>
        <row r="393">
          <cell r="B393" t="str">
            <v>남강실업㈜</v>
          </cell>
          <cell r="C393">
            <v>36564</v>
          </cell>
          <cell r="D393" t="str">
            <v>남강실업㈜</v>
          </cell>
          <cell r="E393">
            <v>216370215</v>
          </cell>
          <cell r="F393">
            <v>3131</v>
          </cell>
          <cell r="G393">
            <v>920400</v>
          </cell>
          <cell r="H393">
            <v>108480</v>
          </cell>
          <cell r="I393">
            <v>1</v>
          </cell>
          <cell r="J393">
            <v>1</v>
          </cell>
          <cell r="K393">
            <v>25397</v>
          </cell>
          <cell r="L393" t="str">
            <v>99-1012</v>
          </cell>
        </row>
        <row r="394">
          <cell r="B394" t="str">
            <v>삼진전기㈜</v>
          </cell>
          <cell r="D394" t="str">
            <v>삼진전기㈜</v>
          </cell>
          <cell r="E394">
            <v>28086856</v>
          </cell>
          <cell r="F394">
            <v>1373</v>
          </cell>
          <cell r="G394">
            <v>131300</v>
          </cell>
          <cell r="H394">
            <v>72320</v>
          </cell>
          <cell r="I394">
            <v>1</v>
          </cell>
          <cell r="J394">
            <v>1</v>
          </cell>
          <cell r="K394">
            <v>950468</v>
          </cell>
          <cell r="L394" t="str">
            <v>99-1013</v>
          </cell>
        </row>
        <row r="395">
          <cell r="B395" t="str">
            <v>옥산전자</v>
          </cell>
          <cell r="C395">
            <v>36528</v>
          </cell>
          <cell r="D395" t="str">
            <v>옥산전자</v>
          </cell>
          <cell r="E395">
            <v>291468690</v>
          </cell>
          <cell r="F395">
            <v>3507</v>
          </cell>
          <cell r="G395">
            <v>1220800</v>
          </cell>
          <cell r="H395">
            <v>54240</v>
          </cell>
          <cell r="I395">
            <v>1</v>
          </cell>
          <cell r="J395">
            <v>1</v>
          </cell>
          <cell r="K395">
            <v>12119</v>
          </cell>
          <cell r="L395" t="str">
            <v>99-1014</v>
          </cell>
        </row>
        <row r="396">
          <cell r="B396" t="str">
            <v>기현주</v>
          </cell>
          <cell r="C396">
            <v>36494</v>
          </cell>
          <cell r="D396" t="str">
            <v>기현주</v>
          </cell>
          <cell r="E396">
            <v>6552689</v>
          </cell>
          <cell r="F396">
            <v>477</v>
          </cell>
          <cell r="G396">
            <v>32700</v>
          </cell>
          <cell r="H396">
            <v>33900</v>
          </cell>
          <cell r="I396">
            <v>1</v>
          </cell>
          <cell r="J396">
            <v>1</v>
          </cell>
          <cell r="K396">
            <v>971064</v>
          </cell>
          <cell r="L396" t="str">
            <v>99-1015</v>
          </cell>
        </row>
        <row r="397">
          <cell r="B397" t="str">
            <v>정재웅</v>
          </cell>
          <cell r="D397" t="str">
            <v>한상규</v>
          </cell>
          <cell r="E397">
            <v>120000000</v>
          </cell>
          <cell r="F397">
            <v>2650</v>
          </cell>
          <cell r="G397">
            <v>53500</v>
          </cell>
          <cell r="H397">
            <v>67800</v>
          </cell>
          <cell r="I397">
            <v>1</v>
          </cell>
          <cell r="J397">
            <v>3</v>
          </cell>
          <cell r="K397" t="str">
            <v>경매</v>
          </cell>
          <cell r="L397" t="str">
            <v>99-1016</v>
          </cell>
        </row>
        <row r="398">
          <cell r="B398" t="str">
            <v>이두기</v>
          </cell>
          <cell r="C398">
            <v>36494</v>
          </cell>
          <cell r="D398" t="str">
            <v>이두기</v>
          </cell>
          <cell r="E398">
            <v>8446833</v>
          </cell>
          <cell r="F398">
            <v>572</v>
          </cell>
          <cell r="G398">
            <v>42200</v>
          </cell>
          <cell r="H398">
            <v>33900</v>
          </cell>
          <cell r="I398">
            <v>1</v>
          </cell>
          <cell r="J398">
            <v>1</v>
          </cell>
          <cell r="K398">
            <v>33569</v>
          </cell>
          <cell r="L398" t="str">
            <v>99-1017</v>
          </cell>
        </row>
        <row r="399">
          <cell r="B399" t="str">
            <v>김화자</v>
          </cell>
          <cell r="D399" t="str">
            <v>김화자</v>
          </cell>
          <cell r="E399">
            <v>4419534</v>
          </cell>
          <cell r="F399">
            <v>365</v>
          </cell>
          <cell r="G399">
            <v>22200</v>
          </cell>
          <cell r="H399">
            <v>33900</v>
          </cell>
          <cell r="I399">
            <v>1</v>
          </cell>
          <cell r="J399">
            <v>1</v>
          </cell>
          <cell r="K399">
            <v>27076</v>
          </cell>
          <cell r="L399" t="str">
            <v>99-1018</v>
          </cell>
        </row>
        <row r="400">
          <cell r="B400" t="str">
            <v>김정자</v>
          </cell>
          <cell r="C400">
            <v>36525</v>
          </cell>
          <cell r="D400" t="str">
            <v>김정자</v>
          </cell>
          <cell r="E400">
            <v>6585317</v>
          </cell>
          <cell r="F400">
            <v>479</v>
          </cell>
          <cell r="G400">
            <v>32900</v>
          </cell>
          <cell r="H400">
            <v>33900</v>
          </cell>
          <cell r="I400">
            <v>1</v>
          </cell>
          <cell r="J400">
            <v>1</v>
          </cell>
          <cell r="K400">
            <v>30446</v>
          </cell>
          <cell r="L400" t="str">
            <v>99-1019</v>
          </cell>
        </row>
        <row r="401">
          <cell r="B401" t="str">
            <v>서우원</v>
          </cell>
          <cell r="C401">
            <v>36509</v>
          </cell>
          <cell r="D401" t="str">
            <v>서우원</v>
          </cell>
          <cell r="E401">
            <v>17545066</v>
          </cell>
          <cell r="F401">
            <v>951</v>
          </cell>
          <cell r="G401">
            <v>83900</v>
          </cell>
          <cell r="H401">
            <v>33900</v>
          </cell>
          <cell r="I401">
            <v>1</v>
          </cell>
          <cell r="J401">
            <v>1</v>
          </cell>
          <cell r="K401">
            <v>971493</v>
          </cell>
          <cell r="L401" t="str">
            <v>99-1020</v>
          </cell>
        </row>
        <row r="402">
          <cell r="B402" t="str">
            <v>안병태</v>
          </cell>
          <cell r="C402">
            <v>36509</v>
          </cell>
          <cell r="D402" t="str">
            <v>안병태</v>
          </cell>
          <cell r="E402">
            <v>10798925</v>
          </cell>
          <cell r="F402">
            <v>681</v>
          </cell>
          <cell r="G402">
            <v>53500</v>
          </cell>
          <cell r="H402">
            <v>33900</v>
          </cell>
          <cell r="I402">
            <v>1</v>
          </cell>
          <cell r="J402">
            <v>1</v>
          </cell>
          <cell r="K402">
            <v>970619</v>
          </cell>
          <cell r="L402" t="str">
            <v>99-1021</v>
          </cell>
        </row>
        <row r="403">
          <cell r="B403" t="str">
            <v>이춘숙</v>
          </cell>
          <cell r="D403" t="str">
            <v>이춘숙</v>
          </cell>
          <cell r="E403">
            <v>14907447</v>
          </cell>
          <cell r="F403">
            <v>840</v>
          </cell>
          <cell r="G403">
            <v>72000</v>
          </cell>
          <cell r="H403">
            <v>33900</v>
          </cell>
          <cell r="I403">
            <v>1</v>
          </cell>
          <cell r="J403">
            <v>1</v>
          </cell>
          <cell r="K403">
            <v>950168</v>
          </cell>
          <cell r="L403" t="str">
            <v>99-1022</v>
          </cell>
        </row>
        <row r="404">
          <cell r="B404" t="str">
            <v>한상호</v>
          </cell>
          <cell r="C404">
            <v>36509</v>
          </cell>
          <cell r="D404" t="str">
            <v>한상호</v>
          </cell>
          <cell r="E404">
            <v>8044282</v>
          </cell>
          <cell r="F404">
            <v>515</v>
          </cell>
          <cell r="G404">
            <v>40200</v>
          </cell>
          <cell r="H404">
            <v>22600</v>
          </cell>
          <cell r="I404">
            <v>1</v>
          </cell>
          <cell r="J404">
            <v>1</v>
          </cell>
          <cell r="K404">
            <v>960911</v>
          </cell>
          <cell r="L404" t="str">
            <v>99-1023</v>
          </cell>
        </row>
        <row r="405">
          <cell r="B405" t="str">
            <v>심재원</v>
          </cell>
          <cell r="D405" t="str">
            <v>심재원</v>
          </cell>
          <cell r="E405">
            <v>14043279</v>
          </cell>
          <cell r="F405">
            <v>1571</v>
          </cell>
          <cell r="G405">
            <v>68100</v>
          </cell>
          <cell r="H405">
            <v>33900</v>
          </cell>
          <cell r="I405">
            <v>1</v>
          </cell>
          <cell r="J405">
            <v>1</v>
          </cell>
          <cell r="K405">
            <v>960100</v>
          </cell>
          <cell r="L405" t="str">
            <v>99-1024</v>
          </cell>
        </row>
        <row r="406">
          <cell r="B406" t="str">
            <v>동양정밀공업㈜</v>
          </cell>
          <cell r="D406" t="str">
            <v>동양정밀공업㈜</v>
          </cell>
          <cell r="E406">
            <v>4384265265</v>
          </cell>
          <cell r="F406">
            <v>23971</v>
          </cell>
          <cell r="G406">
            <v>15899900</v>
          </cell>
          <cell r="H406">
            <v>67800</v>
          </cell>
          <cell r="I406">
            <v>1</v>
          </cell>
          <cell r="J406">
            <v>1</v>
          </cell>
          <cell r="K406" t="str">
            <v>박창진/4158</v>
          </cell>
          <cell r="L406" t="str">
            <v>99-1025</v>
          </cell>
        </row>
        <row r="407">
          <cell r="B407" t="str">
            <v>황숙영</v>
          </cell>
          <cell r="D407" t="str">
            <v>황숙영</v>
          </cell>
          <cell r="E407">
            <v>25706971</v>
          </cell>
          <cell r="F407">
            <v>1500</v>
          </cell>
          <cell r="G407">
            <v>120600</v>
          </cell>
          <cell r="H407">
            <v>54240</v>
          </cell>
          <cell r="I407">
            <v>1</v>
          </cell>
          <cell r="J407">
            <v>1</v>
          </cell>
          <cell r="K407">
            <v>6218</v>
          </cell>
          <cell r="L407" t="str">
            <v>99-1026</v>
          </cell>
        </row>
        <row r="408">
          <cell r="B408" t="str">
            <v>최연례</v>
          </cell>
          <cell r="D408" t="str">
            <v>이순애</v>
          </cell>
          <cell r="E408">
            <v>3674219</v>
          </cell>
          <cell r="F408">
            <v>330</v>
          </cell>
          <cell r="G408">
            <v>18300</v>
          </cell>
          <cell r="H408">
            <v>22600</v>
          </cell>
          <cell r="I408">
            <v>1</v>
          </cell>
          <cell r="J408">
            <v>1</v>
          </cell>
          <cell r="K408">
            <v>950383</v>
          </cell>
          <cell r="L408" t="str">
            <v>99-1027</v>
          </cell>
        </row>
        <row r="409">
          <cell r="B409" t="str">
            <v>유영주</v>
          </cell>
          <cell r="D409" t="str">
            <v>유영주</v>
          </cell>
          <cell r="E409">
            <v>8301206</v>
          </cell>
          <cell r="F409">
            <v>600</v>
          </cell>
          <cell r="G409">
            <v>41500</v>
          </cell>
          <cell r="H409">
            <v>45200</v>
          </cell>
          <cell r="I409">
            <v>1</v>
          </cell>
          <cell r="J409">
            <v>1</v>
          </cell>
          <cell r="K409">
            <v>5649</v>
          </cell>
          <cell r="L409" t="str">
            <v>99-1028</v>
          </cell>
        </row>
        <row r="410">
          <cell r="B410" t="str">
            <v>이복동</v>
          </cell>
          <cell r="D410" t="str">
            <v>이복동</v>
          </cell>
          <cell r="E410">
            <v>15225024</v>
          </cell>
          <cell r="F410">
            <v>900</v>
          </cell>
          <cell r="G410">
            <v>73500</v>
          </cell>
          <cell r="H410">
            <v>33900</v>
          </cell>
          <cell r="I410">
            <v>1</v>
          </cell>
          <cell r="J410">
            <v>1</v>
          </cell>
          <cell r="K410">
            <v>4201</v>
          </cell>
          <cell r="L410" t="str">
            <v>99-1029</v>
          </cell>
        </row>
        <row r="411">
          <cell r="B411" t="str">
            <v>유지숙</v>
          </cell>
          <cell r="D411" t="str">
            <v>유지숙</v>
          </cell>
          <cell r="E411">
            <v>8227907</v>
          </cell>
          <cell r="F411">
            <v>500</v>
          </cell>
          <cell r="G411">
            <v>41100</v>
          </cell>
          <cell r="H411">
            <v>33900</v>
          </cell>
          <cell r="I411">
            <v>1</v>
          </cell>
          <cell r="J411">
            <v>1</v>
          </cell>
          <cell r="K411">
            <v>5700</v>
          </cell>
          <cell r="L411" t="str">
            <v>99-1030</v>
          </cell>
        </row>
        <row r="412">
          <cell r="B412" t="str">
            <v>임애숙</v>
          </cell>
          <cell r="C412">
            <v>36509</v>
          </cell>
          <cell r="D412" t="str">
            <v>임애숙</v>
          </cell>
          <cell r="E412">
            <v>15567288</v>
          </cell>
          <cell r="F412">
            <v>900</v>
          </cell>
          <cell r="G412">
            <v>75000</v>
          </cell>
          <cell r="H412">
            <v>33900</v>
          </cell>
          <cell r="I412">
            <v>1</v>
          </cell>
          <cell r="J412">
            <v>1</v>
          </cell>
          <cell r="K412">
            <v>5716</v>
          </cell>
          <cell r="L412" t="str">
            <v>99-1031</v>
          </cell>
        </row>
        <row r="413">
          <cell r="B413" t="str">
            <v>선정권</v>
          </cell>
          <cell r="D413" t="str">
            <v>선정권</v>
          </cell>
          <cell r="E413">
            <v>4085613</v>
          </cell>
          <cell r="F413">
            <v>350</v>
          </cell>
          <cell r="G413">
            <v>20400</v>
          </cell>
          <cell r="H413">
            <v>33900</v>
          </cell>
          <cell r="I413">
            <v>1</v>
          </cell>
          <cell r="J413">
            <v>1</v>
          </cell>
          <cell r="K413">
            <v>5806</v>
          </cell>
          <cell r="L413" t="str">
            <v>99-1032</v>
          </cell>
        </row>
        <row r="414">
          <cell r="B414" t="str">
            <v>한연화</v>
          </cell>
          <cell r="C414">
            <v>36504</v>
          </cell>
          <cell r="D414" t="str">
            <v>한연화</v>
          </cell>
          <cell r="E414">
            <v>1990316</v>
          </cell>
          <cell r="F414">
            <v>190</v>
          </cell>
          <cell r="G414">
            <v>9900</v>
          </cell>
          <cell r="H414">
            <v>22600</v>
          </cell>
          <cell r="I414">
            <v>1</v>
          </cell>
          <cell r="J414">
            <v>1</v>
          </cell>
          <cell r="K414">
            <v>5873</v>
          </cell>
          <cell r="L414" t="str">
            <v>99-1033</v>
          </cell>
        </row>
        <row r="415">
          <cell r="B415" t="str">
            <v>신경철</v>
          </cell>
          <cell r="D415" t="str">
            <v>신경철</v>
          </cell>
          <cell r="E415">
            <v>19872527</v>
          </cell>
          <cell r="F415">
            <v>1150</v>
          </cell>
          <cell r="G415">
            <v>94400</v>
          </cell>
          <cell r="H415">
            <v>33900</v>
          </cell>
          <cell r="I415">
            <v>1</v>
          </cell>
          <cell r="J415">
            <v>1</v>
          </cell>
          <cell r="K415">
            <v>5884</v>
          </cell>
          <cell r="L415" t="str">
            <v>99-1034</v>
          </cell>
        </row>
        <row r="416">
          <cell r="B416" t="str">
            <v>삼선교역㈜</v>
          </cell>
          <cell r="D416" t="str">
            <v>삼선교역㈜</v>
          </cell>
          <cell r="E416">
            <v>488393145</v>
          </cell>
          <cell r="F416">
            <v>4491</v>
          </cell>
          <cell r="G416">
            <v>2008500</v>
          </cell>
          <cell r="H416">
            <v>72320</v>
          </cell>
          <cell r="I416">
            <v>1</v>
          </cell>
          <cell r="J416">
            <v>1</v>
          </cell>
          <cell r="K416">
            <v>1993</v>
          </cell>
          <cell r="L416" t="str">
            <v>99-1035</v>
          </cell>
        </row>
        <row r="417">
          <cell r="B417" t="str">
            <v>대선프라스틱㈜</v>
          </cell>
          <cell r="D417" t="str">
            <v>대선프라스틱㈜</v>
          </cell>
          <cell r="E417">
            <v>30291656</v>
          </cell>
          <cell r="F417">
            <v>1458</v>
          </cell>
          <cell r="G417">
            <v>141300</v>
          </cell>
          <cell r="H417">
            <v>54240</v>
          </cell>
          <cell r="I417">
            <v>1</v>
          </cell>
          <cell r="J417">
            <v>1</v>
          </cell>
          <cell r="K417">
            <v>6704</v>
          </cell>
          <cell r="L417" t="str">
            <v>99-1036</v>
          </cell>
        </row>
        <row r="418">
          <cell r="B418" t="str">
            <v>신춘화</v>
          </cell>
          <cell r="C418">
            <v>36509</v>
          </cell>
          <cell r="D418" t="str">
            <v>신춘화</v>
          </cell>
          <cell r="E418">
            <v>5767854</v>
          </cell>
          <cell r="F418">
            <v>438</v>
          </cell>
          <cell r="G418">
            <v>28800</v>
          </cell>
          <cell r="H418">
            <v>33900</v>
          </cell>
          <cell r="I418">
            <v>1</v>
          </cell>
          <cell r="J418">
            <v>1</v>
          </cell>
          <cell r="K418">
            <v>7526</v>
          </cell>
          <cell r="L418" t="str">
            <v>99-1037</v>
          </cell>
        </row>
        <row r="419">
          <cell r="B419" t="str">
            <v>신문선</v>
          </cell>
          <cell r="D419" t="str">
            <v>신문선</v>
          </cell>
          <cell r="E419">
            <v>12325748</v>
          </cell>
          <cell r="F419">
            <v>743</v>
          </cell>
          <cell r="G419">
            <v>60400</v>
          </cell>
          <cell r="H419">
            <v>33900</v>
          </cell>
          <cell r="I419">
            <v>1</v>
          </cell>
          <cell r="J419">
            <v>1</v>
          </cell>
          <cell r="K419">
            <v>4061</v>
          </cell>
          <cell r="L419" t="str">
            <v>99-1038</v>
          </cell>
        </row>
        <row r="420">
          <cell r="B420" t="str">
            <v>박만금</v>
          </cell>
          <cell r="D420" t="str">
            <v>박나연</v>
          </cell>
          <cell r="E420">
            <v>2214077</v>
          </cell>
          <cell r="F420">
            <v>207</v>
          </cell>
          <cell r="G420">
            <v>11000</v>
          </cell>
          <cell r="H420">
            <v>22600</v>
          </cell>
          <cell r="I420">
            <v>1</v>
          </cell>
          <cell r="J420">
            <v>1</v>
          </cell>
          <cell r="K420">
            <v>5186</v>
          </cell>
          <cell r="L420" t="str">
            <v>99-1039</v>
          </cell>
        </row>
        <row r="421">
          <cell r="B421" t="str">
            <v>정상근</v>
          </cell>
          <cell r="C421">
            <v>36495</v>
          </cell>
          <cell r="D421" t="str">
            <v>정상근</v>
          </cell>
          <cell r="E421">
            <v>4279571</v>
          </cell>
          <cell r="F421">
            <v>356</v>
          </cell>
          <cell r="G421">
            <v>24200</v>
          </cell>
          <cell r="H421">
            <v>45200</v>
          </cell>
          <cell r="I421">
            <v>1</v>
          </cell>
          <cell r="J421">
            <v>1</v>
          </cell>
          <cell r="L421" t="str">
            <v>99-1040</v>
          </cell>
        </row>
        <row r="422">
          <cell r="B422" t="str">
            <v>이성애</v>
          </cell>
          <cell r="D422" t="str">
            <v>이성애</v>
          </cell>
          <cell r="E422">
            <v>2570616</v>
          </cell>
          <cell r="F422">
            <v>235</v>
          </cell>
          <cell r="G422">
            <v>12800</v>
          </cell>
          <cell r="H422">
            <v>67800</v>
          </cell>
          <cell r="I422">
            <v>1</v>
          </cell>
          <cell r="J422">
            <v>1</v>
          </cell>
          <cell r="K422">
            <v>7685</v>
          </cell>
          <cell r="L422" t="str">
            <v>99-1041</v>
          </cell>
        </row>
        <row r="423">
          <cell r="B423" t="str">
            <v>김준곤</v>
          </cell>
          <cell r="C423">
            <v>36509</v>
          </cell>
          <cell r="D423" t="str">
            <v>김준곤</v>
          </cell>
          <cell r="E423">
            <v>1710507</v>
          </cell>
          <cell r="F423">
            <v>163</v>
          </cell>
          <cell r="G423">
            <v>8500</v>
          </cell>
          <cell r="H423">
            <v>33900</v>
          </cell>
          <cell r="I423">
            <v>1</v>
          </cell>
          <cell r="J423">
            <v>1</v>
          </cell>
          <cell r="K423">
            <v>1792</v>
          </cell>
          <cell r="L423" t="str">
            <v>99-1042</v>
          </cell>
        </row>
        <row r="424">
          <cell r="B424" t="str">
            <v>홍성반</v>
          </cell>
          <cell r="D424" t="str">
            <v>홍성반</v>
          </cell>
          <cell r="E424">
            <v>28718270</v>
          </cell>
          <cell r="F424">
            <v>1398</v>
          </cell>
          <cell r="G424">
            <v>134200</v>
          </cell>
          <cell r="H424">
            <v>72320</v>
          </cell>
          <cell r="I424">
            <v>1</v>
          </cell>
          <cell r="J424">
            <v>1</v>
          </cell>
          <cell r="K424">
            <v>4556</v>
          </cell>
          <cell r="L424" t="str">
            <v>99-1043</v>
          </cell>
        </row>
        <row r="425">
          <cell r="B425" t="str">
            <v>김옥자</v>
          </cell>
          <cell r="D425" t="str">
            <v>김옥자</v>
          </cell>
          <cell r="E425">
            <v>8097938</v>
          </cell>
          <cell r="F425">
            <v>554</v>
          </cell>
          <cell r="G425">
            <v>41400</v>
          </cell>
          <cell r="H425">
            <v>33900</v>
          </cell>
          <cell r="I425">
            <v>1</v>
          </cell>
          <cell r="J425">
            <v>1</v>
          </cell>
          <cell r="K425">
            <v>5001</v>
          </cell>
          <cell r="L425" t="str">
            <v>99-1044</v>
          </cell>
        </row>
        <row r="426">
          <cell r="B426" t="str">
            <v>㈜대한로공업</v>
          </cell>
          <cell r="C426">
            <v>36509</v>
          </cell>
          <cell r="D426" t="str">
            <v>대한로공업</v>
          </cell>
          <cell r="E426">
            <v>5402288</v>
          </cell>
          <cell r="F426">
            <v>420</v>
          </cell>
          <cell r="G426">
            <v>27000</v>
          </cell>
          <cell r="H426">
            <v>45200</v>
          </cell>
          <cell r="I426">
            <v>1</v>
          </cell>
          <cell r="J426">
            <v>1</v>
          </cell>
          <cell r="K426">
            <v>25905</v>
          </cell>
          <cell r="L426" t="str">
            <v>99-1045</v>
          </cell>
        </row>
        <row r="427">
          <cell r="B427" t="str">
            <v>파란들</v>
          </cell>
          <cell r="C427">
            <v>36509</v>
          </cell>
          <cell r="D427" t="str">
            <v>파란들</v>
          </cell>
          <cell r="E427">
            <v>16718626</v>
          </cell>
          <cell r="F427">
            <v>918</v>
          </cell>
          <cell r="G427">
            <v>80200</v>
          </cell>
          <cell r="H427">
            <v>33900</v>
          </cell>
          <cell r="I427">
            <v>1</v>
          </cell>
          <cell r="J427">
            <v>1</v>
          </cell>
          <cell r="K427">
            <v>5963</v>
          </cell>
          <cell r="L427" t="str">
            <v>99-1046</v>
          </cell>
        </row>
        <row r="428">
          <cell r="B428" t="str">
            <v>김영희</v>
          </cell>
          <cell r="C428">
            <v>36509</v>
          </cell>
          <cell r="D428" t="str">
            <v>김영희</v>
          </cell>
          <cell r="E428">
            <v>3615704</v>
          </cell>
          <cell r="F428">
            <v>303</v>
          </cell>
          <cell r="G428">
            <v>18000</v>
          </cell>
          <cell r="H428">
            <v>33900</v>
          </cell>
          <cell r="I428">
            <v>1</v>
          </cell>
          <cell r="J428">
            <v>1</v>
          </cell>
          <cell r="K428">
            <v>6851</v>
          </cell>
          <cell r="L428" t="str">
            <v>99-1047</v>
          </cell>
        </row>
        <row r="429">
          <cell r="B429" t="str">
            <v>고운희</v>
          </cell>
          <cell r="C429">
            <v>36509</v>
          </cell>
          <cell r="D429" t="str">
            <v>고운희</v>
          </cell>
          <cell r="E429">
            <v>10514147</v>
          </cell>
          <cell r="F429">
            <v>670</v>
          </cell>
          <cell r="G429">
            <v>52300</v>
          </cell>
          <cell r="H429">
            <v>33900</v>
          </cell>
          <cell r="I429">
            <v>1</v>
          </cell>
          <cell r="J429">
            <v>1</v>
          </cell>
          <cell r="K429">
            <v>6629</v>
          </cell>
          <cell r="L429" t="str">
            <v>99-1048</v>
          </cell>
        </row>
        <row r="430">
          <cell r="B430" t="str">
            <v>소덕희</v>
          </cell>
          <cell r="D430" t="str">
            <v>소덕희</v>
          </cell>
          <cell r="E430">
            <v>5126283</v>
          </cell>
          <cell r="F430">
            <v>405</v>
          </cell>
          <cell r="G430">
            <v>25600</v>
          </cell>
          <cell r="H430">
            <v>33900</v>
          </cell>
          <cell r="I430">
            <v>1</v>
          </cell>
          <cell r="J430">
            <v>1</v>
          </cell>
          <cell r="K430">
            <v>6374</v>
          </cell>
          <cell r="L430" t="str">
            <v>99-1049</v>
          </cell>
        </row>
        <row r="431">
          <cell r="B431" t="str">
            <v>임동호</v>
          </cell>
          <cell r="C431">
            <v>36509</v>
          </cell>
          <cell r="D431" t="str">
            <v>임동호</v>
          </cell>
          <cell r="E431">
            <v>8397491</v>
          </cell>
          <cell r="F431">
            <v>535</v>
          </cell>
          <cell r="G431">
            <v>41900</v>
          </cell>
          <cell r="H431">
            <v>33900</v>
          </cell>
          <cell r="I431">
            <v>1</v>
          </cell>
          <cell r="J431">
            <v>1</v>
          </cell>
          <cell r="K431">
            <v>6184</v>
          </cell>
          <cell r="L431" t="str">
            <v>99-1050</v>
          </cell>
        </row>
        <row r="432">
          <cell r="B432" t="str">
            <v>육한수</v>
          </cell>
          <cell r="D432" t="str">
            <v>육한수</v>
          </cell>
          <cell r="E432">
            <v>3687101</v>
          </cell>
          <cell r="F432">
            <v>301</v>
          </cell>
          <cell r="G432">
            <v>18400</v>
          </cell>
          <cell r="H432">
            <v>33900</v>
          </cell>
          <cell r="I432">
            <v>1</v>
          </cell>
          <cell r="J432">
            <v>1</v>
          </cell>
          <cell r="K432">
            <v>6150</v>
          </cell>
          <cell r="L432" t="str">
            <v>99-1051</v>
          </cell>
        </row>
        <row r="433">
          <cell r="B433" t="str">
            <v>김중식</v>
          </cell>
          <cell r="C433">
            <v>36509</v>
          </cell>
          <cell r="D433" t="str">
            <v>김중식</v>
          </cell>
          <cell r="E433">
            <v>14078872</v>
          </cell>
          <cell r="F433">
            <v>813</v>
          </cell>
          <cell r="G433">
            <v>68300</v>
          </cell>
          <cell r="H433">
            <v>33900</v>
          </cell>
          <cell r="I433">
            <v>1</v>
          </cell>
          <cell r="J433">
            <v>1</v>
          </cell>
          <cell r="K433">
            <v>2190</v>
          </cell>
          <cell r="L433" t="str">
            <v>99-1052</v>
          </cell>
        </row>
        <row r="434">
          <cell r="B434" t="str">
            <v>추신호</v>
          </cell>
          <cell r="D434" t="str">
            <v>추신호</v>
          </cell>
          <cell r="E434">
            <v>32086606</v>
          </cell>
          <cell r="F434">
            <v>1510</v>
          </cell>
          <cell r="G434">
            <v>149300</v>
          </cell>
          <cell r="H434">
            <v>54240</v>
          </cell>
          <cell r="I434">
            <v>1</v>
          </cell>
          <cell r="J434">
            <v>1</v>
          </cell>
          <cell r="K434">
            <v>5208</v>
          </cell>
          <cell r="L434" t="str">
            <v>99-1053</v>
          </cell>
        </row>
        <row r="435">
          <cell r="B435" t="str">
            <v>한국도카㈜</v>
          </cell>
          <cell r="D435" t="str">
            <v>한국도카㈜</v>
          </cell>
          <cell r="E435">
            <v>80676164</v>
          </cell>
          <cell r="F435">
            <v>2356</v>
          </cell>
          <cell r="G435">
            <v>368000</v>
          </cell>
          <cell r="H435">
            <v>54240</v>
          </cell>
          <cell r="I435">
            <v>1</v>
          </cell>
          <cell r="J435">
            <v>1</v>
          </cell>
          <cell r="K435">
            <v>6091</v>
          </cell>
          <cell r="L435" t="str">
            <v>99-1054</v>
          </cell>
        </row>
        <row r="436">
          <cell r="B436" t="str">
            <v>김은자</v>
          </cell>
          <cell r="D436" t="str">
            <v>김은자</v>
          </cell>
          <cell r="E436">
            <v>3591997</v>
          </cell>
          <cell r="F436">
            <v>295</v>
          </cell>
          <cell r="G436">
            <v>17900</v>
          </cell>
          <cell r="H436">
            <v>22600</v>
          </cell>
          <cell r="I436">
            <v>1</v>
          </cell>
          <cell r="J436">
            <v>1</v>
          </cell>
          <cell r="K436">
            <v>9916</v>
          </cell>
          <cell r="L436" t="str">
            <v>99-1055</v>
          </cell>
        </row>
        <row r="437">
          <cell r="B437" t="str">
            <v>민병두</v>
          </cell>
          <cell r="D437" t="str">
            <v>민병두</v>
          </cell>
          <cell r="E437">
            <v>50000000</v>
          </cell>
          <cell r="F437">
            <v>2050</v>
          </cell>
          <cell r="G437">
            <v>230000</v>
          </cell>
          <cell r="H437">
            <v>36160</v>
          </cell>
          <cell r="I437">
            <v>1</v>
          </cell>
          <cell r="J437">
            <v>1</v>
          </cell>
          <cell r="K437">
            <v>4015</v>
          </cell>
          <cell r="L437" t="str">
            <v>99-1056</v>
          </cell>
        </row>
        <row r="438">
          <cell r="B438" t="str">
            <v>정헌조</v>
          </cell>
          <cell r="C438">
            <v>36509</v>
          </cell>
          <cell r="D438" t="str">
            <v>정헌조</v>
          </cell>
          <cell r="E438">
            <v>19354949</v>
          </cell>
          <cell r="F438">
            <v>1024</v>
          </cell>
          <cell r="G438">
            <v>92000</v>
          </cell>
          <cell r="H438">
            <v>22600</v>
          </cell>
          <cell r="I438">
            <v>1</v>
          </cell>
          <cell r="J438">
            <v>1</v>
          </cell>
          <cell r="K438">
            <v>2007</v>
          </cell>
          <cell r="L438" t="str">
            <v>99-1057</v>
          </cell>
        </row>
        <row r="439">
          <cell r="B439" t="str">
            <v>박명규</v>
          </cell>
          <cell r="C439">
            <v>36509</v>
          </cell>
          <cell r="D439" t="str">
            <v>박명규</v>
          </cell>
          <cell r="E439">
            <v>8327825</v>
          </cell>
          <cell r="F439">
            <v>566</v>
          </cell>
          <cell r="G439">
            <v>41600</v>
          </cell>
          <cell r="H439">
            <v>22600</v>
          </cell>
          <cell r="I439">
            <v>1</v>
          </cell>
          <cell r="J439">
            <v>1</v>
          </cell>
          <cell r="K439">
            <v>4968</v>
          </cell>
          <cell r="L439" t="str">
            <v>99-1058</v>
          </cell>
        </row>
        <row r="440">
          <cell r="B440" t="str">
            <v>박재환</v>
          </cell>
          <cell r="C440">
            <v>36509</v>
          </cell>
          <cell r="D440" t="str">
            <v>박재환</v>
          </cell>
          <cell r="E440">
            <v>14406267</v>
          </cell>
          <cell r="F440">
            <v>826</v>
          </cell>
          <cell r="G440">
            <v>69800</v>
          </cell>
          <cell r="H440">
            <v>45200</v>
          </cell>
          <cell r="I440">
            <v>1</v>
          </cell>
          <cell r="J440">
            <v>1</v>
          </cell>
          <cell r="K440">
            <v>7725</v>
          </cell>
          <cell r="L440" t="str">
            <v>99-1059</v>
          </cell>
        </row>
        <row r="441">
          <cell r="B441" t="str">
            <v>김선자</v>
          </cell>
          <cell r="C441">
            <v>36509</v>
          </cell>
          <cell r="D441" t="str">
            <v>김선자</v>
          </cell>
          <cell r="E441">
            <v>7625954</v>
          </cell>
          <cell r="F441">
            <v>531</v>
          </cell>
          <cell r="G441">
            <v>38100</v>
          </cell>
          <cell r="H441">
            <v>45200</v>
          </cell>
          <cell r="I441">
            <v>1</v>
          </cell>
          <cell r="J441">
            <v>1</v>
          </cell>
          <cell r="K441">
            <v>8272</v>
          </cell>
          <cell r="L441" t="str">
            <v>99-1060</v>
          </cell>
        </row>
        <row r="442">
          <cell r="B442" t="str">
            <v>강경숙</v>
          </cell>
          <cell r="D442" t="str">
            <v>강경숙</v>
          </cell>
          <cell r="E442">
            <v>10446190</v>
          </cell>
          <cell r="F442">
            <v>617</v>
          </cell>
          <cell r="G442">
            <v>52000</v>
          </cell>
          <cell r="H442">
            <v>22600</v>
          </cell>
          <cell r="I442">
            <v>1</v>
          </cell>
          <cell r="J442">
            <v>1</v>
          </cell>
          <cell r="K442">
            <v>6022</v>
          </cell>
          <cell r="L442" t="str">
            <v>99-1061</v>
          </cell>
        </row>
        <row r="443">
          <cell r="B443" t="str">
            <v>이숙희</v>
          </cell>
          <cell r="C443">
            <v>36509</v>
          </cell>
          <cell r="D443" t="str">
            <v>이숙희</v>
          </cell>
          <cell r="E443">
            <v>9283756</v>
          </cell>
          <cell r="F443">
            <v>614</v>
          </cell>
          <cell r="G443">
            <v>46400</v>
          </cell>
          <cell r="H443">
            <v>22600</v>
          </cell>
          <cell r="I443">
            <v>1</v>
          </cell>
          <cell r="J443">
            <v>1</v>
          </cell>
          <cell r="K443">
            <v>7594</v>
          </cell>
          <cell r="L443" t="str">
            <v>99-1062</v>
          </cell>
        </row>
        <row r="444">
          <cell r="B444" t="str">
            <v>오영숙</v>
          </cell>
          <cell r="C444">
            <v>36495</v>
          </cell>
          <cell r="D444" t="str">
            <v>오영숙</v>
          </cell>
          <cell r="E444">
            <v>4936318</v>
          </cell>
          <cell r="F444">
            <v>396</v>
          </cell>
          <cell r="G444">
            <v>24600</v>
          </cell>
          <cell r="H444">
            <v>22600</v>
          </cell>
          <cell r="I444">
            <v>1</v>
          </cell>
          <cell r="J444">
            <v>1</v>
          </cell>
          <cell r="K444">
            <v>5317</v>
          </cell>
          <cell r="L444" t="str">
            <v>99-1063</v>
          </cell>
        </row>
        <row r="445">
          <cell r="B445" t="str">
            <v>이순원</v>
          </cell>
          <cell r="D445" t="str">
            <v>이순원</v>
          </cell>
          <cell r="E445">
            <v>15771553</v>
          </cell>
          <cell r="F445">
            <v>880</v>
          </cell>
          <cell r="G445">
            <v>75900</v>
          </cell>
          <cell r="H445">
            <v>45200</v>
          </cell>
          <cell r="I445">
            <v>1</v>
          </cell>
          <cell r="J445">
            <v>1</v>
          </cell>
          <cell r="K445">
            <v>8674</v>
          </cell>
          <cell r="L445" t="str">
            <v>99-1064</v>
          </cell>
        </row>
        <row r="446">
          <cell r="B446" t="str">
            <v>황수연</v>
          </cell>
          <cell r="D446" t="str">
            <v>황수연</v>
          </cell>
          <cell r="E446">
            <v>8550252</v>
          </cell>
          <cell r="F446">
            <v>507</v>
          </cell>
          <cell r="G446">
            <v>42700</v>
          </cell>
          <cell r="H446">
            <v>33900</v>
          </cell>
          <cell r="I446">
            <v>1</v>
          </cell>
          <cell r="J446">
            <v>1</v>
          </cell>
          <cell r="K446">
            <v>20634</v>
          </cell>
          <cell r="L446" t="str">
            <v>99-1065</v>
          </cell>
        </row>
        <row r="447">
          <cell r="B447" t="str">
            <v>조신하</v>
          </cell>
          <cell r="D447" t="str">
            <v>조신하</v>
          </cell>
          <cell r="E447">
            <v>5524454</v>
          </cell>
          <cell r="F447">
            <v>426</v>
          </cell>
          <cell r="G447">
            <v>27600</v>
          </cell>
          <cell r="H447">
            <v>33900</v>
          </cell>
          <cell r="I447">
            <v>1</v>
          </cell>
          <cell r="J447">
            <v>1</v>
          </cell>
          <cell r="K447">
            <v>5355</v>
          </cell>
          <cell r="L447" t="str">
            <v>99-1066</v>
          </cell>
        </row>
        <row r="448">
          <cell r="B448" t="str">
            <v>김정중</v>
          </cell>
          <cell r="C448">
            <v>36509</v>
          </cell>
          <cell r="D448" t="str">
            <v>김정중</v>
          </cell>
          <cell r="E448">
            <v>13377169</v>
          </cell>
          <cell r="F448">
            <v>785</v>
          </cell>
          <cell r="G448">
            <v>65100</v>
          </cell>
          <cell r="H448">
            <v>33900</v>
          </cell>
          <cell r="I448">
            <v>1</v>
          </cell>
          <cell r="J448">
            <v>1</v>
          </cell>
          <cell r="K448">
            <v>4241</v>
          </cell>
          <cell r="L448" t="str">
            <v>99-1067</v>
          </cell>
        </row>
        <row r="449">
          <cell r="B449" t="str">
            <v>박만호</v>
          </cell>
          <cell r="D449" t="str">
            <v>박만호</v>
          </cell>
          <cell r="E449">
            <v>12223529</v>
          </cell>
          <cell r="F449">
            <v>738</v>
          </cell>
          <cell r="G449">
            <v>60000</v>
          </cell>
          <cell r="H449">
            <v>33900</v>
          </cell>
          <cell r="I449">
            <v>1</v>
          </cell>
          <cell r="J449">
            <v>1</v>
          </cell>
          <cell r="K449">
            <v>4498</v>
          </cell>
          <cell r="L449" t="str">
            <v>99-1068</v>
          </cell>
        </row>
        <row r="450">
          <cell r="B450" t="str">
            <v>조기성</v>
          </cell>
          <cell r="D450" t="str">
            <v>조기성</v>
          </cell>
          <cell r="E450">
            <v>15451097</v>
          </cell>
          <cell r="F450">
            <v>868</v>
          </cell>
          <cell r="G450">
            <v>74500</v>
          </cell>
          <cell r="H450">
            <v>33900</v>
          </cell>
          <cell r="I450">
            <v>1</v>
          </cell>
          <cell r="J450">
            <v>1</v>
          </cell>
          <cell r="K450">
            <v>1963</v>
          </cell>
          <cell r="L450" t="str">
            <v>99-1069</v>
          </cell>
        </row>
        <row r="451">
          <cell r="B451" t="str">
            <v>김영달</v>
          </cell>
          <cell r="D451" t="str">
            <v>김영달</v>
          </cell>
          <cell r="E451">
            <v>13381113</v>
          </cell>
          <cell r="F451">
            <v>785</v>
          </cell>
          <cell r="G451">
            <v>65200</v>
          </cell>
          <cell r="H451">
            <v>33900</v>
          </cell>
          <cell r="I451">
            <v>1</v>
          </cell>
          <cell r="J451">
            <v>1</v>
          </cell>
          <cell r="K451">
            <v>6475</v>
          </cell>
          <cell r="L451" t="str">
            <v>99-1070</v>
          </cell>
        </row>
        <row r="452">
          <cell r="B452" t="str">
            <v>미림산업개발㈜</v>
          </cell>
          <cell r="D452" t="str">
            <v>미림산업개발㈜</v>
          </cell>
          <cell r="E452">
            <v>6193683</v>
          </cell>
          <cell r="F452">
            <v>459</v>
          </cell>
          <cell r="G452">
            <v>30900</v>
          </cell>
          <cell r="H452">
            <v>45200</v>
          </cell>
          <cell r="I452">
            <v>1</v>
          </cell>
          <cell r="J452">
            <v>1</v>
          </cell>
          <cell r="K452">
            <v>8970</v>
          </cell>
          <cell r="L452" t="str">
            <v>99-1071</v>
          </cell>
        </row>
        <row r="453">
          <cell r="B453" t="str">
            <v>최보균</v>
          </cell>
          <cell r="C453">
            <v>36509</v>
          </cell>
          <cell r="D453" t="str">
            <v>최보균</v>
          </cell>
          <cell r="E453">
            <v>12781641</v>
          </cell>
          <cell r="F453">
            <v>761</v>
          </cell>
          <cell r="G453">
            <v>62500</v>
          </cell>
          <cell r="H453">
            <v>33900</v>
          </cell>
          <cell r="I453">
            <v>1</v>
          </cell>
          <cell r="J453">
            <v>1</v>
          </cell>
          <cell r="K453">
            <v>7270</v>
          </cell>
          <cell r="L453" t="str">
            <v>99-1072</v>
          </cell>
        </row>
        <row r="454">
          <cell r="B454" t="str">
            <v>최상기</v>
          </cell>
          <cell r="D454" t="str">
            <v>최상기</v>
          </cell>
          <cell r="E454">
            <v>4163411</v>
          </cell>
          <cell r="F454">
            <v>349</v>
          </cell>
          <cell r="G454">
            <v>20800</v>
          </cell>
          <cell r="H454">
            <v>33900</v>
          </cell>
          <cell r="I454">
            <v>1</v>
          </cell>
          <cell r="J454">
            <v>1</v>
          </cell>
          <cell r="K454">
            <v>16575</v>
          </cell>
          <cell r="L454" t="str">
            <v>99-1073</v>
          </cell>
        </row>
        <row r="455">
          <cell r="B455" t="str">
            <v>김명오</v>
          </cell>
          <cell r="D455" t="str">
            <v>김명오</v>
          </cell>
          <cell r="E455">
            <v>10792217</v>
          </cell>
          <cell r="F455">
            <v>681</v>
          </cell>
          <cell r="G455">
            <v>53500</v>
          </cell>
          <cell r="H455">
            <v>33900</v>
          </cell>
          <cell r="I455">
            <v>1</v>
          </cell>
          <cell r="J455">
            <v>1</v>
          </cell>
          <cell r="K455">
            <v>21069</v>
          </cell>
          <cell r="L455" t="str">
            <v>99-1074</v>
          </cell>
        </row>
        <row r="456">
          <cell r="B456" t="str">
            <v>김영자</v>
          </cell>
          <cell r="C456">
            <v>36509</v>
          </cell>
          <cell r="D456" t="str">
            <v>김영자</v>
          </cell>
          <cell r="E456">
            <v>11662040</v>
          </cell>
          <cell r="F456">
            <v>716</v>
          </cell>
          <cell r="G456">
            <v>57400</v>
          </cell>
          <cell r="H456">
            <v>33900</v>
          </cell>
          <cell r="I456">
            <v>1</v>
          </cell>
          <cell r="J456">
            <v>1</v>
          </cell>
          <cell r="K456">
            <v>4565</v>
          </cell>
          <cell r="L456" t="str">
            <v>99-1075</v>
          </cell>
        </row>
        <row r="457">
          <cell r="B457" t="str">
            <v>임신양</v>
          </cell>
          <cell r="D457" t="str">
            <v>임신양</v>
          </cell>
          <cell r="E457">
            <v>14667186</v>
          </cell>
          <cell r="F457">
            <v>836</v>
          </cell>
          <cell r="G457">
            <v>71000</v>
          </cell>
          <cell r="H457">
            <v>33900</v>
          </cell>
          <cell r="I457">
            <v>1</v>
          </cell>
          <cell r="J457">
            <v>1</v>
          </cell>
          <cell r="K457">
            <v>5309</v>
          </cell>
          <cell r="L457" t="str">
            <v>99-1076</v>
          </cell>
        </row>
        <row r="458">
          <cell r="B458" t="str">
            <v>이옥규</v>
          </cell>
          <cell r="D458" t="str">
            <v>이옥규</v>
          </cell>
          <cell r="E458">
            <v>13926092</v>
          </cell>
          <cell r="F458">
            <v>807</v>
          </cell>
          <cell r="G458">
            <v>67600</v>
          </cell>
          <cell r="H458">
            <v>33900</v>
          </cell>
          <cell r="I458">
            <v>1</v>
          </cell>
          <cell r="J458">
            <v>1</v>
          </cell>
          <cell r="K458">
            <v>5236</v>
          </cell>
          <cell r="L458" t="str">
            <v>99-1077</v>
          </cell>
        </row>
        <row r="459">
          <cell r="B459" t="str">
            <v>노정기</v>
          </cell>
          <cell r="C459">
            <v>36509</v>
          </cell>
          <cell r="D459" t="str">
            <v>노정기</v>
          </cell>
          <cell r="E459">
            <v>4572005</v>
          </cell>
          <cell r="F459">
            <v>368</v>
          </cell>
          <cell r="G459">
            <v>22800</v>
          </cell>
          <cell r="H459">
            <v>22600</v>
          </cell>
          <cell r="I459">
            <v>1</v>
          </cell>
          <cell r="J459">
            <v>1</v>
          </cell>
          <cell r="K459">
            <v>5305</v>
          </cell>
          <cell r="L459" t="str">
            <v>99-1078</v>
          </cell>
        </row>
        <row r="460">
          <cell r="B460" t="str">
            <v>유옥선</v>
          </cell>
          <cell r="D460" t="str">
            <v>유옥선</v>
          </cell>
          <cell r="E460">
            <v>7096138</v>
          </cell>
          <cell r="F460">
            <v>504</v>
          </cell>
          <cell r="G460">
            <v>35400</v>
          </cell>
          <cell r="H460">
            <v>33900</v>
          </cell>
          <cell r="I460">
            <v>1</v>
          </cell>
          <cell r="J460">
            <v>1</v>
          </cell>
          <cell r="K460">
            <v>7340</v>
          </cell>
          <cell r="L460" t="str">
            <v>99-1079</v>
          </cell>
        </row>
        <row r="461">
          <cell r="B461" t="str">
            <v>최경락</v>
          </cell>
          <cell r="D461" t="str">
            <v>최경락</v>
          </cell>
          <cell r="E461">
            <v>8826351</v>
          </cell>
          <cell r="F461">
            <v>591</v>
          </cell>
          <cell r="G461">
            <v>44100</v>
          </cell>
          <cell r="H461">
            <v>33900</v>
          </cell>
          <cell r="I461">
            <v>1</v>
          </cell>
          <cell r="J461">
            <v>1</v>
          </cell>
          <cell r="K461">
            <v>5289</v>
          </cell>
          <cell r="L461" t="str">
            <v>99-1080</v>
          </cell>
        </row>
        <row r="462">
          <cell r="B462" t="str">
            <v>이춘수</v>
          </cell>
          <cell r="D462" t="str">
            <v>이춘수</v>
          </cell>
          <cell r="E462">
            <v>3641932</v>
          </cell>
          <cell r="F462">
            <v>314</v>
          </cell>
          <cell r="G462">
            <v>18200</v>
          </cell>
          <cell r="H462">
            <v>22600</v>
          </cell>
          <cell r="I462">
            <v>1</v>
          </cell>
          <cell r="J462">
            <v>1</v>
          </cell>
          <cell r="K462">
            <v>4862</v>
          </cell>
          <cell r="L462" t="str">
            <v>99-1081</v>
          </cell>
        </row>
        <row r="463">
          <cell r="B463" t="str">
            <v>송충근</v>
          </cell>
          <cell r="C463">
            <v>36509</v>
          </cell>
          <cell r="D463" t="str">
            <v>송충근</v>
          </cell>
          <cell r="E463">
            <v>8676006</v>
          </cell>
          <cell r="F463">
            <v>589</v>
          </cell>
          <cell r="G463">
            <v>43300</v>
          </cell>
          <cell r="H463">
            <v>22600</v>
          </cell>
          <cell r="I463">
            <v>1</v>
          </cell>
          <cell r="J463">
            <v>1</v>
          </cell>
          <cell r="K463">
            <v>8303</v>
          </cell>
          <cell r="L463" t="str">
            <v>99-1082</v>
          </cell>
        </row>
        <row r="464">
          <cell r="B464" t="str">
            <v>오인자</v>
          </cell>
          <cell r="C464">
            <v>36510</v>
          </cell>
          <cell r="D464" t="str">
            <v>오인자</v>
          </cell>
          <cell r="E464">
            <v>1514692</v>
          </cell>
          <cell r="F464">
            <v>146</v>
          </cell>
          <cell r="G464">
            <v>7500</v>
          </cell>
          <cell r="H464">
            <v>22600</v>
          </cell>
          <cell r="I464">
            <v>1</v>
          </cell>
          <cell r="J464">
            <v>1</v>
          </cell>
          <cell r="K464">
            <v>10233</v>
          </cell>
          <cell r="L464" t="str">
            <v>99-1083</v>
          </cell>
        </row>
        <row r="465">
          <cell r="B465" t="str">
            <v>정지옥</v>
          </cell>
          <cell r="C465">
            <v>36509</v>
          </cell>
          <cell r="D465" t="str">
            <v>정지옥</v>
          </cell>
          <cell r="E465">
            <v>5640304</v>
          </cell>
          <cell r="F465">
            <v>432</v>
          </cell>
          <cell r="G465">
            <v>28200</v>
          </cell>
          <cell r="H465">
            <v>22600</v>
          </cell>
          <cell r="I465">
            <v>1</v>
          </cell>
          <cell r="J465">
            <v>1</v>
          </cell>
          <cell r="K465">
            <v>5062</v>
          </cell>
          <cell r="L465" t="str">
            <v>99-1084</v>
          </cell>
        </row>
        <row r="466">
          <cell r="B466" t="str">
            <v>임종수</v>
          </cell>
          <cell r="C466">
            <v>36509</v>
          </cell>
          <cell r="D466" t="str">
            <v>임종수</v>
          </cell>
          <cell r="E466">
            <v>18035633</v>
          </cell>
          <cell r="F466">
            <v>971</v>
          </cell>
          <cell r="G466">
            <v>86100</v>
          </cell>
          <cell r="H466">
            <v>33900</v>
          </cell>
          <cell r="I466">
            <v>1</v>
          </cell>
          <cell r="J466">
            <v>1</v>
          </cell>
          <cell r="K466">
            <v>5078</v>
          </cell>
          <cell r="L466" t="str">
            <v>99-1085</v>
          </cell>
        </row>
        <row r="467">
          <cell r="B467" t="str">
            <v>이상옥</v>
          </cell>
          <cell r="D467" t="str">
            <v>이상옥</v>
          </cell>
          <cell r="E467">
            <v>14770203</v>
          </cell>
          <cell r="F467">
            <v>840</v>
          </cell>
          <cell r="G467">
            <v>71400</v>
          </cell>
          <cell r="H467">
            <v>33900</v>
          </cell>
          <cell r="I467">
            <v>1</v>
          </cell>
          <cell r="J467">
            <v>1</v>
          </cell>
          <cell r="K467">
            <v>1921</v>
          </cell>
          <cell r="L467" t="str">
            <v>99-1086</v>
          </cell>
        </row>
        <row r="468">
          <cell r="B468" t="str">
            <v>김인성</v>
          </cell>
          <cell r="D468" t="str">
            <v>김인성</v>
          </cell>
          <cell r="E468">
            <v>19431470</v>
          </cell>
          <cell r="F468">
            <v>1027</v>
          </cell>
          <cell r="G468">
            <v>92400</v>
          </cell>
          <cell r="H468">
            <v>33900</v>
          </cell>
          <cell r="I468">
            <v>1</v>
          </cell>
          <cell r="J468">
            <v>1</v>
          </cell>
          <cell r="K468">
            <v>1911</v>
          </cell>
          <cell r="L468" t="str">
            <v>99-1087</v>
          </cell>
        </row>
        <row r="469">
          <cell r="B469" t="str">
            <v>이일선</v>
          </cell>
          <cell r="C469">
            <v>36509</v>
          </cell>
          <cell r="D469" t="str">
            <v>이일선</v>
          </cell>
          <cell r="E469">
            <v>6608830</v>
          </cell>
          <cell r="F469">
            <v>480</v>
          </cell>
          <cell r="G469">
            <v>33000</v>
          </cell>
          <cell r="H469">
            <v>33900</v>
          </cell>
          <cell r="I469">
            <v>1</v>
          </cell>
          <cell r="J469">
            <v>1</v>
          </cell>
          <cell r="K469">
            <v>10222</v>
          </cell>
          <cell r="L469" t="str">
            <v>99-1088</v>
          </cell>
        </row>
        <row r="470">
          <cell r="B470" t="str">
            <v>최유미</v>
          </cell>
          <cell r="D470" t="str">
            <v>최유미</v>
          </cell>
          <cell r="E470">
            <v>4945913</v>
          </cell>
          <cell r="F470">
            <v>272</v>
          </cell>
          <cell r="G470">
            <v>24700</v>
          </cell>
          <cell r="H470">
            <v>33900</v>
          </cell>
          <cell r="I470">
            <v>1</v>
          </cell>
          <cell r="J470">
            <v>1</v>
          </cell>
          <cell r="K470">
            <v>13480</v>
          </cell>
          <cell r="L470" t="str">
            <v>99-1089</v>
          </cell>
        </row>
        <row r="471">
          <cell r="B471" t="str">
            <v>김형기</v>
          </cell>
          <cell r="D471" t="str">
            <v>김형기</v>
          </cell>
          <cell r="E471">
            <v>13733992</v>
          </cell>
          <cell r="F471">
            <v>799</v>
          </cell>
          <cell r="G471">
            <v>66800</v>
          </cell>
          <cell r="H471">
            <v>33900</v>
          </cell>
          <cell r="I471">
            <v>1</v>
          </cell>
          <cell r="J471">
            <v>1</v>
          </cell>
          <cell r="K471">
            <v>1923</v>
          </cell>
          <cell r="L471" t="str">
            <v>99-1090</v>
          </cell>
        </row>
        <row r="472">
          <cell r="B472" t="str">
            <v>한상도</v>
          </cell>
          <cell r="D472" t="str">
            <v>한상도</v>
          </cell>
          <cell r="E472">
            <v>12835680</v>
          </cell>
          <cell r="F472">
            <v>763</v>
          </cell>
          <cell r="G472">
            <v>62700</v>
          </cell>
          <cell r="H472">
            <v>45200</v>
          </cell>
          <cell r="I472">
            <v>1</v>
          </cell>
          <cell r="J472">
            <v>1</v>
          </cell>
          <cell r="K472">
            <v>4595</v>
          </cell>
          <cell r="L472" t="str">
            <v>99-1091</v>
          </cell>
        </row>
        <row r="473">
          <cell r="B473" t="str">
            <v>윤충한</v>
          </cell>
          <cell r="D473" t="str">
            <v>윤충한</v>
          </cell>
          <cell r="E473">
            <v>12272685</v>
          </cell>
          <cell r="F473">
            <v>740</v>
          </cell>
          <cell r="G473">
            <v>60200</v>
          </cell>
          <cell r="H473">
            <v>33900</v>
          </cell>
          <cell r="I473">
            <v>1</v>
          </cell>
          <cell r="J473">
            <v>1</v>
          </cell>
          <cell r="K473">
            <v>4690</v>
          </cell>
          <cell r="L473" t="str">
            <v>99-1092</v>
          </cell>
        </row>
        <row r="474">
          <cell r="B474" t="str">
            <v>제무철</v>
          </cell>
          <cell r="D474" t="str">
            <v>제무철</v>
          </cell>
          <cell r="E474">
            <v>17625819</v>
          </cell>
          <cell r="F474">
            <v>955</v>
          </cell>
          <cell r="G474">
            <v>84300</v>
          </cell>
          <cell r="H474">
            <v>33900</v>
          </cell>
          <cell r="I474">
            <v>1</v>
          </cell>
          <cell r="J474">
            <v>1</v>
          </cell>
          <cell r="K474">
            <v>2048</v>
          </cell>
          <cell r="L474" t="str">
            <v>99-1093</v>
          </cell>
        </row>
        <row r="475">
          <cell r="B475" t="str">
            <v>김남범</v>
          </cell>
          <cell r="C475">
            <v>36509</v>
          </cell>
          <cell r="D475" t="str">
            <v>김남범</v>
          </cell>
          <cell r="E475">
            <v>8090272</v>
          </cell>
          <cell r="F475">
            <v>554</v>
          </cell>
          <cell r="G475">
            <v>41400</v>
          </cell>
          <cell r="H475">
            <v>33900</v>
          </cell>
          <cell r="I475">
            <v>1</v>
          </cell>
          <cell r="J475">
            <v>1</v>
          </cell>
          <cell r="K475">
            <v>5090</v>
          </cell>
          <cell r="L475" t="str">
            <v>99-1094</v>
          </cell>
        </row>
        <row r="476">
          <cell r="B476" t="str">
            <v>이연호</v>
          </cell>
          <cell r="D476" t="str">
            <v>이연호</v>
          </cell>
          <cell r="E476">
            <v>13575409</v>
          </cell>
          <cell r="F476">
            <v>793</v>
          </cell>
          <cell r="G476">
            <v>66000</v>
          </cell>
          <cell r="H476">
            <v>33900</v>
          </cell>
          <cell r="I476">
            <v>1</v>
          </cell>
          <cell r="J476">
            <v>1</v>
          </cell>
          <cell r="K476">
            <v>5776</v>
          </cell>
          <cell r="L476" t="str">
            <v>99-1095</v>
          </cell>
        </row>
        <row r="477">
          <cell r="B477" t="str">
            <v>우문자</v>
          </cell>
          <cell r="D477" t="str">
            <v>우문자</v>
          </cell>
          <cell r="E477">
            <v>25859651</v>
          </cell>
          <cell r="F477">
            <v>1284</v>
          </cell>
          <cell r="G477">
            <v>121300</v>
          </cell>
          <cell r="H477">
            <v>90400</v>
          </cell>
          <cell r="I477">
            <v>1</v>
          </cell>
          <cell r="J477">
            <v>1</v>
          </cell>
          <cell r="K477">
            <v>7721</v>
          </cell>
          <cell r="L477" t="str">
            <v>99-1096</v>
          </cell>
        </row>
        <row r="478">
          <cell r="B478" t="str">
            <v>윤정숙</v>
          </cell>
          <cell r="D478" t="str">
            <v>윤정숙</v>
          </cell>
          <cell r="E478">
            <v>24951066</v>
          </cell>
          <cell r="F478">
            <v>1248</v>
          </cell>
          <cell r="G478">
            <v>117200</v>
          </cell>
          <cell r="H478">
            <v>54240</v>
          </cell>
          <cell r="I478">
            <v>1</v>
          </cell>
          <cell r="J478">
            <v>1</v>
          </cell>
          <cell r="K478">
            <v>4385</v>
          </cell>
          <cell r="L478" t="str">
            <v>99-1097</v>
          </cell>
        </row>
        <row r="479">
          <cell r="B479" t="str">
            <v>한상희</v>
          </cell>
          <cell r="D479" t="str">
            <v>한상희</v>
          </cell>
          <cell r="E479">
            <v>28916675</v>
          </cell>
          <cell r="F479">
            <v>1406</v>
          </cell>
          <cell r="G479">
            <v>135100</v>
          </cell>
          <cell r="H479">
            <v>72320</v>
          </cell>
          <cell r="I479">
            <v>1</v>
          </cell>
          <cell r="J479">
            <v>1</v>
          </cell>
          <cell r="K479">
            <v>6266</v>
          </cell>
          <cell r="L479" t="str">
            <v>99-1098</v>
          </cell>
        </row>
        <row r="480">
          <cell r="B480" t="str">
            <v>원동식</v>
          </cell>
          <cell r="D480" t="str">
            <v>원동식</v>
          </cell>
          <cell r="E480">
            <v>37033806</v>
          </cell>
          <cell r="F480">
            <v>161</v>
          </cell>
          <cell r="G480">
            <v>171500</v>
          </cell>
          <cell r="H480">
            <v>54240</v>
          </cell>
          <cell r="I480">
            <v>1</v>
          </cell>
          <cell r="J480">
            <v>1</v>
          </cell>
          <cell r="K480">
            <v>5181</v>
          </cell>
          <cell r="L480" t="str">
            <v>99-1099</v>
          </cell>
        </row>
        <row r="481">
          <cell r="B481" t="str">
            <v>이해붕</v>
          </cell>
          <cell r="D481" t="str">
            <v>이해붕</v>
          </cell>
          <cell r="E481">
            <v>37368163</v>
          </cell>
          <cell r="F481">
            <v>1671</v>
          </cell>
          <cell r="G481">
            <v>173100</v>
          </cell>
          <cell r="H481">
            <v>36160</v>
          </cell>
          <cell r="I481">
            <v>1</v>
          </cell>
          <cell r="J481">
            <v>1</v>
          </cell>
          <cell r="K481">
            <v>2216</v>
          </cell>
          <cell r="L481" t="str">
            <v>99-1100</v>
          </cell>
        </row>
        <row r="482">
          <cell r="B482" t="str">
            <v>최영열</v>
          </cell>
          <cell r="D482" t="str">
            <v>최영열</v>
          </cell>
          <cell r="E482">
            <v>21352136</v>
          </cell>
          <cell r="F482">
            <v>1104</v>
          </cell>
          <cell r="G482">
            <v>101000</v>
          </cell>
          <cell r="H482">
            <v>126560</v>
          </cell>
          <cell r="I482">
            <v>1</v>
          </cell>
          <cell r="J482">
            <v>1</v>
          </cell>
          <cell r="K482">
            <v>1165</v>
          </cell>
          <cell r="L482" t="str">
            <v>99-1101</v>
          </cell>
        </row>
        <row r="483">
          <cell r="B483" t="str">
            <v>좌승남</v>
          </cell>
          <cell r="D483" t="str">
            <v>좌승남</v>
          </cell>
          <cell r="E483">
            <v>11082501</v>
          </cell>
          <cell r="F483">
            <v>693</v>
          </cell>
          <cell r="G483">
            <v>54800</v>
          </cell>
          <cell r="H483">
            <v>33900</v>
          </cell>
          <cell r="I483">
            <v>1</v>
          </cell>
          <cell r="J483">
            <v>1</v>
          </cell>
          <cell r="K483">
            <v>4728</v>
          </cell>
          <cell r="L483" t="str">
            <v>99-1102</v>
          </cell>
        </row>
        <row r="484">
          <cell r="B484" t="str">
            <v>한보기업㈜</v>
          </cell>
          <cell r="D484" t="str">
            <v>한보기업㈜</v>
          </cell>
          <cell r="E484">
            <v>348958843</v>
          </cell>
          <cell r="F484">
            <v>3794</v>
          </cell>
          <cell r="G484">
            <v>1450800</v>
          </cell>
          <cell r="H484">
            <v>90400</v>
          </cell>
          <cell r="I484">
            <v>1</v>
          </cell>
          <cell r="J484">
            <v>1</v>
          </cell>
          <cell r="K484">
            <v>2029</v>
          </cell>
          <cell r="L484" t="str">
            <v>99-1103</v>
          </cell>
        </row>
        <row r="485">
          <cell r="B485" t="str">
            <v>조원익(임종윤)</v>
          </cell>
          <cell r="C485">
            <v>36517</v>
          </cell>
          <cell r="D485" t="str">
            <v>조원익(임종윤)</v>
          </cell>
          <cell r="E485">
            <v>7456823</v>
          </cell>
          <cell r="F485">
            <v>522</v>
          </cell>
          <cell r="G485">
            <v>37200</v>
          </cell>
          <cell r="H485">
            <v>67800</v>
          </cell>
          <cell r="I485">
            <v>1</v>
          </cell>
          <cell r="J485">
            <v>1</v>
          </cell>
          <cell r="K485">
            <v>4208</v>
          </cell>
          <cell r="L485" t="str">
            <v>99-1104</v>
          </cell>
        </row>
        <row r="486">
          <cell r="B486" t="str">
            <v>윤상우</v>
          </cell>
          <cell r="D486" t="str">
            <v>윤상우</v>
          </cell>
          <cell r="E486">
            <v>5793589</v>
          </cell>
          <cell r="F486">
            <v>439</v>
          </cell>
          <cell r="G486">
            <v>28900</v>
          </cell>
          <cell r="H486">
            <v>33900</v>
          </cell>
          <cell r="I486">
            <v>1</v>
          </cell>
          <cell r="J486">
            <v>1</v>
          </cell>
          <cell r="K486">
            <v>6248</v>
          </cell>
          <cell r="L486" t="str">
            <v>99-1105</v>
          </cell>
        </row>
        <row r="487">
          <cell r="B487" t="str">
            <v>호성전자㈜(천전전자)</v>
          </cell>
          <cell r="D487" t="str">
            <v>호성전자㈜(천전전자)</v>
          </cell>
          <cell r="E487">
            <v>22668564</v>
          </cell>
          <cell r="F487">
            <v>1156</v>
          </cell>
          <cell r="G487">
            <v>107000</v>
          </cell>
          <cell r="H487">
            <v>72320</v>
          </cell>
          <cell r="I487">
            <v>1</v>
          </cell>
          <cell r="J487">
            <v>1</v>
          </cell>
          <cell r="K487">
            <v>6700</v>
          </cell>
          <cell r="L487" t="str">
            <v>99-1106</v>
          </cell>
        </row>
        <row r="488">
          <cell r="B488" t="str">
            <v>김화영</v>
          </cell>
          <cell r="C488">
            <v>36517</v>
          </cell>
          <cell r="D488" t="str">
            <v>김화영</v>
          </cell>
          <cell r="E488">
            <v>10996613</v>
          </cell>
          <cell r="F488">
            <v>689</v>
          </cell>
          <cell r="G488">
            <v>54400</v>
          </cell>
          <cell r="H488">
            <v>33900</v>
          </cell>
          <cell r="I488">
            <v>1</v>
          </cell>
          <cell r="J488">
            <v>1</v>
          </cell>
          <cell r="K488">
            <v>6571</v>
          </cell>
          <cell r="L488" t="str">
            <v>99-1107</v>
          </cell>
        </row>
        <row r="489">
          <cell r="B489" t="str">
            <v>윤인숙</v>
          </cell>
          <cell r="C489">
            <v>36517</v>
          </cell>
          <cell r="D489" t="str">
            <v>윤인숙</v>
          </cell>
          <cell r="E489">
            <v>14398400</v>
          </cell>
          <cell r="F489">
            <v>825</v>
          </cell>
          <cell r="G489">
            <v>69700</v>
          </cell>
          <cell r="H489">
            <v>33900</v>
          </cell>
          <cell r="I489">
            <v>1</v>
          </cell>
          <cell r="J489">
            <v>1</v>
          </cell>
          <cell r="K489">
            <v>4708</v>
          </cell>
          <cell r="L489" t="str">
            <v>99-1108</v>
          </cell>
        </row>
        <row r="490">
          <cell r="B490" t="str">
            <v>원경희</v>
          </cell>
          <cell r="D490" t="str">
            <v>원경희</v>
          </cell>
          <cell r="E490">
            <v>5356395</v>
          </cell>
          <cell r="F490">
            <v>417</v>
          </cell>
          <cell r="G490">
            <v>26700</v>
          </cell>
          <cell r="H490">
            <v>90400</v>
          </cell>
          <cell r="I490">
            <v>1</v>
          </cell>
          <cell r="J490">
            <v>1</v>
          </cell>
          <cell r="K490">
            <v>9082</v>
          </cell>
          <cell r="L490" t="str">
            <v>99-1109</v>
          </cell>
        </row>
        <row r="491">
          <cell r="B491" t="str">
            <v>김대곤</v>
          </cell>
          <cell r="D491" t="str">
            <v>김대곤</v>
          </cell>
          <cell r="E491">
            <v>9916529</v>
          </cell>
          <cell r="F491">
            <v>645</v>
          </cell>
          <cell r="G491">
            <v>49500</v>
          </cell>
          <cell r="H491">
            <v>45200</v>
          </cell>
          <cell r="I491">
            <v>1</v>
          </cell>
          <cell r="J491">
            <v>1</v>
          </cell>
          <cell r="K491">
            <v>12041</v>
          </cell>
          <cell r="L491" t="str">
            <v>99-1110</v>
          </cell>
        </row>
        <row r="492">
          <cell r="B492" t="str">
            <v>김억수</v>
          </cell>
          <cell r="D492" t="str">
            <v>김억수</v>
          </cell>
          <cell r="E492">
            <v>11965779</v>
          </cell>
          <cell r="F492">
            <v>728</v>
          </cell>
          <cell r="G492">
            <v>58800</v>
          </cell>
          <cell r="H492">
            <v>33900</v>
          </cell>
          <cell r="I492">
            <v>1</v>
          </cell>
          <cell r="J492">
            <v>1</v>
          </cell>
          <cell r="K492">
            <v>6840</v>
          </cell>
          <cell r="L492" t="str">
            <v>99-1111</v>
          </cell>
        </row>
        <row r="493">
          <cell r="B493" t="str">
            <v>강복현</v>
          </cell>
          <cell r="C493">
            <v>36504</v>
          </cell>
          <cell r="D493" t="str">
            <v>강복현</v>
          </cell>
          <cell r="E493">
            <v>13792240</v>
          </cell>
          <cell r="F493">
            <v>802</v>
          </cell>
          <cell r="G493">
            <v>67000</v>
          </cell>
          <cell r="H493">
            <v>45200</v>
          </cell>
          <cell r="I493">
            <v>1</v>
          </cell>
          <cell r="J493">
            <v>1</v>
          </cell>
          <cell r="K493">
            <v>4568</v>
          </cell>
          <cell r="L493" t="str">
            <v>99-1112</v>
          </cell>
        </row>
        <row r="494">
          <cell r="B494" t="str">
            <v>최호숙</v>
          </cell>
          <cell r="C494">
            <v>36504</v>
          </cell>
          <cell r="D494" t="str">
            <v>최호숙</v>
          </cell>
          <cell r="E494">
            <v>13873682</v>
          </cell>
          <cell r="F494">
            <v>805</v>
          </cell>
          <cell r="G494">
            <v>67400</v>
          </cell>
          <cell r="H494">
            <v>33900</v>
          </cell>
          <cell r="I494">
            <v>1</v>
          </cell>
          <cell r="J494">
            <v>1</v>
          </cell>
          <cell r="K494">
            <v>4499</v>
          </cell>
          <cell r="L494" t="str">
            <v>99-1113</v>
          </cell>
        </row>
        <row r="495">
          <cell r="B495" t="str">
            <v>이주원</v>
          </cell>
          <cell r="C495">
            <v>36504</v>
          </cell>
          <cell r="D495" t="str">
            <v>이주원</v>
          </cell>
          <cell r="E495">
            <v>14656998</v>
          </cell>
          <cell r="F495">
            <v>836</v>
          </cell>
          <cell r="G495">
            <v>70900</v>
          </cell>
          <cell r="H495">
            <v>33900</v>
          </cell>
          <cell r="I495">
            <v>1</v>
          </cell>
          <cell r="J495">
            <v>1</v>
          </cell>
          <cell r="K495">
            <v>4436</v>
          </cell>
          <cell r="L495" t="str">
            <v>99-1114</v>
          </cell>
        </row>
        <row r="496">
          <cell r="B496" t="str">
            <v>박화란</v>
          </cell>
          <cell r="D496" t="str">
            <v>박화란</v>
          </cell>
          <cell r="E496">
            <v>34925129</v>
          </cell>
          <cell r="F496">
            <v>1598</v>
          </cell>
          <cell r="G496">
            <v>162100</v>
          </cell>
          <cell r="H496">
            <v>22600</v>
          </cell>
          <cell r="I496">
            <v>1</v>
          </cell>
          <cell r="J496">
            <v>1</v>
          </cell>
          <cell r="K496">
            <v>4431</v>
          </cell>
          <cell r="L496" t="str">
            <v>99-1115</v>
          </cell>
        </row>
        <row r="497">
          <cell r="B497" t="str">
            <v>변병순</v>
          </cell>
          <cell r="C497">
            <v>36504</v>
          </cell>
          <cell r="D497" t="str">
            <v>변병순</v>
          </cell>
          <cell r="E497">
            <v>11666459</v>
          </cell>
          <cell r="F497">
            <v>717</v>
          </cell>
          <cell r="G497">
            <v>57400</v>
          </cell>
          <cell r="H497">
            <v>22600</v>
          </cell>
          <cell r="I497">
            <v>1</v>
          </cell>
          <cell r="J497">
            <v>1</v>
          </cell>
          <cell r="K497">
            <v>4836</v>
          </cell>
          <cell r="L497" t="str">
            <v>99-1116</v>
          </cell>
        </row>
        <row r="498">
          <cell r="B498" t="str">
            <v>김영순</v>
          </cell>
          <cell r="D498" t="str">
            <v>김영순</v>
          </cell>
          <cell r="E498">
            <v>18038001</v>
          </cell>
          <cell r="F498">
            <v>972</v>
          </cell>
          <cell r="G498">
            <v>86100</v>
          </cell>
          <cell r="H498">
            <v>22600</v>
          </cell>
          <cell r="I498">
            <v>1</v>
          </cell>
          <cell r="J498">
            <v>1</v>
          </cell>
          <cell r="K498">
            <v>4095</v>
          </cell>
          <cell r="L498" t="str">
            <v>99-1117</v>
          </cell>
        </row>
        <row r="499">
          <cell r="B499" t="str">
            <v>김경애</v>
          </cell>
          <cell r="C499">
            <v>36504</v>
          </cell>
          <cell r="D499" t="str">
            <v>김경애</v>
          </cell>
          <cell r="E499">
            <v>10780584</v>
          </cell>
          <cell r="F499">
            <v>681</v>
          </cell>
          <cell r="G499">
            <v>53500</v>
          </cell>
          <cell r="H499">
            <v>33900</v>
          </cell>
          <cell r="I499">
            <v>1</v>
          </cell>
          <cell r="J499">
            <v>1</v>
          </cell>
          <cell r="K499">
            <v>4059</v>
          </cell>
          <cell r="L499" t="str">
            <v>99-1118</v>
          </cell>
        </row>
        <row r="500">
          <cell r="B500" t="str">
            <v>이성중</v>
          </cell>
          <cell r="C500">
            <v>36504</v>
          </cell>
          <cell r="D500" t="str">
            <v>이성중</v>
          </cell>
          <cell r="E500">
            <v>13987285</v>
          </cell>
          <cell r="F500">
            <v>809</v>
          </cell>
          <cell r="G500">
            <v>67900</v>
          </cell>
          <cell r="H500">
            <v>33900</v>
          </cell>
          <cell r="I500">
            <v>1</v>
          </cell>
          <cell r="J500">
            <v>1</v>
          </cell>
          <cell r="K500">
            <v>4400</v>
          </cell>
          <cell r="L500" t="str">
            <v>99-1119</v>
          </cell>
        </row>
        <row r="501">
          <cell r="B501" t="str">
            <v>서영희</v>
          </cell>
          <cell r="D501" t="str">
            <v>서영희</v>
          </cell>
          <cell r="E501">
            <v>9543848</v>
          </cell>
          <cell r="F501">
            <v>627</v>
          </cell>
          <cell r="G501">
            <v>47700</v>
          </cell>
          <cell r="H501">
            <v>45200</v>
          </cell>
          <cell r="I501">
            <v>1</v>
          </cell>
          <cell r="J501">
            <v>1</v>
          </cell>
          <cell r="K501">
            <v>12066</v>
          </cell>
          <cell r="L501" t="str">
            <v>99-1120</v>
          </cell>
        </row>
        <row r="502">
          <cell r="B502" t="str">
            <v>진현옥</v>
          </cell>
          <cell r="C502">
            <v>36504</v>
          </cell>
          <cell r="D502" t="str">
            <v>진현옥</v>
          </cell>
          <cell r="E502">
            <v>8116050</v>
          </cell>
          <cell r="F502">
            <v>556</v>
          </cell>
          <cell r="G502">
            <v>40500</v>
          </cell>
          <cell r="H502">
            <v>45200</v>
          </cell>
          <cell r="I502">
            <v>1</v>
          </cell>
          <cell r="J502">
            <v>1</v>
          </cell>
          <cell r="K502">
            <v>16079</v>
          </cell>
          <cell r="L502" t="str">
            <v>99-1121</v>
          </cell>
        </row>
        <row r="503">
          <cell r="B503" t="str">
            <v>민기순</v>
          </cell>
          <cell r="D503" t="str">
            <v>김명찬</v>
          </cell>
          <cell r="E503">
            <v>2715393</v>
          </cell>
          <cell r="F503">
            <v>230</v>
          </cell>
          <cell r="G503">
            <v>0</v>
          </cell>
          <cell r="H503">
            <v>0</v>
          </cell>
          <cell r="I503">
            <v>1</v>
          </cell>
          <cell r="J503">
            <v>3</v>
          </cell>
          <cell r="K503" t="str">
            <v>특채</v>
          </cell>
          <cell r="L503" t="str">
            <v>99-1122</v>
          </cell>
        </row>
        <row r="504">
          <cell r="B504" t="str">
            <v>평국산업㈜</v>
          </cell>
          <cell r="D504" t="str">
            <v>세암실업</v>
          </cell>
          <cell r="E504">
            <v>33000000</v>
          </cell>
          <cell r="F504">
            <v>1540</v>
          </cell>
          <cell r="G504">
            <v>153500</v>
          </cell>
          <cell r="H504">
            <v>72320</v>
          </cell>
          <cell r="I504">
            <v>1</v>
          </cell>
          <cell r="J504">
            <v>2</v>
          </cell>
          <cell r="K504" t="str">
            <v>민주홍</v>
          </cell>
          <cell r="L504" t="str">
            <v>99-1123</v>
          </cell>
        </row>
        <row r="505">
          <cell r="B505" t="str">
            <v>이규수</v>
          </cell>
          <cell r="C505">
            <v>36509</v>
          </cell>
          <cell r="D505" t="str">
            <v>이규수</v>
          </cell>
          <cell r="E505">
            <v>12385943</v>
          </cell>
          <cell r="F505">
            <v>745</v>
          </cell>
          <cell r="G505">
            <v>60700</v>
          </cell>
          <cell r="H505">
            <v>33900</v>
          </cell>
          <cell r="I505">
            <v>1</v>
          </cell>
          <cell r="J505">
            <v>1</v>
          </cell>
          <cell r="K505">
            <v>5501</v>
          </cell>
          <cell r="L505" t="str">
            <v>99-1124</v>
          </cell>
        </row>
        <row r="506">
          <cell r="B506" t="str">
            <v>남영자</v>
          </cell>
          <cell r="D506" t="str">
            <v>남영자</v>
          </cell>
          <cell r="E506">
            <v>11566334</v>
          </cell>
          <cell r="F506">
            <v>713</v>
          </cell>
          <cell r="G506">
            <v>57000</v>
          </cell>
          <cell r="H506">
            <v>33900</v>
          </cell>
          <cell r="I506">
            <v>1</v>
          </cell>
          <cell r="J506">
            <v>1</v>
          </cell>
          <cell r="K506">
            <v>6466</v>
          </cell>
          <cell r="L506" t="str">
            <v>99-1125</v>
          </cell>
        </row>
        <row r="507">
          <cell r="B507" t="str">
            <v>이영일</v>
          </cell>
          <cell r="C507">
            <v>36509</v>
          </cell>
          <cell r="D507" t="str">
            <v>이영일</v>
          </cell>
          <cell r="E507">
            <v>6532118</v>
          </cell>
          <cell r="F507">
            <v>477</v>
          </cell>
          <cell r="G507">
            <v>32600</v>
          </cell>
          <cell r="H507">
            <v>33900</v>
          </cell>
          <cell r="I507">
            <v>1</v>
          </cell>
          <cell r="J507">
            <v>1</v>
          </cell>
          <cell r="K507">
            <v>6886</v>
          </cell>
          <cell r="L507" t="str">
            <v>99-1126</v>
          </cell>
        </row>
        <row r="508">
          <cell r="B508" t="str">
            <v>장성오</v>
          </cell>
          <cell r="D508" t="str">
            <v>장성오</v>
          </cell>
          <cell r="E508">
            <v>7820722</v>
          </cell>
          <cell r="F508">
            <v>541</v>
          </cell>
          <cell r="G508">
            <v>39100</v>
          </cell>
          <cell r="H508">
            <v>33900</v>
          </cell>
          <cell r="I508">
            <v>1</v>
          </cell>
          <cell r="J508">
            <v>1</v>
          </cell>
          <cell r="K508">
            <v>5533</v>
          </cell>
          <cell r="L508" t="str">
            <v>99-1127</v>
          </cell>
        </row>
        <row r="509">
          <cell r="B509" t="str">
            <v>손성택</v>
          </cell>
          <cell r="D509" t="str">
            <v>손성택</v>
          </cell>
          <cell r="E509">
            <v>8234583</v>
          </cell>
          <cell r="F509">
            <v>562</v>
          </cell>
          <cell r="G509">
            <v>41100</v>
          </cell>
          <cell r="H509">
            <v>33900</v>
          </cell>
          <cell r="I509">
            <v>1</v>
          </cell>
          <cell r="J509">
            <v>1</v>
          </cell>
          <cell r="K509">
            <v>6530</v>
          </cell>
          <cell r="L509" t="str">
            <v>99-1128</v>
          </cell>
        </row>
        <row r="510">
          <cell r="B510" t="str">
            <v>한화자</v>
          </cell>
          <cell r="C510">
            <v>36509</v>
          </cell>
          <cell r="D510" t="str">
            <v>한화자</v>
          </cell>
          <cell r="E510">
            <v>8917576</v>
          </cell>
          <cell r="F510">
            <v>596</v>
          </cell>
          <cell r="G510">
            <v>44500</v>
          </cell>
          <cell r="H510">
            <v>33900</v>
          </cell>
          <cell r="I510">
            <v>1</v>
          </cell>
          <cell r="J510">
            <v>1</v>
          </cell>
          <cell r="K510">
            <v>7829</v>
          </cell>
          <cell r="L510" t="str">
            <v>99-1129</v>
          </cell>
        </row>
        <row r="511">
          <cell r="B511" t="str">
            <v>김진철</v>
          </cell>
          <cell r="C511">
            <v>36509</v>
          </cell>
          <cell r="D511" t="str">
            <v>김진철</v>
          </cell>
          <cell r="E511">
            <v>12608714</v>
          </cell>
          <cell r="F511">
            <v>754</v>
          </cell>
          <cell r="G511">
            <v>61700</v>
          </cell>
          <cell r="H511">
            <v>33900</v>
          </cell>
          <cell r="I511">
            <v>1</v>
          </cell>
          <cell r="J511">
            <v>1</v>
          </cell>
          <cell r="K511">
            <v>6231</v>
          </cell>
          <cell r="L511" t="str">
            <v>99-1130</v>
          </cell>
        </row>
        <row r="512">
          <cell r="B512" t="str">
            <v>손영웅</v>
          </cell>
          <cell r="D512" t="str">
            <v>손영웅</v>
          </cell>
          <cell r="E512">
            <v>3857823</v>
          </cell>
          <cell r="F512">
            <v>330</v>
          </cell>
          <cell r="G512">
            <v>19200</v>
          </cell>
          <cell r="H512">
            <v>22600</v>
          </cell>
          <cell r="I512">
            <v>1</v>
          </cell>
          <cell r="J512">
            <v>1</v>
          </cell>
          <cell r="K512">
            <v>5145</v>
          </cell>
          <cell r="L512" t="str">
            <v>99-1131</v>
          </cell>
        </row>
        <row r="513">
          <cell r="B513" t="str">
            <v>오경식</v>
          </cell>
          <cell r="D513" t="str">
            <v>오경식</v>
          </cell>
          <cell r="E513">
            <v>27829755</v>
          </cell>
          <cell r="F513">
            <v>1363</v>
          </cell>
          <cell r="G513">
            <v>130200</v>
          </cell>
          <cell r="H513">
            <v>72320</v>
          </cell>
          <cell r="I513">
            <v>1</v>
          </cell>
          <cell r="J513">
            <v>1</v>
          </cell>
          <cell r="K513">
            <v>27422</v>
          </cell>
          <cell r="L513" t="str">
            <v>99-1132</v>
          </cell>
        </row>
        <row r="514">
          <cell r="B514" t="str">
            <v>최상규</v>
          </cell>
          <cell r="D514" t="str">
            <v>최상규</v>
          </cell>
          <cell r="E514">
            <v>90411230</v>
          </cell>
          <cell r="F514">
            <v>2454</v>
          </cell>
          <cell r="G514">
            <v>411800</v>
          </cell>
          <cell r="H514">
            <v>33900</v>
          </cell>
          <cell r="I514">
            <v>1</v>
          </cell>
          <cell r="J514">
            <v>1</v>
          </cell>
          <cell r="K514">
            <v>9647</v>
          </cell>
          <cell r="L514" t="str">
            <v>99-1133</v>
          </cell>
        </row>
        <row r="515">
          <cell r="B515" t="str">
            <v>이택열</v>
          </cell>
          <cell r="D515" t="str">
            <v>신성인</v>
          </cell>
          <cell r="E515">
            <v>10661345</v>
          </cell>
          <cell r="F515">
            <v>676</v>
          </cell>
          <cell r="G515">
            <v>52900</v>
          </cell>
          <cell r="H515">
            <v>22600</v>
          </cell>
          <cell r="I515">
            <v>1</v>
          </cell>
          <cell r="J515">
            <v>3</v>
          </cell>
          <cell r="K515" t="str">
            <v>서철웅</v>
          </cell>
          <cell r="L515" t="str">
            <v>99-1134</v>
          </cell>
        </row>
        <row r="516">
          <cell r="B516" t="str">
            <v>양영일</v>
          </cell>
          <cell r="C516">
            <v>36509</v>
          </cell>
          <cell r="D516" t="str">
            <v>양영일</v>
          </cell>
          <cell r="E516">
            <v>12271168</v>
          </cell>
          <cell r="F516">
            <v>740</v>
          </cell>
          <cell r="G516">
            <v>60200</v>
          </cell>
          <cell r="H516">
            <v>33900</v>
          </cell>
          <cell r="I516">
            <v>1</v>
          </cell>
          <cell r="J516">
            <v>1</v>
          </cell>
          <cell r="K516">
            <v>2017</v>
          </cell>
          <cell r="L516" t="str">
            <v>99-1135</v>
          </cell>
        </row>
        <row r="517">
          <cell r="B517" t="str">
            <v>박우현</v>
          </cell>
          <cell r="C517">
            <v>36509</v>
          </cell>
          <cell r="D517" t="str">
            <v>박우현</v>
          </cell>
          <cell r="E517">
            <v>8931134</v>
          </cell>
          <cell r="F517">
            <v>590</v>
          </cell>
          <cell r="G517">
            <v>44600</v>
          </cell>
          <cell r="H517">
            <v>33900</v>
          </cell>
          <cell r="I517">
            <v>1</v>
          </cell>
          <cell r="J517">
            <v>1</v>
          </cell>
          <cell r="K517">
            <v>5023</v>
          </cell>
          <cell r="L517" t="str">
            <v>99-1136</v>
          </cell>
        </row>
        <row r="518">
          <cell r="B518" t="str">
            <v>김규홍</v>
          </cell>
          <cell r="D518" t="str">
            <v>김규홍</v>
          </cell>
          <cell r="E518">
            <v>14554193</v>
          </cell>
          <cell r="F518">
            <v>833</v>
          </cell>
          <cell r="G518">
            <v>70400</v>
          </cell>
          <cell r="H518">
            <v>33900</v>
          </cell>
          <cell r="I518">
            <v>1</v>
          </cell>
          <cell r="J518">
            <v>1</v>
          </cell>
          <cell r="K518">
            <v>2147</v>
          </cell>
          <cell r="L518" t="str">
            <v>99-1137</v>
          </cell>
        </row>
        <row r="519">
          <cell r="B519" t="str">
            <v>김유덕</v>
          </cell>
          <cell r="D519" t="str">
            <v>김유덕</v>
          </cell>
          <cell r="E519">
            <v>6300290</v>
          </cell>
          <cell r="F519">
            <v>460</v>
          </cell>
          <cell r="G519">
            <v>31500</v>
          </cell>
          <cell r="H519">
            <v>33900</v>
          </cell>
          <cell r="I519">
            <v>1</v>
          </cell>
          <cell r="J519">
            <v>1</v>
          </cell>
          <cell r="K519">
            <v>8775</v>
          </cell>
          <cell r="L519" t="str">
            <v>99-1138</v>
          </cell>
        </row>
        <row r="520">
          <cell r="B520" t="str">
            <v>정태용</v>
          </cell>
          <cell r="D520" t="str">
            <v>정태용</v>
          </cell>
          <cell r="E520">
            <v>18704929</v>
          </cell>
          <cell r="F520">
            <v>998</v>
          </cell>
          <cell r="G520">
            <v>89100</v>
          </cell>
          <cell r="H520">
            <v>45200</v>
          </cell>
          <cell r="I520">
            <v>1</v>
          </cell>
          <cell r="J520">
            <v>1</v>
          </cell>
          <cell r="K520">
            <v>8346</v>
          </cell>
          <cell r="L520" t="str">
            <v>99-1139</v>
          </cell>
        </row>
        <row r="521">
          <cell r="B521" t="str">
            <v>황금옥</v>
          </cell>
          <cell r="D521" t="str">
            <v>황금옥</v>
          </cell>
          <cell r="E521">
            <v>9676983</v>
          </cell>
          <cell r="F521">
            <v>630</v>
          </cell>
          <cell r="G521">
            <v>48300</v>
          </cell>
          <cell r="H521">
            <v>33900</v>
          </cell>
          <cell r="I521">
            <v>1</v>
          </cell>
          <cell r="J521">
            <v>1</v>
          </cell>
          <cell r="K521">
            <v>4891</v>
          </cell>
          <cell r="L521" t="str">
            <v>99-1140</v>
          </cell>
        </row>
        <row r="522">
          <cell r="B522" t="str">
            <v>임효순</v>
          </cell>
          <cell r="C522" t="str">
            <v>완제</v>
          </cell>
          <cell r="D522" t="str">
            <v>임효순</v>
          </cell>
          <cell r="E522">
            <v>10342054</v>
          </cell>
          <cell r="F522">
            <v>670</v>
          </cell>
          <cell r="G522">
            <v>51500</v>
          </cell>
          <cell r="H522">
            <v>33900</v>
          </cell>
          <cell r="I522">
            <v>1</v>
          </cell>
          <cell r="J522">
            <v>1</v>
          </cell>
          <cell r="K522">
            <v>6243</v>
          </cell>
          <cell r="L522" t="str">
            <v>99-1141</v>
          </cell>
        </row>
        <row r="523">
          <cell r="B523" t="str">
            <v>박영희</v>
          </cell>
          <cell r="D523" t="str">
            <v>박영희</v>
          </cell>
          <cell r="E523">
            <v>17076505</v>
          </cell>
          <cell r="F523">
            <v>933</v>
          </cell>
          <cell r="G523">
            <v>81800</v>
          </cell>
          <cell r="H523">
            <v>45200</v>
          </cell>
          <cell r="I523">
            <v>1</v>
          </cell>
          <cell r="J523">
            <v>1</v>
          </cell>
          <cell r="K523">
            <v>2066</v>
          </cell>
          <cell r="L523" t="str">
            <v>99-1142</v>
          </cell>
        </row>
        <row r="524">
          <cell r="B524" t="str">
            <v>㈜아이디디자인</v>
          </cell>
          <cell r="D524" t="str">
            <v>아이디자인</v>
          </cell>
          <cell r="E524">
            <v>2445160</v>
          </cell>
          <cell r="F524">
            <v>270</v>
          </cell>
          <cell r="G524">
            <v>12200</v>
          </cell>
          <cell r="H524">
            <v>45200</v>
          </cell>
          <cell r="I524">
            <v>1</v>
          </cell>
          <cell r="J524">
            <v>1</v>
          </cell>
          <cell r="K524">
            <v>5454</v>
          </cell>
          <cell r="L524" t="str">
            <v>99-1143</v>
          </cell>
        </row>
        <row r="525">
          <cell r="B525" t="str">
            <v>박정희</v>
          </cell>
          <cell r="C525">
            <v>36504</v>
          </cell>
          <cell r="D525" t="str">
            <v>박정희</v>
          </cell>
          <cell r="E525">
            <v>16919651</v>
          </cell>
          <cell r="F525">
            <v>930</v>
          </cell>
          <cell r="G525">
            <v>81100</v>
          </cell>
          <cell r="H525">
            <v>45200</v>
          </cell>
          <cell r="I525">
            <v>1</v>
          </cell>
          <cell r="J525">
            <v>1</v>
          </cell>
          <cell r="K525">
            <v>2065</v>
          </cell>
          <cell r="L525" t="str">
            <v>99-1144</v>
          </cell>
        </row>
        <row r="526">
          <cell r="B526" t="str">
            <v>백명재</v>
          </cell>
          <cell r="C526">
            <v>36504</v>
          </cell>
          <cell r="D526" t="str">
            <v>백명재</v>
          </cell>
          <cell r="E526">
            <v>18345005</v>
          </cell>
          <cell r="F526">
            <v>983</v>
          </cell>
          <cell r="G526">
            <v>87500</v>
          </cell>
          <cell r="H526">
            <v>33900</v>
          </cell>
          <cell r="I526">
            <v>1</v>
          </cell>
          <cell r="J526">
            <v>1</v>
          </cell>
          <cell r="K526">
            <v>12059</v>
          </cell>
          <cell r="L526" t="str">
            <v>99-1145</v>
          </cell>
        </row>
        <row r="527">
          <cell r="B527" t="str">
            <v>조상태</v>
          </cell>
          <cell r="D527" t="str">
            <v>조상태</v>
          </cell>
          <cell r="E527">
            <v>12278306</v>
          </cell>
          <cell r="F527">
            <v>750</v>
          </cell>
          <cell r="G527">
            <v>60200</v>
          </cell>
          <cell r="H527">
            <v>33900</v>
          </cell>
          <cell r="I527">
            <v>1</v>
          </cell>
          <cell r="J527">
            <v>1</v>
          </cell>
          <cell r="K527">
            <v>12057</v>
          </cell>
          <cell r="L527" t="str">
            <v>99-1146</v>
          </cell>
        </row>
        <row r="528">
          <cell r="B528" t="str">
            <v>장학기</v>
          </cell>
          <cell r="D528" t="str">
            <v>장학기</v>
          </cell>
          <cell r="E528">
            <v>8576338</v>
          </cell>
          <cell r="F528">
            <v>600</v>
          </cell>
          <cell r="G528">
            <v>42800</v>
          </cell>
          <cell r="H528">
            <v>33900</v>
          </cell>
          <cell r="I528">
            <v>1</v>
          </cell>
          <cell r="J528">
            <v>1</v>
          </cell>
          <cell r="K528">
            <v>6289</v>
          </cell>
          <cell r="L528" t="str">
            <v>99-1147</v>
          </cell>
        </row>
        <row r="529">
          <cell r="B529" t="str">
            <v>진세통상㈜</v>
          </cell>
          <cell r="D529" t="str">
            <v>진세통상㈜</v>
          </cell>
          <cell r="E529">
            <v>24160830</v>
          </cell>
          <cell r="F529">
            <v>1400</v>
          </cell>
          <cell r="G529">
            <v>113700</v>
          </cell>
          <cell r="H529">
            <v>54240</v>
          </cell>
          <cell r="I529">
            <v>1</v>
          </cell>
          <cell r="J529">
            <v>1</v>
          </cell>
          <cell r="K529">
            <v>1779</v>
          </cell>
          <cell r="L529" t="str">
            <v>99-1148</v>
          </cell>
        </row>
        <row r="530">
          <cell r="B530" t="str">
            <v>이종화</v>
          </cell>
          <cell r="C530">
            <v>36504</v>
          </cell>
          <cell r="D530" t="str">
            <v>이종화</v>
          </cell>
          <cell r="E530">
            <v>12773304</v>
          </cell>
          <cell r="F530">
            <v>700</v>
          </cell>
          <cell r="G530">
            <v>62400</v>
          </cell>
          <cell r="H530">
            <v>33900</v>
          </cell>
          <cell r="I530">
            <v>1</v>
          </cell>
          <cell r="J530">
            <v>1</v>
          </cell>
          <cell r="K530">
            <v>35736</v>
          </cell>
          <cell r="L530" t="str">
            <v>99-1149</v>
          </cell>
        </row>
        <row r="531">
          <cell r="B531" t="str">
            <v>송현덕</v>
          </cell>
          <cell r="C531">
            <v>36504</v>
          </cell>
          <cell r="D531" t="str">
            <v>송현덕</v>
          </cell>
          <cell r="E531">
            <v>3529896</v>
          </cell>
          <cell r="F531">
            <v>330</v>
          </cell>
          <cell r="G531">
            <v>17600</v>
          </cell>
          <cell r="H531">
            <v>22600</v>
          </cell>
          <cell r="I531">
            <v>1</v>
          </cell>
          <cell r="J531">
            <v>1</v>
          </cell>
          <cell r="K531">
            <v>4142</v>
          </cell>
          <cell r="L531" t="str">
            <v>99-1150</v>
          </cell>
        </row>
        <row r="532">
          <cell r="B532" t="str">
            <v>㈜에스에이치코프레이션</v>
          </cell>
          <cell r="D532" t="str">
            <v>에스에이치코프레이션</v>
          </cell>
          <cell r="E532">
            <v>20896041</v>
          </cell>
          <cell r="F532">
            <v>1199</v>
          </cell>
          <cell r="G532">
            <v>99000</v>
          </cell>
          <cell r="H532">
            <v>54240</v>
          </cell>
          <cell r="I532">
            <v>1</v>
          </cell>
          <cell r="J532">
            <v>1</v>
          </cell>
          <cell r="K532">
            <v>2236</v>
          </cell>
          <cell r="L532" t="str">
            <v>99-1151</v>
          </cell>
        </row>
        <row r="533">
          <cell r="B533" t="str">
            <v>박은락</v>
          </cell>
          <cell r="D533" t="str">
            <v>박은락</v>
          </cell>
          <cell r="E533">
            <v>39987464</v>
          </cell>
          <cell r="F533">
            <v>1749</v>
          </cell>
          <cell r="G533">
            <v>184900</v>
          </cell>
          <cell r="H533">
            <v>54240</v>
          </cell>
          <cell r="I533">
            <v>1</v>
          </cell>
          <cell r="J533">
            <v>1</v>
          </cell>
          <cell r="K533">
            <v>6070</v>
          </cell>
          <cell r="L533" t="str">
            <v>99-1152</v>
          </cell>
        </row>
        <row r="534">
          <cell r="B534" t="str">
            <v>㈜태라</v>
          </cell>
          <cell r="D534" t="str">
            <v>태라</v>
          </cell>
          <cell r="E534">
            <v>229095749</v>
          </cell>
          <cell r="F534">
            <v>3195</v>
          </cell>
          <cell r="G534">
            <v>971300</v>
          </cell>
          <cell r="H534">
            <v>54240</v>
          </cell>
          <cell r="I534">
            <v>1</v>
          </cell>
          <cell r="J534">
            <v>1</v>
          </cell>
          <cell r="K534">
            <v>2054</v>
          </cell>
          <cell r="L534" t="str">
            <v>99-1153</v>
          </cell>
        </row>
        <row r="535">
          <cell r="B535" t="str">
            <v>권순호</v>
          </cell>
          <cell r="C535">
            <v>36509</v>
          </cell>
          <cell r="D535" t="str">
            <v>권순호</v>
          </cell>
          <cell r="E535">
            <v>17762793</v>
          </cell>
          <cell r="F535">
            <v>960</v>
          </cell>
          <cell r="G535">
            <v>84900</v>
          </cell>
          <cell r="H535">
            <v>45200</v>
          </cell>
          <cell r="I535">
            <v>1</v>
          </cell>
          <cell r="J535">
            <v>1</v>
          </cell>
          <cell r="K535">
            <v>6593</v>
          </cell>
          <cell r="L535" t="str">
            <v>99-1154</v>
          </cell>
        </row>
        <row r="536">
          <cell r="B536" t="str">
            <v>㈜제일경제신문</v>
          </cell>
          <cell r="D536" t="str">
            <v>제일경제신문</v>
          </cell>
          <cell r="E536">
            <v>127007737</v>
          </cell>
          <cell r="F536">
            <v>2658</v>
          </cell>
          <cell r="G536">
            <v>563000</v>
          </cell>
          <cell r="H536">
            <v>72320</v>
          </cell>
          <cell r="I536">
            <v>1</v>
          </cell>
          <cell r="J536">
            <v>1</v>
          </cell>
          <cell r="K536">
            <v>2288</v>
          </cell>
          <cell r="L536" t="str">
            <v>99-1155</v>
          </cell>
        </row>
        <row r="537">
          <cell r="B537" t="str">
            <v>김영수</v>
          </cell>
          <cell r="D537" t="str">
            <v>김영수</v>
          </cell>
          <cell r="E537">
            <v>8905286</v>
          </cell>
          <cell r="F537">
            <v>595</v>
          </cell>
          <cell r="G537">
            <v>44500</v>
          </cell>
          <cell r="H537">
            <v>33900</v>
          </cell>
          <cell r="I537">
            <v>1</v>
          </cell>
          <cell r="J537">
            <v>1</v>
          </cell>
          <cell r="K537">
            <v>4490</v>
          </cell>
          <cell r="L537" t="str">
            <v>99-1156</v>
          </cell>
        </row>
        <row r="538">
          <cell r="B538" t="str">
            <v>김종태</v>
          </cell>
          <cell r="C538">
            <v>36504</v>
          </cell>
          <cell r="D538" t="str">
            <v>김종태</v>
          </cell>
          <cell r="E538">
            <v>10734531</v>
          </cell>
          <cell r="F538">
            <v>679</v>
          </cell>
          <cell r="G538">
            <v>53300</v>
          </cell>
          <cell r="H538">
            <v>33900</v>
          </cell>
          <cell r="I538">
            <v>1</v>
          </cell>
          <cell r="J538">
            <v>1</v>
          </cell>
          <cell r="K538">
            <v>4364</v>
          </cell>
          <cell r="L538" t="str">
            <v>99-1157</v>
          </cell>
        </row>
        <row r="539">
          <cell r="B539" t="str">
            <v>이명숙</v>
          </cell>
          <cell r="C539">
            <v>36504</v>
          </cell>
          <cell r="D539" t="str">
            <v>이명숙</v>
          </cell>
          <cell r="E539">
            <v>13559520</v>
          </cell>
          <cell r="F539">
            <v>795</v>
          </cell>
          <cell r="G539">
            <v>66000</v>
          </cell>
          <cell r="H539">
            <v>33900</v>
          </cell>
          <cell r="I539">
            <v>1</v>
          </cell>
          <cell r="J539">
            <v>1</v>
          </cell>
          <cell r="K539">
            <v>4558</v>
          </cell>
          <cell r="L539" t="str">
            <v>99-1158</v>
          </cell>
        </row>
        <row r="540">
          <cell r="B540" t="str">
            <v>박준섭</v>
          </cell>
          <cell r="D540" t="str">
            <v>박준섭</v>
          </cell>
          <cell r="E540">
            <v>33886246</v>
          </cell>
          <cell r="F540">
            <v>1566</v>
          </cell>
          <cell r="G540">
            <v>157400</v>
          </cell>
          <cell r="H540">
            <v>22600</v>
          </cell>
          <cell r="I540">
            <v>1</v>
          </cell>
          <cell r="J540">
            <v>1</v>
          </cell>
          <cell r="K540">
            <v>4384</v>
          </cell>
          <cell r="L540" t="str">
            <v>99-1159</v>
          </cell>
        </row>
        <row r="541">
          <cell r="B541" t="str">
            <v>전국일</v>
          </cell>
          <cell r="C541">
            <v>36504</v>
          </cell>
          <cell r="D541" t="str">
            <v>전국일</v>
          </cell>
          <cell r="E541">
            <v>4351018</v>
          </cell>
          <cell r="F541">
            <v>364</v>
          </cell>
          <cell r="G541">
            <v>21700</v>
          </cell>
          <cell r="H541">
            <v>22600</v>
          </cell>
          <cell r="I541">
            <v>1</v>
          </cell>
          <cell r="J541">
            <v>1</v>
          </cell>
          <cell r="K541">
            <v>4450</v>
          </cell>
          <cell r="L541" t="str">
            <v>99-1160</v>
          </cell>
        </row>
        <row r="542">
          <cell r="B542" t="str">
            <v>김광식</v>
          </cell>
          <cell r="D542" t="str">
            <v>김세희</v>
          </cell>
          <cell r="E542">
            <v>6507212</v>
          </cell>
          <cell r="F542">
            <v>475</v>
          </cell>
          <cell r="G542">
            <v>32500</v>
          </cell>
          <cell r="H542">
            <v>22600</v>
          </cell>
          <cell r="I542">
            <v>1</v>
          </cell>
          <cell r="J542">
            <v>1</v>
          </cell>
          <cell r="K542">
            <v>2166</v>
          </cell>
          <cell r="L542" t="str">
            <v>99-1161</v>
          </cell>
        </row>
        <row r="543">
          <cell r="B543" t="str">
            <v>정영숙</v>
          </cell>
          <cell r="C543">
            <v>36509</v>
          </cell>
          <cell r="D543" t="str">
            <v>정영숙</v>
          </cell>
          <cell r="E543">
            <v>12353535</v>
          </cell>
          <cell r="F543">
            <v>744</v>
          </cell>
          <cell r="G543">
            <v>60500</v>
          </cell>
          <cell r="H543">
            <v>33900</v>
          </cell>
          <cell r="I543">
            <v>1</v>
          </cell>
          <cell r="J543">
            <v>1</v>
          </cell>
          <cell r="K543">
            <v>5622</v>
          </cell>
          <cell r="L543" t="str">
            <v>99-1162</v>
          </cell>
        </row>
        <row r="544">
          <cell r="B544" t="str">
            <v>유흥구</v>
          </cell>
          <cell r="D544" t="str">
            <v>유흥규</v>
          </cell>
          <cell r="E544">
            <v>28960540</v>
          </cell>
          <cell r="F544">
            <v>1408</v>
          </cell>
          <cell r="G544">
            <v>135300</v>
          </cell>
          <cell r="H544">
            <v>54240</v>
          </cell>
          <cell r="I544">
            <v>1</v>
          </cell>
          <cell r="J544">
            <v>1</v>
          </cell>
          <cell r="K544">
            <v>4557</v>
          </cell>
          <cell r="L544" t="str">
            <v>99-1163</v>
          </cell>
        </row>
        <row r="545">
          <cell r="B545" t="str">
            <v>박광일</v>
          </cell>
          <cell r="D545" t="str">
            <v>박광일</v>
          </cell>
          <cell r="E545">
            <v>10591844</v>
          </cell>
          <cell r="F545">
            <v>673</v>
          </cell>
          <cell r="G545">
            <v>52600</v>
          </cell>
          <cell r="H545">
            <v>33900</v>
          </cell>
          <cell r="I545">
            <v>1</v>
          </cell>
          <cell r="J545">
            <v>1</v>
          </cell>
          <cell r="K545">
            <v>4318</v>
          </cell>
          <cell r="L545" t="str">
            <v>99-1164</v>
          </cell>
        </row>
        <row r="546">
          <cell r="B546" t="str">
            <v>최장영</v>
          </cell>
          <cell r="D546" t="str">
            <v>최장영</v>
          </cell>
          <cell r="E546">
            <v>15073480</v>
          </cell>
          <cell r="F546">
            <v>853</v>
          </cell>
          <cell r="G546">
            <v>72800</v>
          </cell>
          <cell r="H546">
            <v>33900</v>
          </cell>
          <cell r="I546">
            <v>1</v>
          </cell>
          <cell r="J546">
            <v>1</v>
          </cell>
          <cell r="K546">
            <v>4542</v>
          </cell>
          <cell r="L546" t="str">
            <v>99-1165</v>
          </cell>
        </row>
        <row r="547">
          <cell r="B547" t="str">
            <v>김복년</v>
          </cell>
          <cell r="D547" t="str">
            <v>김복년</v>
          </cell>
          <cell r="E547">
            <v>17146623</v>
          </cell>
          <cell r="F547">
            <v>935</v>
          </cell>
          <cell r="G547">
            <v>82100</v>
          </cell>
          <cell r="H547">
            <v>33900</v>
          </cell>
          <cell r="I547">
            <v>1</v>
          </cell>
          <cell r="J547">
            <v>1</v>
          </cell>
          <cell r="K547">
            <v>1970</v>
          </cell>
          <cell r="L547" t="str">
            <v>99-1166</v>
          </cell>
        </row>
        <row r="548">
          <cell r="B548" t="str">
            <v>이영미</v>
          </cell>
          <cell r="C548">
            <v>36509</v>
          </cell>
          <cell r="D548" t="str">
            <v>이영미</v>
          </cell>
          <cell r="E548">
            <v>7858747</v>
          </cell>
          <cell r="F548">
            <v>542</v>
          </cell>
          <cell r="G548">
            <v>39200</v>
          </cell>
          <cell r="H548">
            <v>33900</v>
          </cell>
          <cell r="I548">
            <v>1</v>
          </cell>
          <cell r="J548">
            <v>1</v>
          </cell>
          <cell r="K548">
            <v>6866</v>
          </cell>
          <cell r="L548" t="str">
            <v>99-1167</v>
          </cell>
        </row>
        <row r="549">
          <cell r="B549" t="str">
            <v>김혜숙</v>
          </cell>
          <cell r="C549">
            <v>36509</v>
          </cell>
          <cell r="D549" t="str">
            <v>김혜숙</v>
          </cell>
          <cell r="E549">
            <v>2695121</v>
          </cell>
          <cell r="F549">
            <v>235</v>
          </cell>
          <cell r="G549">
            <v>13400</v>
          </cell>
          <cell r="H549">
            <v>33900</v>
          </cell>
          <cell r="I549">
            <v>1</v>
          </cell>
          <cell r="J549">
            <v>1</v>
          </cell>
          <cell r="K549">
            <v>4407</v>
          </cell>
          <cell r="L549" t="str">
            <v>99-1168</v>
          </cell>
        </row>
        <row r="550">
          <cell r="B550" t="str">
            <v>김진엽</v>
          </cell>
          <cell r="D550" t="str">
            <v>김진엽</v>
          </cell>
          <cell r="E550">
            <v>6379683</v>
          </cell>
          <cell r="F550">
            <v>468</v>
          </cell>
          <cell r="G550">
            <v>31800</v>
          </cell>
          <cell r="H550">
            <v>33900</v>
          </cell>
          <cell r="I550">
            <v>1</v>
          </cell>
          <cell r="J550">
            <v>1</v>
          </cell>
          <cell r="K550">
            <v>4419</v>
          </cell>
          <cell r="L550" t="str">
            <v>99-1169</v>
          </cell>
        </row>
        <row r="551">
          <cell r="B551" t="str">
            <v>김금선</v>
          </cell>
          <cell r="D551" t="str">
            <v>김금선</v>
          </cell>
          <cell r="E551">
            <v>13209035</v>
          </cell>
          <cell r="F551">
            <v>778</v>
          </cell>
          <cell r="G551">
            <v>64400</v>
          </cell>
          <cell r="H551">
            <v>33900</v>
          </cell>
          <cell r="I551">
            <v>1</v>
          </cell>
          <cell r="J551">
            <v>1</v>
          </cell>
          <cell r="K551">
            <v>4485</v>
          </cell>
          <cell r="L551" t="str">
            <v>99-1170</v>
          </cell>
        </row>
        <row r="552">
          <cell r="B552" t="str">
            <v>박용규</v>
          </cell>
          <cell r="C552">
            <v>36531</v>
          </cell>
          <cell r="D552" t="str">
            <v>박용규</v>
          </cell>
          <cell r="E552">
            <v>5000000</v>
          </cell>
          <cell r="F552">
            <v>400</v>
          </cell>
          <cell r="G552">
            <v>0</v>
          </cell>
          <cell r="H552">
            <v>0</v>
          </cell>
          <cell r="I552">
            <v>1</v>
          </cell>
          <cell r="J552">
            <v>4</v>
          </cell>
          <cell r="L552" t="str">
            <v>99-1171</v>
          </cell>
        </row>
        <row r="553">
          <cell r="B553" t="str">
            <v>양동만</v>
          </cell>
          <cell r="D553" t="str">
            <v>양동만</v>
          </cell>
          <cell r="E553">
            <v>6765360</v>
          </cell>
          <cell r="F553">
            <v>488</v>
          </cell>
          <cell r="G553">
            <v>0</v>
          </cell>
          <cell r="H553">
            <v>0</v>
          </cell>
          <cell r="I553">
            <v>1</v>
          </cell>
          <cell r="J553">
            <v>4</v>
          </cell>
          <cell r="L553" t="str">
            <v>99-1172</v>
          </cell>
        </row>
        <row r="554">
          <cell r="B554" t="str">
            <v>㈜덕신무역</v>
          </cell>
          <cell r="D554" t="str">
            <v>덕신무역</v>
          </cell>
          <cell r="E554">
            <v>49812268</v>
          </cell>
          <cell r="F554">
            <v>2050</v>
          </cell>
          <cell r="G554">
            <v>229100</v>
          </cell>
          <cell r="H554">
            <v>90400</v>
          </cell>
          <cell r="I554">
            <v>1</v>
          </cell>
          <cell r="J554">
            <v>1</v>
          </cell>
          <cell r="K554">
            <v>1677</v>
          </cell>
          <cell r="L554" t="str">
            <v>99-1173</v>
          </cell>
        </row>
        <row r="555">
          <cell r="B555" t="str">
            <v>김한주</v>
          </cell>
          <cell r="C555">
            <v>36517</v>
          </cell>
          <cell r="D555" t="str">
            <v>김한주</v>
          </cell>
          <cell r="E555">
            <v>4895417</v>
          </cell>
          <cell r="F555">
            <v>400</v>
          </cell>
          <cell r="G555">
            <v>24400</v>
          </cell>
          <cell r="H555">
            <v>33900</v>
          </cell>
          <cell r="I555">
            <v>1</v>
          </cell>
          <cell r="J555">
            <v>1</v>
          </cell>
          <cell r="K555">
            <v>6273</v>
          </cell>
          <cell r="L555" t="str">
            <v>99-1174</v>
          </cell>
        </row>
        <row r="556">
          <cell r="B556" t="str">
            <v>이대웅</v>
          </cell>
          <cell r="D556" t="str">
            <v>이대웅</v>
          </cell>
          <cell r="E556">
            <v>28723011</v>
          </cell>
          <cell r="F556">
            <v>1400</v>
          </cell>
          <cell r="G556">
            <v>134200</v>
          </cell>
          <cell r="H556">
            <v>54240</v>
          </cell>
          <cell r="I556">
            <v>1</v>
          </cell>
          <cell r="J556">
            <v>1</v>
          </cell>
          <cell r="K556">
            <v>12096</v>
          </cell>
          <cell r="L556" t="str">
            <v>99-1175</v>
          </cell>
        </row>
        <row r="557">
          <cell r="B557" t="str">
            <v>최내권</v>
          </cell>
          <cell r="D557" t="str">
            <v>최내권</v>
          </cell>
          <cell r="E557">
            <v>15981431</v>
          </cell>
          <cell r="F557">
            <v>890</v>
          </cell>
          <cell r="G557">
            <v>76900</v>
          </cell>
          <cell r="H557">
            <v>33900</v>
          </cell>
          <cell r="I557">
            <v>1</v>
          </cell>
          <cell r="J557">
            <v>1</v>
          </cell>
          <cell r="K557">
            <v>4824</v>
          </cell>
          <cell r="L557" t="str">
            <v>99-1176</v>
          </cell>
        </row>
        <row r="558">
          <cell r="B558" t="str">
            <v>유선녀</v>
          </cell>
          <cell r="D558" t="str">
            <v>유선녀</v>
          </cell>
          <cell r="E558">
            <v>2285294</v>
          </cell>
          <cell r="F558">
            <v>250</v>
          </cell>
          <cell r="G558">
            <v>11400</v>
          </cell>
          <cell r="H558">
            <v>33900</v>
          </cell>
          <cell r="I558">
            <v>1</v>
          </cell>
          <cell r="J558">
            <v>1</v>
          </cell>
          <cell r="K558">
            <v>4813</v>
          </cell>
          <cell r="L558" t="str">
            <v>99-1177</v>
          </cell>
        </row>
        <row r="559">
          <cell r="B559" t="str">
            <v>장복순</v>
          </cell>
          <cell r="C559">
            <v>36517</v>
          </cell>
          <cell r="D559" t="str">
            <v>장복순</v>
          </cell>
          <cell r="E559">
            <v>16513728</v>
          </cell>
          <cell r="F559">
            <v>910</v>
          </cell>
          <cell r="G559">
            <v>76300</v>
          </cell>
          <cell r="H559">
            <v>33900</v>
          </cell>
          <cell r="I559">
            <v>1</v>
          </cell>
          <cell r="J559">
            <v>1</v>
          </cell>
          <cell r="K559">
            <v>4541</v>
          </cell>
          <cell r="L559" t="str">
            <v>99-1178</v>
          </cell>
        </row>
        <row r="560">
          <cell r="B560" t="str">
            <v>조희묵</v>
          </cell>
          <cell r="C560">
            <v>36517</v>
          </cell>
          <cell r="D560" t="str">
            <v>조희묵</v>
          </cell>
          <cell r="E560">
            <v>10399030</v>
          </cell>
          <cell r="F560">
            <v>670</v>
          </cell>
          <cell r="G560">
            <v>51700</v>
          </cell>
          <cell r="H560">
            <v>33900</v>
          </cell>
          <cell r="I560">
            <v>1</v>
          </cell>
          <cell r="J560">
            <v>1</v>
          </cell>
          <cell r="K560">
            <v>4799</v>
          </cell>
          <cell r="L560" t="str">
            <v>99-1179</v>
          </cell>
        </row>
        <row r="561">
          <cell r="B561" t="str">
            <v>임상희</v>
          </cell>
          <cell r="D561" t="str">
            <v>임상희</v>
          </cell>
          <cell r="E561">
            <v>11124696</v>
          </cell>
          <cell r="F561">
            <v>700</v>
          </cell>
          <cell r="G561">
            <v>55000</v>
          </cell>
          <cell r="H561">
            <v>33900</v>
          </cell>
          <cell r="I561">
            <v>1</v>
          </cell>
          <cell r="J561">
            <v>1</v>
          </cell>
          <cell r="K561">
            <v>4583</v>
          </cell>
          <cell r="L561" t="str">
            <v>99-1180</v>
          </cell>
        </row>
        <row r="562">
          <cell r="B562" t="str">
            <v>사재준</v>
          </cell>
          <cell r="D562" t="str">
            <v>사재준</v>
          </cell>
          <cell r="E562">
            <v>5629584</v>
          </cell>
          <cell r="F562">
            <v>450</v>
          </cell>
          <cell r="G562">
            <v>28100</v>
          </cell>
          <cell r="H562">
            <v>22600</v>
          </cell>
          <cell r="I562">
            <v>1</v>
          </cell>
          <cell r="J562">
            <v>1</v>
          </cell>
          <cell r="K562">
            <v>4741</v>
          </cell>
          <cell r="L562" t="str">
            <v>99-1181</v>
          </cell>
        </row>
        <row r="563">
          <cell r="B563" t="str">
            <v>이화세</v>
          </cell>
          <cell r="D563" t="str">
            <v>이화세</v>
          </cell>
          <cell r="E563">
            <v>9755438</v>
          </cell>
          <cell r="F563">
            <v>650</v>
          </cell>
          <cell r="G563">
            <v>48700</v>
          </cell>
          <cell r="H563">
            <v>33900</v>
          </cell>
          <cell r="I563">
            <v>1</v>
          </cell>
          <cell r="J563">
            <v>1</v>
          </cell>
          <cell r="K563">
            <v>5196</v>
          </cell>
          <cell r="L563" t="str">
            <v>99-1182</v>
          </cell>
        </row>
        <row r="564">
          <cell r="B564" t="str">
            <v>최경순</v>
          </cell>
          <cell r="C564">
            <v>36517</v>
          </cell>
          <cell r="D564" t="str">
            <v>최경순</v>
          </cell>
          <cell r="E564">
            <v>5494044</v>
          </cell>
          <cell r="F564">
            <v>420</v>
          </cell>
          <cell r="G564">
            <v>27400</v>
          </cell>
          <cell r="H564">
            <v>22600</v>
          </cell>
          <cell r="I564">
            <v>1</v>
          </cell>
          <cell r="J564">
            <v>1</v>
          </cell>
          <cell r="K564">
            <v>4993</v>
          </cell>
          <cell r="L564" t="str">
            <v>99-1183</v>
          </cell>
        </row>
        <row r="565">
          <cell r="B565" t="str">
            <v>김동구</v>
          </cell>
          <cell r="D565" t="str">
            <v>김동구</v>
          </cell>
          <cell r="E565">
            <v>9208031</v>
          </cell>
          <cell r="F565">
            <v>630</v>
          </cell>
          <cell r="G565">
            <v>46000</v>
          </cell>
          <cell r="H565">
            <v>33900</v>
          </cell>
          <cell r="I565">
            <v>1</v>
          </cell>
          <cell r="J565">
            <v>1</v>
          </cell>
          <cell r="K565">
            <v>5206</v>
          </cell>
          <cell r="L565" t="str">
            <v>99-1184</v>
          </cell>
        </row>
        <row r="566">
          <cell r="B566" t="str">
            <v>이길자</v>
          </cell>
          <cell r="D566" t="str">
            <v>이길자</v>
          </cell>
          <cell r="E566">
            <v>20807124</v>
          </cell>
          <cell r="F566">
            <v>1082</v>
          </cell>
          <cell r="G566">
            <v>98600</v>
          </cell>
          <cell r="H566">
            <v>54240</v>
          </cell>
          <cell r="I566">
            <v>1</v>
          </cell>
          <cell r="J566">
            <v>1</v>
          </cell>
          <cell r="K566" t="str">
            <v>2144/33600</v>
          </cell>
          <cell r="L566" t="str">
            <v>99-1185</v>
          </cell>
        </row>
        <row r="567">
          <cell r="B567" t="str">
            <v>성명금</v>
          </cell>
          <cell r="C567">
            <v>36521</v>
          </cell>
          <cell r="D567" t="str">
            <v>성명금</v>
          </cell>
          <cell r="E567">
            <v>5241103</v>
          </cell>
          <cell r="F567">
            <v>412</v>
          </cell>
          <cell r="G567">
            <v>26200</v>
          </cell>
          <cell r="H567">
            <v>33900</v>
          </cell>
          <cell r="I567">
            <v>1</v>
          </cell>
          <cell r="J567">
            <v>1</v>
          </cell>
          <cell r="K567">
            <v>31692</v>
          </cell>
          <cell r="L567" t="str">
            <v>99-1186</v>
          </cell>
        </row>
        <row r="568">
          <cell r="B568" t="str">
            <v>김문기</v>
          </cell>
          <cell r="C568">
            <v>36521</v>
          </cell>
          <cell r="D568" t="str">
            <v>김문기</v>
          </cell>
          <cell r="E568">
            <v>16118162</v>
          </cell>
          <cell r="F568">
            <v>895</v>
          </cell>
          <cell r="G568">
            <v>77500</v>
          </cell>
          <cell r="H568">
            <v>33900</v>
          </cell>
          <cell r="I568">
            <v>1</v>
          </cell>
          <cell r="J568">
            <v>1</v>
          </cell>
          <cell r="K568">
            <v>34591</v>
          </cell>
          <cell r="L568" t="str">
            <v>99-1187</v>
          </cell>
        </row>
        <row r="569">
          <cell r="B569" t="str">
            <v>김명자</v>
          </cell>
          <cell r="C569">
            <v>36521</v>
          </cell>
          <cell r="D569" t="str">
            <v>김명자</v>
          </cell>
          <cell r="E569">
            <v>17589163</v>
          </cell>
          <cell r="F569">
            <v>954</v>
          </cell>
          <cell r="G569">
            <v>84100</v>
          </cell>
          <cell r="H569">
            <v>22600</v>
          </cell>
          <cell r="I569">
            <v>1</v>
          </cell>
          <cell r="J569">
            <v>1</v>
          </cell>
          <cell r="K569">
            <v>28412</v>
          </cell>
          <cell r="L569" t="str">
            <v>99-1188</v>
          </cell>
        </row>
        <row r="570">
          <cell r="B570" t="str">
            <v>손형열</v>
          </cell>
          <cell r="C570">
            <v>36521</v>
          </cell>
          <cell r="D570" t="str">
            <v>손형열</v>
          </cell>
          <cell r="E570">
            <v>7730686</v>
          </cell>
          <cell r="F570">
            <v>414</v>
          </cell>
          <cell r="G570">
            <v>38600</v>
          </cell>
          <cell r="H570">
            <v>33900</v>
          </cell>
          <cell r="I570">
            <v>1</v>
          </cell>
          <cell r="J570">
            <v>1</v>
          </cell>
          <cell r="K570">
            <v>28224</v>
          </cell>
          <cell r="L570" t="str">
            <v>99-1189</v>
          </cell>
        </row>
        <row r="571">
          <cell r="B571" t="str">
            <v>윤홍기</v>
          </cell>
          <cell r="D571" t="str">
            <v>윤홍기</v>
          </cell>
          <cell r="E571">
            <v>37159610</v>
          </cell>
          <cell r="F571">
            <v>1471</v>
          </cell>
          <cell r="G571">
            <v>172200</v>
          </cell>
          <cell r="H571">
            <v>90400</v>
          </cell>
          <cell r="I571">
            <v>1</v>
          </cell>
          <cell r="J571">
            <v>1</v>
          </cell>
          <cell r="K571" t="str">
            <v>26915/1871</v>
          </cell>
          <cell r="L571" t="str">
            <v>99-1190</v>
          </cell>
        </row>
        <row r="572">
          <cell r="B572" t="str">
            <v>지경실업㈜</v>
          </cell>
          <cell r="D572" t="str">
            <v>지경실업㈜</v>
          </cell>
          <cell r="E572">
            <v>97413447</v>
          </cell>
          <cell r="F572">
            <v>2524</v>
          </cell>
          <cell r="G572">
            <v>443300</v>
          </cell>
          <cell r="H572">
            <v>54240</v>
          </cell>
          <cell r="I572">
            <v>1</v>
          </cell>
          <cell r="J572">
            <v>1</v>
          </cell>
          <cell r="K572">
            <v>965</v>
          </cell>
          <cell r="L572" t="str">
            <v>99-1191</v>
          </cell>
        </row>
        <row r="573">
          <cell r="B573" t="str">
            <v>조한철</v>
          </cell>
          <cell r="C573">
            <v>36517</v>
          </cell>
          <cell r="D573" t="str">
            <v>조한철</v>
          </cell>
          <cell r="E573">
            <v>2862658</v>
          </cell>
          <cell r="F573">
            <v>259</v>
          </cell>
          <cell r="G573">
            <v>14300</v>
          </cell>
          <cell r="H573">
            <v>22600</v>
          </cell>
          <cell r="I573">
            <v>1</v>
          </cell>
          <cell r="J573">
            <v>1</v>
          </cell>
          <cell r="K573">
            <v>901</v>
          </cell>
          <cell r="L573" t="str">
            <v>99-1192</v>
          </cell>
        </row>
        <row r="574">
          <cell r="B574" t="str">
            <v>세우상사㈜</v>
          </cell>
          <cell r="D574" t="str">
            <v>이기운</v>
          </cell>
          <cell r="E574">
            <v>27235664</v>
          </cell>
          <cell r="F574">
            <v>1339</v>
          </cell>
          <cell r="G574">
            <v>127500</v>
          </cell>
          <cell r="H574">
            <v>72320</v>
          </cell>
          <cell r="I574">
            <v>1</v>
          </cell>
          <cell r="J574">
            <v>1</v>
          </cell>
          <cell r="K574">
            <v>501</v>
          </cell>
          <cell r="L574" t="str">
            <v>99-1193</v>
          </cell>
        </row>
        <row r="575">
          <cell r="B575" t="str">
            <v>삼원선박㈜</v>
          </cell>
          <cell r="D575" t="str">
            <v>삼원선박㈜</v>
          </cell>
          <cell r="E575">
            <v>316877562</v>
          </cell>
          <cell r="F575">
            <v>3634</v>
          </cell>
          <cell r="G575">
            <v>1322500</v>
          </cell>
          <cell r="H575">
            <v>54240</v>
          </cell>
          <cell r="I575">
            <v>1</v>
          </cell>
          <cell r="J575">
            <v>1</v>
          </cell>
          <cell r="K575">
            <v>1185</v>
          </cell>
          <cell r="L575" t="str">
            <v>99-1194</v>
          </cell>
        </row>
        <row r="576">
          <cell r="B576" t="str">
            <v>윤기복</v>
          </cell>
          <cell r="C576">
            <v>36517</v>
          </cell>
          <cell r="D576" t="str">
            <v>윤기복</v>
          </cell>
          <cell r="E576">
            <v>1417173</v>
          </cell>
          <cell r="F576">
            <v>137</v>
          </cell>
          <cell r="G576">
            <v>7000</v>
          </cell>
          <cell r="H576">
            <v>22600</v>
          </cell>
          <cell r="I576">
            <v>1</v>
          </cell>
          <cell r="J576">
            <v>1</v>
          </cell>
          <cell r="K576">
            <v>776</v>
          </cell>
          <cell r="L576" t="str">
            <v>99-1195</v>
          </cell>
        </row>
        <row r="577">
          <cell r="B577" t="str">
            <v>조현규</v>
          </cell>
          <cell r="D577" t="str">
            <v>조현규</v>
          </cell>
          <cell r="E577">
            <v>30733261</v>
          </cell>
          <cell r="F577">
            <v>1471</v>
          </cell>
          <cell r="G577">
            <v>143200</v>
          </cell>
          <cell r="H577">
            <v>90400</v>
          </cell>
          <cell r="I577">
            <v>1</v>
          </cell>
          <cell r="J577">
            <v>1</v>
          </cell>
          <cell r="K577">
            <v>32558</v>
          </cell>
          <cell r="L577" t="str">
            <v>99-1196</v>
          </cell>
        </row>
        <row r="578">
          <cell r="B578" t="str">
            <v>한춘자</v>
          </cell>
          <cell r="D578" t="str">
            <v>한춘자</v>
          </cell>
          <cell r="E578">
            <v>21362311</v>
          </cell>
          <cell r="F578">
            <v>1104</v>
          </cell>
          <cell r="G578">
            <v>101100</v>
          </cell>
          <cell r="H578">
            <v>54240</v>
          </cell>
          <cell r="I578">
            <v>1</v>
          </cell>
          <cell r="J578">
            <v>1</v>
          </cell>
          <cell r="K578">
            <v>7082</v>
          </cell>
          <cell r="L578" t="str">
            <v>99-1197</v>
          </cell>
        </row>
        <row r="579">
          <cell r="B579" t="str">
            <v>정동식</v>
          </cell>
          <cell r="D579" t="str">
            <v>정동식</v>
          </cell>
          <cell r="E579">
            <v>5259937</v>
          </cell>
          <cell r="F579">
            <v>410</v>
          </cell>
          <cell r="G579">
            <v>26200</v>
          </cell>
          <cell r="H579">
            <v>33900</v>
          </cell>
          <cell r="I579">
            <v>1</v>
          </cell>
          <cell r="J579">
            <v>1</v>
          </cell>
          <cell r="K579">
            <v>7241</v>
          </cell>
          <cell r="L579" t="str">
            <v>99-1198</v>
          </cell>
        </row>
        <row r="580">
          <cell r="B580" t="str">
            <v>하정자</v>
          </cell>
          <cell r="D580" t="str">
            <v>하정자</v>
          </cell>
          <cell r="E580">
            <v>8852443</v>
          </cell>
          <cell r="F580">
            <v>590</v>
          </cell>
          <cell r="G580">
            <v>44200</v>
          </cell>
          <cell r="H580">
            <v>33900</v>
          </cell>
          <cell r="I580">
            <v>1</v>
          </cell>
          <cell r="J580">
            <v>1</v>
          </cell>
          <cell r="K580">
            <v>7508</v>
          </cell>
          <cell r="L580" t="str">
            <v>99-1199</v>
          </cell>
        </row>
        <row r="581">
          <cell r="B581" t="str">
            <v>정덕양</v>
          </cell>
          <cell r="D581" t="str">
            <v>정덕양</v>
          </cell>
          <cell r="E581">
            <v>7211618</v>
          </cell>
          <cell r="F581">
            <v>410</v>
          </cell>
          <cell r="G581">
            <v>36000</v>
          </cell>
          <cell r="H581">
            <v>33900</v>
          </cell>
          <cell r="I581">
            <v>1</v>
          </cell>
          <cell r="J581">
            <v>1</v>
          </cell>
          <cell r="K581">
            <v>7739</v>
          </cell>
          <cell r="L581" t="str">
            <v>99-1200</v>
          </cell>
        </row>
        <row r="582">
          <cell r="B582" t="str">
            <v>김동오</v>
          </cell>
          <cell r="D582" t="str">
            <v>김동오</v>
          </cell>
          <cell r="E582">
            <v>3316931</v>
          </cell>
          <cell r="F582">
            <v>290</v>
          </cell>
          <cell r="G582">
            <v>16500</v>
          </cell>
          <cell r="H582">
            <v>33900</v>
          </cell>
          <cell r="I582">
            <v>1</v>
          </cell>
          <cell r="J582">
            <v>1</v>
          </cell>
          <cell r="K582">
            <v>8151</v>
          </cell>
          <cell r="L582" t="str">
            <v>99-1201</v>
          </cell>
        </row>
        <row r="583">
          <cell r="B583" t="str">
            <v>우성주</v>
          </cell>
          <cell r="D583" t="str">
            <v>우성주</v>
          </cell>
          <cell r="E583">
            <v>20536167</v>
          </cell>
          <cell r="F583">
            <v>1500</v>
          </cell>
          <cell r="G583">
            <v>97400</v>
          </cell>
          <cell r="H583">
            <v>54240</v>
          </cell>
          <cell r="I583">
            <v>1</v>
          </cell>
          <cell r="J583">
            <v>1</v>
          </cell>
          <cell r="K583">
            <v>5877</v>
          </cell>
          <cell r="L583" t="str">
            <v>99-1202</v>
          </cell>
        </row>
        <row r="584">
          <cell r="B584" t="str">
            <v>김령</v>
          </cell>
          <cell r="D584" t="str">
            <v>김형</v>
          </cell>
          <cell r="E584">
            <v>9356572</v>
          </cell>
          <cell r="F584">
            <v>640</v>
          </cell>
          <cell r="G584">
            <v>46700</v>
          </cell>
          <cell r="H584">
            <v>33900</v>
          </cell>
          <cell r="I584">
            <v>1</v>
          </cell>
          <cell r="J584">
            <v>1</v>
          </cell>
          <cell r="K584">
            <v>5218</v>
          </cell>
          <cell r="L584" t="str">
            <v>99-1203</v>
          </cell>
        </row>
        <row r="585">
          <cell r="B585" t="str">
            <v>소덕헤</v>
          </cell>
          <cell r="D585" t="str">
            <v>소덕헤</v>
          </cell>
          <cell r="E585">
            <v>5068316</v>
          </cell>
          <cell r="F585">
            <v>410</v>
          </cell>
          <cell r="G585">
            <v>25300</v>
          </cell>
          <cell r="H585">
            <v>33900</v>
          </cell>
          <cell r="I585">
            <v>1</v>
          </cell>
          <cell r="J585">
            <v>1</v>
          </cell>
          <cell r="K585">
            <v>5522</v>
          </cell>
          <cell r="L585" t="str">
            <v>99-1204</v>
          </cell>
        </row>
        <row r="586">
          <cell r="B586" t="str">
            <v>김숙자</v>
          </cell>
          <cell r="D586" t="str">
            <v>김숙자</v>
          </cell>
          <cell r="E586">
            <v>6142940</v>
          </cell>
          <cell r="F586">
            <v>500</v>
          </cell>
          <cell r="G586">
            <v>30700</v>
          </cell>
          <cell r="H586">
            <v>33900</v>
          </cell>
          <cell r="I586">
            <v>1</v>
          </cell>
          <cell r="J586">
            <v>1</v>
          </cell>
          <cell r="K586">
            <v>5747</v>
          </cell>
          <cell r="L586" t="str">
            <v>99-1205</v>
          </cell>
        </row>
        <row r="587">
          <cell r="B587" t="str">
            <v>이근갑</v>
          </cell>
          <cell r="D587" t="str">
            <v>이근갑</v>
          </cell>
          <cell r="E587">
            <v>15341488</v>
          </cell>
          <cell r="F587">
            <v>900</v>
          </cell>
          <cell r="G587">
            <v>74000</v>
          </cell>
          <cell r="H587">
            <v>33900</v>
          </cell>
          <cell r="I587">
            <v>1</v>
          </cell>
          <cell r="J587">
            <v>1</v>
          </cell>
          <cell r="K587">
            <v>5775</v>
          </cell>
          <cell r="L587" t="str">
            <v>99-1206</v>
          </cell>
        </row>
        <row r="588">
          <cell r="B588" t="str">
            <v>이태수</v>
          </cell>
          <cell r="D588" t="str">
            <v>이태수</v>
          </cell>
          <cell r="E588">
            <v>12186091</v>
          </cell>
          <cell r="F588">
            <v>730</v>
          </cell>
          <cell r="G588">
            <v>59800</v>
          </cell>
          <cell r="H588">
            <v>33900</v>
          </cell>
          <cell r="I588">
            <v>1</v>
          </cell>
          <cell r="J588">
            <v>1</v>
          </cell>
          <cell r="K588">
            <v>5870</v>
          </cell>
          <cell r="L588" t="str">
            <v>99-1207</v>
          </cell>
        </row>
        <row r="589">
          <cell r="B589" t="str">
            <v>구용채</v>
          </cell>
          <cell r="D589" t="str">
            <v>구용채</v>
          </cell>
          <cell r="E589">
            <v>6233064</v>
          </cell>
          <cell r="F589">
            <v>450</v>
          </cell>
          <cell r="G589">
            <v>31100</v>
          </cell>
          <cell r="H589">
            <v>33900</v>
          </cell>
          <cell r="I589">
            <v>1</v>
          </cell>
          <cell r="J589">
            <v>1</v>
          </cell>
          <cell r="K589">
            <v>1772</v>
          </cell>
          <cell r="L589" t="str">
            <v>99-1208</v>
          </cell>
        </row>
        <row r="590">
          <cell r="B590" t="str">
            <v>윤갑순</v>
          </cell>
          <cell r="D590" t="str">
            <v>윤갑순</v>
          </cell>
          <cell r="E590">
            <v>25227448</v>
          </cell>
          <cell r="K590">
            <v>2009</v>
          </cell>
          <cell r="L590" t="str">
            <v>99-1209</v>
          </cell>
        </row>
        <row r="591">
          <cell r="B591" t="str">
            <v>김문경</v>
          </cell>
          <cell r="D591" t="str">
            <v>김문경</v>
          </cell>
          <cell r="E591">
            <v>31902228</v>
          </cell>
          <cell r="K591">
            <v>1740</v>
          </cell>
          <cell r="L591" t="str">
            <v>99-1210</v>
          </cell>
        </row>
        <row r="592">
          <cell r="B592" t="str">
            <v>박우찬</v>
          </cell>
          <cell r="D592" t="str">
            <v>박우찬</v>
          </cell>
          <cell r="E592">
            <v>14507383</v>
          </cell>
          <cell r="K592">
            <v>1905</v>
          </cell>
          <cell r="L592" t="str">
            <v>99-1211</v>
          </cell>
        </row>
        <row r="593">
          <cell r="B593" t="str">
            <v>박정근</v>
          </cell>
          <cell r="D593" t="str">
            <v>박정근</v>
          </cell>
          <cell r="E593">
            <v>16763830</v>
          </cell>
          <cell r="K593">
            <v>1964</v>
          </cell>
          <cell r="L593" t="str">
            <v>99-1212</v>
          </cell>
        </row>
        <row r="594">
          <cell r="B594" t="str">
            <v>이경선</v>
          </cell>
          <cell r="D594" t="str">
            <v>이경선</v>
          </cell>
          <cell r="E594">
            <v>12135155</v>
          </cell>
          <cell r="K594">
            <v>5066</v>
          </cell>
          <cell r="L594" t="str">
            <v>99-1213</v>
          </cell>
        </row>
        <row r="595">
          <cell r="B595" t="str">
            <v>㈜고바리한국지사</v>
          </cell>
          <cell r="D595" t="str">
            <v>고바리한국지사</v>
          </cell>
          <cell r="E595">
            <v>92795175</v>
          </cell>
          <cell r="K595">
            <v>8217</v>
          </cell>
          <cell r="L595" t="str">
            <v>99-1214</v>
          </cell>
        </row>
        <row r="596">
          <cell r="B596" t="str">
            <v>황옥례(김수철)</v>
          </cell>
          <cell r="D596" t="str">
            <v>황옥례(김수철)</v>
          </cell>
          <cell r="E596">
            <v>1992264</v>
          </cell>
          <cell r="K596">
            <v>10893</v>
          </cell>
          <cell r="L596" t="str">
            <v>99-1215</v>
          </cell>
        </row>
        <row r="597">
          <cell r="B597" t="str">
            <v>양미숙(최홍열)</v>
          </cell>
          <cell r="C597">
            <v>36521</v>
          </cell>
          <cell r="D597" t="str">
            <v>양미숙(최홍열)</v>
          </cell>
          <cell r="E597">
            <v>4954685</v>
          </cell>
          <cell r="K597">
            <v>7150</v>
          </cell>
          <cell r="L597" t="str">
            <v>99-1216</v>
          </cell>
        </row>
        <row r="598">
          <cell r="B598" t="str">
            <v>김혜순</v>
          </cell>
          <cell r="C598">
            <v>36504</v>
          </cell>
          <cell r="D598" t="str">
            <v>김헤순</v>
          </cell>
          <cell r="E598">
            <v>5593352</v>
          </cell>
          <cell r="K598" t="str">
            <v>10210/33231</v>
          </cell>
          <cell r="L598" t="str">
            <v>99-1217</v>
          </cell>
        </row>
        <row r="599">
          <cell r="B599" t="str">
            <v>박병주</v>
          </cell>
          <cell r="D599" t="str">
            <v>최화영</v>
          </cell>
          <cell r="E599">
            <v>40833973</v>
          </cell>
          <cell r="K599">
            <v>809</v>
          </cell>
          <cell r="L599" t="str">
            <v>99-1218</v>
          </cell>
        </row>
        <row r="600">
          <cell r="B600" t="str">
            <v>한수경</v>
          </cell>
          <cell r="D600" t="str">
            <v>한수경</v>
          </cell>
          <cell r="E600">
            <v>7053984</v>
          </cell>
          <cell r="K600">
            <v>12361</v>
          </cell>
          <cell r="L600" t="str">
            <v>99-1219</v>
          </cell>
        </row>
        <row r="601">
          <cell r="B601" t="str">
            <v>신아금속㈜</v>
          </cell>
          <cell r="C601">
            <v>36523</v>
          </cell>
          <cell r="D601" t="str">
            <v>신아금속㈜</v>
          </cell>
          <cell r="E601">
            <v>5748741</v>
          </cell>
          <cell r="K601">
            <v>7321</v>
          </cell>
          <cell r="L601" t="str">
            <v>99-1220</v>
          </cell>
        </row>
        <row r="602">
          <cell r="B602" t="str">
            <v>박은숙</v>
          </cell>
          <cell r="D602" t="str">
            <v>박은숙</v>
          </cell>
          <cell r="E602">
            <v>2340324</v>
          </cell>
          <cell r="K602">
            <v>5949</v>
          </cell>
          <cell r="L602" t="str">
            <v>99-1221</v>
          </cell>
        </row>
        <row r="603">
          <cell r="B603" t="str">
            <v>이종식</v>
          </cell>
          <cell r="D603" t="str">
            <v>이종식</v>
          </cell>
          <cell r="E603">
            <v>8975593</v>
          </cell>
          <cell r="K603">
            <v>8519</v>
          </cell>
          <cell r="L603" t="str">
            <v>99-1222</v>
          </cell>
        </row>
        <row r="604">
          <cell r="B604" t="str">
            <v>이순갑</v>
          </cell>
          <cell r="C604">
            <v>36521</v>
          </cell>
          <cell r="D604" t="str">
            <v>이순갑</v>
          </cell>
          <cell r="E604">
            <v>9178407</v>
          </cell>
          <cell r="K604">
            <v>32363</v>
          </cell>
          <cell r="L604" t="str">
            <v>99-1223</v>
          </cell>
        </row>
        <row r="605">
          <cell r="B605" t="str">
            <v>권이황</v>
          </cell>
          <cell r="C605">
            <v>36521</v>
          </cell>
          <cell r="D605" t="str">
            <v>권이황</v>
          </cell>
          <cell r="E605">
            <v>2475769</v>
          </cell>
          <cell r="K605">
            <v>28893</v>
          </cell>
          <cell r="L605" t="str">
            <v>99-1224</v>
          </cell>
        </row>
        <row r="606">
          <cell r="B606" t="str">
            <v>강석진</v>
          </cell>
          <cell r="C606">
            <v>36528</v>
          </cell>
          <cell r="D606" t="str">
            <v>강석진</v>
          </cell>
          <cell r="E606">
            <v>18315848</v>
          </cell>
          <cell r="K606">
            <v>29094</v>
          </cell>
          <cell r="L606" t="str">
            <v>99-1225</v>
          </cell>
        </row>
        <row r="607">
          <cell r="B607" t="str">
            <v>김보라</v>
          </cell>
          <cell r="C607">
            <v>36564</v>
          </cell>
          <cell r="D607" t="str">
            <v>김보라</v>
          </cell>
          <cell r="E607">
            <v>1830219</v>
          </cell>
          <cell r="K607">
            <v>33117</v>
          </cell>
          <cell r="L607" t="str">
            <v>99-1226</v>
          </cell>
        </row>
        <row r="608">
          <cell r="B608" t="str">
            <v>박영화</v>
          </cell>
          <cell r="C608">
            <v>36564</v>
          </cell>
          <cell r="D608" t="str">
            <v>박영화</v>
          </cell>
          <cell r="E608">
            <v>12637305</v>
          </cell>
          <cell r="K608">
            <v>8719</v>
          </cell>
          <cell r="L608" t="str">
            <v>99-1227</v>
          </cell>
        </row>
        <row r="609">
          <cell r="B609" t="str">
            <v>서복순</v>
          </cell>
          <cell r="C609">
            <v>36523</v>
          </cell>
          <cell r="D609" t="str">
            <v>서복순</v>
          </cell>
          <cell r="E609">
            <v>6478228</v>
          </cell>
          <cell r="K609">
            <v>7923</v>
          </cell>
          <cell r="L609" t="str">
            <v>99-1228</v>
          </cell>
        </row>
        <row r="610">
          <cell r="B610" t="str">
            <v>이전영</v>
          </cell>
          <cell r="C610">
            <v>36528</v>
          </cell>
          <cell r="D610" t="str">
            <v>이전영</v>
          </cell>
          <cell r="E610">
            <v>15665749</v>
          </cell>
          <cell r="K610">
            <v>4335</v>
          </cell>
          <cell r="L610" t="str">
            <v>99-1229</v>
          </cell>
        </row>
        <row r="611">
          <cell r="B611" t="str">
            <v>김병진</v>
          </cell>
          <cell r="C611">
            <v>36528</v>
          </cell>
          <cell r="D611" t="str">
            <v>김병진</v>
          </cell>
          <cell r="E611">
            <v>8864613</v>
          </cell>
          <cell r="K611">
            <v>4315</v>
          </cell>
          <cell r="L611" t="str">
            <v>99-1230</v>
          </cell>
        </row>
        <row r="612">
          <cell r="B612" t="str">
            <v>임미영</v>
          </cell>
          <cell r="C612">
            <v>36564</v>
          </cell>
          <cell r="D612" t="str">
            <v>임미영</v>
          </cell>
          <cell r="E612">
            <v>11169386</v>
          </cell>
          <cell r="K612">
            <v>4331</v>
          </cell>
          <cell r="L612" t="str">
            <v>99-1231</v>
          </cell>
        </row>
        <row r="613">
          <cell r="B613" t="str">
            <v>이연숙</v>
          </cell>
          <cell r="D613" t="str">
            <v>이연숙</v>
          </cell>
          <cell r="E613">
            <v>3747239</v>
          </cell>
          <cell r="K613">
            <v>7815</v>
          </cell>
          <cell r="L613" t="str">
            <v>99-1232</v>
          </cell>
        </row>
        <row r="614">
          <cell r="B614" t="str">
            <v>박남희</v>
          </cell>
          <cell r="C614">
            <v>36564</v>
          </cell>
          <cell r="D614" t="str">
            <v>박남희</v>
          </cell>
          <cell r="E614">
            <v>6139679</v>
          </cell>
          <cell r="K614">
            <v>7950</v>
          </cell>
          <cell r="L614" t="str">
            <v>99-1233</v>
          </cell>
        </row>
        <row r="615">
          <cell r="B615" t="str">
            <v>윤해숙</v>
          </cell>
          <cell r="C615">
            <v>36564</v>
          </cell>
          <cell r="D615" t="str">
            <v>윤해숙</v>
          </cell>
          <cell r="E615">
            <v>7792932</v>
          </cell>
          <cell r="K615">
            <v>8198</v>
          </cell>
          <cell r="L615" t="str">
            <v>99-1234</v>
          </cell>
        </row>
        <row r="616">
          <cell r="B616" t="str">
            <v>최경민</v>
          </cell>
          <cell r="D616" t="str">
            <v>최경민</v>
          </cell>
          <cell r="E616">
            <v>16976355</v>
          </cell>
          <cell r="K616">
            <v>5528</v>
          </cell>
          <cell r="L616" t="str">
            <v>99-1235</v>
          </cell>
        </row>
        <row r="617">
          <cell r="B617" t="str">
            <v>권영수</v>
          </cell>
          <cell r="C617">
            <v>36528</v>
          </cell>
          <cell r="D617" t="str">
            <v>권영수</v>
          </cell>
          <cell r="E617">
            <v>7677111</v>
          </cell>
          <cell r="K617">
            <v>7375</v>
          </cell>
          <cell r="L617" t="str">
            <v>99-1236</v>
          </cell>
        </row>
        <row r="618">
          <cell r="B618" t="str">
            <v>원설향</v>
          </cell>
          <cell r="C618">
            <v>36528</v>
          </cell>
          <cell r="D618" t="str">
            <v>원설향</v>
          </cell>
          <cell r="E618">
            <v>23689544</v>
          </cell>
          <cell r="K618">
            <v>8244</v>
          </cell>
          <cell r="L618" t="str">
            <v>99-1237</v>
          </cell>
        </row>
        <row r="619">
          <cell r="B619" t="str">
            <v>김경자</v>
          </cell>
          <cell r="D619" t="str">
            <v>김경자</v>
          </cell>
          <cell r="E619">
            <v>25674719</v>
          </cell>
          <cell r="K619">
            <v>8532</v>
          </cell>
          <cell r="L619" t="str">
            <v>99-1238</v>
          </cell>
        </row>
        <row r="620">
          <cell r="B620" t="str">
            <v>임훈(대한)</v>
          </cell>
          <cell r="D620" t="str">
            <v>임훈(대한)</v>
          </cell>
          <cell r="E620">
            <v>393676694</v>
          </cell>
          <cell r="K620">
            <v>966</v>
          </cell>
          <cell r="L620" t="str">
            <v>99-1239</v>
          </cell>
        </row>
        <row r="621">
          <cell r="B621" t="str">
            <v>강영화</v>
          </cell>
          <cell r="D621" t="str">
            <v>최윤희</v>
          </cell>
          <cell r="E621">
            <v>12000000</v>
          </cell>
          <cell r="F621">
            <v>730</v>
          </cell>
          <cell r="G621">
            <v>59000</v>
          </cell>
          <cell r="H621">
            <v>22600</v>
          </cell>
          <cell r="I621">
            <v>1</v>
          </cell>
          <cell r="J621">
            <v>3</v>
          </cell>
          <cell r="K621" t="str">
            <v>경매</v>
          </cell>
          <cell r="L621" t="str">
            <v>99-1240</v>
          </cell>
        </row>
        <row r="622">
          <cell r="B622" t="str">
            <v>최은희</v>
          </cell>
          <cell r="D622" t="str">
            <v>최은희</v>
          </cell>
          <cell r="E622">
            <v>5502942</v>
          </cell>
          <cell r="K622">
            <v>16139</v>
          </cell>
          <cell r="L622" t="str">
            <v>99-1241</v>
          </cell>
        </row>
        <row r="623">
          <cell r="B623" t="str">
            <v>소재익</v>
          </cell>
          <cell r="C623">
            <v>36522</v>
          </cell>
          <cell r="D623" t="str">
            <v>소재익</v>
          </cell>
          <cell r="E623">
            <v>3191066</v>
          </cell>
          <cell r="K623">
            <v>12247</v>
          </cell>
          <cell r="L623" t="str">
            <v>99-1242</v>
          </cell>
        </row>
        <row r="624">
          <cell r="B624" t="str">
            <v>박윤수</v>
          </cell>
          <cell r="D624" t="str">
            <v>박윤수</v>
          </cell>
          <cell r="E624">
            <v>14414419</v>
          </cell>
          <cell r="K624">
            <v>30314</v>
          </cell>
          <cell r="L624" t="str">
            <v>99-1243</v>
          </cell>
        </row>
        <row r="625">
          <cell r="B625" t="str">
            <v>김옥선</v>
          </cell>
          <cell r="C625">
            <v>36522</v>
          </cell>
          <cell r="D625" t="str">
            <v>김옥선</v>
          </cell>
          <cell r="E625">
            <v>13886783</v>
          </cell>
          <cell r="K625">
            <v>16191</v>
          </cell>
          <cell r="L625" t="str">
            <v>99-1244</v>
          </cell>
        </row>
        <row r="626">
          <cell r="B626" t="str">
            <v>원혜정(최종문)</v>
          </cell>
          <cell r="D626" t="str">
            <v>원혜정(최종문)</v>
          </cell>
          <cell r="E626">
            <v>14417020</v>
          </cell>
          <cell r="K626">
            <v>6569</v>
          </cell>
          <cell r="L626" t="str">
            <v>99-1245</v>
          </cell>
        </row>
        <row r="627">
          <cell r="B627" t="str">
            <v>신맥개발산업㈜</v>
          </cell>
          <cell r="D627" t="str">
            <v>신맥개발산업㈜</v>
          </cell>
          <cell r="E627">
            <v>43575609</v>
          </cell>
          <cell r="K627">
            <v>5166</v>
          </cell>
          <cell r="L627" t="str">
            <v>99-1246</v>
          </cell>
        </row>
        <row r="628">
          <cell r="B628" t="str">
            <v>오해윤</v>
          </cell>
          <cell r="D628" t="str">
            <v>오해윤</v>
          </cell>
          <cell r="E628">
            <v>73359161</v>
          </cell>
          <cell r="K628">
            <v>4418</v>
          </cell>
          <cell r="L628" t="str">
            <v>99-1247</v>
          </cell>
        </row>
        <row r="629">
          <cell r="B629" t="str">
            <v>손동재(손천덕)</v>
          </cell>
          <cell r="D629" t="str">
            <v>손동재(손천덕)</v>
          </cell>
          <cell r="E629">
            <v>20827669</v>
          </cell>
          <cell r="K629">
            <v>5602</v>
          </cell>
          <cell r="L629" t="str">
            <v>99-1248</v>
          </cell>
        </row>
        <row r="630">
          <cell r="B630" t="str">
            <v>유정열</v>
          </cell>
          <cell r="D630" t="str">
            <v>유정열</v>
          </cell>
          <cell r="E630">
            <v>13963711</v>
          </cell>
          <cell r="K630">
            <v>12243</v>
          </cell>
          <cell r="L630" t="str">
            <v>99-1249</v>
          </cell>
        </row>
        <row r="631">
          <cell r="B631" t="str">
            <v>양승문</v>
          </cell>
          <cell r="C631">
            <v>36503</v>
          </cell>
          <cell r="D631" t="str">
            <v>이재두2</v>
          </cell>
          <cell r="E631">
            <v>11000000</v>
          </cell>
          <cell r="F631">
            <v>690</v>
          </cell>
          <cell r="G631">
            <v>54500</v>
          </cell>
          <cell r="H631">
            <v>45200</v>
          </cell>
          <cell r="I631">
            <v>1</v>
          </cell>
          <cell r="J631">
            <v>2</v>
          </cell>
          <cell r="K631" t="str">
            <v>경인</v>
          </cell>
          <cell r="L631" t="str">
            <v>99-125</v>
          </cell>
        </row>
        <row r="632">
          <cell r="B632" t="str">
            <v>조종호</v>
          </cell>
          <cell r="D632" t="str">
            <v>조종호</v>
          </cell>
          <cell r="E632">
            <v>1777682</v>
          </cell>
          <cell r="K632">
            <v>8987</v>
          </cell>
          <cell r="L632" t="str">
            <v>99-1250</v>
          </cell>
        </row>
        <row r="633">
          <cell r="B633" t="str">
            <v>장경순</v>
          </cell>
          <cell r="D633" t="str">
            <v>장경순</v>
          </cell>
          <cell r="E633">
            <v>1917289</v>
          </cell>
          <cell r="K633">
            <v>12221</v>
          </cell>
          <cell r="L633" t="str">
            <v>99-1251</v>
          </cell>
        </row>
        <row r="634">
          <cell r="B634" t="str">
            <v>최한기</v>
          </cell>
          <cell r="D634" t="str">
            <v>최한기</v>
          </cell>
          <cell r="E634">
            <v>10785750</v>
          </cell>
          <cell r="L634" t="str">
            <v>99-1252</v>
          </cell>
        </row>
        <row r="635">
          <cell r="B635" t="str">
            <v>이재붕</v>
          </cell>
          <cell r="D635" t="str">
            <v>이재붕</v>
          </cell>
          <cell r="E635">
            <v>15240379</v>
          </cell>
          <cell r="K635">
            <v>6788</v>
          </cell>
          <cell r="L635" t="str">
            <v>99-1253</v>
          </cell>
        </row>
        <row r="636">
          <cell r="B636" t="str">
            <v>임현성</v>
          </cell>
          <cell r="C636">
            <v>36530</v>
          </cell>
          <cell r="D636" t="str">
            <v>임현성</v>
          </cell>
          <cell r="E636">
            <v>9444595</v>
          </cell>
          <cell r="K636">
            <v>11266</v>
          </cell>
          <cell r="L636" t="str">
            <v>99-1254</v>
          </cell>
        </row>
        <row r="637">
          <cell r="B637" t="str">
            <v>임윤미</v>
          </cell>
          <cell r="C637">
            <v>36530</v>
          </cell>
          <cell r="D637" t="str">
            <v>임윤미</v>
          </cell>
          <cell r="E637">
            <v>9667746</v>
          </cell>
          <cell r="K637">
            <v>6565</v>
          </cell>
          <cell r="L637" t="str">
            <v>99-1255</v>
          </cell>
        </row>
        <row r="638">
          <cell r="B638" t="str">
            <v>임현성(임원준)</v>
          </cell>
          <cell r="C638">
            <v>36530</v>
          </cell>
          <cell r="D638" t="str">
            <v>임현성</v>
          </cell>
          <cell r="E638">
            <v>8447593</v>
          </cell>
          <cell r="K638">
            <v>6458</v>
          </cell>
          <cell r="L638" t="str">
            <v>99-1256</v>
          </cell>
        </row>
        <row r="639">
          <cell r="B639" t="str">
            <v>권해주</v>
          </cell>
          <cell r="C639">
            <v>36530</v>
          </cell>
          <cell r="D639" t="str">
            <v>권해주</v>
          </cell>
          <cell r="E639">
            <v>13037869</v>
          </cell>
          <cell r="K639" t="str">
            <v>경수</v>
          </cell>
          <cell r="L639" t="str">
            <v>99-1257</v>
          </cell>
        </row>
        <row r="640">
          <cell r="B640" t="str">
            <v>이정욱</v>
          </cell>
          <cell r="D640" t="str">
            <v>이정욱</v>
          </cell>
          <cell r="E640">
            <v>17068611</v>
          </cell>
          <cell r="K640">
            <v>2162</v>
          </cell>
          <cell r="L640" t="str">
            <v>99-1258</v>
          </cell>
        </row>
        <row r="641">
          <cell r="B641" t="str">
            <v>김진오</v>
          </cell>
          <cell r="D641" t="str">
            <v>김진오</v>
          </cell>
          <cell r="E641">
            <v>17134671</v>
          </cell>
          <cell r="K641">
            <v>4493</v>
          </cell>
          <cell r="L641" t="str">
            <v>99-1259</v>
          </cell>
        </row>
        <row r="642">
          <cell r="B642" t="str">
            <v>김명희</v>
          </cell>
          <cell r="D642" t="str">
            <v>김명화</v>
          </cell>
          <cell r="E642">
            <v>33317638</v>
          </cell>
          <cell r="K642">
            <v>4850</v>
          </cell>
          <cell r="L642" t="str">
            <v>99-1260</v>
          </cell>
        </row>
        <row r="643">
          <cell r="B643" t="str">
            <v>㈜거진섬유</v>
          </cell>
          <cell r="C643">
            <v>36530</v>
          </cell>
          <cell r="D643" t="str">
            <v>거진섬유</v>
          </cell>
          <cell r="E643">
            <v>11177958</v>
          </cell>
          <cell r="K643">
            <v>8370</v>
          </cell>
          <cell r="L643" t="str">
            <v>99-1261</v>
          </cell>
        </row>
        <row r="644">
          <cell r="B644" t="str">
            <v>양준승</v>
          </cell>
          <cell r="D644" t="str">
            <v>양준승</v>
          </cell>
          <cell r="E644">
            <v>29626814</v>
          </cell>
          <cell r="K644">
            <v>26337</v>
          </cell>
          <cell r="L644" t="str">
            <v>99-1262</v>
          </cell>
        </row>
        <row r="645">
          <cell r="B645" t="str">
            <v>박준형</v>
          </cell>
          <cell r="D645" t="str">
            <v>박준형</v>
          </cell>
          <cell r="E645">
            <v>24679766</v>
          </cell>
          <cell r="K645">
            <v>6596</v>
          </cell>
          <cell r="L645" t="str">
            <v>99-1263</v>
          </cell>
        </row>
        <row r="646">
          <cell r="B646" t="str">
            <v>최영규</v>
          </cell>
          <cell r="D646" t="str">
            <v>최영규</v>
          </cell>
          <cell r="E646">
            <v>28840222</v>
          </cell>
          <cell r="K646">
            <v>4117</v>
          </cell>
          <cell r="L646" t="str">
            <v>99-1264</v>
          </cell>
        </row>
        <row r="647">
          <cell r="B647" t="str">
            <v>신혜경</v>
          </cell>
          <cell r="D647" t="str">
            <v>신혜경</v>
          </cell>
          <cell r="E647">
            <v>9864467</v>
          </cell>
          <cell r="K647">
            <v>4098</v>
          </cell>
          <cell r="L647" t="str">
            <v>99-1265</v>
          </cell>
        </row>
        <row r="648">
          <cell r="B648" t="str">
            <v>김정숙</v>
          </cell>
          <cell r="D648" t="str">
            <v>김정숙</v>
          </cell>
          <cell r="E648">
            <v>11653071</v>
          </cell>
          <cell r="K648">
            <v>4147</v>
          </cell>
          <cell r="L648" t="str">
            <v>99-1266</v>
          </cell>
        </row>
        <row r="649">
          <cell r="B649" t="str">
            <v>조경숙</v>
          </cell>
          <cell r="D649" t="str">
            <v>조경숙</v>
          </cell>
          <cell r="E649">
            <v>15156043</v>
          </cell>
          <cell r="K649">
            <v>1895</v>
          </cell>
          <cell r="L649" t="str">
            <v>99-1267</v>
          </cell>
        </row>
        <row r="650">
          <cell r="B650" t="str">
            <v>김귀남</v>
          </cell>
          <cell r="D650" t="str">
            <v>김귀남</v>
          </cell>
          <cell r="E650">
            <v>9727975</v>
          </cell>
          <cell r="K650">
            <v>5459</v>
          </cell>
          <cell r="L650" t="str">
            <v>99-1268</v>
          </cell>
        </row>
        <row r="651">
          <cell r="B651" t="str">
            <v>김숙자</v>
          </cell>
          <cell r="D651" t="str">
            <v>김숙자</v>
          </cell>
          <cell r="E651">
            <v>11082954</v>
          </cell>
          <cell r="K651">
            <v>6858</v>
          </cell>
          <cell r="L651" t="str">
            <v>99-1269</v>
          </cell>
        </row>
        <row r="652">
          <cell r="B652" t="str">
            <v>김미경</v>
          </cell>
          <cell r="D652" t="str">
            <v>김미경</v>
          </cell>
          <cell r="E652">
            <v>8732984</v>
          </cell>
          <cell r="K652">
            <v>4875</v>
          </cell>
          <cell r="L652" t="str">
            <v>99-1270</v>
          </cell>
        </row>
        <row r="653">
          <cell r="B653" t="str">
            <v>최문용</v>
          </cell>
          <cell r="D653" t="str">
            <v>최문공</v>
          </cell>
          <cell r="E653">
            <v>5384239</v>
          </cell>
          <cell r="K653">
            <v>4977</v>
          </cell>
          <cell r="L653" t="str">
            <v>99-1271</v>
          </cell>
        </row>
        <row r="654">
          <cell r="B654" t="str">
            <v>안인숙</v>
          </cell>
          <cell r="D654" t="str">
            <v>안인숙</v>
          </cell>
          <cell r="E654">
            <v>14430993</v>
          </cell>
          <cell r="K654">
            <v>5050</v>
          </cell>
          <cell r="L654" t="str">
            <v>99-1272</v>
          </cell>
        </row>
        <row r="655">
          <cell r="B655" t="str">
            <v>홍준심</v>
          </cell>
          <cell r="D655" t="str">
            <v>홍준심</v>
          </cell>
          <cell r="E655">
            <v>24458486</v>
          </cell>
          <cell r="K655">
            <v>1843</v>
          </cell>
          <cell r="L655" t="str">
            <v>99-1273</v>
          </cell>
        </row>
        <row r="656">
          <cell r="B656" t="str">
            <v>천보선</v>
          </cell>
          <cell r="D656" t="str">
            <v>천보선</v>
          </cell>
          <cell r="E656">
            <v>23747707</v>
          </cell>
          <cell r="K656">
            <v>14683</v>
          </cell>
          <cell r="L656" t="str">
            <v>99-1274</v>
          </cell>
        </row>
        <row r="657">
          <cell r="B657" t="str">
            <v>한덕수</v>
          </cell>
          <cell r="D657" t="str">
            <v>한덕수</v>
          </cell>
          <cell r="E657">
            <v>6209062</v>
          </cell>
          <cell r="K657" t="str">
            <v>28563/6837</v>
          </cell>
          <cell r="L657" t="str">
            <v>99-1275</v>
          </cell>
        </row>
        <row r="658">
          <cell r="B658" t="str">
            <v>이영대</v>
          </cell>
          <cell r="D658" t="str">
            <v>이영대</v>
          </cell>
          <cell r="E658">
            <v>19169612</v>
          </cell>
          <cell r="K658" t="str">
            <v>6370/31791</v>
          </cell>
          <cell r="L658" t="str">
            <v>99-1276</v>
          </cell>
        </row>
        <row r="659">
          <cell r="B659" t="str">
            <v>김길용</v>
          </cell>
          <cell r="D659" t="str">
            <v>김길용</v>
          </cell>
          <cell r="E659">
            <v>4167731</v>
          </cell>
          <cell r="K659">
            <v>6176</v>
          </cell>
          <cell r="L659" t="str">
            <v>99-1277</v>
          </cell>
        </row>
        <row r="660">
          <cell r="B660" t="str">
            <v>김일배</v>
          </cell>
          <cell r="D660" t="str">
            <v>김일배</v>
          </cell>
          <cell r="E660">
            <v>16281096</v>
          </cell>
          <cell r="K660">
            <v>4019</v>
          </cell>
          <cell r="L660" t="str">
            <v>99-1278</v>
          </cell>
        </row>
        <row r="661">
          <cell r="B661" t="str">
            <v>김영일</v>
          </cell>
          <cell r="D661" t="str">
            <v>김영일</v>
          </cell>
          <cell r="E661">
            <v>6748722</v>
          </cell>
          <cell r="K661">
            <v>6180</v>
          </cell>
          <cell r="L661" t="str">
            <v>99-1279</v>
          </cell>
        </row>
        <row r="662">
          <cell r="B662" t="str">
            <v>이성창</v>
          </cell>
          <cell r="C662">
            <v>36528</v>
          </cell>
          <cell r="D662" t="str">
            <v>이성창</v>
          </cell>
          <cell r="E662">
            <v>6441985</v>
          </cell>
          <cell r="K662">
            <v>6173</v>
          </cell>
          <cell r="L662" t="str">
            <v>99-1280</v>
          </cell>
        </row>
        <row r="663">
          <cell r="B663" t="str">
            <v>이화미</v>
          </cell>
          <cell r="D663" t="str">
            <v>이화미</v>
          </cell>
          <cell r="E663">
            <v>16752463</v>
          </cell>
          <cell r="K663">
            <v>6015</v>
          </cell>
          <cell r="L663" t="str">
            <v>99-1281</v>
          </cell>
        </row>
        <row r="664">
          <cell r="B664" t="str">
            <v>임한식</v>
          </cell>
          <cell r="D664" t="str">
            <v>임한식</v>
          </cell>
          <cell r="E664">
            <v>9553942</v>
          </cell>
          <cell r="K664">
            <v>6061</v>
          </cell>
          <cell r="L664" t="str">
            <v>99-1282</v>
          </cell>
        </row>
        <row r="665">
          <cell r="B665" t="str">
            <v>백미해</v>
          </cell>
          <cell r="C665">
            <v>36528</v>
          </cell>
          <cell r="D665" t="str">
            <v>백미해</v>
          </cell>
          <cell r="E665">
            <v>2807418</v>
          </cell>
          <cell r="K665">
            <v>6288</v>
          </cell>
          <cell r="L665" t="str">
            <v>99-1283</v>
          </cell>
        </row>
        <row r="666">
          <cell r="B666" t="str">
            <v>이선화</v>
          </cell>
          <cell r="D666" t="str">
            <v>이선화</v>
          </cell>
          <cell r="E666">
            <v>13818868</v>
          </cell>
          <cell r="K666">
            <v>6191</v>
          </cell>
          <cell r="L666" t="str">
            <v>99-1284</v>
          </cell>
        </row>
        <row r="667">
          <cell r="B667" t="str">
            <v>현대목재공업㈜</v>
          </cell>
          <cell r="D667" t="str">
            <v>현대목재공업㈜</v>
          </cell>
          <cell r="E667">
            <v>8471876470</v>
          </cell>
          <cell r="K667">
            <v>25783</v>
          </cell>
          <cell r="L667" t="str">
            <v>99-1285</v>
          </cell>
        </row>
        <row r="668">
          <cell r="B668" t="str">
            <v>박윤표</v>
          </cell>
          <cell r="D668" t="str">
            <v>박윤표</v>
          </cell>
          <cell r="E668">
            <v>13442574</v>
          </cell>
          <cell r="K668">
            <v>4323</v>
          </cell>
          <cell r="L668" t="str">
            <v>99-1286</v>
          </cell>
        </row>
        <row r="669">
          <cell r="B669" t="str">
            <v>최덕근</v>
          </cell>
          <cell r="D669" t="str">
            <v>최덕근</v>
          </cell>
          <cell r="E669">
            <v>6799816</v>
          </cell>
          <cell r="K669">
            <v>9303</v>
          </cell>
          <cell r="L669" t="str">
            <v>99-1287</v>
          </cell>
        </row>
        <row r="670">
          <cell r="B670" t="str">
            <v>김윤용</v>
          </cell>
          <cell r="D670" t="str">
            <v>김윤용</v>
          </cell>
          <cell r="E670">
            <v>16444099</v>
          </cell>
          <cell r="K670">
            <v>4202</v>
          </cell>
          <cell r="L670" t="str">
            <v>99-1288</v>
          </cell>
        </row>
        <row r="671">
          <cell r="B671" t="str">
            <v>김영자</v>
          </cell>
          <cell r="D671" t="str">
            <v>김영자</v>
          </cell>
          <cell r="E671">
            <v>6445951</v>
          </cell>
          <cell r="K671">
            <v>4271</v>
          </cell>
          <cell r="L671" t="str">
            <v>99-1289</v>
          </cell>
        </row>
        <row r="672">
          <cell r="B672" t="str">
            <v>은종수</v>
          </cell>
          <cell r="D672" t="str">
            <v>은종수</v>
          </cell>
          <cell r="E672">
            <v>11541133</v>
          </cell>
          <cell r="K672">
            <v>4243</v>
          </cell>
          <cell r="L672" t="str">
            <v>99-1290</v>
          </cell>
        </row>
        <row r="673">
          <cell r="B673" t="str">
            <v>유평민</v>
          </cell>
          <cell r="D673" t="str">
            <v>유평민</v>
          </cell>
          <cell r="E673">
            <v>26800000</v>
          </cell>
          <cell r="K673">
            <v>4798</v>
          </cell>
          <cell r="L673" t="str">
            <v>99-1291</v>
          </cell>
        </row>
        <row r="674">
          <cell r="B674" t="str">
            <v>정춘자</v>
          </cell>
          <cell r="D674" t="str">
            <v>정춘자</v>
          </cell>
          <cell r="E674">
            <v>21668204</v>
          </cell>
          <cell r="K674" t="str">
            <v>4277/27594</v>
          </cell>
          <cell r="L674" t="str">
            <v>99-1292</v>
          </cell>
        </row>
        <row r="675">
          <cell r="B675" t="str">
            <v>조영원</v>
          </cell>
          <cell r="D675" t="str">
            <v>조영원</v>
          </cell>
          <cell r="E675">
            <v>12054660</v>
          </cell>
          <cell r="K675">
            <v>4842</v>
          </cell>
          <cell r="L675" t="str">
            <v>99-1293</v>
          </cell>
        </row>
        <row r="676">
          <cell r="B676" t="str">
            <v>지창순</v>
          </cell>
          <cell r="D676" t="str">
            <v>지창순</v>
          </cell>
          <cell r="E676">
            <v>8754266</v>
          </cell>
          <cell r="K676">
            <v>4976</v>
          </cell>
          <cell r="L676" t="str">
            <v>99-1294</v>
          </cell>
        </row>
        <row r="677">
          <cell r="B677" t="str">
            <v>황은진</v>
          </cell>
          <cell r="D677" t="str">
            <v>황은진</v>
          </cell>
          <cell r="E677">
            <v>10717967</v>
          </cell>
          <cell r="K677">
            <v>4787</v>
          </cell>
          <cell r="L677" t="str">
            <v>99-1295</v>
          </cell>
        </row>
        <row r="678">
          <cell r="B678" t="str">
            <v>이희숙</v>
          </cell>
          <cell r="D678" t="str">
            <v>이희숙</v>
          </cell>
          <cell r="E678">
            <v>18362145</v>
          </cell>
          <cell r="K678">
            <v>4986</v>
          </cell>
          <cell r="L678" t="str">
            <v>99-1296</v>
          </cell>
        </row>
        <row r="679">
          <cell r="B679" t="str">
            <v>최은철</v>
          </cell>
          <cell r="D679" t="str">
            <v>최은철</v>
          </cell>
          <cell r="E679">
            <v>29974454</v>
          </cell>
          <cell r="K679">
            <v>6773</v>
          </cell>
          <cell r="L679" t="str">
            <v>99-1297</v>
          </cell>
        </row>
        <row r="680">
          <cell r="B680" t="str">
            <v>정윤정</v>
          </cell>
          <cell r="C680">
            <v>36528</v>
          </cell>
          <cell r="D680" t="str">
            <v>정윤정</v>
          </cell>
          <cell r="E680">
            <v>10848694</v>
          </cell>
          <cell r="K680">
            <v>6627</v>
          </cell>
          <cell r="L680" t="str">
            <v>99-1298</v>
          </cell>
        </row>
        <row r="681">
          <cell r="B681" t="str">
            <v>이준환</v>
          </cell>
          <cell r="D681" t="str">
            <v>이준환</v>
          </cell>
          <cell r="E681">
            <v>15058857</v>
          </cell>
          <cell r="K681">
            <v>6595</v>
          </cell>
          <cell r="L681" t="str">
            <v>99-1299</v>
          </cell>
        </row>
        <row r="682">
          <cell r="B682" t="str">
            <v>정만영</v>
          </cell>
          <cell r="D682" t="str">
            <v>정만영</v>
          </cell>
          <cell r="E682">
            <v>4444441</v>
          </cell>
          <cell r="K682">
            <v>6563</v>
          </cell>
          <cell r="L682" t="str">
            <v>99-1300</v>
          </cell>
        </row>
        <row r="683">
          <cell r="B683" t="str">
            <v>안동주</v>
          </cell>
          <cell r="D683" t="str">
            <v>안동주</v>
          </cell>
          <cell r="E683">
            <v>5628295</v>
          </cell>
          <cell r="K683">
            <v>7174</v>
          </cell>
          <cell r="L683" t="str">
            <v>99-1301</v>
          </cell>
        </row>
        <row r="684">
          <cell r="B684" t="str">
            <v>이한욱</v>
          </cell>
          <cell r="D684" t="str">
            <v>이한욱</v>
          </cell>
          <cell r="E684">
            <v>4978639</v>
          </cell>
          <cell r="K684">
            <v>7089</v>
          </cell>
          <cell r="L684" t="str">
            <v>99-1302</v>
          </cell>
        </row>
        <row r="685">
          <cell r="B685" t="str">
            <v>신현경</v>
          </cell>
          <cell r="D685" t="str">
            <v>신현경</v>
          </cell>
          <cell r="E685">
            <v>16204817</v>
          </cell>
          <cell r="K685">
            <v>6791</v>
          </cell>
          <cell r="L685" t="str">
            <v>99-1303</v>
          </cell>
        </row>
        <row r="686">
          <cell r="B686" t="str">
            <v>송민실업㈜</v>
          </cell>
          <cell r="D686" t="str">
            <v>송민실업㈜</v>
          </cell>
          <cell r="E686">
            <v>13579256</v>
          </cell>
          <cell r="K686">
            <v>6693</v>
          </cell>
          <cell r="L686" t="str">
            <v>99-1304</v>
          </cell>
        </row>
        <row r="687">
          <cell r="B687" t="str">
            <v>장영원</v>
          </cell>
          <cell r="D687" t="str">
            <v>장영원</v>
          </cell>
          <cell r="E687">
            <v>6775715</v>
          </cell>
          <cell r="K687">
            <v>6962</v>
          </cell>
          <cell r="L687" t="str">
            <v>99-1305</v>
          </cell>
        </row>
        <row r="688">
          <cell r="B688" t="str">
            <v>엽순찬</v>
          </cell>
          <cell r="D688" t="str">
            <v>엽순찬</v>
          </cell>
          <cell r="E688">
            <v>5425229</v>
          </cell>
          <cell r="K688">
            <v>11591</v>
          </cell>
          <cell r="L688" t="str">
            <v>99-1306</v>
          </cell>
        </row>
        <row r="689">
          <cell r="B689" t="str">
            <v>이앙로</v>
          </cell>
          <cell r="D689" t="str">
            <v>이앙로</v>
          </cell>
          <cell r="E689">
            <v>10093496</v>
          </cell>
          <cell r="K689">
            <v>10813</v>
          </cell>
          <cell r="L689" t="str">
            <v>99-1307</v>
          </cell>
        </row>
        <row r="690">
          <cell r="B690" t="str">
            <v>최규</v>
          </cell>
          <cell r="D690" t="str">
            <v>최규</v>
          </cell>
          <cell r="E690">
            <v>16757174</v>
          </cell>
          <cell r="K690">
            <v>10949</v>
          </cell>
          <cell r="L690" t="str">
            <v>99-1308</v>
          </cell>
        </row>
        <row r="691">
          <cell r="B691" t="str">
            <v>이경숙</v>
          </cell>
          <cell r="D691" t="str">
            <v>이경숙</v>
          </cell>
          <cell r="E691">
            <v>26954905</v>
          </cell>
          <cell r="K691">
            <v>4753</v>
          </cell>
          <cell r="L691" t="str">
            <v>99-1309</v>
          </cell>
        </row>
        <row r="692">
          <cell r="B692" t="str">
            <v>장지현</v>
          </cell>
          <cell r="D692" t="str">
            <v>장지현</v>
          </cell>
          <cell r="E692">
            <v>20233417</v>
          </cell>
          <cell r="K692">
            <v>4941</v>
          </cell>
          <cell r="L692" t="str">
            <v>99-1310</v>
          </cell>
        </row>
        <row r="693">
          <cell r="B693" t="str">
            <v>이성수</v>
          </cell>
          <cell r="D693" t="str">
            <v>이성수</v>
          </cell>
          <cell r="E693">
            <v>208924540</v>
          </cell>
          <cell r="K693">
            <v>2016</v>
          </cell>
          <cell r="L693" t="str">
            <v>99-1311</v>
          </cell>
        </row>
        <row r="694">
          <cell r="B694" t="str">
            <v>한국콘크리트공업㈜</v>
          </cell>
          <cell r="D694" t="str">
            <v>한국콘크리트공업㈜</v>
          </cell>
          <cell r="E694">
            <v>78095889</v>
          </cell>
          <cell r="K694">
            <v>2020</v>
          </cell>
          <cell r="L694" t="str">
            <v>99-1312</v>
          </cell>
        </row>
        <row r="695">
          <cell r="B695" t="str">
            <v>㈜코월드</v>
          </cell>
          <cell r="D695" t="str">
            <v>코월드</v>
          </cell>
          <cell r="E695">
            <v>124767940</v>
          </cell>
          <cell r="K695">
            <v>4172</v>
          </cell>
          <cell r="L695" t="str">
            <v>99-1313</v>
          </cell>
        </row>
        <row r="696">
          <cell r="B696" t="str">
            <v>최채용</v>
          </cell>
          <cell r="D696" t="str">
            <v>최채용</v>
          </cell>
          <cell r="E696">
            <v>10000100</v>
          </cell>
          <cell r="L696" t="str">
            <v>99-1314</v>
          </cell>
        </row>
        <row r="697">
          <cell r="B697" t="str">
            <v>김의희</v>
          </cell>
          <cell r="D697" t="str">
            <v>김의희</v>
          </cell>
          <cell r="E697">
            <v>9208684</v>
          </cell>
          <cell r="K697">
            <v>29485</v>
          </cell>
          <cell r="L697" t="str">
            <v>99-1315</v>
          </cell>
        </row>
        <row r="698">
          <cell r="B698" t="str">
            <v>최미자</v>
          </cell>
          <cell r="D698" t="str">
            <v>최미자</v>
          </cell>
          <cell r="E698">
            <v>8035271</v>
          </cell>
          <cell r="K698">
            <v>1917</v>
          </cell>
          <cell r="L698" t="str">
            <v>99-1316</v>
          </cell>
        </row>
        <row r="699">
          <cell r="B699" t="str">
            <v>유복희</v>
          </cell>
          <cell r="D699" t="str">
            <v>유복희</v>
          </cell>
          <cell r="E699">
            <v>13783408</v>
          </cell>
          <cell r="K699">
            <v>10744</v>
          </cell>
          <cell r="L699" t="str">
            <v>99-1317</v>
          </cell>
        </row>
        <row r="700">
          <cell r="B700" t="str">
            <v>김상규</v>
          </cell>
          <cell r="D700" t="str">
            <v>김상규</v>
          </cell>
          <cell r="E700">
            <v>15972565</v>
          </cell>
          <cell r="K700">
            <v>9641</v>
          </cell>
          <cell r="L700" t="str">
            <v>99-1318</v>
          </cell>
        </row>
        <row r="701">
          <cell r="B701" t="str">
            <v>이원배</v>
          </cell>
          <cell r="D701" t="str">
            <v>이원배</v>
          </cell>
          <cell r="E701">
            <v>13096297</v>
          </cell>
          <cell r="K701" t="str">
            <v>5578/27204</v>
          </cell>
          <cell r="L701" t="str">
            <v>99-1319</v>
          </cell>
        </row>
        <row r="702">
          <cell r="B702" t="str">
            <v>이정란</v>
          </cell>
          <cell r="D702" t="str">
            <v>이정란</v>
          </cell>
          <cell r="E702">
            <v>10939182</v>
          </cell>
          <cell r="K702">
            <v>4779</v>
          </cell>
          <cell r="L702" t="str">
            <v>99-1320</v>
          </cell>
        </row>
        <row r="703">
          <cell r="B703" t="str">
            <v>원종범</v>
          </cell>
          <cell r="D703" t="str">
            <v>원종범</v>
          </cell>
          <cell r="E703">
            <v>7347253</v>
          </cell>
          <cell r="K703">
            <v>4107</v>
          </cell>
          <cell r="L703" t="str">
            <v>99-1321</v>
          </cell>
        </row>
        <row r="704">
          <cell r="B704" t="str">
            <v>김인향</v>
          </cell>
          <cell r="D704" t="str">
            <v>김인향</v>
          </cell>
          <cell r="E704">
            <v>12886728</v>
          </cell>
          <cell r="K704" t="str">
            <v>4100/31876</v>
          </cell>
          <cell r="L704" t="str">
            <v>99-1322</v>
          </cell>
        </row>
        <row r="705">
          <cell r="B705" t="str">
            <v>황봉자</v>
          </cell>
          <cell r="D705" t="str">
            <v>황봉자</v>
          </cell>
          <cell r="E705">
            <v>5967015</v>
          </cell>
          <cell r="K705">
            <v>4063</v>
          </cell>
          <cell r="L705" t="str">
            <v>99-1323</v>
          </cell>
        </row>
        <row r="706">
          <cell r="B706" t="str">
            <v>김지환</v>
          </cell>
          <cell r="D706" t="str">
            <v>김지환</v>
          </cell>
          <cell r="E706">
            <v>17860793</v>
          </cell>
          <cell r="K706" t="str">
            <v>5504/31458</v>
          </cell>
          <cell r="L706" t="str">
            <v>99-1324</v>
          </cell>
        </row>
        <row r="707">
          <cell r="B707" t="str">
            <v>김동률</v>
          </cell>
          <cell r="D707" t="str">
            <v>김동률</v>
          </cell>
          <cell r="E707">
            <v>19765133</v>
          </cell>
          <cell r="K707">
            <v>33155</v>
          </cell>
          <cell r="L707" t="str">
            <v>99-1325</v>
          </cell>
        </row>
        <row r="708">
          <cell r="B708" t="str">
            <v>이대복</v>
          </cell>
          <cell r="D708" t="str">
            <v>이대복</v>
          </cell>
          <cell r="E708">
            <v>14552055</v>
          </cell>
          <cell r="K708">
            <v>33277</v>
          </cell>
          <cell r="L708" t="str">
            <v>99-1326</v>
          </cell>
        </row>
        <row r="709">
          <cell r="B709" t="str">
            <v>김행남</v>
          </cell>
          <cell r="D709" t="str">
            <v>김행남</v>
          </cell>
          <cell r="E709">
            <v>6946446</v>
          </cell>
          <cell r="K709">
            <v>27540</v>
          </cell>
          <cell r="L709" t="str">
            <v>99-1327</v>
          </cell>
        </row>
        <row r="710">
          <cell r="B710" t="str">
            <v>신용두</v>
          </cell>
          <cell r="D710" t="str">
            <v>신용두</v>
          </cell>
          <cell r="E710">
            <v>4552002</v>
          </cell>
          <cell r="K710">
            <v>4307</v>
          </cell>
          <cell r="L710" t="str">
            <v>99-1328</v>
          </cell>
        </row>
        <row r="711">
          <cell r="B711" t="str">
            <v>이천무역㈜</v>
          </cell>
          <cell r="D711" t="str">
            <v>이천무역</v>
          </cell>
          <cell r="E711">
            <v>4964413</v>
          </cell>
          <cell r="K711">
            <v>3049</v>
          </cell>
          <cell r="L711" t="str">
            <v>99-1329</v>
          </cell>
        </row>
        <row r="712">
          <cell r="B712" t="str">
            <v>신순호</v>
          </cell>
          <cell r="D712" t="str">
            <v>신순호</v>
          </cell>
          <cell r="E712">
            <v>24725165</v>
          </cell>
          <cell r="K712">
            <v>5366</v>
          </cell>
          <cell r="L712" t="str">
            <v>99-1330</v>
          </cell>
        </row>
        <row r="713">
          <cell r="B713" t="str">
            <v>박선종</v>
          </cell>
          <cell r="D713" t="str">
            <v>박선종</v>
          </cell>
          <cell r="E713">
            <v>11139921</v>
          </cell>
          <cell r="K713">
            <v>7598</v>
          </cell>
          <cell r="L713" t="str">
            <v>99-1331</v>
          </cell>
        </row>
        <row r="714">
          <cell r="B714" t="str">
            <v>강정호</v>
          </cell>
          <cell r="D714" t="str">
            <v>강정호</v>
          </cell>
          <cell r="E714">
            <v>4355217</v>
          </cell>
          <cell r="K714">
            <v>28201</v>
          </cell>
          <cell r="L714" t="str">
            <v>99-1332</v>
          </cell>
        </row>
        <row r="715">
          <cell r="B715" t="str">
            <v>김복수</v>
          </cell>
          <cell r="D715" t="str">
            <v>김복수</v>
          </cell>
          <cell r="E715">
            <v>5648706</v>
          </cell>
          <cell r="K715">
            <v>32734</v>
          </cell>
          <cell r="L715" t="str">
            <v>99-1333</v>
          </cell>
        </row>
        <row r="716">
          <cell r="B716" t="str">
            <v>손복익</v>
          </cell>
          <cell r="D716" t="str">
            <v>손복익</v>
          </cell>
          <cell r="E716">
            <v>19838830</v>
          </cell>
          <cell r="K716">
            <v>30741</v>
          </cell>
          <cell r="L716" t="str">
            <v>99-1334</v>
          </cell>
        </row>
        <row r="717">
          <cell r="B717" t="str">
            <v>이배휘</v>
          </cell>
          <cell r="D717" t="str">
            <v>이배휘</v>
          </cell>
          <cell r="E717">
            <v>16463703</v>
          </cell>
          <cell r="K717">
            <v>27257</v>
          </cell>
          <cell r="L717" t="str">
            <v>99-1335</v>
          </cell>
        </row>
        <row r="718">
          <cell r="B718" t="str">
            <v>박근옥</v>
          </cell>
          <cell r="D718" t="str">
            <v>박근옥</v>
          </cell>
          <cell r="E718">
            <v>5260219</v>
          </cell>
          <cell r="K718">
            <v>33294</v>
          </cell>
          <cell r="L718" t="str">
            <v>99-1336</v>
          </cell>
        </row>
        <row r="719">
          <cell r="B719" t="str">
            <v>안용수</v>
          </cell>
          <cell r="D719" t="str">
            <v>안용수</v>
          </cell>
          <cell r="E719">
            <v>11580938</v>
          </cell>
          <cell r="K719">
            <v>30251</v>
          </cell>
          <cell r="L719" t="str">
            <v>99-1337</v>
          </cell>
        </row>
        <row r="720">
          <cell r="B720" t="str">
            <v>김철현</v>
          </cell>
          <cell r="D720" t="str">
            <v>김철현</v>
          </cell>
          <cell r="E720">
            <v>336485795</v>
          </cell>
          <cell r="K720">
            <v>31887</v>
          </cell>
          <cell r="L720" t="str">
            <v>99-1338</v>
          </cell>
        </row>
        <row r="721">
          <cell r="B721" t="str">
            <v>문태영</v>
          </cell>
          <cell r="D721" t="str">
            <v>문태영</v>
          </cell>
          <cell r="E721">
            <v>25429145</v>
          </cell>
          <cell r="K721">
            <v>33570</v>
          </cell>
          <cell r="L721" t="str">
            <v>99-1339</v>
          </cell>
        </row>
        <row r="722">
          <cell r="B722" t="str">
            <v>김기호</v>
          </cell>
          <cell r="D722" t="str">
            <v>김기호</v>
          </cell>
          <cell r="E722">
            <v>24918921</v>
          </cell>
          <cell r="K722">
            <v>5271</v>
          </cell>
          <cell r="L722" t="str">
            <v>99-1340</v>
          </cell>
        </row>
        <row r="723">
          <cell r="B723" t="str">
            <v>김재우</v>
          </cell>
          <cell r="D723" t="str">
            <v>김재우</v>
          </cell>
          <cell r="E723">
            <v>1824905</v>
          </cell>
          <cell r="K723">
            <v>5360</v>
          </cell>
          <cell r="L723" t="str">
            <v>99-1341</v>
          </cell>
        </row>
        <row r="724">
          <cell r="B724" t="str">
            <v>최원호</v>
          </cell>
          <cell r="D724" t="str">
            <v>최원호</v>
          </cell>
          <cell r="E724">
            <v>5553842</v>
          </cell>
          <cell r="K724">
            <v>6000</v>
          </cell>
          <cell r="L724" t="str">
            <v>99-1342</v>
          </cell>
        </row>
        <row r="725">
          <cell r="B725" t="str">
            <v>한우영</v>
          </cell>
          <cell r="D725" t="str">
            <v>한우영</v>
          </cell>
          <cell r="E725">
            <v>9051407</v>
          </cell>
          <cell r="K725">
            <v>11215</v>
          </cell>
          <cell r="L725" t="str">
            <v>99-1343</v>
          </cell>
        </row>
        <row r="726">
          <cell r="B726" t="str">
            <v>김정숙</v>
          </cell>
          <cell r="D726" t="str">
            <v>김정숙</v>
          </cell>
          <cell r="E726">
            <v>6288088</v>
          </cell>
          <cell r="K726">
            <v>4639</v>
          </cell>
          <cell r="L726" t="str">
            <v>99-1344</v>
          </cell>
        </row>
        <row r="727">
          <cell r="B727" t="str">
            <v>김준권</v>
          </cell>
          <cell r="D727" t="str">
            <v>김준권</v>
          </cell>
          <cell r="E727">
            <v>3114568</v>
          </cell>
          <cell r="K727">
            <v>12929</v>
          </cell>
          <cell r="L727" t="str">
            <v>99-1345</v>
          </cell>
        </row>
        <row r="728">
          <cell r="B728" t="str">
            <v>최동수</v>
          </cell>
          <cell r="D728" t="str">
            <v>최동수</v>
          </cell>
          <cell r="E728">
            <v>2501278</v>
          </cell>
          <cell r="K728">
            <v>3528</v>
          </cell>
          <cell r="L728" t="str">
            <v>99-1346</v>
          </cell>
        </row>
        <row r="729">
          <cell r="B729" t="str">
            <v>이성은</v>
          </cell>
          <cell r="D729" t="str">
            <v>이성은</v>
          </cell>
          <cell r="E729">
            <v>3779923</v>
          </cell>
          <cell r="K729">
            <v>4164</v>
          </cell>
          <cell r="L729" t="str">
            <v>99-1347</v>
          </cell>
        </row>
        <row r="730">
          <cell r="B730" t="str">
            <v>염달순</v>
          </cell>
          <cell r="D730" t="str">
            <v>염달순</v>
          </cell>
          <cell r="E730">
            <v>3160345</v>
          </cell>
          <cell r="K730">
            <v>2239</v>
          </cell>
          <cell r="L730" t="str">
            <v>99-1348</v>
          </cell>
        </row>
        <row r="731">
          <cell r="B731" t="str">
            <v>박창권</v>
          </cell>
          <cell r="D731" t="str">
            <v>박창권</v>
          </cell>
          <cell r="E731">
            <v>10000000</v>
          </cell>
          <cell r="L731" t="str">
            <v>99-1349</v>
          </cell>
        </row>
        <row r="732">
          <cell r="B732" t="str">
            <v>㈜애드타워</v>
          </cell>
          <cell r="C732">
            <v>36496</v>
          </cell>
          <cell r="D732" t="str">
            <v>심성택</v>
          </cell>
          <cell r="E732">
            <v>12000000</v>
          </cell>
          <cell r="F732">
            <v>730</v>
          </cell>
          <cell r="G732">
            <v>0</v>
          </cell>
          <cell r="H732">
            <v>0</v>
          </cell>
          <cell r="I732">
            <v>1</v>
          </cell>
          <cell r="J732">
            <v>3</v>
          </cell>
          <cell r="K732" t="str">
            <v>경매</v>
          </cell>
          <cell r="L732" t="str">
            <v>99-135</v>
          </cell>
        </row>
        <row r="733">
          <cell r="B733" t="str">
            <v>윤철호</v>
          </cell>
          <cell r="D733" t="str">
            <v>윤철호</v>
          </cell>
          <cell r="E733">
            <v>8604233</v>
          </cell>
          <cell r="K733">
            <v>4855</v>
          </cell>
          <cell r="L733" t="str">
            <v>99-1350</v>
          </cell>
        </row>
        <row r="734">
          <cell r="B734" t="str">
            <v>강식</v>
          </cell>
          <cell r="D734" t="str">
            <v>강식</v>
          </cell>
          <cell r="E734">
            <v>12484759</v>
          </cell>
          <cell r="K734">
            <v>4825</v>
          </cell>
          <cell r="L734" t="str">
            <v>99-1351</v>
          </cell>
        </row>
        <row r="735">
          <cell r="B735" t="str">
            <v>김시원</v>
          </cell>
          <cell r="D735" t="str">
            <v>김시원</v>
          </cell>
          <cell r="E735">
            <v>10243665</v>
          </cell>
          <cell r="K735">
            <v>4760</v>
          </cell>
          <cell r="L735" t="str">
            <v>99-1352</v>
          </cell>
        </row>
        <row r="736">
          <cell r="B736" t="str">
            <v>장세학</v>
          </cell>
          <cell r="D736" t="str">
            <v>장세학</v>
          </cell>
          <cell r="E736">
            <v>11599110</v>
          </cell>
          <cell r="L736" t="str">
            <v>99-1353</v>
          </cell>
        </row>
        <row r="737">
          <cell r="B737" t="str">
            <v>박원진</v>
          </cell>
          <cell r="D737" t="str">
            <v>박원진</v>
          </cell>
          <cell r="E737">
            <v>14663591</v>
          </cell>
          <cell r="K737">
            <v>4919</v>
          </cell>
          <cell r="L737" t="str">
            <v>99-1354</v>
          </cell>
        </row>
        <row r="738">
          <cell r="B738" t="str">
            <v>송경자</v>
          </cell>
          <cell r="D738" t="str">
            <v>송경자</v>
          </cell>
          <cell r="E738">
            <v>5454588</v>
          </cell>
          <cell r="K738">
            <v>7385</v>
          </cell>
          <cell r="L738" t="str">
            <v>99-1355</v>
          </cell>
        </row>
        <row r="739">
          <cell r="B739" t="str">
            <v>서원</v>
          </cell>
          <cell r="C739" t="str">
            <v>완제</v>
          </cell>
          <cell r="D739" t="str">
            <v>서원</v>
          </cell>
          <cell r="E739">
            <v>3094510</v>
          </cell>
          <cell r="K739">
            <v>4327</v>
          </cell>
          <cell r="L739" t="str">
            <v>99-1356</v>
          </cell>
        </row>
        <row r="740">
          <cell r="B740" t="str">
            <v>박경남(김오목)</v>
          </cell>
          <cell r="D740" t="str">
            <v>박경남(김오목)</v>
          </cell>
          <cell r="E740">
            <v>17304929</v>
          </cell>
          <cell r="K740">
            <v>1965</v>
          </cell>
          <cell r="L740" t="str">
            <v>99-1357</v>
          </cell>
        </row>
        <row r="741">
          <cell r="B741" t="str">
            <v>어국선</v>
          </cell>
          <cell r="D741" t="str">
            <v>어국선</v>
          </cell>
          <cell r="E741">
            <v>38292479</v>
          </cell>
          <cell r="K741">
            <v>30914</v>
          </cell>
          <cell r="L741" t="str">
            <v>99-1358</v>
          </cell>
        </row>
        <row r="742">
          <cell r="B742" t="str">
            <v>인호모터스㈜</v>
          </cell>
          <cell r="D742" t="str">
            <v>인호모터스㈜</v>
          </cell>
          <cell r="E742">
            <v>23340058</v>
          </cell>
          <cell r="K742">
            <v>8215</v>
          </cell>
          <cell r="L742" t="str">
            <v>99-1359</v>
          </cell>
        </row>
        <row r="743">
          <cell r="B743" t="str">
            <v>백영규</v>
          </cell>
          <cell r="D743" t="str">
            <v>백영규</v>
          </cell>
          <cell r="E743">
            <v>577073322</v>
          </cell>
          <cell r="K743">
            <v>5176</v>
          </cell>
          <cell r="L743" t="str">
            <v>99-1360</v>
          </cell>
        </row>
        <row r="744">
          <cell r="B744" t="str">
            <v>선순옥</v>
          </cell>
          <cell r="D744" t="str">
            <v>선순옥</v>
          </cell>
          <cell r="E744">
            <v>38022283</v>
          </cell>
          <cell r="K744">
            <v>14813</v>
          </cell>
          <cell r="L744" t="str">
            <v>99-1361</v>
          </cell>
        </row>
        <row r="745">
          <cell r="B745" t="str">
            <v>우공산업㈜</v>
          </cell>
          <cell r="D745" t="str">
            <v>우공산업㈜</v>
          </cell>
          <cell r="E745">
            <v>1165049323</v>
          </cell>
          <cell r="K745">
            <v>4167</v>
          </cell>
          <cell r="L745" t="str">
            <v>99-1362</v>
          </cell>
        </row>
        <row r="746">
          <cell r="B746" t="str">
            <v>손용주</v>
          </cell>
          <cell r="D746" t="str">
            <v>손용주</v>
          </cell>
          <cell r="E746">
            <v>23393994</v>
          </cell>
          <cell r="K746">
            <v>32634</v>
          </cell>
          <cell r="L746" t="str">
            <v>99-1363</v>
          </cell>
        </row>
        <row r="747">
          <cell r="B747" t="str">
            <v>㈜홍성</v>
          </cell>
          <cell r="D747" t="str">
            <v>홍성</v>
          </cell>
          <cell r="E747">
            <v>303265893</v>
          </cell>
          <cell r="K747">
            <v>25227</v>
          </cell>
          <cell r="L747" t="str">
            <v>99-1364</v>
          </cell>
        </row>
        <row r="748">
          <cell r="B748" t="str">
            <v>㈜할렐루야</v>
          </cell>
          <cell r="D748" t="str">
            <v>할렐루야</v>
          </cell>
          <cell r="E748">
            <v>74393480</v>
          </cell>
          <cell r="K748">
            <v>4008</v>
          </cell>
          <cell r="L748" t="str">
            <v>99-1365</v>
          </cell>
        </row>
        <row r="749">
          <cell r="B749" t="str">
            <v>김준석</v>
          </cell>
          <cell r="D749" t="str">
            <v>김준석</v>
          </cell>
          <cell r="E749">
            <v>4456988</v>
          </cell>
          <cell r="K749">
            <v>14467</v>
          </cell>
          <cell r="L749" t="str">
            <v>99-1366</v>
          </cell>
        </row>
        <row r="750">
          <cell r="B750" t="str">
            <v>김연주</v>
          </cell>
          <cell r="D750" t="str">
            <v>김연주</v>
          </cell>
          <cell r="E750">
            <v>7591756</v>
          </cell>
          <cell r="K750">
            <v>14087</v>
          </cell>
          <cell r="L750" t="str">
            <v>99-1367</v>
          </cell>
        </row>
        <row r="751">
          <cell r="B751" t="str">
            <v>조혜연</v>
          </cell>
          <cell r="D751" t="str">
            <v>조혜연</v>
          </cell>
          <cell r="E751">
            <v>2268363</v>
          </cell>
          <cell r="K751">
            <v>15722</v>
          </cell>
          <cell r="L751" t="str">
            <v>99-1368</v>
          </cell>
        </row>
        <row r="752">
          <cell r="B752" t="str">
            <v>홍성일</v>
          </cell>
          <cell r="D752" t="str">
            <v>홍성일</v>
          </cell>
          <cell r="E752">
            <v>16124864</v>
          </cell>
          <cell r="K752">
            <v>5802</v>
          </cell>
          <cell r="L752" t="str">
            <v>99-1369</v>
          </cell>
        </row>
        <row r="753">
          <cell r="B753" t="str">
            <v>최청우</v>
          </cell>
          <cell r="D753" t="str">
            <v>최청우</v>
          </cell>
          <cell r="E753">
            <v>6912191</v>
          </cell>
          <cell r="K753">
            <v>5782</v>
          </cell>
          <cell r="L753" t="str">
            <v>99-1370</v>
          </cell>
        </row>
        <row r="754">
          <cell r="B754" t="str">
            <v>서일환</v>
          </cell>
          <cell r="D754" t="str">
            <v>서일환</v>
          </cell>
          <cell r="E754">
            <v>29573715</v>
          </cell>
          <cell r="K754">
            <v>28711</v>
          </cell>
          <cell r="L754" t="str">
            <v>99-1371</v>
          </cell>
        </row>
        <row r="755">
          <cell r="B755" t="str">
            <v>조순자</v>
          </cell>
          <cell r="D755" t="str">
            <v>조순자</v>
          </cell>
          <cell r="E755">
            <v>3387897</v>
          </cell>
          <cell r="K755">
            <v>10756</v>
          </cell>
          <cell r="L755" t="str">
            <v>99-1372</v>
          </cell>
        </row>
        <row r="756">
          <cell r="B756" t="str">
            <v>이영길</v>
          </cell>
          <cell r="D756" t="str">
            <v>이영길</v>
          </cell>
          <cell r="E756">
            <v>11900361</v>
          </cell>
          <cell r="K756">
            <v>5746</v>
          </cell>
          <cell r="L756" t="str">
            <v>99-1373</v>
          </cell>
        </row>
        <row r="757">
          <cell r="B757" t="str">
            <v>이응렬</v>
          </cell>
          <cell r="D757" t="str">
            <v>이응렬</v>
          </cell>
          <cell r="E757">
            <v>14105201</v>
          </cell>
          <cell r="K757">
            <v>5863</v>
          </cell>
          <cell r="L757" t="str">
            <v>99-1374</v>
          </cell>
        </row>
        <row r="758">
          <cell r="B758" t="str">
            <v>박남길</v>
          </cell>
          <cell r="D758" t="str">
            <v>박남길</v>
          </cell>
          <cell r="E758">
            <v>10026182</v>
          </cell>
          <cell r="K758">
            <v>4929</v>
          </cell>
          <cell r="L758" t="str">
            <v>99-1375</v>
          </cell>
        </row>
        <row r="759">
          <cell r="B759" t="str">
            <v>김용태</v>
          </cell>
          <cell r="D759" t="str">
            <v>김용태</v>
          </cell>
          <cell r="E759">
            <v>40942702</v>
          </cell>
          <cell r="K759">
            <v>4156</v>
          </cell>
          <cell r="L759" t="str">
            <v>99-1376</v>
          </cell>
        </row>
        <row r="760">
          <cell r="B760" t="str">
            <v>이수연</v>
          </cell>
          <cell r="D760" t="str">
            <v>이수연</v>
          </cell>
          <cell r="E760">
            <v>4498317</v>
          </cell>
          <cell r="K760">
            <v>4772</v>
          </cell>
          <cell r="L760" t="str">
            <v>99-1377</v>
          </cell>
        </row>
        <row r="761">
          <cell r="B761" t="str">
            <v>이현숙</v>
          </cell>
          <cell r="D761" t="str">
            <v>이현숙</v>
          </cell>
          <cell r="E761">
            <v>15674486</v>
          </cell>
          <cell r="K761">
            <v>2138</v>
          </cell>
          <cell r="L761" t="str">
            <v>99-1378</v>
          </cell>
        </row>
        <row r="762">
          <cell r="B762" t="str">
            <v>박병승</v>
          </cell>
          <cell r="D762" t="str">
            <v>박병승</v>
          </cell>
          <cell r="E762">
            <v>16578239</v>
          </cell>
          <cell r="K762">
            <v>4834</v>
          </cell>
          <cell r="L762" t="str">
            <v>99-1379</v>
          </cell>
        </row>
        <row r="763">
          <cell r="B763" t="str">
            <v>류이영</v>
          </cell>
          <cell r="D763" t="str">
            <v>류이영</v>
          </cell>
          <cell r="E763">
            <v>9302191</v>
          </cell>
          <cell r="K763">
            <v>5000</v>
          </cell>
          <cell r="L763" t="str">
            <v>99-1380</v>
          </cell>
        </row>
        <row r="764">
          <cell r="B764" t="str">
            <v>이기철</v>
          </cell>
          <cell r="D764" t="str">
            <v>이기철</v>
          </cell>
          <cell r="E764">
            <v>14586617</v>
          </cell>
          <cell r="K764">
            <v>1891</v>
          </cell>
          <cell r="L764" t="str">
            <v>99-1381</v>
          </cell>
        </row>
        <row r="765">
          <cell r="B765" t="str">
            <v>이수득</v>
          </cell>
          <cell r="D765" t="str">
            <v>이수득</v>
          </cell>
          <cell r="E765">
            <v>16904496</v>
          </cell>
          <cell r="K765">
            <v>4856</v>
          </cell>
          <cell r="L765" t="str">
            <v>99-1382</v>
          </cell>
        </row>
        <row r="766">
          <cell r="B766" t="str">
            <v>㈜대삼정</v>
          </cell>
          <cell r="D766" t="str">
            <v>대삼정</v>
          </cell>
          <cell r="E766">
            <v>16407295</v>
          </cell>
          <cell r="K766">
            <v>21132</v>
          </cell>
          <cell r="L766" t="str">
            <v>99-1383</v>
          </cell>
        </row>
        <row r="767">
          <cell r="B767" t="str">
            <v>김옥련</v>
          </cell>
          <cell r="D767" t="str">
            <v>김옥련</v>
          </cell>
          <cell r="E767">
            <v>3554721</v>
          </cell>
          <cell r="K767">
            <v>1866</v>
          </cell>
          <cell r="L767" t="str">
            <v>99-1384</v>
          </cell>
        </row>
        <row r="768">
          <cell r="B768" t="str">
            <v>서효춘</v>
          </cell>
          <cell r="D768" t="str">
            <v>서효춘</v>
          </cell>
          <cell r="E768">
            <v>19805040</v>
          </cell>
          <cell r="K768">
            <v>4270</v>
          </cell>
          <cell r="L768" t="str">
            <v>99-1385</v>
          </cell>
        </row>
        <row r="769">
          <cell r="B769" t="str">
            <v>㈜대경공무</v>
          </cell>
          <cell r="D769" t="str">
            <v>대경공무</v>
          </cell>
          <cell r="E769">
            <v>6769172</v>
          </cell>
          <cell r="K769">
            <v>1670</v>
          </cell>
          <cell r="L769" t="str">
            <v>99-1386</v>
          </cell>
        </row>
        <row r="770">
          <cell r="B770" t="str">
            <v>강경석</v>
          </cell>
          <cell r="D770" t="str">
            <v>김경석</v>
          </cell>
          <cell r="E770">
            <v>21798066</v>
          </cell>
          <cell r="K770">
            <v>5011</v>
          </cell>
          <cell r="L770" t="str">
            <v>99-1387</v>
          </cell>
        </row>
        <row r="771">
          <cell r="B771" t="str">
            <v>김철성</v>
          </cell>
          <cell r="D771" t="str">
            <v>김철성</v>
          </cell>
          <cell r="E771">
            <v>25483314</v>
          </cell>
          <cell r="K771">
            <v>5031</v>
          </cell>
          <cell r="L771" t="str">
            <v>99-1388</v>
          </cell>
        </row>
        <row r="772">
          <cell r="B772" t="str">
            <v>㈜건풍기초</v>
          </cell>
          <cell r="D772" t="str">
            <v>건풍기료</v>
          </cell>
          <cell r="E772">
            <v>39394555</v>
          </cell>
          <cell r="K772">
            <v>4345</v>
          </cell>
          <cell r="L772" t="str">
            <v>99-1389</v>
          </cell>
        </row>
        <row r="773">
          <cell r="B773" t="str">
            <v>연성산업㈜</v>
          </cell>
          <cell r="D773" t="str">
            <v>연성산업㈜</v>
          </cell>
          <cell r="E773">
            <v>1000000000</v>
          </cell>
          <cell r="K773">
            <v>5165</v>
          </cell>
          <cell r="L773" t="str">
            <v>99-1390</v>
          </cell>
        </row>
        <row r="774">
          <cell r="B774" t="str">
            <v>㈜우신아펙스</v>
          </cell>
          <cell r="D774" t="str">
            <v>우신아펙스</v>
          </cell>
          <cell r="E774">
            <v>153932409</v>
          </cell>
          <cell r="K774">
            <v>25318</v>
          </cell>
          <cell r="L774" t="str">
            <v>99-1391</v>
          </cell>
        </row>
        <row r="775">
          <cell r="B775" t="str">
            <v>세기산업기술㈜</v>
          </cell>
          <cell r="D775" t="str">
            <v>세기산업기술㈜</v>
          </cell>
          <cell r="E775">
            <v>47322268</v>
          </cell>
          <cell r="K775">
            <v>31643</v>
          </cell>
          <cell r="L775" t="str">
            <v>99-1392</v>
          </cell>
        </row>
        <row r="776">
          <cell r="B776" t="str">
            <v>유나무역㈜</v>
          </cell>
          <cell r="D776" t="str">
            <v>유나무역㈜</v>
          </cell>
          <cell r="E776">
            <v>195619511</v>
          </cell>
          <cell r="K776">
            <v>4513</v>
          </cell>
          <cell r="L776" t="str">
            <v>99-1393</v>
          </cell>
        </row>
        <row r="777">
          <cell r="B777" t="str">
            <v>임세란</v>
          </cell>
          <cell r="D777" t="str">
            <v>임세란</v>
          </cell>
          <cell r="E777">
            <v>12120793</v>
          </cell>
          <cell r="K777">
            <v>4725</v>
          </cell>
          <cell r="L777" t="str">
            <v>99-1394</v>
          </cell>
        </row>
        <row r="778">
          <cell r="B778" t="str">
            <v>김종배</v>
          </cell>
          <cell r="D778" t="str">
            <v>김종배</v>
          </cell>
          <cell r="E778">
            <v>14828098</v>
          </cell>
          <cell r="K778">
            <v>4539</v>
          </cell>
          <cell r="L778" t="str">
            <v>99-1395</v>
          </cell>
        </row>
        <row r="779">
          <cell r="B779" t="str">
            <v>박완규</v>
          </cell>
          <cell r="D779" t="str">
            <v>박완규</v>
          </cell>
          <cell r="E779">
            <v>13398878</v>
          </cell>
          <cell r="K779">
            <v>4576</v>
          </cell>
          <cell r="L779" t="str">
            <v>99-1396</v>
          </cell>
        </row>
        <row r="780">
          <cell r="B780" t="str">
            <v>김종원</v>
          </cell>
          <cell r="D780" t="str">
            <v>김종원</v>
          </cell>
          <cell r="E780">
            <v>8609909</v>
          </cell>
          <cell r="K780">
            <v>4454</v>
          </cell>
          <cell r="L780" t="str">
            <v>99-1397</v>
          </cell>
        </row>
        <row r="781">
          <cell r="B781" t="str">
            <v>전찬수</v>
          </cell>
          <cell r="D781" t="str">
            <v>전찬수</v>
          </cell>
          <cell r="E781">
            <v>13919935</v>
          </cell>
          <cell r="K781">
            <v>2142</v>
          </cell>
          <cell r="L781" t="str">
            <v>99-1398</v>
          </cell>
        </row>
        <row r="782">
          <cell r="B782" t="str">
            <v>박현숙</v>
          </cell>
          <cell r="D782" t="str">
            <v>박현숙</v>
          </cell>
          <cell r="E782">
            <v>17588152</v>
          </cell>
          <cell r="K782">
            <v>1896</v>
          </cell>
          <cell r="L782" t="str">
            <v>99-1399</v>
          </cell>
        </row>
        <row r="783">
          <cell r="B783" t="str">
            <v>조은혜</v>
          </cell>
          <cell r="D783" t="str">
            <v>조은혜</v>
          </cell>
          <cell r="E783">
            <v>13892499</v>
          </cell>
          <cell r="K783">
            <v>4613</v>
          </cell>
          <cell r="L783" t="str">
            <v>99-1400</v>
          </cell>
        </row>
        <row r="784">
          <cell r="B784" t="str">
            <v>정찬경</v>
          </cell>
          <cell r="D784" t="str">
            <v>정찬경</v>
          </cell>
          <cell r="E784">
            <v>9854081</v>
          </cell>
          <cell r="K784">
            <v>5641</v>
          </cell>
          <cell r="L784" t="str">
            <v>99-1401</v>
          </cell>
        </row>
        <row r="785">
          <cell r="B785" t="str">
            <v>고미정</v>
          </cell>
          <cell r="D785" t="str">
            <v>고미정</v>
          </cell>
          <cell r="E785">
            <v>7275824</v>
          </cell>
          <cell r="K785">
            <v>4329</v>
          </cell>
          <cell r="L785" t="str">
            <v>99-1402</v>
          </cell>
        </row>
        <row r="786">
          <cell r="B786" t="str">
            <v>임성호</v>
          </cell>
          <cell r="D786" t="str">
            <v>임성호</v>
          </cell>
          <cell r="E786">
            <v>2044822</v>
          </cell>
          <cell r="K786" t="str">
            <v>박창진</v>
          </cell>
          <cell r="L786" t="str">
            <v>99-1403</v>
          </cell>
        </row>
        <row r="787">
          <cell r="B787" t="str">
            <v>한주특수유리㈜</v>
          </cell>
          <cell r="D787" t="str">
            <v>한주특수유리㈜</v>
          </cell>
          <cell r="E787">
            <v>403526265</v>
          </cell>
          <cell r="K787">
            <v>25418</v>
          </cell>
          <cell r="L787" t="str">
            <v>99-1404</v>
          </cell>
        </row>
        <row r="788">
          <cell r="B788" t="str">
            <v>윤용운</v>
          </cell>
          <cell r="D788" t="str">
            <v>윤용운</v>
          </cell>
          <cell r="E788">
            <v>1131937</v>
          </cell>
          <cell r="K788">
            <v>27464</v>
          </cell>
          <cell r="L788" t="str">
            <v>99-1405</v>
          </cell>
        </row>
        <row r="789">
          <cell r="B789" t="str">
            <v>정순용</v>
          </cell>
          <cell r="D789" t="str">
            <v>하인정</v>
          </cell>
          <cell r="E789">
            <v>12000000</v>
          </cell>
          <cell r="F789">
            <v>730</v>
          </cell>
          <cell r="G789">
            <v>0</v>
          </cell>
          <cell r="H789">
            <v>0</v>
          </cell>
          <cell r="I789">
            <v>1</v>
          </cell>
          <cell r="J789">
            <v>3</v>
          </cell>
          <cell r="K789" t="str">
            <v>경매</v>
          </cell>
          <cell r="L789" t="str">
            <v>99-1406</v>
          </cell>
        </row>
        <row r="790">
          <cell r="B790" t="str">
            <v>정인보</v>
          </cell>
          <cell r="D790" t="str">
            <v>정인보</v>
          </cell>
          <cell r="E790">
            <v>5400333</v>
          </cell>
          <cell r="K790" t="str">
            <v>박창진</v>
          </cell>
          <cell r="L790" t="str">
            <v>99-1407</v>
          </cell>
        </row>
        <row r="791">
          <cell r="B791" t="str">
            <v>윤희택</v>
          </cell>
          <cell r="D791" t="str">
            <v>윤희택</v>
          </cell>
          <cell r="E791">
            <v>15000000</v>
          </cell>
          <cell r="K791">
            <v>4428</v>
          </cell>
          <cell r="L791" t="str">
            <v>99-1408</v>
          </cell>
        </row>
        <row r="792">
          <cell r="B792" t="str">
            <v>삼우전자산업㈜</v>
          </cell>
          <cell r="D792" t="str">
            <v>삼우전자산업㈜</v>
          </cell>
          <cell r="E792">
            <v>55456205</v>
          </cell>
          <cell r="K792">
            <v>8227</v>
          </cell>
          <cell r="L792" t="str">
            <v>99-1409</v>
          </cell>
        </row>
        <row r="793">
          <cell r="B793" t="str">
            <v>최단춘</v>
          </cell>
          <cell r="D793" t="str">
            <v>최단춘</v>
          </cell>
          <cell r="E793">
            <v>22753967</v>
          </cell>
          <cell r="K793" t="str">
            <v>박창진</v>
          </cell>
          <cell r="L793" t="str">
            <v>99-1410</v>
          </cell>
        </row>
        <row r="794">
          <cell r="B794" t="str">
            <v>안승인</v>
          </cell>
          <cell r="D794" t="str">
            <v>안승인</v>
          </cell>
          <cell r="E794">
            <v>6788337</v>
          </cell>
          <cell r="K794">
            <v>5508</v>
          </cell>
          <cell r="L794" t="str">
            <v>99-1411</v>
          </cell>
        </row>
        <row r="795">
          <cell r="B795" t="str">
            <v>이백용</v>
          </cell>
          <cell r="D795" t="str">
            <v>이백용</v>
          </cell>
          <cell r="E795">
            <v>4395113</v>
          </cell>
          <cell r="K795">
            <v>5514</v>
          </cell>
          <cell r="L795" t="str">
            <v>99-1412</v>
          </cell>
        </row>
        <row r="796">
          <cell r="B796" t="str">
            <v>김이초</v>
          </cell>
          <cell r="D796" t="str">
            <v>김이초</v>
          </cell>
          <cell r="E796">
            <v>14430378</v>
          </cell>
          <cell r="K796">
            <v>5515</v>
          </cell>
          <cell r="L796" t="str">
            <v>99-1413</v>
          </cell>
        </row>
        <row r="797">
          <cell r="B797" t="str">
            <v>허정숙</v>
          </cell>
          <cell r="D797" t="str">
            <v>허정숙</v>
          </cell>
          <cell r="E797">
            <v>9869058</v>
          </cell>
          <cell r="K797">
            <v>5531</v>
          </cell>
          <cell r="L797" t="str">
            <v>99-1414</v>
          </cell>
        </row>
        <row r="798">
          <cell r="B798" t="str">
            <v>황순덕</v>
          </cell>
          <cell r="D798" t="str">
            <v>황순덕</v>
          </cell>
          <cell r="E798">
            <v>5619609</v>
          </cell>
          <cell r="K798">
            <v>5721</v>
          </cell>
          <cell r="L798" t="str">
            <v>99-1415</v>
          </cell>
        </row>
        <row r="799">
          <cell r="B799" t="str">
            <v>홍정휘</v>
          </cell>
          <cell r="D799" t="str">
            <v>홍정휘</v>
          </cell>
          <cell r="E799">
            <v>16039675</v>
          </cell>
          <cell r="K799">
            <v>5573</v>
          </cell>
          <cell r="L799" t="str">
            <v>99-1416</v>
          </cell>
        </row>
        <row r="800">
          <cell r="B800" t="str">
            <v>신용건</v>
          </cell>
          <cell r="D800" t="str">
            <v>신용건</v>
          </cell>
          <cell r="E800">
            <v>15164300</v>
          </cell>
          <cell r="K800">
            <v>5623</v>
          </cell>
          <cell r="L800" t="str">
            <v>99-1417</v>
          </cell>
        </row>
        <row r="801">
          <cell r="B801" t="str">
            <v>주명석</v>
          </cell>
          <cell r="D801" t="str">
            <v>주명석</v>
          </cell>
          <cell r="E801">
            <v>6494373</v>
          </cell>
          <cell r="K801">
            <v>19104</v>
          </cell>
          <cell r="L801" t="str">
            <v>99-1418</v>
          </cell>
        </row>
        <row r="802">
          <cell r="B802" t="str">
            <v>강북유통㈜</v>
          </cell>
          <cell r="D802" t="str">
            <v>강북유통㈜</v>
          </cell>
          <cell r="E802">
            <v>34792319</v>
          </cell>
          <cell r="K802">
            <v>5401</v>
          </cell>
          <cell r="L802" t="str">
            <v>99-1419</v>
          </cell>
        </row>
        <row r="803">
          <cell r="B803" t="str">
            <v>김현옥</v>
          </cell>
          <cell r="D803" t="str">
            <v>김현옥</v>
          </cell>
          <cell r="E803">
            <v>9506997</v>
          </cell>
          <cell r="K803">
            <v>5554</v>
          </cell>
          <cell r="L803" t="str">
            <v>99-1420</v>
          </cell>
        </row>
        <row r="804">
          <cell r="B804" t="str">
            <v>방효길</v>
          </cell>
          <cell r="D804" t="str">
            <v>방효길</v>
          </cell>
          <cell r="E804">
            <v>28522524</v>
          </cell>
          <cell r="K804">
            <v>31650</v>
          </cell>
          <cell r="L804" t="str">
            <v>99-1421</v>
          </cell>
        </row>
        <row r="805">
          <cell r="B805" t="str">
            <v>㈜신한인터내셔널</v>
          </cell>
          <cell r="D805" t="str">
            <v>신한인터내셔널</v>
          </cell>
          <cell r="E805">
            <v>1038799400</v>
          </cell>
          <cell r="K805" t="str">
            <v>1895/25152</v>
          </cell>
          <cell r="L805" t="str">
            <v>99-1422</v>
          </cell>
        </row>
        <row r="806">
          <cell r="B806" t="str">
            <v>㈜선화건설,협화건공</v>
          </cell>
          <cell r="D806" t="str">
            <v>선화건설</v>
          </cell>
          <cell r="I806">
            <v>1</v>
          </cell>
          <cell r="J806">
            <v>1</v>
          </cell>
          <cell r="K806">
            <v>25207</v>
          </cell>
          <cell r="L806" t="str">
            <v>구카드</v>
          </cell>
        </row>
        <row r="807">
          <cell r="B807" t="str">
            <v>신재희</v>
          </cell>
          <cell r="E807">
            <v>36000000</v>
          </cell>
          <cell r="L807" t="str">
            <v>99-1423</v>
          </cell>
        </row>
        <row r="808">
          <cell r="B808" t="str">
            <v>윤진오</v>
          </cell>
          <cell r="E808">
            <v>4295883</v>
          </cell>
          <cell r="K808">
            <v>2282</v>
          </cell>
          <cell r="L808" t="str">
            <v>99-1424</v>
          </cell>
        </row>
        <row r="809">
          <cell r="B809" t="str">
            <v>이문성</v>
          </cell>
          <cell r="E809">
            <v>6265278</v>
          </cell>
          <cell r="K809">
            <v>2058</v>
          </cell>
          <cell r="L809" t="str">
            <v>99-1425</v>
          </cell>
        </row>
        <row r="810">
          <cell r="B810" t="str">
            <v>송미자</v>
          </cell>
          <cell r="E810">
            <v>7608934</v>
          </cell>
          <cell r="K810">
            <v>30418</v>
          </cell>
          <cell r="L810" t="str">
            <v>99-1426</v>
          </cell>
        </row>
        <row r="811">
          <cell r="B811" t="str">
            <v>최경희</v>
          </cell>
          <cell r="E811">
            <v>13720178</v>
          </cell>
          <cell r="K811">
            <v>34866</v>
          </cell>
          <cell r="L811" t="str">
            <v>99-1427</v>
          </cell>
        </row>
        <row r="812">
          <cell r="B812" t="str">
            <v>박용진</v>
          </cell>
          <cell r="E812">
            <v>5810516</v>
          </cell>
          <cell r="K812">
            <v>28396</v>
          </cell>
          <cell r="L812" t="str">
            <v>99-1428</v>
          </cell>
        </row>
        <row r="813">
          <cell r="B813" t="str">
            <v>㈜영이무역</v>
          </cell>
          <cell r="E813">
            <v>52353741</v>
          </cell>
          <cell r="K813">
            <v>5109</v>
          </cell>
          <cell r="L813" t="str">
            <v>99-1429</v>
          </cell>
        </row>
        <row r="814">
          <cell r="B814" t="str">
            <v>일성전자산업㈜</v>
          </cell>
          <cell r="E814">
            <v>304707765</v>
          </cell>
          <cell r="K814">
            <v>6790</v>
          </cell>
          <cell r="L814" t="str">
            <v>99-1430</v>
          </cell>
        </row>
        <row r="815">
          <cell r="B815" t="str">
            <v>금양무역상사㈜</v>
          </cell>
          <cell r="C815">
            <v>36570</v>
          </cell>
          <cell r="E815">
            <v>73514867</v>
          </cell>
          <cell r="K815">
            <v>2002</v>
          </cell>
          <cell r="L815" t="str">
            <v>99-1431</v>
          </cell>
        </row>
        <row r="816">
          <cell r="B816" t="str">
            <v>이해명</v>
          </cell>
          <cell r="E816">
            <v>23196243</v>
          </cell>
          <cell r="K816">
            <v>5737</v>
          </cell>
          <cell r="L816" t="str">
            <v>99-1432</v>
          </cell>
        </row>
        <row r="817">
          <cell r="B817" t="str">
            <v>㈜우리볼링</v>
          </cell>
          <cell r="E817">
            <v>212910036</v>
          </cell>
          <cell r="K817">
            <v>4157</v>
          </cell>
          <cell r="L817" t="str">
            <v>99-1433</v>
          </cell>
        </row>
        <row r="818">
          <cell r="B818" t="str">
            <v>씨앤엘</v>
          </cell>
          <cell r="E818">
            <v>25216899</v>
          </cell>
          <cell r="K818">
            <v>6414</v>
          </cell>
          <cell r="L818" t="str">
            <v>99-1434</v>
          </cell>
        </row>
        <row r="819">
          <cell r="B819" t="str">
            <v>이병린</v>
          </cell>
          <cell r="E819">
            <v>1417715633</v>
          </cell>
          <cell r="K819" t="str">
            <v>고창득</v>
          </cell>
          <cell r="L819" t="str">
            <v>99-1435</v>
          </cell>
        </row>
        <row r="820">
          <cell r="B820" t="str">
            <v>이재현</v>
          </cell>
          <cell r="E820">
            <v>30000000</v>
          </cell>
          <cell r="L820" t="str">
            <v>99-1436</v>
          </cell>
        </row>
        <row r="821">
          <cell r="B821" t="str">
            <v>㈜미성산업개발</v>
          </cell>
          <cell r="E821">
            <v>686000000</v>
          </cell>
          <cell r="L821" t="str">
            <v>99-1437</v>
          </cell>
        </row>
        <row r="822">
          <cell r="B822" t="str">
            <v>권순옥</v>
          </cell>
          <cell r="E822">
            <v>17897943</v>
          </cell>
          <cell r="K822">
            <v>2145</v>
          </cell>
          <cell r="L822" t="str">
            <v>99-1438</v>
          </cell>
        </row>
        <row r="823">
          <cell r="B823" t="str">
            <v>서정만</v>
          </cell>
          <cell r="E823">
            <v>20138213</v>
          </cell>
          <cell r="K823">
            <v>4153</v>
          </cell>
          <cell r="L823" t="str">
            <v>99-1439</v>
          </cell>
        </row>
        <row r="824">
          <cell r="B824" t="str">
            <v>김함희</v>
          </cell>
          <cell r="E824">
            <v>1557623</v>
          </cell>
          <cell r="K824">
            <v>4629</v>
          </cell>
          <cell r="L824" t="str">
            <v>99-1440</v>
          </cell>
        </row>
        <row r="825">
          <cell r="B825" t="str">
            <v>김영선</v>
          </cell>
          <cell r="E825">
            <v>6572144</v>
          </cell>
          <cell r="K825">
            <v>4258</v>
          </cell>
          <cell r="L825" t="str">
            <v>99-1441</v>
          </cell>
        </row>
        <row r="826">
          <cell r="B826" t="str">
            <v>임은미</v>
          </cell>
          <cell r="E826">
            <v>1467638</v>
          </cell>
          <cell r="K826">
            <v>4671</v>
          </cell>
          <cell r="L826" t="str">
            <v>99-1442</v>
          </cell>
        </row>
        <row r="827">
          <cell r="B827" t="str">
            <v>유구산업㈜</v>
          </cell>
          <cell r="E827">
            <v>86267424</v>
          </cell>
          <cell r="K827">
            <v>8278</v>
          </cell>
          <cell r="L827" t="str">
            <v>99-1443</v>
          </cell>
        </row>
        <row r="828">
          <cell r="B828" t="str">
            <v>㈜을지건설중기</v>
          </cell>
          <cell r="E828">
            <v>37600363</v>
          </cell>
          <cell r="K828">
            <v>12183</v>
          </cell>
          <cell r="L828" t="str">
            <v>99-1444</v>
          </cell>
        </row>
        <row r="829">
          <cell r="B829" t="str">
            <v>㈜새한상호신용금고</v>
          </cell>
          <cell r="E829">
            <v>10000000</v>
          </cell>
          <cell r="K829" t="str">
            <v>경매</v>
          </cell>
          <cell r="L829" t="str">
            <v>99-1445</v>
          </cell>
        </row>
        <row r="830">
          <cell r="B830" t="str">
            <v>구병모</v>
          </cell>
          <cell r="E830">
            <v>3686090</v>
          </cell>
          <cell r="K830">
            <v>18286</v>
          </cell>
          <cell r="L830" t="str">
            <v>99-1446</v>
          </cell>
        </row>
        <row r="831">
          <cell r="B831" t="str">
            <v>권혁성</v>
          </cell>
          <cell r="E831">
            <v>2640528</v>
          </cell>
          <cell r="K831">
            <v>18353</v>
          </cell>
          <cell r="L831" t="str">
            <v>99-1447</v>
          </cell>
        </row>
        <row r="832">
          <cell r="B832" t="str">
            <v>김병노</v>
          </cell>
          <cell r="E832">
            <v>1170686</v>
          </cell>
          <cell r="K832">
            <v>7562</v>
          </cell>
          <cell r="L832" t="str">
            <v>99-1448</v>
          </cell>
        </row>
        <row r="833">
          <cell r="B833" t="str">
            <v>㈜에이프로컬렉션</v>
          </cell>
          <cell r="E833">
            <v>6740737</v>
          </cell>
          <cell r="K833">
            <v>8342</v>
          </cell>
          <cell r="L833" t="str">
            <v>99-1449</v>
          </cell>
        </row>
        <row r="834">
          <cell r="B834" t="str">
            <v>이종수</v>
          </cell>
          <cell r="E834">
            <v>34252980</v>
          </cell>
          <cell r="K834">
            <v>6811</v>
          </cell>
          <cell r="L834" t="str">
            <v>99-1450</v>
          </cell>
        </row>
        <row r="835">
          <cell r="B835" t="str">
            <v>김형섭</v>
          </cell>
          <cell r="E835">
            <v>73769660</v>
          </cell>
          <cell r="K835">
            <v>14799</v>
          </cell>
          <cell r="L835" t="str">
            <v>99-1451</v>
          </cell>
        </row>
        <row r="836">
          <cell r="B836" t="str">
            <v>강덕웅</v>
          </cell>
          <cell r="E836">
            <v>95205683</v>
          </cell>
          <cell r="K836">
            <v>5576</v>
          </cell>
          <cell r="L836" t="str">
            <v>99-1452</v>
          </cell>
        </row>
        <row r="837">
          <cell r="B837" t="str">
            <v>우화명</v>
          </cell>
          <cell r="C837">
            <v>36508</v>
          </cell>
          <cell r="E837">
            <v>24000000</v>
          </cell>
          <cell r="K837" t="str">
            <v>경매</v>
          </cell>
          <cell r="L837" t="str">
            <v>99-1453</v>
          </cell>
        </row>
        <row r="838">
          <cell r="B838" t="str">
            <v>김홍근</v>
          </cell>
          <cell r="E838">
            <v>4404308</v>
          </cell>
          <cell r="K838">
            <v>7919</v>
          </cell>
          <cell r="L838" t="str">
            <v>99-1454</v>
          </cell>
        </row>
        <row r="839">
          <cell r="B839" t="str">
            <v>여운순</v>
          </cell>
          <cell r="E839">
            <v>12777945</v>
          </cell>
          <cell r="K839">
            <v>4078</v>
          </cell>
          <cell r="L839" t="str">
            <v>99-1455</v>
          </cell>
        </row>
        <row r="840">
          <cell r="B840" t="str">
            <v>허동석</v>
          </cell>
          <cell r="E840">
            <v>15939404</v>
          </cell>
          <cell r="K840">
            <v>4091</v>
          </cell>
          <cell r="L840" t="str">
            <v>99-1456</v>
          </cell>
        </row>
        <row r="841">
          <cell r="B841" t="str">
            <v>이순희</v>
          </cell>
          <cell r="E841">
            <v>13816345</v>
          </cell>
          <cell r="K841">
            <v>2153</v>
          </cell>
          <cell r="L841" t="str">
            <v>99-1457</v>
          </cell>
        </row>
        <row r="842">
          <cell r="B842" t="str">
            <v>진문경</v>
          </cell>
          <cell r="E842">
            <v>18259603</v>
          </cell>
          <cell r="K842">
            <v>5773</v>
          </cell>
          <cell r="L842" t="str">
            <v>99-1458</v>
          </cell>
        </row>
        <row r="843">
          <cell r="B843" t="str">
            <v>이연진</v>
          </cell>
          <cell r="E843">
            <v>6356198</v>
          </cell>
          <cell r="K843">
            <v>7782</v>
          </cell>
          <cell r="L843" t="str">
            <v>99-1459</v>
          </cell>
        </row>
        <row r="844">
          <cell r="B844" t="str">
            <v>이만기</v>
          </cell>
          <cell r="E844">
            <v>1352134</v>
          </cell>
          <cell r="K844">
            <v>30834</v>
          </cell>
          <cell r="L844" t="str">
            <v>99-1460</v>
          </cell>
        </row>
        <row r="845">
          <cell r="B845" t="str">
            <v>윤갑준</v>
          </cell>
          <cell r="E845">
            <v>7817678</v>
          </cell>
          <cell r="K845" t="str">
            <v>박창진</v>
          </cell>
          <cell r="L845" t="str">
            <v>99-1461</v>
          </cell>
        </row>
        <row r="846">
          <cell r="B846" t="str">
            <v>임복달</v>
          </cell>
          <cell r="E846">
            <v>8031016</v>
          </cell>
          <cell r="K846" t="str">
            <v>박창진</v>
          </cell>
          <cell r="L846" t="str">
            <v>99-1462</v>
          </cell>
        </row>
        <row r="847">
          <cell r="B847" t="str">
            <v>박춘식</v>
          </cell>
          <cell r="E847">
            <v>494153</v>
          </cell>
          <cell r="K847" t="str">
            <v>경매</v>
          </cell>
          <cell r="L847" t="str">
            <v>99-1463</v>
          </cell>
        </row>
        <row r="848">
          <cell r="B848" t="str">
            <v>한정화</v>
          </cell>
          <cell r="E848">
            <v>5792731</v>
          </cell>
          <cell r="K848" t="str">
            <v>서철웅</v>
          </cell>
          <cell r="L848" t="str">
            <v>99-1464</v>
          </cell>
        </row>
        <row r="849">
          <cell r="B849" t="str">
            <v>유종백</v>
          </cell>
          <cell r="E849">
            <v>35492293</v>
          </cell>
          <cell r="K849">
            <v>26921</v>
          </cell>
          <cell r="L849" t="str">
            <v>99-1465</v>
          </cell>
        </row>
        <row r="850">
          <cell r="B850" t="str">
            <v>김완식(김정현)</v>
          </cell>
          <cell r="D850" t="str">
            <v>김완식</v>
          </cell>
          <cell r="E850">
            <v>1808185</v>
          </cell>
          <cell r="K850">
            <v>30630</v>
          </cell>
          <cell r="L850" t="str">
            <v>99-1466</v>
          </cell>
        </row>
        <row r="851">
          <cell r="B851" t="str">
            <v>최봉선</v>
          </cell>
          <cell r="E851">
            <v>36000000</v>
          </cell>
          <cell r="L851" t="str">
            <v>99-1467</v>
          </cell>
        </row>
        <row r="852">
          <cell r="B852" t="str">
            <v>임숙희</v>
          </cell>
          <cell r="E852">
            <v>12000000</v>
          </cell>
          <cell r="L852" t="str">
            <v>99-1468</v>
          </cell>
        </row>
        <row r="853">
          <cell r="B853" t="str">
            <v>정호술</v>
          </cell>
          <cell r="E853">
            <v>6519782</v>
          </cell>
          <cell r="K853">
            <v>7774</v>
          </cell>
          <cell r="L853" t="str">
            <v>99-1469</v>
          </cell>
        </row>
        <row r="854">
          <cell r="B854" t="str">
            <v>오성기</v>
          </cell>
          <cell r="E854">
            <v>10455068</v>
          </cell>
          <cell r="K854">
            <v>7702</v>
          </cell>
          <cell r="L854" t="str">
            <v>99-1470</v>
          </cell>
        </row>
        <row r="855">
          <cell r="B855" t="str">
            <v>양홍계</v>
          </cell>
          <cell r="E855">
            <v>11934578</v>
          </cell>
          <cell r="K855">
            <v>7445</v>
          </cell>
          <cell r="L855" t="str">
            <v>99-1471</v>
          </cell>
        </row>
        <row r="856">
          <cell r="B856" t="str">
            <v>배인택</v>
          </cell>
          <cell r="E856">
            <v>2707634</v>
          </cell>
          <cell r="K856">
            <v>5198</v>
          </cell>
          <cell r="L856" t="str">
            <v>99-1472</v>
          </cell>
        </row>
        <row r="857">
          <cell r="B857" t="str">
            <v>윤일병</v>
          </cell>
          <cell r="E857">
            <v>2460192</v>
          </cell>
          <cell r="K857">
            <v>26270</v>
          </cell>
          <cell r="L857" t="str">
            <v>99-1473</v>
          </cell>
        </row>
        <row r="858">
          <cell r="B858" t="str">
            <v>다나약품</v>
          </cell>
          <cell r="E858">
            <v>65268751</v>
          </cell>
          <cell r="K858">
            <v>26558</v>
          </cell>
          <cell r="L858" t="str">
            <v>99-1474</v>
          </cell>
        </row>
        <row r="859">
          <cell r="B859" t="str">
            <v>성림기업</v>
          </cell>
          <cell r="E859">
            <v>69154794</v>
          </cell>
          <cell r="K859">
            <v>25407</v>
          </cell>
          <cell r="L859" t="str">
            <v>99-1475</v>
          </cell>
        </row>
        <row r="860">
          <cell r="B860" t="str">
            <v>유희성(최덕우)</v>
          </cell>
          <cell r="D860" t="str">
            <v>유희성(최덕우)</v>
          </cell>
          <cell r="E860">
            <v>5059242</v>
          </cell>
          <cell r="K860">
            <v>12496</v>
          </cell>
          <cell r="L860" t="str">
            <v>99-1476</v>
          </cell>
        </row>
        <row r="861">
          <cell r="B861" t="str">
            <v>없음</v>
          </cell>
          <cell r="L861" t="str">
            <v>99-1477</v>
          </cell>
        </row>
        <row r="862">
          <cell r="B862" t="str">
            <v>오범석</v>
          </cell>
          <cell r="E862">
            <v>6582431</v>
          </cell>
          <cell r="K862">
            <v>6492</v>
          </cell>
          <cell r="L862" t="str">
            <v>99-1478</v>
          </cell>
        </row>
        <row r="863">
          <cell r="B863" t="str">
            <v>정복자</v>
          </cell>
          <cell r="E863">
            <v>3745474</v>
          </cell>
          <cell r="K863">
            <v>5748</v>
          </cell>
          <cell r="L863" t="str">
            <v>99-1479</v>
          </cell>
        </row>
        <row r="864">
          <cell r="B864" t="str">
            <v>김정운</v>
          </cell>
          <cell r="C864" t="str">
            <v>완제</v>
          </cell>
          <cell r="E864">
            <v>2468398</v>
          </cell>
          <cell r="K864">
            <v>7671</v>
          </cell>
          <cell r="L864" t="str">
            <v>99-1480</v>
          </cell>
        </row>
        <row r="865">
          <cell r="B865" t="str">
            <v>김춘선</v>
          </cell>
          <cell r="E865">
            <v>6879831</v>
          </cell>
          <cell r="K865">
            <v>14233</v>
          </cell>
          <cell r="L865" t="str">
            <v>99-1481</v>
          </cell>
        </row>
        <row r="866">
          <cell r="B866" t="str">
            <v>차갑송</v>
          </cell>
          <cell r="E866">
            <v>10162697</v>
          </cell>
          <cell r="K866">
            <v>5268</v>
          </cell>
          <cell r="L866" t="str">
            <v>99-1482</v>
          </cell>
        </row>
        <row r="867">
          <cell r="B867" t="str">
            <v>조정원</v>
          </cell>
          <cell r="E867">
            <v>12760893</v>
          </cell>
          <cell r="K867">
            <v>4974</v>
          </cell>
          <cell r="L867" t="str">
            <v>99-1483</v>
          </cell>
        </row>
        <row r="868">
          <cell r="B868" t="str">
            <v>손은주</v>
          </cell>
          <cell r="E868">
            <v>12592456</v>
          </cell>
          <cell r="K868">
            <v>5519</v>
          </cell>
          <cell r="L868" t="str">
            <v>99-1484</v>
          </cell>
        </row>
        <row r="869">
          <cell r="B869" t="str">
            <v>원희순</v>
          </cell>
          <cell r="E869">
            <v>16735660</v>
          </cell>
          <cell r="K869">
            <v>7826</v>
          </cell>
          <cell r="L869" t="str">
            <v>99-1485</v>
          </cell>
        </row>
        <row r="870">
          <cell r="B870" t="str">
            <v>조기숙</v>
          </cell>
          <cell r="E870">
            <v>20539004</v>
          </cell>
          <cell r="K870">
            <v>6619</v>
          </cell>
          <cell r="L870" t="str">
            <v>99-1486</v>
          </cell>
        </row>
        <row r="871">
          <cell r="B871" t="str">
            <v>노문숙</v>
          </cell>
          <cell r="E871">
            <v>27824307</v>
          </cell>
          <cell r="K871">
            <v>5178</v>
          </cell>
          <cell r="L871" t="str">
            <v>99-1487</v>
          </cell>
        </row>
        <row r="872">
          <cell r="B872" t="str">
            <v>장춘자</v>
          </cell>
          <cell r="E872">
            <v>13310944</v>
          </cell>
          <cell r="K872">
            <v>4030</v>
          </cell>
          <cell r="L872" t="str">
            <v>99-1488</v>
          </cell>
        </row>
        <row r="873">
          <cell r="B873" t="str">
            <v>박성규</v>
          </cell>
          <cell r="E873">
            <v>44102923</v>
          </cell>
          <cell r="K873">
            <v>14808</v>
          </cell>
          <cell r="L873" t="str">
            <v>99-1489</v>
          </cell>
        </row>
        <row r="874">
          <cell r="B874" t="str">
            <v>정순성</v>
          </cell>
          <cell r="E874">
            <v>2359643</v>
          </cell>
          <cell r="K874">
            <v>6551</v>
          </cell>
          <cell r="L874" t="str">
            <v>99-1490</v>
          </cell>
        </row>
        <row r="875">
          <cell r="B875" t="str">
            <v>김철우(송군순)</v>
          </cell>
          <cell r="D875" t="str">
            <v>김철우(송군순)</v>
          </cell>
          <cell r="E875">
            <v>8901256</v>
          </cell>
          <cell r="K875">
            <v>5741</v>
          </cell>
          <cell r="L875" t="str">
            <v>99-1491</v>
          </cell>
        </row>
        <row r="876">
          <cell r="B876" t="str">
            <v>금병성</v>
          </cell>
          <cell r="E876">
            <v>6829079</v>
          </cell>
          <cell r="K876">
            <v>6133</v>
          </cell>
          <cell r="L876" t="str">
            <v>99-1492</v>
          </cell>
        </row>
        <row r="877">
          <cell r="B877" t="str">
            <v>남도종합건재</v>
          </cell>
          <cell r="C877" t="str">
            <v>김순애</v>
          </cell>
          <cell r="E877">
            <v>42000000</v>
          </cell>
          <cell r="L877" t="str">
            <v>99-1493</v>
          </cell>
        </row>
        <row r="878">
          <cell r="B878" t="str">
            <v>박호근</v>
          </cell>
          <cell r="E878">
            <v>9424379</v>
          </cell>
          <cell r="K878" t="str">
            <v>박창진</v>
          </cell>
          <cell r="L878" t="str">
            <v>99-1494</v>
          </cell>
        </row>
        <row r="879">
          <cell r="B879" t="str">
            <v>유재준</v>
          </cell>
          <cell r="E879">
            <v>13529894</v>
          </cell>
          <cell r="K879" t="str">
            <v>경매</v>
          </cell>
          <cell r="L879" t="str">
            <v>99-1495</v>
          </cell>
        </row>
        <row r="880">
          <cell r="B880" t="str">
            <v>문진혁</v>
          </cell>
          <cell r="E880">
            <v>1594478</v>
          </cell>
          <cell r="L880" t="str">
            <v>99-1496</v>
          </cell>
        </row>
        <row r="881">
          <cell r="B881" t="str">
            <v>박달선</v>
          </cell>
          <cell r="E881">
            <v>16183332</v>
          </cell>
          <cell r="K881">
            <v>5589</v>
          </cell>
          <cell r="L881" t="str">
            <v>99-1497</v>
          </cell>
        </row>
        <row r="882">
          <cell r="B882" t="str">
            <v>조명옥</v>
          </cell>
          <cell r="E882">
            <v>14705379</v>
          </cell>
          <cell r="K882">
            <v>4681</v>
          </cell>
          <cell r="L882" t="str">
            <v>99-1498</v>
          </cell>
        </row>
        <row r="883">
          <cell r="B883" t="str">
            <v>엄월섭</v>
          </cell>
          <cell r="E883">
            <v>13044004</v>
          </cell>
          <cell r="K883">
            <v>4599</v>
          </cell>
          <cell r="L883" t="str">
            <v>99-1499</v>
          </cell>
        </row>
        <row r="884">
          <cell r="B884" t="str">
            <v>김주순</v>
          </cell>
          <cell r="E884">
            <v>5173591</v>
          </cell>
          <cell r="K884">
            <v>4242</v>
          </cell>
          <cell r="L884" t="str">
            <v>99-1500</v>
          </cell>
        </row>
        <row r="885">
          <cell r="B885" t="str">
            <v>안명자</v>
          </cell>
          <cell r="E885">
            <v>14678110</v>
          </cell>
          <cell r="K885" t="str">
            <v>7386/28429</v>
          </cell>
          <cell r="L885" t="str">
            <v>99-1501</v>
          </cell>
        </row>
        <row r="886">
          <cell r="B886" t="str">
            <v>김경숙</v>
          </cell>
          <cell r="E886">
            <v>4886644</v>
          </cell>
          <cell r="K886">
            <v>4847</v>
          </cell>
          <cell r="L886" t="str">
            <v>99-1502</v>
          </cell>
        </row>
        <row r="887">
          <cell r="B887" t="str">
            <v>한국산업㈜</v>
          </cell>
          <cell r="E887">
            <v>695950127</v>
          </cell>
          <cell r="K887">
            <v>6709</v>
          </cell>
          <cell r="L887" t="str">
            <v>99-1503</v>
          </cell>
        </row>
        <row r="888">
          <cell r="B888" t="str">
            <v>이선주(이선동)</v>
          </cell>
          <cell r="E888">
            <v>32009338</v>
          </cell>
          <cell r="K888">
            <v>4425</v>
          </cell>
          <cell r="L888" t="str">
            <v>99-1504</v>
          </cell>
        </row>
        <row r="889">
          <cell r="B889" t="str">
            <v>㈜씨씨에스</v>
          </cell>
          <cell r="E889">
            <v>33336190</v>
          </cell>
          <cell r="K889">
            <v>25593</v>
          </cell>
          <cell r="L889" t="str">
            <v>99-1505</v>
          </cell>
        </row>
        <row r="890">
          <cell r="B890" t="str">
            <v>김영복</v>
          </cell>
          <cell r="D890" t="str">
            <v>윤홍순</v>
          </cell>
          <cell r="E890">
            <v>16000000</v>
          </cell>
          <cell r="K890" t="str">
            <v>최태연</v>
          </cell>
          <cell r="L890" t="str">
            <v>99-1506</v>
          </cell>
        </row>
        <row r="891">
          <cell r="B891" t="str">
            <v>고철우</v>
          </cell>
          <cell r="E891">
            <v>3097785</v>
          </cell>
          <cell r="K891">
            <v>791</v>
          </cell>
          <cell r="L891" t="str">
            <v>99-1507</v>
          </cell>
        </row>
        <row r="892">
          <cell r="B892" t="str">
            <v>장기성</v>
          </cell>
          <cell r="E892">
            <v>29220569</v>
          </cell>
          <cell r="K892">
            <v>1021</v>
          </cell>
          <cell r="L892" t="str">
            <v>99-1508</v>
          </cell>
        </row>
        <row r="893">
          <cell r="B893" t="str">
            <v>전규호(풍길교역)</v>
          </cell>
          <cell r="D893" t="str">
            <v>전규호(풍길교역)</v>
          </cell>
          <cell r="E893">
            <v>138006961</v>
          </cell>
          <cell r="K893">
            <v>1313</v>
          </cell>
          <cell r="L893" t="str">
            <v>99-1509</v>
          </cell>
        </row>
        <row r="894">
          <cell r="B894" t="str">
            <v>김락원</v>
          </cell>
          <cell r="E894">
            <v>5628973</v>
          </cell>
          <cell r="K894">
            <v>5390</v>
          </cell>
          <cell r="L894" t="str">
            <v>99-1510</v>
          </cell>
        </row>
        <row r="895">
          <cell r="B895" t="str">
            <v>하연례</v>
          </cell>
          <cell r="E895">
            <v>12000000</v>
          </cell>
          <cell r="K895" t="str">
            <v>송승수</v>
          </cell>
          <cell r="L895" t="str">
            <v>99-1511</v>
          </cell>
        </row>
        <row r="896">
          <cell r="B896" t="str">
            <v>대욱통상㈜</v>
          </cell>
          <cell r="E896">
            <v>141480898</v>
          </cell>
          <cell r="K896">
            <v>5404</v>
          </cell>
          <cell r="L896" t="str">
            <v>99-1512</v>
          </cell>
        </row>
        <row r="897">
          <cell r="B897" t="str">
            <v>이상훈</v>
          </cell>
          <cell r="E897">
            <v>4208544</v>
          </cell>
          <cell r="K897">
            <v>10712</v>
          </cell>
          <cell r="L897" t="str">
            <v>99-1513</v>
          </cell>
        </row>
        <row r="898">
          <cell r="B898" t="str">
            <v>이윤규</v>
          </cell>
          <cell r="E898">
            <v>6690000</v>
          </cell>
          <cell r="K898">
            <v>9032</v>
          </cell>
          <cell r="L898" t="str">
            <v>99-1514</v>
          </cell>
        </row>
        <row r="899">
          <cell r="B899" t="str">
            <v>정태현</v>
          </cell>
          <cell r="E899">
            <v>2663421</v>
          </cell>
          <cell r="K899">
            <v>8825</v>
          </cell>
          <cell r="L899" t="str">
            <v>99-1515</v>
          </cell>
        </row>
        <row r="900">
          <cell r="B900" t="str">
            <v>최정철</v>
          </cell>
          <cell r="E900">
            <v>5993300</v>
          </cell>
          <cell r="K900">
            <v>7645</v>
          </cell>
          <cell r="L900" t="str">
            <v>99-1516</v>
          </cell>
        </row>
        <row r="901">
          <cell r="B901" t="str">
            <v>김진석</v>
          </cell>
          <cell r="E901">
            <v>2198756</v>
          </cell>
          <cell r="K901">
            <v>4605</v>
          </cell>
          <cell r="L901" t="str">
            <v>99-1517</v>
          </cell>
        </row>
        <row r="902">
          <cell r="B902" t="str">
            <v>윤영선</v>
          </cell>
          <cell r="E902">
            <v>7734647</v>
          </cell>
          <cell r="K902">
            <v>1862</v>
          </cell>
          <cell r="L902" t="str">
            <v>99-1518</v>
          </cell>
        </row>
        <row r="903">
          <cell r="B903" t="str">
            <v>김성만</v>
          </cell>
          <cell r="E903">
            <v>19513565</v>
          </cell>
          <cell r="K903">
            <v>4726</v>
          </cell>
          <cell r="L903" t="str">
            <v>99-1519</v>
          </cell>
        </row>
        <row r="904">
          <cell r="B904" t="str">
            <v>문홍무</v>
          </cell>
          <cell r="E904">
            <v>8425440</v>
          </cell>
          <cell r="K904">
            <v>1861</v>
          </cell>
          <cell r="L904" t="str">
            <v>99-1520</v>
          </cell>
        </row>
        <row r="905">
          <cell r="B905" t="str">
            <v>김진영</v>
          </cell>
          <cell r="E905">
            <v>6590294</v>
          </cell>
          <cell r="K905">
            <v>4328</v>
          </cell>
          <cell r="L905" t="str">
            <v>99-1521</v>
          </cell>
        </row>
        <row r="906">
          <cell r="B906" t="str">
            <v>외환은행</v>
          </cell>
          <cell r="E906" t="str">
            <v>USD1000000</v>
          </cell>
          <cell r="L906" t="str">
            <v>99-1522</v>
          </cell>
        </row>
        <row r="907">
          <cell r="B907" t="str">
            <v>이지혜</v>
          </cell>
          <cell r="E907">
            <v>36000000</v>
          </cell>
          <cell r="L907" t="str">
            <v>99-1523</v>
          </cell>
        </row>
        <row r="908">
          <cell r="B908" t="str">
            <v>이학현</v>
          </cell>
          <cell r="E908">
            <v>18244692</v>
          </cell>
          <cell r="K908">
            <v>4357</v>
          </cell>
          <cell r="L908" t="str">
            <v>99-1524</v>
          </cell>
        </row>
        <row r="909">
          <cell r="B909" t="str">
            <v>황옥희</v>
          </cell>
          <cell r="E909">
            <v>12499280</v>
          </cell>
          <cell r="K909">
            <v>9880</v>
          </cell>
          <cell r="L909" t="str">
            <v>99-1525</v>
          </cell>
        </row>
        <row r="910">
          <cell r="B910" t="str">
            <v>최상교</v>
          </cell>
          <cell r="E910">
            <v>2829861</v>
          </cell>
          <cell r="K910">
            <v>18841</v>
          </cell>
          <cell r="L910" t="str">
            <v>99-1526</v>
          </cell>
        </row>
        <row r="911">
          <cell r="B911" t="str">
            <v>유영애</v>
          </cell>
          <cell r="E911">
            <v>8336527</v>
          </cell>
          <cell r="K911">
            <v>5539</v>
          </cell>
          <cell r="L911" t="str">
            <v>99-1527</v>
          </cell>
        </row>
        <row r="912">
          <cell r="B912" t="str">
            <v>편상복</v>
          </cell>
          <cell r="E912">
            <v>12846906</v>
          </cell>
          <cell r="K912">
            <v>6118</v>
          </cell>
          <cell r="L912" t="str">
            <v>99-1528</v>
          </cell>
        </row>
        <row r="913">
          <cell r="B913" t="str">
            <v>박병순</v>
          </cell>
          <cell r="E913">
            <v>8400144</v>
          </cell>
          <cell r="K913">
            <v>5737</v>
          </cell>
          <cell r="L913" t="str">
            <v>99-1529</v>
          </cell>
        </row>
        <row r="914">
          <cell r="B914" t="str">
            <v>한기정</v>
          </cell>
          <cell r="E914">
            <v>7341711</v>
          </cell>
          <cell r="K914">
            <v>5036</v>
          </cell>
          <cell r="L914" t="str">
            <v>99-1530</v>
          </cell>
        </row>
        <row r="915">
          <cell r="B915" t="str">
            <v>남궁구</v>
          </cell>
          <cell r="E915">
            <v>11714700</v>
          </cell>
          <cell r="K915">
            <v>4973</v>
          </cell>
          <cell r="L915" t="str">
            <v>99-1531</v>
          </cell>
        </row>
        <row r="916">
          <cell r="B916" t="str">
            <v>김숙명</v>
          </cell>
          <cell r="E916">
            <v>4133361</v>
          </cell>
          <cell r="K916">
            <v>4027</v>
          </cell>
          <cell r="L916" t="str">
            <v>99-1532</v>
          </cell>
        </row>
        <row r="917">
          <cell r="B917" t="str">
            <v>이복순</v>
          </cell>
          <cell r="E917">
            <v>7453555</v>
          </cell>
          <cell r="K917">
            <v>6160</v>
          </cell>
          <cell r="L917" t="str">
            <v>99-1533</v>
          </cell>
        </row>
        <row r="918">
          <cell r="B918" t="str">
            <v>김찬진</v>
          </cell>
          <cell r="E918">
            <v>2969243</v>
          </cell>
          <cell r="K918">
            <v>11979</v>
          </cell>
          <cell r="L918" t="str">
            <v>99-1534</v>
          </cell>
        </row>
        <row r="919">
          <cell r="B919" t="str">
            <v>조완용</v>
          </cell>
          <cell r="E919">
            <v>14774221</v>
          </cell>
          <cell r="K919">
            <v>5495</v>
          </cell>
          <cell r="L919" t="str">
            <v>99-1535</v>
          </cell>
        </row>
        <row r="920">
          <cell r="B920" t="str">
            <v>이미옥</v>
          </cell>
          <cell r="E920">
            <v>11022377</v>
          </cell>
          <cell r="K920">
            <v>11170</v>
          </cell>
          <cell r="L920" t="str">
            <v>99-1536</v>
          </cell>
        </row>
        <row r="921">
          <cell r="B921" t="str">
            <v>최경숙</v>
          </cell>
          <cell r="E921">
            <v>6004686</v>
          </cell>
          <cell r="K921">
            <v>12557</v>
          </cell>
          <cell r="L921" t="str">
            <v>99-1537</v>
          </cell>
        </row>
        <row r="922">
          <cell r="B922" t="str">
            <v>정승협</v>
          </cell>
          <cell r="E922">
            <v>8733556</v>
          </cell>
          <cell r="K922">
            <v>29740</v>
          </cell>
          <cell r="L922" t="str">
            <v>99-1538</v>
          </cell>
        </row>
        <row r="923">
          <cell r="B923" t="str">
            <v>천화순</v>
          </cell>
          <cell r="E923">
            <v>15001294</v>
          </cell>
          <cell r="K923">
            <v>27812</v>
          </cell>
          <cell r="L923" t="str">
            <v>99-1539</v>
          </cell>
        </row>
        <row r="924">
          <cell r="B924" t="str">
            <v>오호동</v>
          </cell>
          <cell r="E924">
            <v>15360549</v>
          </cell>
          <cell r="K924">
            <v>35525</v>
          </cell>
          <cell r="L924" t="str">
            <v>99-1540</v>
          </cell>
        </row>
        <row r="925">
          <cell r="B925" t="str">
            <v>정승희</v>
          </cell>
          <cell r="E925">
            <v>7916462</v>
          </cell>
          <cell r="K925">
            <v>31544</v>
          </cell>
          <cell r="L925" t="str">
            <v>99-1541</v>
          </cell>
        </row>
        <row r="926">
          <cell r="B926" t="str">
            <v>이희운</v>
          </cell>
          <cell r="E926">
            <v>13565469</v>
          </cell>
          <cell r="K926">
            <v>26593</v>
          </cell>
          <cell r="L926" t="str">
            <v>99-1542</v>
          </cell>
        </row>
        <row r="927">
          <cell r="B927" t="str">
            <v>박용훈</v>
          </cell>
          <cell r="E927">
            <v>16615458</v>
          </cell>
          <cell r="K927">
            <v>30844</v>
          </cell>
          <cell r="L927" t="str">
            <v>99-1543</v>
          </cell>
        </row>
        <row r="928">
          <cell r="B928" t="str">
            <v>강상기</v>
          </cell>
          <cell r="E928">
            <v>28521108</v>
          </cell>
          <cell r="K928">
            <v>30427</v>
          </cell>
          <cell r="L928" t="str">
            <v>99-1544</v>
          </cell>
        </row>
        <row r="929">
          <cell r="B929" t="str">
            <v>이기홍</v>
          </cell>
          <cell r="E929">
            <v>30000000</v>
          </cell>
          <cell r="K929">
            <v>33504</v>
          </cell>
          <cell r="L929" t="str">
            <v>99-1545</v>
          </cell>
        </row>
        <row r="930">
          <cell r="B930" t="str">
            <v>대호철강</v>
          </cell>
          <cell r="E930">
            <v>48481793</v>
          </cell>
          <cell r="K930">
            <v>25212</v>
          </cell>
          <cell r="L930" t="str">
            <v>99-1546</v>
          </cell>
        </row>
        <row r="931">
          <cell r="B931" t="str">
            <v>최호연</v>
          </cell>
          <cell r="E931">
            <v>49145520</v>
          </cell>
          <cell r="K931" t="str">
            <v>렌탈</v>
          </cell>
          <cell r="L931" t="str">
            <v>99-1547</v>
          </cell>
        </row>
        <row r="932">
          <cell r="B932" t="str">
            <v>김계백</v>
          </cell>
          <cell r="E932">
            <v>13328245</v>
          </cell>
          <cell r="K932">
            <v>1973</v>
          </cell>
          <cell r="L932" t="str">
            <v>99-1548</v>
          </cell>
        </row>
        <row r="933">
          <cell r="B933" t="str">
            <v>이순례</v>
          </cell>
          <cell r="E933">
            <v>15414827</v>
          </cell>
          <cell r="K933">
            <v>4413</v>
          </cell>
          <cell r="L933" t="str">
            <v>99-1549</v>
          </cell>
        </row>
        <row r="934">
          <cell r="B934" t="str">
            <v>장만성</v>
          </cell>
          <cell r="E934">
            <v>2581004</v>
          </cell>
          <cell r="K934">
            <v>2280</v>
          </cell>
          <cell r="L934" t="str">
            <v>99-1550</v>
          </cell>
        </row>
        <row r="935">
          <cell r="B935" t="str">
            <v>최미애</v>
          </cell>
          <cell r="E935">
            <v>25530634</v>
          </cell>
          <cell r="K935">
            <v>1943</v>
          </cell>
          <cell r="L935" t="str">
            <v>99-1551</v>
          </cell>
        </row>
        <row r="936">
          <cell r="B936" t="str">
            <v>박용식</v>
          </cell>
          <cell r="E936">
            <v>16177770</v>
          </cell>
          <cell r="K936">
            <v>2196</v>
          </cell>
          <cell r="L936" t="str">
            <v>99-1552</v>
          </cell>
        </row>
        <row r="937">
          <cell r="B937" t="str">
            <v>최명진</v>
          </cell>
          <cell r="E937">
            <v>36441737</v>
          </cell>
          <cell r="K937">
            <v>4096</v>
          </cell>
          <cell r="L937" t="str">
            <v>99-1553</v>
          </cell>
        </row>
        <row r="938">
          <cell r="B938" t="str">
            <v>성윤용</v>
          </cell>
          <cell r="E938">
            <v>12289251</v>
          </cell>
          <cell r="K938">
            <v>7777</v>
          </cell>
          <cell r="L938" t="str">
            <v>99-1554</v>
          </cell>
        </row>
        <row r="939">
          <cell r="B939" t="str">
            <v>김옥자</v>
          </cell>
          <cell r="E939">
            <v>17821915</v>
          </cell>
          <cell r="K939">
            <v>2180</v>
          </cell>
          <cell r="L939" t="str">
            <v>99-1555</v>
          </cell>
        </row>
        <row r="940">
          <cell r="B940" t="str">
            <v>최춘영</v>
          </cell>
          <cell r="E940">
            <v>6362712</v>
          </cell>
          <cell r="K940">
            <v>2060</v>
          </cell>
          <cell r="L940" t="str">
            <v>99-1556</v>
          </cell>
        </row>
        <row r="941">
          <cell r="B941" t="str">
            <v>최영숙</v>
          </cell>
          <cell r="E941">
            <v>11824533</v>
          </cell>
          <cell r="K941">
            <v>1951</v>
          </cell>
          <cell r="L941" t="str">
            <v>99-1557</v>
          </cell>
        </row>
        <row r="942">
          <cell r="B942" t="str">
            <v>김영순</v>
          </cell>
          <cell r="E942">
            <v>21925158</v>
          </cell>
          <cell r="K942">
            <v>2093</v>
          </cell>
          <cell r="L942" t="str">
            <v>99-1558</v>
          </cell>
        </row>
        <row r="943">
          <cell r="B943" t="str">
            <v>㈜이엑스</v>
          </cell>
          <cell r="E943">
            <v>605346336</v>
          </cell>
          <cell r="K943" t="str">
            <v>장덕훈</v>
          </cell>
          <cell r="L943" t="str">
            <v>99-1559</v>
          </cell>
        </row>
        <row r="944">
          <cell r="B944" t="str">
            <v xml:space="preserve">김영수 </v>
          </cell>
          <cell r="E944">
            <v>12350064</v>
          </cell>
          <cell r="K944">
            <v>4525</v>
          </cell>
          <cell r="L944" t="str">
            <v>99-1560</v>
          </cell>
        </row>
        <row r="945">
          <cell r="B945" t="str">
            <v>김선택</v>
          </cell>
          <cell r="E945">
            <v>3397214</v>
          </cell>
          <cell r="K945">
            <v>5718</v>
          </cell>
          <cell r="L945" t="str">
            <v>99-1561</v>
          </cell>
        </row>
        <row r="946">
          <cell r="B946" t="str">
            <v>이종만</v>
          </cell>
          <cell r="E946">
            <v>8042709</v>
          </cell>
          <cell r="K946">
            <v>6123</v>
          </cell>
          <cell r="L946" t="str">
            <v>99-1562</v>
          </cell>
        </row>
        <row r="947">
          <cell r="B947" t="str">
            <v>김만경</v>
          </cell>
          <cell r="E947">
            <v>4182346</v>
          </cell>
          <cell r="K947">
            <v>5570</v>
          </cell>
          <cell r="L947" t="str">
            <v>99-1563</v>
          </cell>
        </row>
        <row r="948">
          <cell r="B948" t="str">
            <v>김공영</v>
          </cell>
          <cell r="E948">
            <v>6634258</v>
          </cell>
          <cell r="K948">
            <v>6159</v>
          </cell>
          <cell r="L948" t="str">
            <v>99-1564</v>
          </cell>
        </row>
        <row r="949">
          <cell r="B949" t="str">
            <v>김금희</v>
          </cell>
          <cell r="E949">
            <v>8788906</v>
          </cell>
          <cell r="K949">
            <v>5575</v>
          </cell>
          <cell r="L949" t="str">
            <v>99-1565</v>
          </cell>
        </row>
        <row r="950">
          <cell r="B950" t="str">
            <v>박영란</v>
          </cell>
          <cell r="E950">
            <v>20670871</v>
          </cell>
          <cell r="K950">
            <v>5076</v>
          </cell>
          <cell r="L950" t="str">
            <v>99-1566</v>
          </cell>
        </row>
        <row r="951">
          <cell r="B951" t="str">
            <v>암봉상사</v>
          </cell>
          <cell r="E951">
            <v>24019234</v>
          </cell>
          <cell r="K951">
            <v>6698</v>
          </cell>
          <cell r="L951" t="str">
            <v>99-1567</v>
          </cell>
        </row>
        <row r="952">
          <cell r="B952" t="str">
            <v>정종인</v>
          </cell>
          <cell r="E952">
            <v>9983081</v>
          </cell>
          <cell r="K952">
            <v>4219</v>
          </cell>
          <cell r="L952" t="str">
            <v>99-1568</v>
          </cell>
        </row>
        <row r="953">
          <cell r="B953" t="str">
            <v>진우문</v>
          </cell>
          <cell r="E953">
            <v>1323210</v>
          </cell>
          <cell r="K953">
            <v>23168</v>
          </cell>
          <cell r="L953" t="str">
            <v>99-1569</v>
          </cell>
        </row>
        <row r="954">
          <cell r="B954" t="str">
            <v>정경숙</v>
          </cell>
          <cell r="E954">
            <v>7047177</v>
          </cell>
          <cell r="K954">
            <v>2152</v>
          </cell>
          <cell r="L954" t="str">
            <v>99-1570</v>
          </cell>
        </row>
        <row r="955">
          <cell r="B955" t="str">
            <v>윤천숙</v>
          </cell>
          <cell r="E955">
            <v>16420330</v>
          </cell>
          <cell r="K955">
            <v>6467</v>
          </cell>
          <cell r="L955" t="str">
            <v>99-1571</v>
          </cell>
        </row>
        <row r="956">
          <cell r="B956" t="str">
            <v>정보희</v>
          </cell>
          <cell r="E956">
            <v>3751277</v>
          </cell>
          <cell r="K956">
            <v>4503</v>
          </cell>
          <cell r="L956" t="str">
            <v>99-1572</v>
          </cell>
        </row>
        <row r="957">
          <cell r="B957" t="str">
            <v>이대휘</v>
          </cell>
          <cell r="E957">
            <v>4821162</v>
          </cell>
          <cell r="K957">
            <v>4146</v>
          </cell>
          <cell r="L957" t="str">
            <v>99-1573</v>
          </cell>
        </row>
        <row r="958">
          <cell r="B958" t="str">
            <v>이형태</v>
          </cell>
          <cell r="E958">
            <v>28860491</v>
          </cell>
          <cell r="K958">
            <v>4457</v>
          </cell>
          <cell r="L958" t="str">
            <v>99-1574</v>
          </cell>
        </row>
        <row r="959">
          <cell r="B959" t="str">
            <v>허연희</v>
          </cell>
          <cell r="E959">
            <v>1277998</v>
          </cell>
          <cell r="K959">
            <v>17222</v>
          </cell>
          <cell r="L959" t="str">
            <v>99-1575</v>
          </cell>
        </row>
        <row r="960">
          <cell r="B960" t="str">
            <v>우종인</v>
          </cell>
          <cell r="E960">
            <v>10610269</v>
          </cell>
          <cell r="K960">
            <v>4533</v>
          </cell>
          <cell r="L960" t="str">
            <v>99-1576</v>
          </cell>
        </row>
        <row r="961">
          <cell r="B961" t="str">
            <v>㈜참여여행사</v>
          </cell>
          <cell r="E961">
            <v>1227841</v>
          </cell>
          <cell r="K961">
            <v>2229</v>
          </cell>
          <cell r="L961" t="str">
            <v>99-1577</v>
          </cell>
        </row>
        <row r="962">
          <cell r="B962" t="str">
            <v>조남원</v>
          </cell>
          <cell r="E962">
            <v>15669631</v>
          </cell>
          <cell r="K962">
            <v>4849</v>
          </cell>
          <cell r="L962" t="str">
            <v>99-1578</v>
          </cell>
        </row>
        <row r="963">
          <cell r="B963" t="str">
            <v>㈜중화문고</v>
          </cell>
          <cell r="E963">
            <v>33740922</v>
          </cell>
          <cell r="K963">
            <v>9596</v>
          </cell>
          <cell r="L963" t="str">
            <v>99-1579</v>
          </cell>
        </row>
        <row r="964">
          <cell r="B964" t="str">
            <v>㈜대양</v>
          </cell>
          <cell r="E964">
            <v>108937103</v>
          </cell>
          <cell r="K964">
            <v>14798</v>
          </cell>
          <cell r="L964" t="str">
            <v>99-1580</v>
          </cell>
        </row>
        <row r="965">
          <cell r="B965" t="str">
            <v>㈜덕영어패럴</v>
          </cell>
          <cell r="E965">
            <v>68992098</v>
          </cell>
          <cell r="K965">
            <v>5115</v>
          </cell>
          <cell r="L965" t="str">
            <v>99-1581</v>
          </cell>
        </row>
        <row r="966">
          <cell r="B966" t="str">
            <v>㈜창성무역</v>
          </cell>
          <cell r="E966">
            <v>769965343</v>
          </cell>
          <cell r="K966">
            <v>25363</v>
          </cell>
          <cell r="L966" t="str">
            <v>99-1582</v>
          </cell>
        </row>
        <row r="967">
          <cell r="B967" t="str">
            <v>㈜골드링</v>
          </cell>
          <cell r="E967">
            <v>20570000</v>
          </cell>
          <cell r="K967">
            <v>5903</v>
          </cell>
          <cell r="L967" t="str">
            <v>99-1583</v>
          </cell>
        </row>
        <row r="968">
          <cell r="B968" t="str">
            <v>㈜한주정공</v>
          </cell>
          <cell r="E968">
            <v>55412584</v>
          </cell>
          <cell r="K968">
            <v>2211</v>
          </cell>
          <cell r="L968" t="str">
            <v>99-1584</v>
          </cell>
        </row>
        <row r="969">
          <cell r="B969" t="str">
            <v>이정자</v>
          </cell>
          <cell r="E969">
            <v>247204083</v>
          </cell>
          <cell r="K969">
            <v>967</v>
          </cell>
          <cell r="L969" t="str">
            <v>99-1585</v>
          </cell>
        </row>
        <row r="970">
          <cell r="B970" t="str">
            <v>이영희</v>
          </cell>
          <cell r="E970">
            <v>20697123</v>
          </cell>
          <cell r="K970" t="str">
            <v>6163/30280</v>
          </cell>
          <cell r="L970" t="str">
            <v>99-1586</v>
          </cell>
        </row>
        <row r="971">
          <cell r="B971" t="str">
            <v>김남웅</v>
          </cell>
          <cell r="E971">
            <v>22074193</v>
          </cell>
          <cell r="K971">
            <v>5644</v>
          </cell>
          <cell r="L971" t="str">
            <v>99-1587</v>
          </cell>
        </row>
        <row r="972">
          <cell r="B972" t="str">
            <v>김재호</v>
          </cell>
          <cell r="E972">
            <v>8759012</v>
          </cell>
          <cell r="K972">
            <v>1977</v>
          </cell>
          <cell r="L972" t="str">
            <v>99-1588</v>
          </cell>
        </row>
        <row r="973">
          <cell r="B973" t="str">
            <v>홍정애</v>
          </cell>
          <cell r="E973">
            <v>5544723</v>
          </cell>
          <cell r="K973">
            <v>5887</v>
          </cell>
          <cell r="L973" t="str">
            <v>99-1589</v>
          </cell>
        </row>
        <row r="974">
          <cell r="B974" t="str">
            <v>옹미정</v>
          </cell>
          <cell r="E974">
            <v>1834362</v>
          </cell>
          <cell r="K974">
            <v>8672</v>
          </cell>
          <cell r="L974" t="str">
            <v>99-1590</v>
          </cell>
        </row>
        <row r="975">
          <cell r="B975" t="str">
            <v>안병오</v>
          </cell>
          <cell r="E975">
            <v>6024980</v>
          </cell>
          <cell r="K975">
            <v>11150</v>
          </cell>
          <cell r="L975" t="str">
            <v>99-1591</v>
          </cell>
        </row>
        <row r="976">
          <cell r="B976" t="str">
            <v>김영화</v>
          </cell>
          <cell r="E976">
            <v>9143673</v>
          </cell>
          <cell r="K976">
            <v>5122</v>
          </cell>
          <cell r="L976" t="str">
            <v>99-1592</v>
          </cell>
        </row>
        <row r="977">
          <cell r="B977" t="str">
            <v>조수한</v>
          </cell>
          <cell r="E977">
            <v>9995205</v>
          </cell>
          <cell r="K977">
            <v>5999</v>
          </cell>
          <cell r="L977" t="str">
            <v>99-1593</v>
          </cell>
        </row>
        <row r="978">
          <cell r="B978" t="str">
            <v>서정민</v>
          </cell>
          <cell r="E978">
            <v>9642562</v>
          </cell>
          <cell r="K978">
            <v>7448</v>
          </cell>
          <cell r="L978" t="str">
            <v>99-1594</v>
          </cell>
        </row>
        <row r="979">
          <cell r="B979" t="str">
            <v>정연일</v>
          </cell>
          <cell r="E979">
            <v>17118080</v>
          </cell>
          <cell r="K979">
            <v>1955</v>
          </cell>
          <cell r="L979" t="str">
            <v>99-1595</v>
          </cell>
        </row>
        <row r="980">
          <cell r="B980" t="str">
            <v>박종석</v>
          </cell>
          <cell r="E980">
            <v>8533679</v>
          </cell>
          <cell r="K980">
            <v>4069</v>
          </cell>
          <cell r="L980" t="str">
            <v>99-1596</v>
          </cell>
        </row>
        <row r="981">
          <cell r="B981" t="str">
            <v>김승준</v>
          </cell>
          <cell r="E981">
            <v>15517876</v>
          </cell>
          <cell r="K981">
            <v>6293</v>
          </cell>
          <cell r="L981" t="str">
            <v>99-1597</v>
          </cell>
        </row>
        <row r="982">
          <cell r="B982" t="str">
            <v>권영석</v>
          </cell>
          <cell r="E982">
            <v>27044466</v>
          </cell>
          <cell r="K982">
            <v>5025</v>
          </cell>
          <cell r="L982" t="str">
            <v>99-1598</v>
          </cell>
        </row>
        <row r="983">
          <cell r="B983" t="str">
            <v>송상식</v>
          </cell>
          <cell r="E983">
            <v>6665637</v>
          </cell>
          <cell r="K983">
            <v>4995</v>
          </cell>
          <cell r="L983" t="str">
            <v>99-1599</v>
          </cell>
        </row>
        <row r="984">
          <cell r="B984" t="str">
            <v>이민석</v>
          </cell>
          <cell r="E984">
            <v>8274336</v>
          </cell>
          <cell r="K984">
            <v>22114</v>
          </cell>
          <cell r="L984" t="str">
            <v>99-1600</v>
          </cell>
        </row>
        <row r="985">
          <cell r="B985" t="str">
            <v>지충웅</v>
          </cell>
          <cell r="E985">
            <v>27377033</v>
          </cell>
          <cell r="K985">
            <v>4649</v>
          </cell>
          <cell r="L985" t="str">
            <v>99-1601</v>
          </cell>
        </row>
        <row r="986">
          <cell r="B986" t="str">
            <v>장경미</v>
          </cell>
          <cell r="E986">
            <v>11916173</v>
          </cell>
          <cell r="K986">
            <v>22276</v>
          </cell>
          <cell r="L986" t="str">
            <v>99-1602</v>
          </cell>
        </row>
        <row r="987">
          <cell r="B987" t="str">
            <v>현은진</v>
          </cell>
          <cell r="E987">
            <v>14363846</v>
          </cell>
          <cell r="K987">
            <v>16466</v>
          </cell>
          <cell r="L987" t="str">
            <v>99-1603</v>
          </cell>
        </row>
        <row r="988">
          <cell r="B988" t="str">
            <v>이주호</v>
          </cell>
          <cell r="E988">
            <v>3455383</v>
          </cell>
          <cell r="K988">
            <v>22739</v>
          </cell>
          <cell r="L988" t="str">
            <v>99-1604</v>
          </cell>
        </row>
        <row r="989">
          <cell r="B989" t="str">
            <v>노재자</v>
          </cell>
          <cell r="E989">
            <v>10602052</v>
          </cell>
          <cell r="K989">
            <v>21629</v>
          </cell>
          <cell r="L989" t="str">
            <v>99-1605</v>
          </cell>
        </row>
        <row r="990">
          <cell r="B990" t="str">
            <v>윤영희</v>
          </cell>
          <cell r="E990">
            <v>7375866</v>
          </cell>
          <cell r="K990">
            <v>22916</v>
          </cell>
          <cell r="L990" t="str">
            <v>99-1606</v>
          </cell>
        </row>
        <row r="991">
          <cell r="B991" t="str">
            <v>전미옥</v>
          </cell>
          <cell r="E991">
            <v>5517833</v>
          </cell>
          <cell r="K991">
            <v>33709</v>
          </cell>
          <cell r="L991" t="str">
            <v>99-1607</v>
          </cell>
        </row>
        <row r="992">
          <cell r="B992" t="str">
            <v>원중근</v>
          </cell>
          <cell r="E992">
            <v>15074464</v>
          </cell>
          <cell r="K992">
            <v>27814</v>
          </cell>
          <cell r="L992" t="str">
            <v>99-1608</v>
          </cell>
        </row>
        <row r="993">
          <cell r="B993" t="str">
            <v>심덕섭</v>
          </cell>
          <cell r="E993">
            <v>7207366</v>
          </cell>
          <cell r="K993">
            <v>26554</v>
          </cell>
          <cell r="L993" t="str">
            <v>99-1609</v>
          </cell>
        </row>
        <row r="994">
          <cell r="B994" t="str">
            <v>조월영</v>
          </cell>
          <cell r="E994">
            <v>8553676</v>
          </cell>
          <cell r="K994">
            <v>28505</v>
          </cell>
          <cell r="L994" t="str">
            <v>99-1610</v>
          </cell>
        </row>
        <row r="995">
          <cell r="B995" t="str">
            <v>서말녀</v>
          </cell>
          <cell r="E995">
            <v>4672615</v>
          </cell>
          <cell r="K995">
            <v>30784</v>
          </cell>
          <cell r="L995" t="str">
            <v>99-1611</v>
          </cell>
        </row>
        <row r="996">
          <cell r="B996" t="str">
            <v>이윤훈</v>
          </cell>
          <cell r="E996">
            <v>6835003</v>
          </cell>
          <cell r="K996">
            <v>34403</v>
          </cell>
          <cell r="L996" t="str">
            <v>99-1612</v>
          </cell>
        </row>
        <row r="997">
          <cell r="B997" t="str">
            <v>황병하</v>
          </cell>
          <cell r="E997">
            <v>13976622</v>
          </cell>
          <cell r="K997">
            <v>27639</v>
          </cell>
          <cell r="L997" t="str">
            <v>99-1613</v>
          </cell>
        </row>
        <row r="998">
          <cell r="B998" t="str">
            <v>윤대근</v>
          </cell>
          <cell r="E998">
            <v>15603502</v>
          </cell>
          <cell r="K998">
            <v>34143</v>
          </cell>
          <cell r="L998" t="str">
            <v>99-1614</v>
          </cell>
        </row>
        <row r="999">
          <cell r="B999" t="str">
            <v>이선례</v>
          </cell>
          <cell r="E999">
            <v>5502738</v>
          </cell>
          <cell r="K999">
            <v>27768</v>
          </cell>
          <cell r="L999" t="str">
            <v>99-1615</v>
          </cell>
        </row>
        <row r="1000">
          <cell r="B1000" t="str">
            <v>이진호</v>
          </cell>
          <cell r="E1000">
            <v>5466686</v>
          </cell>
          <cell r="K1000">
            <v>35418</v>
          </cell>
          <cell r="L1000" t="str">
            <v>99-1616</v>
          </cell>
        </row>
        <row r="1001">
          <cell r="B1001" t="str">
            <v>임은숙</v>
          </cell>
          <cell r="E1001">
            <v>3257896</v>
          </cell>
          <cell r="K1001">
            <v>27435</v>
          </cell>
          <cell r="L1001" t="str">
            <v>99-1617</v>
          </cell>
        </row>
        <row r="1002">
          <cell r="B1002" t="str">
            <v>차영례</v>
          </cell>
          <cell r="E1002">
            <v>7710628</v>
          </cell>
          <cell r="K1002">
            <v>26773</v>
          </cell>
          <cell r="L1002" t="str">
            <v>99-1618</v>
          </cell>
        </row>
        <row r="1003">
          <cell r="B1003" t="str">
            <v>박위현</v>
          </cell>
          <cell r="E1003">
            <v>4503310</v>
          </cell>
          <cell r="K1003">
            <v>27677</v>
          </cell>
          <cell r="L1003" t="str">
            <v>99-1619</v>
          </cell>
        </row>
        <row r="1004">
          <cell r="B1004" t="str">
            <v>장화숙</v>
          </cell>
          <cell r="E1004">
            <v>18162311</v>
          </cell>
          <cell r="K1004">
            <v>30130</v>
          </cell>
          <cell r="L1004" t="str">
            <v>99-1620</v>
          </cell>
        </row>
        <row r="1005">
          <cell r="B1005" t="str">
            <v>이정희</v>
          </cell>
          <cell r="E1005">
            <v>5398052</v>
          </cell>
          <cell r="K1005">
            <v>28336</v>
          </cell>
          <cell r="L1005" t="str">
            <v>99-1621</v>
          </cell>
        </row>
        <row r="1006">
          <cell r="B1006" t="str">
            <v>서옥순</v>
          </cell>
          <cell r="E1006">
            <v>3103944</v>
          </cell>
          <cell r="K1006">
            <v>33736</v>
          </cell>
          <cell r="L1006" t="str">
            <v>99-1622</v>
          </cell>
        </row>
        <row r="1007">
          <cell r="B1007" t="str">
            <v>김원중</v>
          </cell>
          <cell r="E1007">
            <v>16625356</v>
          </cell>
          <cell r="K1007">
            <v>988</v>
          </cell>
          <cell r="L1007" t="str">
            <v>99-1623</v>
          </cell>
        </row>
        <row r="1008">
          <cell r="B1008" t="str">
            <v>㈜삼원세라믹슈즈</v>
          </cell>
          <cell r="E1008">
            <v>38088768</v>
          </cell>
          <cell r="K1008">
            <v>1667</v>
          </cell>
          <cell r="L1008" t="str">
            <v>99-1624</v>
          </cell>
        </row>
        <row r="1009">
          <cell r="B1009" t="str">
            <v>윤보섭</v>
          </cell>
          <cell r="E1009">
            <v>252857716</v>
          </cell>
          <cell r="K1009" t="str">
            <v>이성복</v>
          </cell>
          <cell r="L1009" t="str">
            <v>99-1625</v>
          </cell>
        </row>
        <row r="1010">
          <cell r="B1010" t="str">
            <v>김의배</v>
          </cell>
          <cell r="E1010">
            <v>6100786</v>
          </cell>
          <cell r="K1010">
            <v>5634</v>
          </cell>
          <cell r="L1010" t="str">
            <v>99-1626</v>
          </cell>
        </row>
        <row r="1011">
          <cell r="B1011" t="str">
            <v>대진어패럴</v>
          </cell>
          <cell r="E1011">
            <v>14924144</v>
          </cell>
          <cell r="K1011">
            <v>4003</v>
          </cell>
          <cell r="L1011" t="str">
            <v>99-1627</v>
          </cell>
        </row>
        <row r="1012">
          <cell r="B1012" t="str">
            <v>하정관</v>
          </cell>
          <cell r="E1012">
            <v>10212867</v>
          </cell>
          <cell r="K1012">
            <v>16094</v>
          </cell>
          <cell r="L1012" t="str">
            <v>99-1628</v>
          </cell>
        </row>
        <row r="1013">
          <cell r="B1013" t="str">
            <v>조태희</v>
          </cell>
          <cell r="E1013">
            <v>10870879</v>
          </cell>
          <cell r="K1013">
            <v>4366</v>
          </cell>
          <cell r="L1013" t="str">
            <v>99-1629</v>
          </cell>
        </row>
        <row r="1014">
          <cell r="B1014" t="str">
            <v>김웅길</v>
          </cell>
          <cell r="E1014">
            <v>31261643</v>
          </cell>
          <cell r="K1014">
            <v>34542</v>
          </cell>
          <cell r="L1014" t="str">
            <v>99-1630</v>
          </cell>
        </row>
        <row r="1015">
          <cell r="B1015" t="str">
            <v>보림섬유㈜</v>
          </cell>
          <cell r="E1015">
            <v>5352450940</v>
          </cell>
          <cell r="K1015">
            <v>976</v>
          </cell>
          <cell r="L1015" t="str">
            <v>99-1631</v>
          </cell>
        </row>
        <row r="1016">
          <cell r="B1016" t="str">
            <v>㈜덕산기공</v>
          </cell>
          <cell r="E1016">
            <v>335500000</v>
          </cell>
          <cell r="L1016" t="str">
            <v>99-1632</v>
          </cell>
        </row>
        <row r="1017">
          <cell r="B1017" t="str">
            <v>강덕권</v>
          </cell>
          <cell r="E1017">
            <v>5682636</v>
          </cell>
          <cell r="K1017">
            <v>35030</v>
          </cell>
          <cell r="L1017" t="str">
            <v>99-1633</v>
          </cell>
        </row>
        <row r="1018">
          <cell r="B1018" t="str">
            <v>포옥선</v>
          </cell>
          <cell r="E1018">
            <v>9014264</v>
          </cell>
          <cell r="K1018">
            <v>6419</v>
          </cell>
          <cell r="L1018" t="str">
            <v>99-1634</v>
          </cell>
        </row>
        <row r="1019">
          <cell r="B1019" t="str">
            <v>권병순</v>
          </cell>
          <cell r="E1019">
            <v>1426539</v>
          </cell>
          <cell r="K1019">
            <v>2270</v>
          </cell>
          <cell r="L1019" t="str">
            <v>99-1635</v>
          </cell>
        </row>
        <row r="1020">
          <cell r="B1020" t="str">
            <v>서림상공</v>
          </cell>
          <cell r="E1020">
            <v>167280028</v>
          </cell>
          <cell r="K1020">
            <v>2213</v>
          </cell>
          <cell r="L1020" t="str">
            <v>99-1636</v>
          </cell>
        </row>
        <row r="1021">
          <cell r="B1021" t="str">
            <v>아이멕스기업</v>
          </cell>
          <cell r="E1021">
            <v>182224935</v>
          </cell>
          <cell r="K1021">
            <v>2045</v>
          </cell>
          <cell r="L1021" t="str">
            <v>99-1637</v>
          </cell>
        </row>
        <row r="1022">
          <cell r="B1022" t="str">
            <v>이진석</v>
          </cell>
          <cell r="E1022">
            <v>59186916</v>
          </cell>
          <cell r="K1022">
            <v>5933</v>
          </cell>
          <cell r="L1022" t="str">
            <v>99-1638</v>
          </cell>
        </row>
        <row r="1023">
          <cell r="B1023" t="str">
            <v>홍재선</v>
          </cell>
          <cell r="E1023">
            <v>30289136</v>
          </cell>
          <cell r="K1023">
            <v>6809</v>
          </cell>
          <cell r="L1023" t="str">
            <v>99-1639</v>
          </cell>
        </row>
        <row r="1024">
          <cell r="B1024" t="str">
            <v>태추진건설(한륭건설)</v>
          </cell>
          <cell r="E1024">
            <v>414586948</v>
          </cell>
          <cell r="K1024">
            <v>5185</v>
          </cell>
          <cell r="L1024" t="str">
            <v>99-1640</v>
          </cell>
        </row>
        <row r="1025">
          <cell r="B1025" t="str">
            <v>한도기공</v>
          </cell>
          <cell r="E1025">
            <v>166976670</v>
          </cell>
          <cell r="K1025">
            <v>12159</v>
          </cell>
          <cell r="L1025" t="str">
            <v>99-1641</v>
          </cell>
        </row>
        <row r="1026">
          <cell r="B1026" t="str">
            <v>윤연숙</v>
          </cell>
          <cell r="E1026">
            <v>365000000</v>
          </cell>
          <cell r="L1026" t="str">
            <v>99-1642</v>
          </cell>
        </row>
        <row r="1027">
          <cell r="B1027" t="str">
            <v>김효중</v>
          </cell>
          <cell r="E1027">
            <v>5155919</v>
          </cell>
          <cell r="K1027">
            <v>29798</v>
          </cell>
          <cell r="L1027" t="str">
            <v>99-1643</v>
          </cell>
        </row>
        <row r="1028">
          <cell r="B1028" t="str">
            <v>장순희</v>
          </cell>
          <cell r="E1028">
            <v>11736485</v>
          </cell>
          <cell r="K1028">
            <v>28097</v>
          </cell>
          <cell r="L1028" t="str">
            <v>99-1644</v>
          </cell>
        </row>
        <row r="1029">
          <cell r="B1029" t="str">
            <v>심재성</v>
          </cell>
          <cell r="E1029">
            <v>15734301</v>
          </cell>
          <cell r="K1029">
            <v>29750</v>
          </cell>
          <cell r="L1029" t="str">
            <v>99-1645</v>
          </cell>
        </row>
        <row r="1030">
          <cell r="B1030" t="str">
            <v>강봉수</v>
          </cell>
          <cell r="E1030">
            <v>5941971</v>
          </cell>
          <cell r="K1030">
            <v>30303</v>
          </cell>
          <cell r="L1030" t="str">
            <v>99-1646</v>
          </cell>
        </row>
        <row r="1031">
          <cell r="B1031" t="str">
            <v>손경식</v>
          </cell>
          <cell r="E1031">
            <v>7475895</v>
          </cell>
          <cell r="K1031">
            <v>33899</v>
          </cell>
          <cell r="L1031" t="str">
            <v>99-1647</v>
          </cell>
        </row>
        <row r="1032">
          <cell r="B1032" t="str">
            <v>김정규</v>
          </cell>
          <cell r="E1032">
            <v>51611062</v>
          </cell>
          <cell r="L1032" t="str">
            <v>99-1648</v>
          </cell>
        </row>
        <row r="1033">
          <cell r="B1033" t="str">
            <v>피스폰</v>
          </cell>
          <cell r="E1033">
            <v>71342523</v>
          </cell>
          <cell r="K1033">
            <v>5991</v>
          </cell>
          <cell r="L1033" t="str">
            <v>99-1649</v>
          </cell>
        </row>
        <row r="1034">
          <cell r="B1034" t="str">
            <v>이강재</v>
          </cell>
          <cell r="E1034">
            <v>10599203</v>
          </cell>
          <cell r="K1034" t="str">
            <v>서철웅</v>
          </cell>
          <cell r="L1034" t="str">
            <v>99-1650</v>
          </cell>
        </row>
        <row r="1035">
          <cell r="B1035" t="str">
            <v>임정선</v>
          </cell>
          <cell r="E1035">
            <v>19895371</v>
          </cell>
          <cell r="K1035">
            <v>5991</v>
          </cell>
          <cell r="L1035" t="str">
            <v>99-1651</v>
          </cell>
        </row>
        <row r="1036">
          <cell r="B1036" t="str">
            <v xml:space="preserve">신용호 </v>
          </cell>
          <cell r="E1036">
            <v>10919579</v>
          </cell>
          <cell r="K1036">
            <v>21857</v>
          </cell>
          <cell r="L1036" t="str">
            <v>99-1652</v>
          </cell>
        </row>
        <row r="1037">
          <cell r="B1037" t="str">
            <v>김용갑</v>
          </cell>
          <cell r="E1037">
            <v>23147132</v>
          </cell>
          <cell r="K1037">
            <v>29343</v>
          </cell>
          <cell r="L1037" t="str">
            <v>99-1653</v>
          </cell>
        </row>
        <row r="1038">
          <cell r="B1038" t="str">
            <v>김금순</v>
          </cell>
          <cell r="E1038">
            <v>6749061</v>
          </cell>
          <cell r="K1038">
            <v>21857</v>
          </cell>
          <cell r="L1038" t="str">
            <v>99-1654</v>
          </cell>
        </row>
        <row r="1039">
          <cell r="B1039" t="str">
            <v>이근창</v>
          </cell>
          <cell r="E1039">
            <v>3140484</v>
          </cell>
          <cell r="K1039">
            <v>5916</v>
          </cell>
          <cell r="L1039" t="str">
            <v>99-1655</v>
          </cell>
        </row>
        <row r="1040">
          <cell r="B1040" t="str">
            <v>송민언</v>
          </cell>
          <cell r="E1040">
            <v>2314929</v>
          </cell>
          <cell r="K1040">
            <v>14862</v>
          </cell>
          <cell r="L1040" t="str">
            <v>99-1656</v>
          </cell>
        </row>
        <row r="1041">
          <cell r="B1041" t="str">
            <v>이현옥</v>
          </cell>
          <cell r="E1041">
            <v>17600659</v>
          </cell>
          <cell r="K1041">
            <v>19408</v>
          </cell>
          <cell r="L1041" t="str">
            <v>99-1657</v>
          </cell>
        </row>
        <row r="1042">
          <cell r="B1042" t="str">
            <v>김종영</v>
          </cell>
          <cell r="E1042">
            <v>3052854</v>
          </cell>
          <cell r="K1042">
            <v>5581</v>
          </cell>
          <cell r="L1042" t="str">
            <v>99-1658</v>
          </cell>
        </row>
        <row r="1043">
          <cell r="B1043" t="str">
            <v>문성순</v>
          </cell>
          <cell r="E1043">
            <v>4870348</v>
          </cell>
          <cell r="K1043">
            <v>8187</v>
          </cell>
          <cell r="L1043" t="str">
            <v>99-1659</v>
          </cell>
        </row>
        <row r="1044">
          <cell r="B1044" t="str">
            <v>김영진</v>
          </cell>
          <cell r="E1044">
            <v>15531776</v>
          </cell>
          <cell r="K1044">
            <v>34091</v>
          </cell>
          <cell r="L1044" t="str">
            <v>99-1660</v>
          </cell>
        </row>
        <row r="1045">
          <cell r="B1045" t="str">
            <v>김철</v>
          </cell>
          <cell r="E1045">
            <v>10623820</v>
          </cell>
          <cell r="K1045">
            <v>11359</v>
          </cell>
          <cell r="L1045" t="str">
            <v>99-1661</v>
          </cell>
        </row>
        <row r="1046">
          <cell r="B1046" t="str">
            <v>천을중</v>
          </cell>
          <cell r="E1046">
            <v>14428830</v>
          </cell>
          <cell r="K1046">
            <v>5380</v>
          </cell>
          <cell r="L1046" t="str">
            <v>99-1662</v>
          </cell>
        </row>
        <row r="1047">
          <cell r="B1047" t="str">
            <v>송금희</v>
          </cell>
          <cell r="E1047">
            <v>2921403</v>
          </cell>
          <cell r="K1047">
            <v>5032</v>
          </cell>
          <cell r="L1047" t="str">
            <v>99-1663</v>
          </cell>
        </row>
        <row r="1048">
          <cell r="B1048" t="str">
            <v>이은희</v>
          </cell>
          <cell r="E1048">
            <v>18250785</v>
          </cell>
          <cell r="K1048">
            <v>5294</v>
          </cell>
          <cell r="L1048" t="str">
            <v>99-1664</v>
          </cell>
        </row>
        <row r="1049">
          <cell r="B1049" t="str">
            <v>김삼식</v>
          </cell>
          <cell r="E1049">
            <v>18173912</v>
          </cell>
          <cell r="K1049">
            <v>1876</v>
          </cell>
          <cell r="L1049" t="str">
            <v>99-1665</v>
          </cell>
        </row>
        <row r="1050">
          <cell r="B1050" t="str">
            <v>정윤석</v>
          </cell>
          <cell r="E1050">
            <v>14980536</v>
          </cell>
          <cell r="K1050">
            <v>35496</v>
          </cell>
          <cell r="L1050" t="str">
            <v>99-1666</v>
          </cell>
        </row>
        <row r="1051">
          <cell r="B1051" t="str">
            <v>김양래</v>
          </cell>
          <cell r="E1051">
            <v>21919231</v>
          </cell>
          <cell r="K1051">
            <v>31355</v>
          </cell>
          <cell r="L1051" t="str">
            <v>99-1667</v>
          </cell>
        </row>
        <row r="1052">
          <cell r="B1052" t="str">
            <v>미산코퍼레이션</v>
          </cell>
          <cell r="E1052">
            <v>22558992</v>
          </cell>
          <cell r="K1052">
            <v>35655</v>
          </cell>
          <cell r="L1052" t="str">
            <v>99-1668</v>
          </cell>
        </row>
        <row r="1053">
          <cell r="B1053" t="str">
            <v>장인병</v>
          </cell>
          <cell r="E1053">
            <v>24375910</v>
          </cell>
          <cell r="K1053">
            <v>5752</v>
          </cell>
          <cell r="L1053" t="str">
            <v>99-1669</v>
          </cell>
        </row>
        <row r="1054">
          <cell r="B1054" t="str">
            <v>김미화</v>
          </cell>
          <cell r="E1054">
            <v>7414816</v>
          </cell>
          <cell r="K1054">
            <v>6484</v>
          </cell>
          <cell r="L1054" t="str">
            <v>99-1670</v>
          </cell>
        </row>
        <row r="1055">
          <cell r="B1055" t="str">
            <v>홍현기</v>
          </cell>
          <cell r="E1055">
            <v>3845684</v>
          </cell>
          <cell r="K1055">
            <v>7254</v>
          </cell>
          <cell r="L1055" t="str">
            <v>99-1671</v>
          </cell>
        </row>
        <row r="1056">
          <cell r="B1056" t="str">
            <v>조온의</v>
          </cell>
          <cell r="E1056">
            <v>12096428</v>
          </cell>
          <cell r="K1056">
            <v>1874</v>
          </cell>
          <cell r="L1056" t="str">
            <v>99-1672</v>
          </cell>
        </row>
        <row r="1057">
          <cell r="B1057" t="str">
            <v>남옥희</v>
          </cell>
          <cell r="C1057" t="str">
            <v>완제</v>
          </cell>
          <cell r="E1057">
            <v>3752094</v>
          </cell>
          <cell r="K1057">
            <v>6204</v>
          </cell>
          <cell r="L1057" t="str">
            <v>99-1673</v>
          </cell>
        </row>
        <row r="1058">
          <cell r="B1058" t="str">
            <v>김근수</v>
          </cell>
          <cell r="E1058">
            <v>8935065</v>
          </cell>
          <cell r="K1058">
            <v>32395</v>
          </cell>
          <cell r="L1058" t="str">
            <v>99-1674</v>
          </cell>
        </row>
        <row r="1059">
          <cell r="B1059" t="str">
            <v>윤희섭</v>
          </cell>
          <cell r="E1059">
            <v>18019587</v>
          </cell>
          <cell r="K1059">
            <v>30213</v>
          </cell>
          <cell r="L1059" t="str">
            <v>99-1675</v>
          </cell>
        </row>
        <row r="1060">
          <cell r="B1060" t="str">
            <v>신형선</v>
          </cell>
          <cell r="E1060">
            <v>17870134</v>
          </cell>
          <cell r="K1060">
            <v>27310</v>
          </cell>
          <cell r="L1060" t="str">
            <v>99-1676</v>
          </cell>
        </row>
        <row r="1061">
          <cell r="B1061" t="str">
            <v>이숙자</v>
          </cell>
          <cell r="E1061">
            <v>23800917</v>
          </cell>
          <cell r="K1061">
            <v>29362</v>
          </cell>
          <cell r="L1061" t="str">
            <v>99-1677</v>
          </cell>
        </row>
        <row r="1062">
          <cell r="B1062" t="str">
            <v>신문자</v>
          </cell>
          <cell r="E1062">
            <v>12291409</v>
          </cell>
          <cell r="K1062">
            <v>8139</v>
          </cell>
          <cell r="L1062" t="str">
            <v>99-1678</v>
          </cell>
        </row>
        <row r="1063">
          <cell r="B1063" t="str">
            <v>쓰리에이㈜</v>
          </cell>
          <cell r="E1063">
            <v>17750501</v>
          </cell>
          <cell r="K1063">
            <v>9693</v>
          </cell>
          <cell r="L1063" t="str">
            <v>99-1679</v>
          </cell>
        </row>
        <row r="1064">
          <cell r="B1064" t="str">
            <v>윤정구</v>
          </cell>
          <cell r="E1064">
            <v>21399306</v>
          </cell>
          <cell r="K1064">
            <v>4300</v>
          </cell>
          <cell r="L1064" t="str">
            <v>99-1680</v>
          </cell>
        </row>
        <row r="1065">
          <cell r="B1065" t="str">
            <v>우준석</v>
          </cell>
          <cell r="E1065">
            <v>9340605</v>
          </cell>
          <cell r="K1065">
            <v>4857</v>
          </cell>
          <cell r="L1065" t="str">
            <v>99-1681</v>
          </cell>
        </row>
        <row r="1066">
          <cell r="B1066" t="str">
            <v>정일지(최창록)</v>
          </cell>
          <cell r="E1066">
            <v>10153271</v>
          </cell>
          <cell r="K1066">
            <v>8241</v>
          </cell>
          <cell r="L1066" t="str">
            <v>99-1682</v>
          </cell>
        </row>
        <row r="1067">
          <cell r="B1067" t="str">
            <v>이종주</v>
          </cell>
          <cell r="E1067">
            <v>24899631</v>
          </cell>
          <cell r="K1067" t="str">
            <v>30569/5361</v>
          </cell>
          <cell r="L1067" t="str">
            <v>99-1683</v>
          </cell>
        </row>
        <row r="1068">
          <cell r="B1068" t="str">
            <v>서영수</v>
          </cell>
          <cell r="E1068">
            <v>8467973</v>
          </cell>
          <cell r="K1068">
            <v>18660</v>
          </cell>
          <cell r="L1068" t="str">
            <v>99-1684</v>
          </cell>
        </row>
        <row r="1069">
          <cell r="B1069" t="str">
            <v>김순자</v>
          </cell>
          <cell r="E1069">
            <v>3287659</v>
          </cell>
          <cell r="K1069">
            <v>6507</v>
          </cell>
          <cell r="L1069" t="str">
            <v>99-1685</v>
          </cell>
        </row>
        <row r="1070">
          <cell r="B1070" t="str">
            <v>정창호</v>
          </cell>
          <cell r="E1070">
            <v>7416309</v>
          </cell>
          <cell r="K1070">
            <v>5692</v>
          </cell>
          <cell r="L1070" t="str">
            <v>99-1686</v>
          </cell>
        </row>
        <row r="1071">
          <cell r="B1071" t="str">
            <v>이봉옥</v>
          </cell>
          <cell r="E1071">
            <v>7528317</v>
          </cell>
          <cell r="K1071">
            <v>28601</v>
          </cell>
          <cell r="L1071" t="str">
            <v>99-1687</v>
          </cell>
        </row>
        <row r="1072">
          <cell r="B1072" t="str">
            <v>심정순</v>
          </cell>
          <cell r="E1072">
            <v>13750573</v>
          </cell>
          <cell r="K1072" t="str">
            <v>4978/27787</v>
          </cell>
          <cell r="L1072" t="str">
            <v>99-1688</v>
          </cell>
        </row>
        <row r="1073">
          <cell r="B1073" t="str">
            <v>주미연</v>
          </cell>
          <cell r="E1073">
            <v>5303393</v>
          </cell>
          <cell r="K1073">
            <v>5060</v>
          </cell>
          <cell r="L1073" t="str">
            <v>99-1689</v>
          </cell>
        </row>
        <row r="1074">
          <cell r="B1074" t="str">
            <v>최영희</v>
          </cell>
          <cell r="E1074">
            <v>6708489</v>
          </cell>
          <cell r="K1074">
            <v>6940</v>
          </cell>
          <cell r="L1074" t="str">
            <v>99-1690</v>
          </cell>
        </row>
        <row r="1075">
          <cell r="B1075" t="str">
            <v>김문성</v>
          </cell>
          <cell r="E1075">
            <v>8847484</v>
          </cell>
          <cell r="K1075">
            <v>5568</v>
          </cell>
          <cell r="L1075" t="str">
            <v>99-1691</v>
          </cell>
        </row>
        <row r="1076">
          <cell r="B1076" t="str">
            <v>박양현</v>
          </cell>
          <cell r="E1076">
            <v>4460925</v>
          </cell>
          <cell r="K1076">
            <v>6772</v>
          </cell>
          <cell r="L1076" t="str">
            <v>99-1692</v>
          </cell>
        </row>
        <row r="1077">
          <cell r="B1077" t="str">
            <v>최수철</v>
          </cell>
          <cell r="E1077">
            <v>12258315</v>
          </cell>
          <cell r="K1077">
            <v>31707</v>
          </cell>
          <cell r="L1077" t="str">
            <v>99-1693</v>
          </cell>
        </row>
        <row r="1078">
          <cell r="B1078" t="str">
            <v>이상주</v>
          </cell>
          <cell r="E1078">
            <v>12463841</v>
          </cell>
          <cell r="K1078">
            <v>31754</v>
          </cell>
          <cell r="L1078" t="str">
            <v>99-1694</v>
          </cell>
        </row>
        <row r="1079">
          <cell r="B1079" t="str">
            <v>남향희</v>
          </cell>
          <cell r="E1079">
            <v>17551316</v>
          </cell>
          <cell r="K1079">
            <v>35430</v>
          </cell>
          <cell r="L1079" t="str">
            <v>99-1695</v>
          </cell>
        </row>
        <row r="1080">
          <cell r="B1080" t="str">
            <v>임상규</v>
          </cell>
          <cell r="E1080">
            <v>5587119</v>
          </cell>
          <cell r="K1080">
            <v>31754</v>
          </cell>
          <cell r="L1080" t="str">
            <v>99-1696</v>
          </cell>
        </row>
        <row r="1081">
          <cell r="B1081" t="str">
            <v>김명신</v>
          </cell>
          <cell r="E1081">
            <v>17851504</v>
          </cell>
          <cell r="K1081">
            <v>35430</v>
          </cell>
          <cell r="L1081" t="str">
            <v>99-1697</v>
          </cell>
        </row>
        <row r="1082">
          <cell r="B1082" t="str">
            <v>우종철</v>
          </cell>
          <cell r="E1082">
            <v>3712983</v>
          </cell>
          <cell r="K1082">
            <v>28455</v>
          </cell>
          <cell r="L1082" t="str">
            <v>99-1698</v>
          </cell>
        </row>
        <row r="1083">
          <cell r="B1083" t="str">
            <v>박춘섭</v>
          </cell>
          <cell r="E1083">
            <v>16188988</v>
          </cell>
          <cell r="K1083">
            <v>27586</v>
          </cell>
          <cell r="L1083" t="str">
            <v>99-1699</v>
          </cell>
        </row>
        <row r="1084">
          <cell r="B1084" t="str">
            <v>임영호</v>
          </cell>
          <cell r="E1084">
            <v>2717587</v>
          </cell>
          <cell r="K1084">
            <v>4657</v>
          </cell>
          <cell r="L1084" t="str">
            <v>99-1700</v>
          </cell>
        </row>
        <row r="1085">
          <cell r="B1085" t="str">
            <v xml:space="preserve">김선화 </v>
          </cell>
          <cell r="E1085">
            <v>7076918</v>
          </cell>
          <cell r="K1085">
            <v>30948</v>
          </cell>
          <cell r="L1085" t="str">
            <v>99-1701</v>
          </cell>
        </row>
        <row r="1086">
          <cell r="B1086" t="str">
            <v>김은경</v>
          </cell>
          <cell r="E1086">
            <v>10676289</v>
          </cell>
          <cell r="K1086">
            <v>4748</v>
          </cell>
          <cell r="L1086" t="str">
            <v>99-1702</v>
          </cell>
        </row>
        <row r="1087">
          <cell r="B1087" t="str">
            <v>한만철</v>
          </cell>
          <cell r="E1087">
            <v>2390532</v>
          </cell>
          <cell r="K1087">
            <v>4927</v>
          </cell>
          <cell r="L1087" t="str">
            <v>99-1703</v>
          </cell>
        </row>
        <row r="1088">
          <cell r="B1088" t="str">
            <v>윤인영</v>
          </cell>
          <cell r="E1088">
            <v>3375722</v>
          </cell>
          <cell r="K1088">
            <v>4848</v>
          </cell>
          <cell r="L1088" t="str">
            <v>99-1704</v>
          </cell>
        </row>
        <row r="1089">
          <cell r="B1089" t="str">
            <v>황보호</v>
          </cell>
          <cell r="E1089">
            <v>29000000</v>
          </cell>
          <cell r="K1089">
            <v>4948</v>
          </cell>
          <cell r="L1089" t="str">
            <v>99-1705</v>
          </cell>
        </row>
        <row r="1090">
          <cell r="B1090" t="str">
            <v>㈜현성무역</v>
          </cell>
          <cell r="E1090">
            <v>874775045</v>
          </cell>
          <cell r="K1090">
            <v>26713</v>
          </cell>
          <cell r="L1090" t="str">
            <v>99-1706</v>
          </cell>
        </row>
        <row r="1091">
          <cell r="B1091" t="str">
            <v>정환상</v>
          </cell>
          <cell r="E1091">
            <v>22298309</v>
          </cell>
          <cell r="K1091" t="str">
            <v>경매</v>
          </cell>
          <cell r="L1091" t="str">
            <v>99-1707</v>
          </cell>
        </row>
        <row r="1092">
          <cell r="B1092" t="str">
            <v>김태경</v>
          </cell>
          <cell r="E1092">
            <v>15713950</v>
          </cell>
          <cell r="L1092" t="str">
            <v>99-1708</v>
          </cell>
        </row>
        <row r="1093">
          <cell r="B1093" t="str">
            <v>장효순</v>
          </cell>
          <cell r="E1093">
            <v>8523771</v>
          </cell>
          <cell r="K1093">
            <v>29279</v>
          </cell>
          <cell r="L1093" t="str">
            <v>99-1709</v>
          </cell>
        </row>
        <row r="1094">
          <cell r="B1094" t="str">
            <v>유인달</v>
          </cell>
          <cell r="E1094">
            <v>9053309</v>
          </cell>
          <cell r="K1094">
            <v>33305</v>
          </cell>
          <cell r="L1094" t="str">
            <v>99-1710</v>
          </cell>
        </row>
        <row r="1095">
          <cell r="B1095" t="str">
            <v>신준우</v>
          </cell>
          <cell r="E1095">
            <v>20000000</v>
          </cell>
          <cell r="K1095">
            <v>5015</v>
          </cell>
          <cell r="L1095" t="str">
            <v>99-1711</v>
          </cell>
        </row>
        <row r="1096">
          <cell r="B1096" t="str">
            <v>박창언</v>
          </cell>
          <cell r="E1096">
            <v>12492792</v>
          </cell>
          <cell r="K1096">
            <v>27744</v>
          </cell>
          <cell r="L1096" t="str">
            <v>99-1712</v>
          </cell>
        </row>
        <row r="1097">
          <cell r="B1097" t="str">
            <v>이상정</v>
          </cell>
          <cell r="E1097">
            <v>12681096</v>
          </cell>
          <cell r="K1097">
            <v>27208</v>
          </cell>
          <cell r="L1097" t="str">
            <v>99-1713</v>
          </cell>
        </row>
        <row r="1098">
          <cell r="B1098" t="str">
            <v>안광영</v>
          </cell>
          <cell r="E1098">
            <v>25927258</v>
          </cell>
          <cell r="K1098">
            <v>27188</v>
          </cell>
          <cell r="L1098" t="str">
            <v>99-1714</v>
          </cell>
        </row>
        <row r="1099">
          <cell r="B1099" t="str">
            <v>이동관--위임사건결재부</v>
          </cell>
          <cell r="K1099">
            <v>34265</v>
          </cell>
          <cell r="L1099" t="str">
            <v>99-1715</v>
          </cell>
        </row>
        <row r="1100">
          <cell r="B1100" t="str">
            <v>임동식</v>
          </cell>
          <cell r="E1100">
            <v>29320471</v>
          </cell>
          <cell r="K1100">
            <v>1853</v>
          </cell>
          <cell r="L1100" t="str">
            <v>99-1716</v>
          </cell>
        </row>
        <row r="1101">
          <cell r="B1101" t="str">
            <v xml:space="preserve">신향년 </v>
          </cell>
          <cell r="E1101">
            <v>26733683</v>
          </cell>
          <cell r="K1101">
            <v>7183</v>
          </cell>
          <cell r="L1101" t="str">
            <v>99-1717</v>
          </cell>
        </row>
        <row r="1102">
          <cell r="B1102" t="str">
            <v>김옥선</v>
          </cell>
          <cell r="E1102">
            <v>24959873</v>
          </cell>
          <cell r="K1102">
            <v>4424</v>
          </cell>
          <cell r="L1102" t="str">
            <v>99-1718</v>
          </cell>
        </row>
        <row r="1103">
          <cell r="B1103" t="str">
            <v>양승수</v>
          </cell>
          <cell r="E1103">
            <v>23997607</v>
          </cell>
          <cell r="K1103">
            <v>5930</v>
          </cell>
          <cell r="L1103" t="str">
            <v>99-1719</v>
          </cell>
        </row>
        <row r="1104">
          <cell r="B1104" t="str">
            <v>양승수(김동민)</v>
          </cell>
          <cell r="E1104">
            <v>21000000</v>
          </cell>
          <cell r="K1104">
            <v>4372</v>
          </cell>
          <cell r="L1104" t="str">
            <v>99-1720</v>
          </cell>
        </row>
        <row r="1105">
          <cell r="B1105" t="str">
            <v>임기영</v>
          </cell>
          <cell r="E1105">
            <v>18019587</v>
          </cell>
          <cell r="K1105">
            <v>11081</v>
          </cell>
          <cell r="L1105" t="str">
            <v>99-1721</v>
          </cell>
        </row>
        <row r="1106">
          <cell r="B1106" t="str">
            <v>이승용</v>
          </cell>
          <cell r="E1106">
            <v>30656183</v>
          </cell>
          <cell r="K1106">
            <v>8344</v>
          </cell>
          <cell r="L1106" t="str">
            <v>99-1722</v>
          </cell>
        </row>
        <row r="1107">
          <cell r="B1107" t="str">
            <v>윤남식</v>
          </cell>
          <cell r="E1107">
            <v>23338112</v>
          </cell>
          <cell r="K1107">
            <v>4991</v>
          </cell>
          <cell r="L1107" t="str">
            <v>99-1723</v>
          </cell>
        </row>
        <row r="1108">
          <cell r="B1108" t="str">
            <v>아진건설</v>
          </cell>
          <cell r="E1108">
            <v>56978855</v>
          </cell>
          <cell r="K1108">
            <v>6116</v>
          </cell>
          <cell r="L1108" t="str">
            <v>99-1724</v>
          </cell>
        </row>
        <row r="1109">
          <cell r="B1109" t="str">
            <v>황숙자</v>
          </cell>
          <cell r="E1109">
            <v>29536881</v>
          </cell>
          <cell r="K1109">
            <v>21208</v>
          </cell>
          <cell r="L1109" t="str">
            <v>99-1725</v>
          </cell>
        </row>
        <row r="1110">
          <cell r="B1110" t="str">
            <v>김영선</v>
          </cell>
          <cell r="E1110">
            <v>10476647</v>
          </cell>
          <cell r="K1110">
            <v>26123</v>
          </cell>
          <cell r="L1110" t="str">
            <v>99-1726</v>
          </cell>
        </row>
        <row r="1111">
          <cell r="B1111" t="str">
            <v>이춘석</v>
          </cell>
          <cell r="E1111">
            <v>19942182</v>
          </cell>
          <cell r="K1111">
            <v>28490</v>
          </cell>
          <cell r="L1111" t="str">
            <v>99-1727</v>
          </cell>
        </row>
        <row r="1112">
          <cell r="B1112" t="str">
            <v>이순옥</v>
          </cell>
          <cell r="E1112">
            <v>19298616</v>
          </cell>
          <cell r="K1112">
            <v>28626</v>
          </cell>
          <cell r="L1112" t="str">
            <v>99-1728</v>
          </cell>
        </row>
        <row r="1113">
          <cell r="B1113" t="str">
            <v>김혜숙</v>
          </cell>
          <cell r="E1113">
            <v>13556092</v>
          </cell>
          <cell r="K1113">
            <v>33762</v>
          </cell>
          <cell r="L1113" t="str">
            <v>99-1729</v>
          </cell>
        </row>
        <row r="1114">
          <cell r="B1114" t="str">
            <v>변기동</v>
          </cell>
          <cell r="E1114">
            <v>2336058</v>
          </cell>
          <cell r="K1114">
            <v>34286</v>
          </cell>
          <cell r="L1114" t="str">
            <v>99-1730</v>
          </cell>
        </row>
        <row r="1115">
          <cell r="B1115" t="str">
            <v>이선환</v>
          </cell>
          <cell r="E1115">
            <v>16538132</v>
          </cell>
          <cell r="K1115">
            <v>34826</v>
          </cell>
          <cell r="L1115" t="str">
            <v>99-1731</v>
          </cell>
        </row>
        <row r="1116">
          <cell r="B1116" t="str">
            <v>김경호</v>
          </cell>
          <cell r="E1116">
            <v>14320941</v>
          </cell>
          <cell r="K1116">
            <v>31353</v>
          </cell>
          <cell r="L1116" t="str">
            <v>99-1732</v>
          </cell>
        </row>
        <row r="1117">
          <cell r="B1117" t="str">
            <v>이혜광</v>
          </cell>
          <cell r="E1117">
            <v>6881530</v>
          </cell>
          <cell r="K1117">
            <v>27835</v>
          </cell>
          <cell r="L1117" t="str">
            <v>99-1733</v>
          </cell>
        </row>
        <row r="1118">
          <cell r="B1118" t="str">
            <v>박신애</v>
          </cell>
          <cell r="E1118">
            <v>6646759</v>
          </cell>
          <cell r="K1118">
            <v>34048</v>
          </cell>
          <cell r="L1118" t="str">
            <v>99-1734</v>
          </cell>
        </row>
        <row r="1119">
          <cell r="B1119" t="str">
            <v>표훈</v>
          </cell>
          <cell r="E1119">
            <v>8208750</v>
          </cell>
          <cell r="K1119">
            <v>32628</v>
          </cell>
          <cell r="L1119" t="str">
            <v>99-1735</v>
          </cell>
        </row>
        <row r="1120">
          <cell r="B1120" t="str">
            <v>강인화</v>
          </cell>
          <cell r="E1120">
            <v>15441368</v>
          </cell>
          <cell r="K1120">
            <v>30320</v>
          </cell>
          <cell r="L1120" t="str">
            <v>99-1736</v>
          </cell>
        </row>
        <row r="1121">
          <cell r="B1121" t="str">
            <v>김혜경</v>
          </cell>
          <cell r="E1121">
            <v>15310431</v>
          </cell>
          <cell r="K1121">
            <v>32079</v>
          </cell>
          <cell r="L1121" t="str">
            <v>99-1737</v>
          </cell>
        </row>
        <row r="1122">
          <cell r="B1122" t="str">
            <v>노진동</v>
          </cell>
          <cell r="E1122">
            <v>11151917</v>
          </cell>
          <cell r="K1122">
            <v>18623</v>
          </cell>
          <cell r="L1122" t="str">
            <v>99-1738</v>
          </cell>
        </row>
        <row r="1123">
          <cell r="B1123" t="str">
            <v>이계월</v>
          </cell>
          <cell r="E1123">
            <v>12000000</v>
          </cell>
          <cell r="L1123" t="str">
            <v>99-1739</v>
          </cell>
        </row>
        <row r="1124">
          <cell r="B1124" t="str">
            <v>권보근===위임결재부</v>
          </cell>
          <cell r="L1124" t="str">
            <v>99-1740</v>
          </cell>
        </row>
        <row r="1125">
          <cell r="B1125" t="str">
            <v>최범섭</v>
          </cell>
          <cell r="E1125">
            <v>1192364</v>
          </cell>
          <cell r="K1125">
            <v>8786</v>
          </cell>
          <cell r="L1125" t="str">
            <v>99-1741</v>
          </cell>
        </row>
        <row r="1126">
          <cell r="B1126" t="str">
            <v>엄희자</v>
          </cell>
          <cell r="E1126">
            <v>7449316</v>
          </cell>
          <cell r="K1126">
            <v>6839</v>
          </cell>
          <cell r="L1126" t="str">
            <v>99-1742</v>
          </cell>
        </row>
        <row r="1127">
          <cell r="B1127" t="str">
            <v>김기붕</v>
          </cell>
          <cell r="E1127">
            <v>6494445</v>
          </cell>
          <cell r="K1127">
            <v>5647</v>
          </cell>
          <cell r="L1127" t="str">
            <v>99-1743</v>
          </cell>
        </row>
        <row r="1128">
          <cell r="B1128" t="str">
            <v>유나무역</v>
          </cell>
          <cell r="E1128">
            <v>13264793</v>
          </cell>
          <cell r="K1128">
            <v>25368</v>
          </cell>
          <cell r="L1128" t="str">
            <v>99-1744</v>
          </cell>
        </row>
        <row r="1129">
          <cell r="B1129" t="str">
            <v>김행금</v>
          </cell>
          <cell r="E1129">
            <v>7014835</v>
          </cell>
          <cell r="K1129">
            <v>13448</v>
          </cell>
          <cell r="L1129" t="str">
            <v>99-1745</v>
          </cell>
        </row>
        <row r="1130">
          <cell r="B1130" t="str">
            <v>염경남</v>
          </cell>
          <cell r="E1130">
            <v>2363717</v>
          </cell>
          <cell r="K1130">
            <v>7763</v>
          </cell>
          <cell r="L1130" t="str">
            <v>99-1746</v>
          </cell>
        </row>
        <row r="1131">
          <cell r="B1131" t="str">
            <v>박경빈</v>
          </cell>
          <cell r="E1131">
            <v>2040024</v>
          </cell>
          <cell r="K1131">
            <v>8143</v>
          </cell>
          <cell r="L1131" t="str">
            <v>99-1747</v>
          </cell>
        </row>
        <row r="1132">
          <cell r="B1132" t="str">
            <v>이보갑</v>
          </cell>
          <cell r="E1132">
            <v>13906584</v>
          </cell>
          <cell r="K1132">
            <v>6011</v>
          </cell>
          <cell r="L1132" t="str">
            <v>99-1748</v>
          </cell>
        </row>
        <row r="1133">
          <cell r="B1133" t="str">
            <v>이정애</v>
          </cell>
          <cell r="E1133">
            <v>12979505</v>
          </cell>
          <cell r="L1133" t="str">
            <v>99-1749</v>
          </cell>
        </row>
        <row r="1134">
          <cell r="B1134" t="str">
            <v>이성규</v>
          </cell>
          <cell r="E1134">
            <v>39419394</v>
          </cell>
          <cell r="K1134">
            <v>29151</v>
          </cell>
          <cell r="L1134" t="str">
            <v>99-1750</v>
          </cell>
        </row>
        <row r="1135">
          <cell r="B1135" t="str">
            <v>장수옥</v>
          </cell>
          <cell r="E1135">
            <v>30195336</v>
          </cell>
          <cell r="K1135">
            <v>6265</v>
          </cell>
          <cell r="L1135" t="str">
            <v>99-1751</v>
          </cell>
        </row>
        <row r="1136">
          <cell r="B1136" t="str">
            <v>한양</v>
          </cell>
          <cell r="E1136">
            <v>145000000</v>
          </cell>
          <cell r="L1136" t="str">
            <v>99-1752</v>
          </cell>
        </row>
        <row r="1137">
          <cell r="B1137" t="str">
            <v>오승애</v>
          </cell>
          <cell r="E1137">
            <v>11386665</v>
          </cell>
          <cell r="K1137">
            <v>6860</v>
          </cell>
          <cell r="L1137" t="str">
            <v>99-1753</v>
          </cell>
        </row>
        <row r="1138">
          <cell r="B1138" t="str">
            <v>서경기계설비</v>
          </cell>
          <cell r="E1138">
            <v>32134483</v>
          </cell>
          <cell r="K1138">
            <v>25545</v>
          </cell>
          <cell r="L1138" t="str">
            <v>99-1754</v>
          </cell>
        </row>
        <row r="1139">
          <cell r="B1139" t="str">
            <v>청솔제지</v>
          </cell>
          <cell r="E1139">
            <v>619366793</v>
          </cell>
          <cell r="L1139" t="str">
            <v>99-1755</v>
          </cell>
        </row>
        <row r="1140">
          <cell r="B1140" t="str">
            <v>소양댐운수관광</v>
          </cell>
          <cell r="E1140">
            <v>209536564</v>
          </cell>
          <cell r="L1140" t="str">
            <v>99-1756</v>
          </cell>
        </row>
        <row r="1141">
          <cell r="B1141" t="str">
            <v>지원코다</v>
          </cell>
          <cell r="E1141">
            <v>180150362</v>
          </cell>
          <cell r="K1141">
            <v>25546</v>
          </cell>
          <cell r="L1141" t="str">
            <v>99-1757</v>
          </cell>
        </row>
        <row r="1142">
          <cell r="B1142" t="str">
            <v>이운규</v>
          </cell>
          <cell r="E1142">
            <v>8848387</v>
          </cell>
          <cell r="K1142">
            <v>30448</v>
          </cell>
          <cell r="L1142" t="str">
            <v>99-1758</v>
          </cell>
        </row>
        <row r="1143">
          <cell r="B1143" t="str">
            <v>김은영</v>
          </cell>
          <cell r="E1143">
            <v>13493370</v>
          </cell>
          <cell r="K1143">
            <v>35649</v>
          </cell>
          <cell r="L1143" t="str">
            <v>99-1759</v>
          </cell>
        </row>
        <row r="1144">
          <cell r="B1144" t="str">
            <v>송영애</v>
          </cell>
          <cell r="E1144">
            <v>7957962</v>
          </cell>
          <cell r="K1144">
            <v>30941</v>
          </cell>
          <cell r="L1144" t="str">
            <v>99-1760</v>
          </cell>
        </row>
        <row r="1145">
          <cell r="B1145" t="str">
            <v>이종업</v>
          </cell>
          <cell r="E1145">
            <v>7671473</v>
          </cell>
          <cell r="K1145">
            <v>19657</v>
          </cell>
          <cell r="L1145" t="str">
            <v>99-1761</v>
          </cell>
        </row>
        <row r="1146">
          <cell r="B1146" t="str">
            <v>이희도</v>
          </cell>
          <cell r="E1146">
            <v>15832413</v>
          </cell>
          <cell r="K1146">
            <v>6290</v>
          </cell>
          <cell r="L1146" t="str">
            <v>99-1762</v>
          </cell>
        </row>
        <row r="1147">
          <cell r="B1147" t="str">
            <v>배기연</v>
          </cell>
          <cell r="E1147">
            <v>9777481</v>
          </cell>
          <cell r="K1147">
            <v>6870</v>
          </cell>
          <cell r="L1147" t="str">
            <v>99-1763</v>
          </cell>
        </row>
        <row r="1148">
          <cell r="B1148" t="str">
            <v>금청해</v>
          </cell>
          <cell r="E1148">
            <v>1529068</v>
          </cell>
          <cell r="K1148">
            <v>7045</v>
          </cell>
          <cell r="L1148" t="str">
            <v>99-1764</v>
          </cell>
        </row>
        <row r="1149">
          <cell r="B1149" t="str">
            <v>김미숙</v>
          </cell>
          <cell r="E1149">
            <v>14004532</v>
          </cell>
          <cell r="K1149">
            <v>7653</v>
          </cell>
          <cell r="L1149" t="str">
            <v>99-1765</v>
          </cell>
        </row>
        <row r="1150">
          <cell r="B1150" t="str">
            <v>박춘순</v>
          </cell>
          <cell r="E1150">
            <v>9712453</v>
          </cell>
          <cell r="K1150">
            <v>6229</v>
          </cell>
          <cell r="L1150" t="str">
            <v>99-1766</v>
          </cell>
        </row>
        <row r="1151">
          <cell r="B1151" t="str">
            <v>한상직</v>
          </cell>
          <cell r="E1151">
            <v>15203721</v>
          </cell>
          <cell r="K1151">
            <v>6201</v>
          </cell>
          <cell r="L1151" t="str">
            <v>99-1767</v>
          </cell>
        </row>
        <row r="1152">
          <cell r="B1152" t="str">
            <v>조성배</v>
          </cell>
          <cell r="E1152">
            <v>12000000</v>
          </cell>
          <cell r="L1152" t="str">
            <v>99-1768</v>
          </cell>
        </row>
        <row r="1153">
          <cell r="B1153" t="str">
            <v>최혜원</v>
          </cell>
          <cell r="E1153">
            <v>12000000</v>
          </cell>
          <cell r="L1153" t="str">
            <v>99-1769</v>
          </cell>
        </row>
        <row r="1154">
          <cell r="B1154" t="str">
            <v>김동관</v>
          </cell>
          <cell r="E1154">
            <v>42683000</v>
          </cell>
          <cell r="K1154" t="str">
            <v>박창진</v>
          </cell>
          <cell r="L1154" t="str">
            <v>99-1770</v>
          </cell>
        </row>
        <row r="1155">
          <cell r="B1155" t="str">
            <v>신은경</v>
          </cell>
          <cell r="E1155">
            <v>7000000</v>
          </cell>
          <cell r="L1155" t="str">
            <v>99-1771</v>
          </cell>
        </row>
        <row r="1156">
          <cell r="B1156" t="str">
            <v>김재호</v>
          </cell>
          <cell r="E1156">
            <v>18434892</v>
          </cell>
          <cell r="K1156">
            <v>30210</v>
          </cell>
          <cell r="L1156" t="str">
            <v>99-1772</v>
          </cell>
        </row>
        <row r="1157">
          <cell r="B1157" t="str">
            <v>박종렬</v>
          </cell>
          <cell r="E1157">
            <v>10448817</v>
          </cell>
          <cell r="K1157">
            <v>5723</v>
          </cell>
          <cell r="L1157" t="str">
            <v>99-1773</v>
          </cell>
        </row>
        <row r="1158">
          <cell r="B1158" t="str">
            <v>이경옥</v>
          </cell>
          <cell r="E1158">
            <v>15117679</v>
          </cell>
          <cell r="K1158">
            <v>5207</v>
          </cell>
          <cell r="L1158" t="str">
            <v>99-1774</v>
          </cell>
        </row>
        <row r="1159">
          <cell r="B1159" t="str">
            <v>맹영호</v>
          </cell>
          <cell r="E1159">
            <v>2265119</v>
          </cell>
          <cell r="K1159">
            <v>12108</v>
          </cell>
          <cell r="L1159" t="str">
            <v>99-1775</v>
          </cell>
        </row>
        <row r="1160">
          <cell r="B1160" t="str">
            <v>정찬형</v>
          </cell>
          <cell r="E1160">
            <v>26914153</v>
          </cell>
          <cell r="K1160">
            <v>7444</v>
          </cell>
          <cell r="L1160" t="str">
            <v>99-1776</v>
          </cell>
        </row>
        <row r="1161">
          <cell r="B1161" t="str">
            <v>장우숙</v>
          </cell>
          <cell r="E1161">
            <v>17318512</v>
          </cell>
          <cell r="K1161">
            <v>5738</v>
          </cell>
          <cell r="L1161" t="str">
            <v>99-1777</v>
          </cell>
        </row>
        <row r="1162">
          <cell r="B1162" t="str">
            <v>박종광</v>
          </cell>
          <cell r="E1162">
            <v>27129979</v>
          </cell>
          <cell r="K1162">
            <v>4989</v>
          </cell>
          <cell r="L1162" t="str">
            <v>99-1778</v>
          </cell>
        </row>
        <row r="1163">
          <cell r="B1163" t="str">
            <v>㈜신광</v>
          </cell>
          <cell r="E1163">
            <v>392167828</v>
          </cell>
          <cell r="K1163">
            <v>8284</v>
          </cell>
          <cell r="L1163" t="str">
            <v>99-1779</v>
          </cell>
        </row>
        <row r="1164">
          <cell r="B1164" t="str">
            <v>김승애</v>
          </cell>
          <cell r="E1164">
            <v>16730778</v>
          </cell>
          <cell r="K1164">
            <v>30711</v>
          </cell>
          <cell r="L1164" t="str">
            <v>99-1780</v>
          </cell>
        </row>
        <row r="1165">
          <cell r="B1165" t="str">
            <v>이길원</v>
          </cell>
          <cell r="E1165">
            <v>5096473</v>
          </cell>
          <cell r="K1165">
            <v>32477</v>
          </cell>
          <cell r="L1165" t="str">
            <v>99-1781</v>
          </cell>
        </row>
        <row r="1166">
          <cell r="B1166" t="str">
            <v>손상용</v>
          </cell>
          <cell r="E1166">
            <v>8916747</v>
          </cell>
          <cell r="K1166">
            <v>30205</v>
          </cell>
          <cell r="L1166" t="str">
            <v>99-1782</v>
          </cell>
        </row>
        <row r="1167">
          <cell r="B1167" t="str">
            <v>박성이</v>
          </cell>
          <cell r="E1167">
            <v>4808730</v>
          </cell>
          <cell r="K1167">
            <v>6544</v>
          </cell>
          <cell r="L1167" t="str">
            <v>99-1783</v>
          </cell>
        </row>
        <row r="1168">
          <cell r="B1168" t="str">
            <v>조성옥</v>
          </cell>
          <cell r="E1168">
            <v>3720207</v>
          </cell>
          <cell r="K1168">
            <v>9654</v>
          </cell>
          <cell r="L1168" t="str">
            <v>99-1784</v>
          </cell>
        </row>
        <row r="1169">
          <cell r="B1169" t="str">
            <v>추현주</v>
          </cell>
          <cell r="E1169">
            <v>7533908</v>
          </cell>
          <cell r="K1169">
            <v>6007</v>
          </cell>
          <cell r="L1169" t="str">
            <v>99-1785</v>
          </cell>
        </row>
        <row r="1170">
          <cell r="B1170" t="str">
            <v>김도진</v>
          </cell>
          <cell r="E1170">
            <v>27696634</v>
          </cell>
          <cell r="K1170">
            <v>5394</v>
          </cell>
          <cell r="L1170" t="str">
            <v>99-1786</v>
          </cell>
        </row>
        <row r="1171">
          <cell r="B1171" t="str">
            <v>백좌현</v>
          </cell>
          <cell r="E1171">
            <v>33000000</v>
          </cell>
          <cell r="K1171">
            <v>9653</v>
          </cell>
          <cell r="L1171" t="str">
            <v>99-1787</v>
          </cell>
        </row>
        <row r="1172">
          <cell r="B1172" t="str">
            <v>윤용분</v>
          </cell>
          <cell r="E1172">
            <v>7000000</v>
          </cell>
          <cell r="L1172" t="str">
            <v>99-1788</v>
          </cell>
        </row>
        <row r="1173">
          <cell r="B1173" t="str">
            <v>임종철</v>
          </cell>
          <cell r="E1173">
            <v>317402539</v>
          </cell>
          <cell r="L1173" t="str">
            <v>99-1789</v>
          </cell>
        </row>
        <row r="1174">
          <cell r="B1174" t="str">
            <v>강명숙</v>
          </cell>
          <cell r="E1174">
            <v>4121267</v>
          </cell>
          <cell r="K1174">
            <v>31481</v>
          </cell>
          <cell r="L1174" t="str">
            <v>99-1790</v>
          </cell>
        </row>
        <row r="1175">
          <cell r="B1175" t="str">
            <v>서울주파</v>
          </cell>
          <cell r="E1175">
            <v>357985599</v>
          </cell>
          <cell r="K1175">
            <v>25111</v>
          </cell>
          <cell r="L1175" t="str">
            <v>99-1791</v>
          </cell>
        </row>
        <row r="1176">
          <cell r="B1176" t="str">
            <v>나도남</v>
          </cell>
          <cell r="E1176">
            <v>1129502</v>
          </cell>
          <cell r="K1176">
            <v>3237</v>
          </cell>
          <cell r="L1176" t="str">
            <v>99-1792</v>
          </cell>
        </row>
        <row r="1177">
          <cell r="B1177" t="str">
            <v>강근수</v>
          </cell>
          <cell r="E1177">
            <v>1186849</v>
          </cell>
          <cell r="K1177">
            <v>3089</v>
          </cell>
          <cell r="L1177" t="str">
            <v>99-1793</v>
          </cell>
        </row>
        <row r="1178">
          <cell r="B1178" t="str">
            <v>남궁균</v>
          </cell>
          <cell r="E1178">
            <v>526423</v>
          </cell>
          <cell r="K1178">
            <v>3230</v>
          </cell>
          <cell r="L1178" t="str">
            <v>99-1794</v>
          </cell>
        </row>
        <row r="1179">
          <cell r="B1179" t="str">
            <v>김재칠</v>
          </cell>
          <cell r="E1179">
            <v>34358188</v>
          </cell>
          <cell r="K1179">
            <v>4240</v>
          </cell>
          <cell r="L1179" t="str">
            <v>99-1795</v>
          </cell>
        </row>
        <row r="1180">
          <cell r="B1180" t="str">
            <v>오정섭</v>
          </cell>
          <cell r="E1180">
            <v>1520928</v>
          </cell>
          <cell r="K1180">
            <v>3234</v>
          </cell>
          <cell r="L1180" t="str">
            <v>99-1796</v>
          </cell>
        </row>
        <row r="1181">
          <cell r="B1181" t="str">
            <v>신동섭</v>
          </cell>
          <cell r="E1181">
            <v>3230863</v>
          </cell>
          <cell r="K1181">
            <v>12606</v>
          </cell>
          <cell r="L1181" t="str">
            <v>99-1797</v>
          </cell>
        </row>
        <row r="1182">
          <cell r="B1182" t="str">
            <v>정두병</v>
          </cell>
          <cell r="E1182">
            <v>2117152</v>
          </cell>
          <cell r="K1182">
            <v>4467</v>
          </cell>
          <cell r="L1182" t="str">
            <v>99-1798</v>
          </cell>
        </row>
        <row r="1183">
          <cell r="B1183" t="str">
            <v>전광페인트</v>
          </cell>
          <cell r="E1183">
            <v>27511792</v>
          </cell>
          <cell r="K1183">
            <v>22520</v>
          </cell>
          <cell r="L1183" t="str">
            <v>99-1799</v>
          </cell>
        </row>
        <row r="1184">
          <cell r="B1184" t="str">
            <v>이정복</v>
          </cell>
          <cell r="E1184">
            <v>16101466</v>
          </cell>
          <cell r="K1184">
            <v>15606</v>
          </cell>
          <cell r="L1184" t="str">
            <v>99-1800</v>
          </cell>
        </row>
        <row r="1185">
          <cell r="B1185" t="str">
            <v>동남유업(백영자)</v>
          </cell>
          <cell r="E1185">
            <v>333933238</v>
          </cell>
          <cell r="K1185">
            <v>1081</v>
          </cell>
          <cell r="L1185" t="str">
            <v>99-1801</v>
          </cell>
        </row>
        <row r="1186">
          <cell r="B1186" t="str">
            <v>김경숙</v>
          </cell>
          <cell r="E1186">
            <v>2640293</v>
          </cell>
          <cell r="K1186">
            <v>9284</v>
          </cell>
          <cell r="L1186" t="str">
            <v>99-1802</v>
          </cell>
        </row>
        <row r="1187">
          <cell r="B1187" t="str">
            <v>이해연</v>
          </cell>
          <cell r="E1187">
            <v>1619797</v>
          </cell>
          <cell r="K1187">
            <v>14663</v>
          </cell>
          <cell r="L1187" t="str">
            <v>99-1803</v>
          </cell>
        </row>
        <row r="1188">
          <cell r="B1188" t="str">
            <v>김연식</v>
          </cell>
          <cell r="E1188">
            <v>18718287</v>
          </cell>
          <cell r="K1188">
            <v>12201</v>
          </cell>
          <cell r="L1188" t="str">
            <v>99-1804</v>
          </cell>
        </row>
        <row r="1189">
          <cell r="B1189" t="str">
            <v>이경두</v>
          </cell>
          <cell r="E1189">
            <v>3398264</v>
          </cell>
          <cell r="K1189">
            <v>5671</v>
          </cell>
          <cell r="L1189" t="str">
            <v>99-1805</v>
          </cell>
        </row>
        <row r="1190">
          <cell r="B1190" t="str">
            <v>김명진</v>
          </cell>
          <cell r="E1190">
            <v>14696470</v>
          </cell>
          <cell r="K1190">
            <v>27826</v>
          </cell>
          <cell r="L1190" t="str">
            <v>99-1806</v>
          </cell>
        </row>
        <row r="1191">
          <cell r="B1191" t="str">
            <v>코월드</v>
          </cell>
          <cell r="E1191">
            <v>11904424</v>
          </cell>
          <cell r="K1191">
            <v>2292</v>
          </cell>
          <cell r="L1191" t="str">
            <v>99-1807</v>
          </cell>
        </row>
        <row r="1192">
          <cell r="B1192" t="str">
            <v>윤효신</v>
          </cell>
          <cell r="E1192">
            <v>15610293</v>
          </cell>
          <cell r="K1192">
            <v>6797</v>
          </cell>
          <cell r="L1192" t="str">
            <v>99-1808</v>
          </cell>
        </row>
        <row r="1193">
          <cell r="B1193" t="str">
            <v>염승철(고진영)</v>
          </cell>
          <cell r="E1193">
            <v>15590380</v>
          </cell>
          <cell r="K1193">
            <v>6798</v>
          </cell>
          <cell r="L1193" t="str">
            <v>99-1809</v>
          </cell>
        </row>
        <row r="1194">
          <cell r="B1194" t="str">
            <v>최정식</v>
          </cell>
          <cell r="E1194">
            <v>1612135</v>
          </cell>
          <cell r="K1194">
            <v>3249</v>
          </cell>
          <cell r="L1194" t="str">
            <v>99-1810</v>
          </cell>
        </row>
        <row r="1195">
          <cell r="B1195" t="str">
            <v>신미화</v>
          </cell>
          <cell r="E1195">
            <v>20358370</v>
          </cell>
          <cell r="K1195">
            <v>4417</v>
          </cell>
          <cell r="L1195" t="str">
            <v>99-1811</v>
          </cell>
        </row>
        <row r="1196">
          <cell r="B1196" t="str">
            <v>박옥희</v>
          </cell>
          <cell r="E1196">
            <v>25311114</v>
          </cell>
          <cell r="K1196" t="str">
            <v>5429/29024</v>
          </cell>
          <cell r="L1196" t="str">
            <v>99-1812</v>
          </cell>
        </row>
        <row r="1197">
          <cell r="B1197" t="str">
            <v>한은숙</v>
          </cell>
          <cell r="E1197">
            <v>51249548</v>
          </cell>
          <cell r="K1197">
            <v>8248</v>
          </cell>
          <cell r="L1197" t="str">
            <v>99-1813</v>
          </cell>
        </row>
        <row r="1198">
          <cell r="B1198" t="str">
            <v>우상욱</v>
          </cell>
          <cell r="E1198">
            <v>26919495</v>
          </cell>
          <cell r="K1198">
            <v>4443</v>
          </cell>
          <cell r="L1198" t="str">
            <v>99-1814</v>
          </cell>
        </row>
        <row r="1199">
          <cell r="B1199" t="str">
            <v>성북건설자재</v>
          </cell>
          <cell r="E1199">
            <v>217545257</v>
          </cell>
          <cell r="K1199">
            <v>6699</v>
          </cell>
          <cell r="L1199" t="str">
            <v>99-1815</v>
          </cell>
        </row>
        <row r="1200">
          <cell r="B1200" t="str">
            <v>최용우</v>
          </cell>
          <cell r="E1200">
            <v>183485269</v>
          </cell>
          <cell r="K1200">
            <v>14822</v>
          </cell>
          <cell r="L1200" t="str">
            <v>99-1816</v>
          </cell>
        </row>
        <row r="1201">
          <cell r="B1201" t="str">
            <v>하태춘</v>
          </cell>
          <cell r="E1201">
            <v>28278500</v>
          </cell>
          <cell r="K1201">
            <v>4523</v>
          </cell>
          <cell r="L1201" t="str">
            <v>99-1817</v>
          </cell>
        </row>
        <row r="1202">
          <cell r="B1202" t="str">
            <v>김행원</v>
          </cell>
          <cell r="E1202">
            <v>16082432</v>
          </cell>
          <cell r="K1202">
            <v>5232</v>
          </cell>
          <cell r="L1202" t="str">
            <v>99-1818</v>
          </cell>
        </row>
        <row r="1203">
          <cell r="B1203" t="str">
            <v>윤미옥</v>
          </cell>
          <cell r="E1203">
            <v>11995101</v>
          </cell>
          <cell r="K1203">
            <v>20184</v>
          </cell>
          <cell r="L1203" t="str">
            <v>99-1819</v>
          </cell>
        </row>
        <row r="1204">
          <cell r="B1204" t="str">
            <v>동흥어패럴</v>
          </cell>
          <cell r="E1204">
            <v>30561564</v>
          </cell>
          <cell r="K1204">
            <v>4342</v>
          </cell>
          <cell r="L1204" t="str">
            <v>99-1820</v>
          </cell>
        </row>
        <row r="1205">
          <cell r="B1205" t="str">
            <v>뉴서울체인</v>
          </cell>
          <cell r="E1205">
            <v>21671616</v>
          </cell>
          <cell r="K1205" t="str">
            <v>미접수</v>
          </cell>
          <cell r="L1205" t="str">
            <v>99-1821</v>
          </cell>
        </row>
        <row r="1206">
          <cell r="B1206" t="str">
            <v>최해경</v>
          </cell>
          <cell r="E1206">
            <v>16426291</v>
          </cell>
          <cell r="K1206">
            <v>4476</v>
          </cell>
          <cell r="L1206" t="str">
            <v>99-1822</v>
          </cell>
        </row>
        <row r="1207">
          <cell r="B1207" t="str">
            <v>김형중</v>
          </cell>
          <cell r="E1207">
            <v>4129041</v>
          </cell>
          <cell r="K1207">
            <v>6967</v>
          </cell>
          <cell r="L1207" t="str">
            <v>99-1823</v>
          </cell>
        </row>
        <row r="1208">
          <cell r="B1208" t="str">
            <v>조석근</v>
          </cell>
          <cell r="E1208">
            <v>12132787</v>
          </cell>
          <cell r="K1208">
            <v>4664</v>
          </cell>
          <cell r="L1208" t="str">
            <v>99-1824</v>
          </cell>
        </row>
        <row r="1209">
          <cell r="B1209" t="str">
            <v>이원일</v>
          </cell>
          <cell r="E1209">
            <v>24239649</v>
          </cell>
          <cell r="L1209" t="str">
            <v>99-1825</v>
          </cell>
        </row>
        <row r="1210">
          <cell r="B1210" t="str">
            <v>강윤주</v>
          </cell>
          <cell r="E1210">
            <v>7755912</v>
          </cell>
          <cell r="K1210">
            <v>33659</v>
          </cell>
          <cell r="L1210" t="str">
            <v>99-1826</v>
          </cell>
        </row>
        <row r="1211">
          <cell r="B1211" t="str">
            <v>조숙형</v>
          </cell>
          <cell r="E1211">
            <v>5190957</v>
          </cell>
          <cell r="K1211">
            <v>28578</v>
          </cell>
          <cell r="L1211" t="str">
            <v>99-1827</v>
          </cell>
        </row>
        <row r="1212">
          <cell r="B1212" t="str">
            <v>김현숙</v>
          </cell>
          <cell r="E1212">
            <v>33609719</v>
          </cell>
          <cell r="K1212">
            <v>29563</v>
          </cell>
          <cell r="L1212" t="str">
            <v>99-1828</v>
          </cell>
        </row>
        <row r="1213">
          <cell r="B1213" t="str">
            <v>김경석</v>
          </cell>
          <cell r="E1213">
            <v>7114542</v>
          </cell>
          <cell r="K1213">
            <v>35131</v>
          </cell>
          <cell r="L1213" t="str">
            <v>99-1829</v>
          </cell>
        </row>
        <row r="1214">
          <cell r="B1214" t="str">
            <v>김옥렬</v>
          </cell>
          <cell r="E1214">
            <v>8225036</v>
          </cell>
          <cell r="K1214">
            <v>29919</v>
          </cell>
          <cell r="L1214" t="str">
            <v>99-1830</v>
          </cell>
        </row>
        <row r="1215">
          <cell r="B1215" t="str">
            <v>성경훈</v>
          </cell>
          <cell r="E1215">
            <v>7109728</v>
          </cell>
          <cell r="K1215">
            <v>35550</v>
          </cell>
          <cell r="L1215" t="str">
            <v>99-1831</v>
          </cell>
        </row>
        <row r="1216">
          <cell r="B1216" t="str">
            <v>유복순</v>
          </cell>
          <cell r="E1216">
            <v>14809991</v>
          </cell>
          <cell r="K1216">
            <v>29945</v>
          </cell>
          <cell r="L1216" t="str">
            <v>99-1832</v>
          </cell>
        </row>
        <row r="1217">
          <cell r="B1217" t="str">
            <v>한경선</v>
          </cell>
          <cell r="E1217">
            <v>6886876</v>
          </cell>
          <cell r="K1217">
            <v>32504</v>
          </cell>
          <cell r="L1217" t="str">
            <v>99-1833</v>
          </cell>
        </row>
        <row r="1218">
          <cell r="B1218" t="str">
            <v>유영신</v>
          </cell>
          <cell r="E1218">
            <v>23017328</v>
          </cell>
          <cell r="K1218">
            <v>31151</v>
          </cell>
          <cell r="L1218" t="str">
            <v>99-1834</v>
          </cell>
        </row>
        <row r="1219">
          <cell r="B1219" t="str">
            <v>정영숙</v>
          </cell>
          <cell r="E1219">
            <v>11557136</v>
          </cell>
          <cell r="K1219">
            <v>30830</v>
          </cell>
          <cell r="L1219" t="str">
            <v>99-1835</v>
          </cell>
        </row>
        <row r="1220">
          <cell r="B1220" t="str">
            <v>조용선</v>
          </cell>
          <cell r="E1220">
            <v>27903276</v>
          </cell>
          <cell r="K1220">
            <v>31207</v>
          </cell>
          <cell r="L1220" t="str">
            <v>99-1836</v>
          </cell>
        </row>
        <row r="1221">
          <cell r="B1221" t="str">
            <v>최창순</v>
          </cell>
          <cell r="E1221">
            <v>17340820</v>
          </cell>
          <cell r="K1221">
            <v>30640</v>
          </cell>
          <cell r="L1221" t="str">
            <v>99-1837</v>
          </cell>
        </row>
        <row r="1222">
          <cell r="B1222" t="str">
            <v>김영란</v>
          </cell>
          <cell r="E1222">
            <v>20875898</v>
          </cell>
          <cell r="K1222">
            <v>29812</v>
          </cell>
          <cell r="L1222" t="str">
            <v>99-1838</v>
          </cell>
        </row>
        <row r="1223">
          <cell r="B1223" t="str">
            <v>김학근</v>
          </cell>
          <cell r="E1223">
            <v>16194953</v>
          </cell>
          <cell r="K1223">
            <v>33288</v>
          </cell>
          <cell r="L1223" t="str">
            <v>99-1839</v>
          </cell>
        </row>
        <row r="1224">
          <cell r="B1224" t="str">
            <v>정청종</v>
          </cell>
          <cell r="E1224">
            <v>13141616</v>
          </cell>
          <cell r="K1224">
            <v>31425</v>
          </cell>
          <cell r="L1224" t="str">
            <v>99-1840</v>
          </cell>
        </row>
        <row r="1225">
          <cell r="B1225" t="str">
            <v>건우</v>
          </cell>
          <cell r="E1225">
            <v>48500000</v>
          </cell>
          <cell r="L1225" t="str">
            <v>99-1841</v>
          </cell>
        </row>
        <row r="1226">
          <cell r="B1226" t="str">
            <v>보성화림</v>
          </cell>
          <cell r="E1226">
            <v>172929252</v>
          </cell>
          <cell r="K1226">
            <v>6806</v>
          </cell>
          <cell r="L1226" t="str">
            <v>99-1842</v>
          </cell>
        </row>
        <row r="1227">
          <cell r="B1227" t="str">
            <v>대중기호기계</v>
          </cell>
          <cell r="E1227">
            <v>28288933</v>
          </cell>
          <cell r="K1227">
            <v>4346</v>
          </cell>
          <cell r="L1227" t="str">
            <v>99-1843</v>
          </cell>
        </row>
        <row r="1228">
          <cell r="B1228" t="str">
            <v>김대환</v>
          </cell>
          <cell r="E1228">
            <v>27417122</v>
          </cell>
          <cell r="K1228">
            <v>28314</v>
          </cell>
          <cell r="L1228" t="str">
            <v>99-1844</v>
          </cell>
        </row>
        <row r="1229">
          <cell r="B1229" t="str">
            <v>장훈</v>
          </cell>
          <cell r="E1229">
            <v>11960803</v>
          </cell>
          <cell r="K1229">
            <v>32695</v>
          </cell>
          <cell r="L1229" t="str">
            <v>99-1845</v>
          </cell>
        </row>
        <row r="1230">
          <cell r="B1230" t="str">
            <v>장인희</v>
          </cell>
          <cell r="E1230">
            <v>5155134</v>
          </cell>
          <cell r="K1230">
            <v>11296</v>
          </cell>
          <cell r="L1230" t="str">
            <v>99-1846</v>
          </cell>
        </row>
        <row r="1231">
          <cell r="B1231" t="str">
            <v>이영현</v>
          </cell>
          <cell r="E1231">
            <v>13196337</v>
          </cell>
          <cell r="K1231">
            <v>5475</v>
          </cell>
          <cell r="L1231" t="str">
            <v>99-1847</v>
          </cell>
        </row>
        <row r="1232">
          <cell r="B1232" t="str">
            <v>김종호</v>
          </cell>
          <cell r="E1232">
            <v>14714155</v>
          </cell>
          <cell r="K1232">
            <v>7184</v>
          </cell>
          <cell r="L1232" t="str">
            <v>99-1848</v>
          </cell>
        </row>
        <row r="1233">
          <cell r="B1233" t="str">
            <v>이영진</v>
          </cell>
          <cell r="E1233">
            <v>8948602</v>
          </cell>
          <cell r="K1233">
            <v>8509</v>
          </cell>
          <cell r="L1233" t="str">
            <v>99-1849</v>
          </cell>
        </row>
        <row r="1234">
          <cell r="B1234" t="str">
            <v>김계성</v>
          </cell>
          <cell r="E1234">
            <v>2931180</v>
          </cell>
          <cell r="K1234">
            <v>7452</v>
          </cell>
          <cell r="L1234" t="str">
            <v>99-1850</v>
          </cell>
        </row>
        <row r="1235">
          <cell r="B1235" t="str">
            <v>신재수</v>
          </cell>
          <cell r="E1235">
            <v>3979042</v>
          </cell>
          <cell r="K1235">
            <v>4420</v>
          </cell>
          <cell r="L1235" t="str">
            <v>99-1851</v>
          </cell>
        </row>
        <row r="1236">
          <cell r="B1236" t="str">
            <v>김동진</v>
          </cell>
          <cell r="E1236">
            <v>14412831</v>
          </cell>
          <cell r="K1236">
            <v>10960</v>
          </cell>
          <cell r="L1236" t="str">
            <v>99-1852</v>
          </cell>
        </row>
        <row r="1237">
          <cell r="B1237" t="str">
            <v>이재우</v>
          </cell>
          <cell r="E1237">
            <v>2167780</v>
          </cell>
          <cell r="K1237">
            <v>7565</v>
          </cell>
          <cell r="L1237" t="str">
            <v>99-1853</v>
          </cell>
        </row>
        <row r="1238">
          <cell r="B1238" t="str">
            <v>김명애</v>
          </cell>
          <cell r="E1238">
            <v>11759580</v>
          </cell>
          <cell r="K1238">
            <v>9588</v>
          </cell>
          <cell r="L1238">
            <v>36526</v>
          </cell>
        </row>
        <row r="1239">
          <cell r="B1239" t="str">
            <v>박용건(박재만)</v>
          </cell>
          <cell r="E1239">
            <v>3639597</v>
          </cell>
          <cell r="K1239">
            <v>12198</v>
          </cell>
          <cell r="L1239">
            <v>36557</v>
          </cell>
        </row>
        <row r="1240">
          <cell r="B1240" t="str">
            <v>한동필</v>
          </cell>
          <cell r="E1240">
            <v>30007317</v>
          </cell>
          <cell r="K1240">
            <v>4898</v>
          </cell>
          <cell r="L1240">
            <v>36586</v>
          </cell>
        </row>
        <row r="1241">
          <cell r="B1241" t="str">
            <v>동양제화</v>
          </cell>
          <cell r="D1241" t="str">
            <v>한국신발공업</v>
          </cell>
          <cell r="E1241">
            <v>399946010</v>
          </cell>
          <cell r="K1241">
            <v>8285</v>
          </cell>
          <cell r="L1241">
            <v>36617</v>
          </cell>
        </row>
        <row r="1242">
          <cell r="B1242" t="str">
            <v>㈜상원</v>
          </cell>
          <cell r="D1242" t="str">
            <v>한국신발공업</v>
          </cell>
          <cell r="E1242">
            <v>163539537</v>
          </cell>
          <cell r="L1242">
            <v>36647</v>
          </cell>
        </row>
        <row r="1243">
          <cell r="B1243" t="str">
            <v>김재진</v>
          </cell>
          <cell r="D1243" t="str">
            <v>한국신발공업</v>
          </cell>
          <cell r="E1243">
            <v>73048800</v>
          </cell>
          <cell r="K1243">
            <v>8305</v>
          </cell>
          <cell r="L1243">
            <v>36678</v>
          </cell>
        </row>
        <row r="1244">
          <cell r="D1244" t="str">
            <v>김은종</v>
          </cell>
          <cell r="E1244">
            <v>12000000</v>
          </cell>
          <cell r="K1244" t="str">
            <v>이성복</v>
          </cell>
          <cell r="L1244">
            <v>36708</v>
          </cell>
        </row>
        <row r="1245">
          <cell r="B1245" t="str">
            <v>제갈정란</v>
          </cell>
          <cell r="E1245">
            <v>9060186</v>
          </cell>
          <cell r="K1245">
            <v>34188</v>
          </cell>
          <cell r="L1245">
            <v>36739</v>
          </cell>
        </row>
        <row r="1246">
          <cell r="B1246" t="str">
            <v>방순옥</v>
          </cell>
          <cell r="E1246">
            <v>4984611</v>
          </cell>
          <cell r="K1246">
            <v>31670</v>
          </cell>
          <cell r="L1246">
            <v>36770</v>
          </cell>
        </row>
        <row r="1247">
          <cell r="B1247" t="str">
            <v>심창한</v>
          </cell>
          <cell r="E1247">
            <v>9875952</v>
          </cell>
          <cell r="K1247">
            <v>28436</v>
          </cell>
          <cell r="L1247">
            <v>36800</v>
          </cell>
        </row>
        <row r="1248">
          <cell r="B1248" t="str">
            <v>한영환</v>
          </cell>
          <cell r="E1248">
            <v>13828650</v>
          </cell>
          <cell r="K1248">
            <v>31602</v>
          </cell>
          <cell r="L1248">
            <v>36831</v>
          </cell>
        </row>
        <row r="1249">
          <cell r="B1249" t="str">
            <v>최성만</v>
          </cell>
          <cell r="E1249">
            <v>12006810</v>
          </cell>
          <cell r="K1249">
            <v>32418</v>
          </cell>
          <cell r="L1249">
            <v>36861</v>
          </cell>
        </row>
        <row r="1250">
          <cell r="B1250" t="str">
            <v>이정순</v>
          </cell>
          <cell r="E1250">
            <v>15853291</v>
          </cell>
          <cell r="K1250">
            <v>28000</v>
          </cell>
          <cell r="L1250" t="str">
            <v>2000-13</v>
          </cell>
        </row>
        <row r="1251">
          <cell r="B1251" t="str">
            <v>장기임</v>
          </cell>
          <cell r="E1251">
            <v>10464904</v>
          </cell>
          <cell r="K1251">
            <v>26451</v>
          </cell>
          <cell r="L1251" t="str">
            <v>2000-14</v>
          </cell>
        </row>
        <row r="1252">
          <cell r="B1252" t="str">
            <v>박진식</v>
          </cell>
          <cell r="E1252">
            <v>6536608</v>
          </cell>
          <cell r="K1252">
            <v>30492</v>
          </cell>
          <cell r="L1252" t="str">
            <v>2000-15</v>
          </cell>
        </row>
        <row r="1253">
          <cell r="B1253" t="str">
            <v>염병삼</v>
          </cell>
          <cell r="E1253">
            <v>12997106</v>
          </cell>
          <cell r="K1253">
            <v>30622</v>
          </cell>
          <cell r="L1253" t="str">
            <v>2000-16</v>
          </cell>
        </row>
        <row r="1254">
          <cell r="B1254" t="str">
            <v>정이순</v>
          </cell>
          <cell r="E1254">
            <v>5300779</v>
          </cell>
          <cell r="K1254">
            <v>33994</v>
          </cell>
          <cell r="L1254" t="str">
            <v>2000-17</v>
          </cell>
        </row>
        <row r="1255">
          <cell r="B1255" t="str">
            <v>김점용</v>
          </cell>
          <cell r="E1255">
            <v>2550823</v>
          </cell>
          <cell r="K1255">
            <v>26041</v>
          </cell>
          <cell r="L1255" t="str">
            <v>2000-18</v>
          </cell>
        </row>
        <row r="1256">
          <cell r="B1256" t="str">
            <v>송미란</v>
          </cell>
          <cell r="E1256">
            <v>6041703</v>
          </cell>
          <cell r="K1256">
            <v>1847</v>
          </cell>
          <cell r="L1256" t="str">
            <v>2000-19</v>
          </cell>
        </row>
        <row r="1257">
          <cell r="B1257" t="str">
            <v>이종만</v>
          </cell>
          <cell r="E1257">
            <v>6693300</v>
          </cell>
          <cell r="K1257">
            <v>26130</v>
          </cell>
          <cell r="L1257" t="str">
            <v>2000-20</v>
          </cell>
        </row>
        <row r="1258">
          <cell r="B1258" t="str">
            <v>최병태</v>
          </cell>
          <cell r="E1258">
            <v>18070974</v>
          </cell>
          <cell r="K1258">
            <v>29453</v>
          </cell>
          <cell r="L1258" t="str">
            <v>2000-21</v>
          </cell>
        </row>
        <row r="1259">
          <cell r="B1259" t="str">
            <v>조명관</v>
          </cell>
          <cell r="E1259">
            <v>7934036</v>
          </cell>
          <cell r="K1259">
            <v>33745</v>
          </cell>
          <cell r="L1259" t="str">
            <v>2000-22</v>
          </cell>
        </row>
        <row r="1260">
          <cell r="B1260" t="str">
            <v>김재윤</v>
          </cell>
          <cell r="E1260">
            <v>11899775</v>
          </cell>
          <cell r="K1260">
            <v>32880</v>
          </cell>
          <cell r="L1260" t="str">
            <v>2000-23</v>
          </cell>
        </row>
        <row r="1261">
          <cell r="B1261" t="str">
            <v>박영옥</v>
          </cell>
          <cell r="E1261">
            <v>9745806</v>
          </cell>
          <cell r="K1261">
            <v>29223</v>
          </cell>
          <cell r="L1261" t="str">
            <v>2000-24</v>
          </cell>
        </row>
        <row r="1262">
          <cell r="B1262" t="str">
            <v>고숙희</v>
          </cell>
          <cell r="E1262">
            <v>11198199</v>
          </cell>
          <cell r="K1262">
            <v>31106</v>
          </cell>
          <cell r="L1262" t="str">
            <v>2000-25</v>
          </cell>
        </row>
        <row r="1263">
          <cell r="B1263" t="str">
            <v>이윤신</v>
          </cell>
          <cell r="E1263">
            <v>20260634</v>
          </cell>
          <cell r="K1263">
            <v>28873</v>
          </cell>
          <cell r="L1263" t="str">
            <v>2000-26</v>
          </cell>
        </row>
        <row r="1264">
          <cell r="B1264" t="str">
            <v>㈜보성종합상사</v>
          </cell>
          <cell r="E1264">
            <v>280894483</v>
          </cell>
          <cell r="K1264">
            <v>25340</v>
          </cell>
          <cell r="L1264" t="str">
            <v>2000-27</v>
          </cell>
        </row>
        <row r="1265">
          <cell r="B1265" t="str">
            <v>정규철</v>
          </cell>
          <cell r="D1265" t="str">
            <v>한국신발공업</v>
          </cell>
          <cell r="E1265">
            <v>200000000</v>
          </cell>
          <cell r="K1265">
            <v>8301</v>
          </cell>
          <cell r="L1265" t="str">
            <v>2000-28</v>
          </cell>
        </row>
        <row r="1266">
          <cell r="B1266" t="str">
            <v>신의용</v>
          </cell>
          <cell r="D1266" t="str">
            <v>한국신발공업</v>
          </cell>
          <cell r="E1266">
            <v>167371017</v>
          </cell>
          <cell r="K1266">
            <v>8708</v>
          </cell>
          <cell r="L1266" t="str">
            <v>2000-29</v>
          </cell>
        </row>
        <row r="1267">
          <cell r="B1267" t="str">
            <v>김응수</v>
          </cell>
          <cell r="E1267">
            <v>8617404</v>
          </cell>
          <cell r="L1267" t="str">
            <v>2000-30</v>
          </cell>
        </row>
        <row r="1268">
          <cell r="B1268" t="str">
            <v>최준호</v>
          </cell>
          <cell r="E1268">
            <v>1775367</v>
          </cell>
          <cell r="L1268" t="str">
            <v>2000-31</v>
          </cell>
        </row>
        <row r="1269">
          <cell r="B1269" t="str">
            <v>조영현</v>
          </cell>
          <cell r="E1269">
            <v>11631016</v>
          </cell>
          <cell r="L1269" t="str">
            <v>2000-32</v>
          </cell>
        </row>
        <row r="1270">
          <cell r="B1270" t="str">
            <v>김봉호</v>
          </cell>
          <cell r="E1270">
            <v>4330080</v>
          </cell>
          <cell r="L1270" t="str">
            <v>2000-33</v>
          </cell>
        </row>
        <row r="1271">
          <cell r="B1271" t="str">
            <v>홍귀숙</v>
          </cell>
          <cell r="E1271">
            <v>14380279</v>
          </cell>
          <cell r="L1271" t="str">
            <v>2000-34</v>
          </cell>
        </row>
        <row r="1272">
          <cell r="B1272" t="str">
            <v>유길녀</v>
          </cell>
          <cell r="E1272">
            <v>16929611</v>
          </cell>
          <cell r="L1272" t="str">
            <v>2000-35</v>
          </cell>
        </row>
        <row r="1273">
          <cell r="B1273" t="str">
            <v>안종열</v>
          </cell>
          <cell r="E1273">
            <v>8694829</v>
          </cell>
          <cell r="K1273">
            <v>21371</v>
          </cell>
          <cell r="L1273" t="str">
            <v>2000-36</v>
          </cell>
        </row>
        <row r="1274">
          <cell r="B1274" t="str">
            <v>㈜성진산기</v>
          </cell>
          <cell r="D1274" t="str">
            <v>다림교역㈜</v>
          </cell>
          <cell r="E1274">
            <v>67000000</v>
          </cell>
          <cell r="K1274" t="str">
            <v>민주홍</v>
          </cell>
          <cell r="L1274" t="str">
            <v>2000-37</v>
          </cell>
        </row>
        <row r="1275">
          <cell r="B1275" t="str">
            <v>고찬범</v>
          </cell>
          <cell r="D1275" t="str">
            <v>최정민</v>
          </cell>
          <cell r="E1275">
            <v>7080813</v>
          </cell>
          <cell r="K1275" t="str">
            <v>장덕훈</v>
          </cell>
          <cell r="L1275" t="str">
            <v>2000-38</v>
          </cell>
        </row>
        <row r="1276">
          <cell r="B1276" t="str">
            <v>안창무 김주상</v>
          </cell>
          <cell r="E1276">
            <v>125105945</v>
          </cell>
          <cell r="K1276" t="str">
            <v>한경식</v>
          </cell>
          <cell r="L1276" t="str">
            <v>2000-39</v>
          </cell>
        </row>
        <row r="1277">
          <cell r="B1277" t="str">
            <v>엔케이텔레콤</v>
          </cell>
          <cell r="D1277" t="str">
            <v>정동종합상사</v>
          </cell>
          <cell r="E1277">
            <v>16470030</v>
          </cell>
          <cell r="K1277" t="str">
            <v>장덕훈</v>
          </cell>
          <cell r="L1277" t="str">
            <v>2000-40</v>
          </cell>
        </row>
        <row r="1278">
          <cell r="B1278" t="str">
            <v>김명철</v>
          </cell>
          <cell r="E1278">
            <v>9706814</v>
          </cell>
          <cell r="K1278">
            <v>23230</v>
          </cell>
          <cell r="L1278" t="str">
            <v>2000-41</v>
          </cell>
        </row>
        <row r="1279">
          <cell r="B1279" t="str">
            <v>이인숙</v>
          </cell>
          <cell r="E1279">
            <v>3411618</v>
          </cell>
          <cell r="K1279">
            <v>6095</v>
          </cell>
          <cell r="L1279" t="str">
            <v>2000-42</v>
          </cell>
        </row>
        <row r="1280">
          <cell r="B1280" t="str">
            <v>성청자</v>
          </cell>
          <cell r="E1280">
            <v>9834115</v>
          </cell>
          <cell r="K1280">
            <v>12089</v>
          </cell>
          <cell r="L1280" t="str">
            <v>2000-43</v>
          </cell>
        </row>
        <row r="1281">
          <cell r="B1281" t="str">
            <v>문정열</v>
          </cell>
          <cell r="E1281">
            <v>12164521</v>
          </cell>
          <cell r="K1281">
            <v>4712</v>
          </cell>
          <cell r="L1281" t="str">
            <v>2000-44</v>
          </cell>
        </row>
        <row r="1282">
          <cell r="B1282" t="str">
            <v>박종호</v>
          </cell>
          <cell r="E1282">
            <v>4254923</v>
          </cell>
          <cell r="K1282">
            <v>19887</v>
          </cell>
          <cell r="L1282" t="str">
            <v>2000-45</v>
          </cell>
        </row>
        <row r="1283">
          <cell r="B1283" t="str">
            <v>임장희</v>
          </cell>
          <cell r="E1283">
            <v>23969333</v>
          </cell>
          <cell r="K1283">
            <v>14319</v>
          </cell>
          <cell r="L1283" t="str">
            <v>2000-46</v>
          </cell>
        </row>
        <row r="1284">
          <cell r="B1284" t="str">
            <v>나덕하</v>
          </cell>
          <cell r="E1284">
            <v>25318092</v>
          </cell>
          <cell r="K1284">
            <v>4684</v>
          </cell>
          <cell r="L1284" t="str">
            <v>2000-47</v>
          </cell>
        </row>
        <row r="1285">
          <cell r="B1285" t="str">
            <v>강길득</v>
          </cell>
          <cell r="E1285">
            <v>22004400</v>
          </cell>
          <cell r="K1285" t="str">
            <v>6145/28905</v>
          </cell>
          <cell r="L1285" t="str">
            <v>2000-48</v>
          </cell>
        </row>
        <row r="1286">
          <cell r="B1286" t="str">
            <v>이재숙(신동욱)</v>
          </cell>
          <cell r="E1286">
            <v>31376868</v>
          </cell>
          <cell r="K1286">
            <v>5129</v>
          </cell>
          <cell r="L1286" t="str">
            <v>2000-49</v>
          </cell>
        </row>
        <row r="1287">
          <cell r="B1287" t="str">
            <v>태광전자㈜</v>
          </cell>
          <cell r="E1287">
            <v>52161571</v>
          </cell>
          <cell r="K1287">
            <v>14786</v>
          </cell>
          <cell r="L1287" t="str">
            <v>2000-50</v>
          </cell>
        </row>
        <row r="1288">
          <cell r="B1288" t="str">
            <v>금산석재㈜</v>
          </cell>
          <cell r="E1288">
            <v>253832970</v>
          </cell>
          <cell r="K1288">
            <v>5904</v>
          </cell>
          <cell r="L1288" t="str">
            <v>2000-51</v>
          </cell>
        </row>
        <row r="1289">
          <cell r="B1289" t="str">
            <v>한경화</v>
          </cell>
          <cell r="E1289">
            <v>20774047</v>
          </cell>
          <cell r="L1289" t="str">
            <v>2000-52</v>
          </cell>
        </row>
        <row r="1290">
          <cell r="B1290" t="str">
            <v>김상문</v>
          </cell>
          <cell r="E1290">
            <v>13694100</v>
          </cell>
          <cell r="L1290" t="str">
            <v>2000-53</v>
          </cell>
        </row>
        <row r="1291">
          <cell r="B1291" t="str">
            <v>윤정자</v>
          </cell>
          <cell r="E1291">
            <v>1191188</v>
          </cell>
          <cell r="L1291" t="str">
            <v>2000-54</v>
          </cell>
        </row>
        <row r="1292">
          <cell r="B1292" t="str">
            <v>이화진</v>
          </cell>
          <cell r="E1292">
            <v>21256617</v>
          </cell>
          <cell r="L1292" t="str">
            <v>2000-55</v>
          </cell>
        </row>
        <row r="1293">
          <cell r="B1293" t="str">
            <v>윤봉환</v>
          </cell>
          <cell r="E1293">
            <v>5667532</v>
          </cell>
          <cell r="L1293" t="str">
            <v>2000-56</v>
          </cell>
        </row>
        <row r="1294">
          <cell r="B1294" t="str">
            <v>박은이</v>
          </cell>
          <cell r="E1294">
            <v>11576672</v>
          </cell>
          <cell r="L1294" t="str">
            <v>2000-57</v>
          </cell>
        </row>
        <row r="1295">
          <cell r="B1295" t="str">
            <v>박수경</v>
          </cell>
          <cell r="E1295">
            <v>3972143</v>
          </cell>
          <cell r="L1295" t="str">
            <v>2000-58</v>
          </cell>
        </row>
        <row r="1296">
          <cell r="B1296" t="str">
            <v>박승구</v>
          </cell>
          <cell r="E1296">
            <v>17494058</v>
          </cell>
          <cell r="L1296" t="str">
            <v>2000-59</v>
          </cell>
        </row>
        <row r="1297">
          <cell r="B1297" t="str">
            <v>이은애</v>
          </cell>
          <cell r="E1297">
            <v>6306261</v>
          </cell>
          <cell r="L1297" t="str">
            <v>2000-60</v>
          </cell>
        </row>
        <row r="1298">
          <cell r="B1298" t="str">
            <v>박수영</v>
          </cell>
          <cell r="E1298">
            <v>10750919</v>
          </cell>
          <cell r="L1298" t="str">
            <v>2000-61</v>
          </cell>
        </row>
        <row r="1299">
          <cell r="B1299" t="str">
            <v>장병국</v>
          </cell>
          <cell r="E1299">
            <v>7420050</v>
          </cell>
          <cell r="L1299" t="str">
            <v>2000-62</v>
          </cell>
        </row>
        <row r="1300">
          <cell r="B1300" t="str">
            <v>정귀례</v>
          </cell>
          <cell r="E1300">
            <v>7382784</v>
          </cell>
          <cell r="L1300" t="str">
            <v>2000-63</v>
          </cell>
        </row>
        <row r="1301">
          <cell r="B1301" t="str">
            <v>김대영</v>
          </cell>
          <cell r="E1301">
            <v>4030707</v>
          </cell>
          <cell r="L1301" t="str">
            <v>2000-64</v>
          </cell>
        </row>
        <row r="1302">
          <cell r="B1302" t="str">
            <v>조세준</v>
          </cell>
          <cell r="E1302">
            <v>14780943</v>
          </cell>
          <cell r="L1302" t="str">
            <v>2000-65</v>
          </cell>
        </row>
        <row r="1303">
          <cell r="B1303" t="str">
            <v>박경순</v>
          </cell>
          <cell r="E1303">
            <v>13264072</v>
          </cell>
          <cell r="L1303" t="str">
            <v>2000-66</v>
          </cell>
        </row>
        <row r="1304">
          <cell r="B1304" t="str">
            <v>박영희</v>
          </cell>
          <cell r="E1304">
            <v>13331233</v>
          </cell>
          <cell r="L1304" t="str">
            <v>2000-67</v>
          </cell>
        </row>
        <row r="1305">
          <cell r="B1305" t="str">
            <v>최정원</v>
          </cell>
          <cell r="E1305">
            <v>12949181</v>
          </cell>
          <cell r="L1305" t="str">
            <v>2000-68</v>
          </cell>
        </row>
        <row r="1306">
          <cell r="B1306" t="str">
            <v>홍석권</v>
          </cell>
          <cell r="E1306">
            <v>10168115</v>
          </cell>
          <cell r="L1306" t="str">
            <v>2000-69</v>
          </cell>
        </row>
        <row r="1307">
          <cell r="B1307" t="str">
            <v>양선선</v>
          </cell>
          <cell r="E1307">
            <v>1993730</v>
          </cell>
          <cell r="L1307" t="str">
            <v>2000-70</v>
          </cell>
        </row>
        <row r="1308">
          <cell r="B1308" t="str">
            <v>박병승</v>
          </cell>
          <cell r="E1308">
            <v>20000000</v>
          </cell>
          <cell r="L1308" t="str">
            <v>2000-71</v>
          </cell>
        </row>
        <row r="1309">
          <cell r="D1309" t="str">
            <v>강영숙</v>
          </cell>
          <cell r="E1309">
            <v>17938042</v>
          </cell>
          <cell r="L1309" t="str">
            <v>2000-72</v>
          </cell>
        </row>
        <row r="1310">
          <cell r="B1310" t="str">
            <v>윤종례</v>
          </cell>
          <cell r="D1310" t="str">
            <v>도남이</v>
          </cell>
          <cell r="E1310">
            <v>3000000</v>
          </cell>
          <cell r="K1310" t="str">
            <v>심익중</v>
          </cell>
          <cell r="L1310" t="str">
            <v>2000-73</v>
          </cell>
        </row>
        <row r="1311">
          <cell r="B1311" t="str">
            <v>주병기(이백철)</v>
          </cell>
          <cell r="E1311">
            <v>12280505</v>
          </cell>
          <cell r="K1311">
            <v>28012</v>
          </cell>
          <cell r="L1311" t="str">
            <v>2000-74</v>
          </cell>
        </row>
        <row r="1312">
          <cell r="B1312" t="str">
            <v>문옥임</v>
          </cell>
          <cell r="E1312">
            <v>16875553</v>
          </cell>
          <cell r="K1312">
            <v>28354</v>
          </cell>
          <cell r="L1312" t="str">
            <v>2000-75</v>
          </cell>
        </row>
        <row r="1313">
          <cell r="B1313" t="str">
            <v>최희순</v>
          </cell>
          <cell r="E1313">
            <v>7516847</v>
          </cell>
          <cell r="K1313">
            <v>26294</v>
          </cell>
          <cell r="L1313" t="str">
            <v>2000-76</v>
          </cell>
        </row>
        <row r="1314">
          <cell r="B1314" t="str">
            <v>홍영식</v>
          </cell>
          <cell r="E1314">
            <v>3851643</v>
          </cell>
          <cell r="K1314">
            <v>28364</v>
          </cell>
          <cell r="L1314" t="str">
            <v>2000-77</v>
          </cell>
        </row>
        <row r="1315">
          <cell r="B1315" t="str">
            <v>이혜선</v>
          </cell>
          <cell r="E1315">
            <v>16203141</v>
          </cell>
          <cell r="K1315">
            <v>35331</v>
          </cell>
          <cell r="L1315" t="str">
            <v>2000-78</v>
          </cell>
        </row>
        <row r="1316">
          <cell r="B1316" t="str">
            <v>안길자</v>
          </cell>
          <cell r="E1316">
            <v>1023187</v>
          </cell>
          <cell r="K1316">
            <v>27810</v>
          </cell>
          <cell r="L1316" t="str">
            <v>2000-79</v>
          </cell>
        </row>
        <row r="1317">
          <cell r="B1317" t="str">
            <v>이선화</v>
          </cell>
          <cell r="E1317">
            <v>12959406</v>
          </cell>
          <cell r="K1317">
            <v>29288</v>
          </cell>
          <cell r="L1317" t="str">
            <v>2000-80</v>
          </cell>
        </row>
        <row r="1318">
          <cell r="B1318" t="str">
            <v>안경석</v>
          </cell>
          <cell r="E1318">
            <v>15569788</v>
          </cell>
          <cell r="K1318">
            <v>29524</v>
          </cell>
          <cell r="L1318" t="str">
            <v>2000-81</v>
          </cell>
        </row>
        <row r="1319">
          <cell r="B1319" t="str">
            <v>송계순</v>
          </cell>
          <cell r="E1319">
            <v>13619085</v>
          </cell>
          <cell r="K1319">
            <v>29731</v>
          </cell>
          <cell r="L1319" t="str">
            <v>2000-82</v>
          </cell>
        </row>
        <row r="1320">
          <cell r="B1320" t="str">
            <v>김성무</v>
          </cell>
          <cell r="E1320">
            <v>1746316</v>
          </cell>
          <cell r="K1320">
            <v>30429</v>
          </cell>
          <cell r="L1320" t="str">
            <v>2000-83</v>
          </cell>
        </row>
        <row r="1321">
          <cell r="B1321" t="str">
            <v>조명정</v>
          </cell>
          <cell r="E1321">
            <v>17735017</v>
          </cell>
          <cell r="K1321">
            <v>27331</v>
          </cell>
          <cell r="L1321" t="str">
            <v>2000-84</v>
          </cell>
        </row>
        <row r="1322">
          <cell r="B1322" t="str">
            <v>장정임</v>
          </cell>
          <cell r="E1322">
            <v>12298733</v>
          </cell>
          <cell r="K1322">
            <v>28052</v>
          </cell>
          <cell r="L1322" t="str">
            <v>2000-85</v>
          </cell>
        </row>
        <row r="1323">
          <cell r="B1323" t="str">
            <v>㈜에바스샴바드</v>
          </cell>
          <cell r="E1323">
            <v>52027168</v>
          </cell>
          <cell r="L1323" t="str">
            <v>2000-86</v>
          </cell>
        </row>
        <row r="1324">
          <cell r="B1324" t="str">
            <v>안병채</v>
          </cell>
          <cell r="E1324">
            <v>17163011</v>
          </cell>
          <cell r="L1324" t="str">
            <v>2000-87</v>
          </cell>
        </row>
        <row r="1325">
          <cell r="B1325" t="str">
            <v>안철규</v>
          </cell>
          <cell r="E1325">
            <v>11906102</v>
          </cell>
          <cell r="L1325" t="str">
            <v>2000-88</v>
          </cell>
        </row>
        <row r="1326">
          <cell r="B1326" t="str">
            <v>이진식</v>
          </cell>
          <cell r="E1326">
            <v>3463531</v>
          </cell>
          <cell r="L1326" t="str">
            <v>2000-89</v>
          </cell>
        </row>
        <row r="1327">
          <cell r="B1327" t="str">
            <v>김영숙</v>
          </cell>
          <cell r="E1327">
            <v>6917953</v>
          </cell>
          <cell r="L1327" t="str">
            <v>2000-90</v>
          </cell>
        </row>
        <row r="1328">
          <cell r="B1328" t="str">
            <v>한영희</v>
          </cell>
          <cell r="E1328">
            <v>6858646</v>
          </cell>
          <cell r="L1328" t="str">
            <v>2000-91</v>
          </cell>
        </row>
        <row r="1329">
          <cell r="B1329" t="str">
            <v>이경례</v>
          </cell>
          <cell r="E1329">
            <v>14228293</v>
          </cell>
          <cell r="L1329" t="str">
            <v>2000-92</v>
          </cell>
        </row>
        <row r="1330">
          <cell r="B1330" t="str">
            <v>안홍규</v>
          </cell>
          <cell r="E1330">
            <v>2910158</v>
          </cell>
          <cell r="L1330" t="str">
            <v>2000-93</v>
          </cell>
        </row>
        <row r="1331">
          <cell r="B1331" t="str">
            <v>㈜대동대리석</v>
          </cell>
          <cell r="E1331">
            <v>8008949</v>
          </cell>
          <cell r="L1331" t="str">
            <v>2000-94</v>
          </cell>
        </row>
        <row r="1332">
          <cell r="B1332" t="str">
            <v>소계영</v>
          </cell>
          <cell r="E1332">
            <v>16603248</v>
          </cell>
          <cell r="L1332" t="str">
            <v>2000-95</v>
          </cell>
        </row>
        <row r="1333">
          <cell r="B1333" t="str">
            <v>정승완</v>
          </cell>
          <cell r="E1333">
            <v>6904047</v>
          </cell>
          <cell r="K1333">
            <v>5553</v>
          </cell>
          <cell r="L1333" t="str">
            <v>2000-96</v>
          </cell>
        </row>
        <row r="1334">
          <cell r="B1334" t="str">
            <v>이정희</v>
          </cell>
          <cell r="E1334">
            <v>12198306</v>
          </cell>
          <cell r="K1334">
            <v>4781</v>
          </cell>
          <cell r="L1334" t="str">
            <v>2000-97</v>
          </cell>
        </row>
        <row r="1335">
          <cell r="B1335" t="str">
            <v>서선주</v>
          </cell>
          <cell r="E1335">
            <v>14553827</v>
          </cell>
          <cell r="K1335">
            <v>23111</v>
          </cell>
          <cell r="L1335" t="str">
            <v>2000-98</v>
          </cell>
        </row>
        <row r="1336">
          <cell r="B1336" t="str">
            <v>남일석</v>
          </cell>
          <cell r="E1336">
            <v>21050907</v>
          </cell>
          <cell r="K1336">
            <v>12995</v>
          </cell>
          <cell r="L1336" t="str">
            <v>2000-99</v>
          </cell>
        </row>
        <row r="1337">
          <cell r="B1337" t="str">
            <v>유정임</v>
          </cell>
          <cell r="E1337">
            <v>23450354</v>
          </cell>
          <cell r="K1337">
            <v>7328</v>
          </cell>
          <cell r="L1337" t="str">
            <v>2000-100</v>
          </cell>
        </row>
        <row r="1338">
          <cell r="B1338" t="str">
            <v>강진하</v>
          </cell>
          <cell r="E1338">
            <v>13235746</v>
          </cell>
          <cell r="K1338">
            <v>5068</v>
          </cell>
          <cell r="L1338" t="str">
            <v>2000-101</v>
          </cell>
        </row>
        <row r="1339">
          <cell r="B1339" t="str">
            <v>이영희</v>
          </cell>
          <cell r="E1339">
            <v>3797760</v>
          </cell>
          <cell r="K1339">
            <v>6669</v>
          </cell>
          <cell r="L1339" t="str">
            <v>2000-102</v>
          </cell>
        </row>
        <row r="1340">
          <cell r="B1340" t="str">
            <v>진운장</v>
          </cell>
          <cell r="E1340">
            <v>10468435</v>
          </cell>
          <cell r="K1340">
            <v>7844</v>
          </cell>
          <cell r="L1340" t="str">
            <v>2000-103</v>
          </cell>
        </row>
        <row r="1341">
          <cell r="B1341" t="str">
            <v>양동표</v>
          </cell>
          <cell r="E1341">
            <v>7195597</v>
          </cell>
          <cell r="K1341">
            <v>7713</v>
          </cell>
          <cell r="L1341" t="str">
            <v>2000-104</v>
          </cell>
        </row>
        <row r="1342">
          <cell r="B1342" t="str">
            <v>김정순</v>
          </cell>
          <cell r="E1342">
            <v>15091079</v>
          </cell>
          <cell r="L1342" t="str">
            <v>2000-105</v>
          </cell>
        </row>
        <row r="1343">
          <cell r="B1343" t="str">
            <v>하진철</v>
          </cell>
          <cell r="E1343">
            <v>13817028</v>
          </cell>
          <cell r="L1343" t="str">
            <v>2000-106</v>
          </cell>
        </row>
        <row r="1344">
          <cell r="B1344" t="str">
            <v>손정희</v>
          </cell>
          <cell r="E1344">
            <v>13643984</v>
          </cell>
          <cell r="L1344" t="str">
            <v>2000-107</v>
          </cell>
        </row>
        <row r="1345">
          <cell r="B1345" t="str">
            <v>최동미</v>
          </cell>
          <cell r="E1345">
            <v>3141644</v>
          </cell>
          <cell r="L1345" t="str">
            <v>2000-108</v>
          </cell>
        </row>
        <row r="1346">
          <cell r="B1346" t="str">
            <v>김향란</v>
          </cell>
          <cell r="E1346">
            <v>5788089</v>
          </cell>
          <cell r="L1346" t="str">
            <v>2000-109</v>
          </cell>
        </row>
        <row r="1347">
          <cell r="B1347" t="str">
            <v>장경님</v>
          </cell>
          <cell r="E1347">
            <v>4143128</v>
          </cell>
          <cell r="L1347" t="str">
            <v>2000-110</v>
          </cell>
        </row>
        <row r="1348">
          <cell r="B1348" t="str">
            <v>이만영</v>
          </cell>
          <cell r="E1348">
            <v>4351996</v>
          </cell>
          <cell r="L1348" t="str">
            <v>2000-111</v>
          </cell>
        </row>
        <row r="1349">
          <cell r="B1349" t="str">
            <v>이미숙</v>
          </cell>
          <cell r="E1349">
            <v>4008654</v>
          </cell>
          <cell r="L1349" t="str">
            <v>2000-112</v>
          </cell>
        </row>
        <row r="1350">
          <cell r="B1350" t="str">
            <v>안영희</v>
          </cell>
          <cell r="E1350">
            <v>4285760</v>
          </cell>
          <cell r="L1350" t="str">
            <v>2000-113</v>
          </cell>
        </row>
        <row r="1351">
          <cell r="B1351" t="str">
            <v>정영생</v>
          </cell>
          <cell r="E1351">
            <v>9205943</v>
          </cell>
          <cell r="L1351" t="str">
            <v>2000-114</v>
          </cell>
        </row>
        <row r="1352">
          <cell r="B1352" t="str">
            <v>김미선</v>
          </cell>
          <cell r="E1352">
            <v>9644701</v>
          </cell>
          <cell r="L1352" t="str">
            <v>2000-115</v>
          </cell>
        </row>
        <row r="1353">
          <cell r="B1353" t="str">
            <v>전은배</v>
          </cell>
          <cell r="E1353">
            <v>30603978</v>
          </cell>
          <cell r="L1353" t="str">
            <v>2000-116</v>
          </cell>
        </row>
        <row r="1354">
          <cell r="B1354" t="str">
            <v>이항규</v>
          </cell>
          <cell r="E1354">
            <v>7396891</v>
          </cell>
          <cell r="L1354" t="str">
            <v>2000-117</v>
          </cell>
        </row>
        <row r="1355">
          <cell r="B1355" t="str">
            <v>김충환</v>
          </cell>
          <cell r="E1355">
            <v>9113861</v>
          </cell>
          <cell r="L1355" t="str">
            <v>2000-118</v>
          </cell>
        </row>
        <row r="1356">
          <cell r="B1356" t="str">
            <v>정혜영</v>
          </cell>
          <cell r="E1356">
            <v>2878246</v>
          </cell>
          <cell r="L1356" t="str">
            <v>2000-119</v>
          </cell>
        </row>
        <row r="1357">
          <cell r="B1357" t="str">
            <v>김형자</v>
          </cell>
          <cell r="E1357">
            <v>3253428</v>
          </cell>
          <cell r="L1357" t="str">
            <v>2000-120</v>
          </cell>
        </row>
        <row r="1358">
          <cell r="B1358" t="str">
            <v>이진숙</v>
          </cell>
          <cell r="E1358">
            <v>1973665</v>
          </cell>
          <cell r="L1358" t="str">
            <v>2000-121</v>
          </cell>
        </row>
        <row r="1359">
          <cell r="B1359" t="str">
            <v>이길녀</v>
          </cell>
          <cell r="E1359">
            <v>5761188</v>
          </cell>
          <cell r="L1359" t="str">
            <v>2000-122</v>
          </cell>
        </row>
        <row r="1360">
          <cell r="B1360" t="str">
            <v>최준주</v>
          </cell>
          <cell r="E1360">
            <v>4378477</v>
          </cell>
          <cell r="L1360" t="str">
            <v>2000-123</v>
          </cell>
        </row>
        <row r="1361">
          <cell r="B1361" t="str">
            <v>정금혜</v>
          </cell>
          <cell r="E1361">
            <v>33769835</v>
          </cell>
          <cell r="L1361" t="str">
            <v>2000-124</v>
          </cell>
        </row>
        <row r="1362">
          <cell r="B1362" t="str">
            <v>유삼순</v>
          </cell>
          <cell r="E1362">
            <v>17519587</v>
          </cell>
          <cell r="L1362" t="str">
            <v>2000-125</v>
          </cell>
        </row>
        <row r="1363">
          <cell r="B1363" t="str">
            <v>천기환</v>
          </cell>
          <cell r="E1363">
            <v>8835981</v>
          </cell>
          <cell r="L1363" t="str">
            <v>2000-126</v>
          </cell>
        </row>
        <row r="1364">
          <cell r="B1364" t="str">
            <v>김정옥</v>
          </cell>
          <cell r="E1364">
            <v>130000000</v>
          </cell>
          <cell r="L1364" t="str">
            <v>2000-127</v>
          </cell>
        </row>
        <row r="1365">
          <cell r="B1365" t="str">
            <v>박범규</v>
          </cell>
          <cell r="E1365">
            <v>3755499</v>
          </cell>
          <cell r="L1365" t="str">
            <v>2000-128</v>
          </cell>
        </row>
        <row r="1366">
          <cell r="B1366" t="str">
            <v>박춘석</v>
          </cell>
          <cell r="E1366">
            <v>14931290</v>
          </cell>
          <cell r="L1366" t="str">
            <v>2000-129</v>
          </cell>
        </row>
        <row r="1367">
          <cell r="B1367" t="str">
            <v>김선민</v>
          </cell>
          <cell r="E1367">
            <v>5240953</v>
          </cell>
          <cell r="L1367" t="str">
            <v>2000-130</v>
          </cell>
        </row>
        <row r="1368">
          <cell r="B1368" t="str">
            <v>이화중</v>
          </cell>
          <cell r="E1368">
            <v>13976238</v>
          </cell>
          <cell r="L1368" t="str">
            <v>2000-131</v>
          </cell>
        </row>
        <row r="1369">
          <cell r="B1369" t="str">
            <v>이남희</v>
          </cell>
          <cell r="E1369">
            <v>3666350</v>
          </cell>
          <cell r="L1369" t="str">
            <v>2000-132</v>
          </cell>
        </row>
        <row r="1370">
          <cell r="B1370" t="str">
            <v>전성기</v>
          </cell>
          <cell r="E1370">
            <v>6118549</v>
          </cell>
          <cell r="L1370" t="str">
            <v>2000-133</v>
          </cell>
        </row>
        <row r="1371">
          <cell r="B1371" t="str">
            <v>정종진</v>
          </cell>
          <cell r="E1371">
            <v>1359728</v>
          </cell>
          <cell r="L1371" t="str">
            <v>2000-134</v>
          </cell>
        </row>
        <row r="1372">
          <cell r="B1372" t="str">
            <v>한충심</v>
          </cell>
          <cell r="E1372">
            <v>15530570</v>
          </cell>
          <cell r="L1372" t="str">
            <v>2000-135</v>
          </cell>
        </row>
        <row r="1373">
          <cell r="B1373" t="str">
            <v>방난선</v>
          </cell>
          <cell r="E1373">
            <v>17919968</v>
          </cell>
          <cell r="L1373" t="str">
            <v>2000-136</v>
          </cell>
        </row>
        <row r="1374">
          <cell r="B1374" t="str">
            <v>김충배</v>
          </cell>
          <cell r="E1374">
            <v>2639941</v>
          </cell>
          <cell r="L1374" t="str">
            <v>2000-137</v>
          </cell>
        </row>
        <row r="1375">
          <cell r="B1375" t="str">
            <v>이원철</v>
          </cell>
          <cell r="E1375">
            <v>8800906</v>
          </cell>
          <cell r="L1375" t="str">
            <v>2000-138</v>
          </cell>
        </row>
        <row r="1376">
          <cell r="B1376" t="str">
            <v>배동근</v>
          </cell>
          <cell r="E1376">
            <v>6493500</v>
          </cell>
          <cell r="L1376" t="str">
            <v>2000-139</v>
          </cell>
        </row>
        <row r="1377">
          <cell r="B1377" t="str">
            <v>장묘하</v>
          </cell>
          <cell r="E1377">
            <v>4479580</v>
          </cell>
          <cell r="L1377" t="str">
            <v>2000-140</v>
          </cell>
        </row>
        <row r="1378">
          <cell r="B1378" t="str">
            <v>이득현</v>
          </cell>
          <cell r="E1378">
            <v>24923075</v>
          </cell>
          <cell r="L1378" t="str">
            <v>2000-141</v>
          </cell>
        </row>
        <row r="1379">
          <cell r="B1379" t="str">
            <v>㈜영신전자</v>
          </cell>
          <cell r="E1379">
            <v>603370281</v>
          </cell>
          <cell r="K1379">
            <v>28778</v>
          </cell>
          <cell r="L1379" t="str">
            <v>2000-142</v>
          </cell>
        </row>
        <row r="1380">
          <cell r="B1380" t="str">
            <v>김윤숙</v>
          </cell>
          <cell r="E1380">
            <v>11659406</v>
          </cell>
          <cell r="L1380" t="str">
            <v>2000-143</v>
          </cell>
        </row>
        <row r="1381">
          <cell r="B1381" t="str">
            <v>허성무</v>
          </cell>
          <cell r="E1381">
            <v>3330689</v>
          </cell>
          <cell r="L1381" t="str">
            <v>2000-144</v>
          </cell>
        </row>
        <row r="1382">
          <cell r="B1382" t="str">
            <v>최경현</v>
          </cell>
          <cell r="E1382">
            <v>2376563</v>
          </cell>
          <cell r="L1382" t="str">
            <v>2000-145</v>
          </cell>
        </row>
        <row r="1383">
          <cell r="B1383" t="str">
            <v>김용호</v>
          </cell>
          <cell r="E1383">
            <v>8226274</v>
          </cell>
          <cell r="L1383" t="str">
            <v>2000-146</v>
          </cell>
        </row>
        <row r="1384">
          <cell r="B1384" t="str">
            <v>성백요</v>
          </cell>
          <cell r="E1384">
            <v>3046454</v>
          </cell>
          <cell r="L1384" t="str">
            <v>2000-147</v>
          </cell>
        </row>
        <row r="1385">
          <cell r="B1385" t="str">
            <v>조문제</v>
          </cell>
          <cell r="E1385">
            <v>15456324</v>
          </cell>
          <cell r="L1385" t="str">
            <v>2000-148</v>
          </cell>
        </row>
        <row r="1386">
          <cell r="B1386" t="str">
            <v>박수춘</v>
          </cell>
          <cell r="E1386">
            <v>10850925</v>
          </cell>
          <cell r="L1386" t="str">
            <v>2000-149</v>
          </cell>
        </row>
        <row r="1387">
          <cell r="B1387" t="str">
            <v>박갑순</v>
          </cell>
          <cell r="E1387">
            <v>5915601</v>
          </cell>
          <cell r="L1387" t="str">
            <v>2000-150</v>
          </cell>
        </row>
        <row r="1388">
          <cell r="B1388" t="str">
            <v>김철현</v>
          </cell>
          <cell r="E1388">
            <v>9115603</v>
          </cell>
          <cell r="L1388" t="str">
            <v>2000-151</v>
          </cell>
        </row>
        <row r="1389">
          <cell r="B1389" t="str">
            <v>김소예</v>
          </cell>
          <cell r="E1389">
            <v>4568965</v>
          </cell>
          <cell r="L1389" t="str">
            <v>2000-152</v>
          </cell>
        </row>
        <row r="1390">
          <cell r="B1390" t="str">
            <v>김석순</v>
          </cell>
          <cell r="E1390">
            <v>3561334</v>
          </cell>
          <cell r="L1390" t="str">
            <v>2000-153</v>
          </cell>
        </row>
        <row r="1391">
          <cell r="B1391" t="str">
            <v>광미피혁</v>
          </cell>
          <cell r="E1391">
            <v>71518966</v>
          </cell>
          <cell r="L1391" t="str">
            <v>2000-154</v>
          </cell>
        </row>
        <row r="1392">
          <cell r="B1392" t="str">
            <v>이동효</v>
          </cell>
          <cell r="E1392">
            <v>15156510</v>
          </cell>
          <cell r="L1392" t="str">
            <v>2000-155</v>
          </cell>
        </row>
        <row r="1393">
          <cell r="B1393" t="str">
            <v>방정모</v>
          </cell>
          <cell r="E1393">
            <v>17699998</v>
          </cell>
          <cell r="L1393" t="str">
            <v>2000-156</v>
          </cell>
        </row>
        <row r="1394">
          <cell r="B1394" t="str">
            <v>정규준</v>
          </cell>
          <cell r="E1394">
            <v>4552774</v>
          </cell>
          <cell r="L1394" t="str">
            <v>2000-157</v>
          </cell>
        </row>
        <row r="1395">
          <cell r="B1395" t="str">
            <v>박기조</v>
          </cell>
          <cell r="E1395">
            <v>16522532</v>
          </cell>
          <cell r="L1395" t="str">
            <v>2000-158</v>
          </cell>
        </row>
        <row r="1396">
          <cell r="B1396" t="str">
            <v>박순옥</v>
          </cell>
          <cell r="E1396">
            <v>13014474</v>
          </cell>
          <cell r="L1396" t="str">
            <v>2000-159</v>
          </cell>
        </row>
        <row r="1397">
          <cell r="B1397" t="str">
            <v>박정애</v>
          </cell>
          <cell r="E1397">
            <v>16480829</v>
          </cell>
          <cell r="L1397" t="str">
            <v>2000-160</v>
          </cell>
        </row>
        <row r="1398">
          <cell r="B1398" t="str">
            <v>김정원</v>
          </cell>
          <cell r="E1398">
            <v>17537316</v>
          </cell>
          <cell r="L1398" t="str">
            <v>2000-161</v>
          </cell>
        </row>
        <row r="1399">
          <cell r="B1399" t="str">
            <v>김경훈</v>
          </cell>
          <cell r="E1399">
            <v>29986089</v>
          </cell>
          <cell r="L1399" t="str">
            <v>2000-162</v>
          </cell>
        </row>
        <row r="1400">
          <cell r="B1400" t="str">
            <v>㈜세정식품</v>
          </cell>
          <cell r="E1400">
            <v>122204086</v>
          </cell>
          <cell r="L1400" t="str">
            <v>2000-163</v>
          </cell>
        </row>
        <row r="1401">
          <cell r="B1401" t="str">
            <v>조상호</v>
          </cell>
          <cell r="E1401">
            <v>20368455</v>
          </cell>
          <cell r="L1401" t="str">
            <v>2000-164</v>
          </cell>
        </row>
        <row r="1402">
          <cell r="B1402" t="str">
            <v>김용준</v>
          </cell>
          <cell r="E1402">
            <v>14804095</v>
          </cell>
          <cell r="L1402" t="str">
            <v>2000-165</v>
          </cell>
        </row>
        <row r="1403">
          <cell r="B1403" t="str">
            <v>백승호</v>
          </cell>
          <cell r="E1403">
            <v>15841963</v>
          </cell>
          <cell r="L1403" t="str">
            <v>2000-166</v>
          </cell>
        </row>
        <row r="1404">
          <cell r="B1404" t="str">
            <v>명성전자공업</v>
          </cell>
          <cell r="E1404">
            <v>85865524</v>
          </cell>
          <cell r="L1404" t="str">
            <v>2000-167</v>
          </cell>
        </row>
        <row r="1405">
          <cell r="B1405" t="str">
            <v>㈜보금산업</v>
          </cell>
          <cell r="E1405">
            <v>65271177</v>
          </cell>
          <cell r="L1405" t="str">
            <v>2000-168</v>
          </cell>
        </row>
        <row r="1406">
          <cell r="B1406" t="str">
            <v>최현숙</v>
          </cell>
          <cell r="E1406">
            <v>6003087</v>
          </cell>
          <cell r="L1406" t="str">
            <v>2000-169</v>
          </cell>
        </row>
        <row r="1407">
          <cell r="B1407" t="str">
            <v>박영순</v>
          </cell>
          <cell r="E1407">
            <v>8839120</v>
          </cell>
          <cell r="L1407" t="str">
            <v>2000-170</v>
          </cell>
        </row>
        <row r="1408">
          <cell r="B1408" t="str">
            <v>임경윤</v>
          </cell>
          <cell r="E1408">
            <v>12255966</v>
          </cell>
          <cell r="L1408" t="str">
            <v>2000-171</v>
          </cell>
        </row>
        <row r="1409">
          <cell r="B1409" t="str">
            <v>장영자</v>
          </cell>
          <cell r="E1409">
            <v>15561802</v>
          </cell>
          <cell r="L1409" t="str">
            <v>2000-172</v>
          </cell>
        </row>
        <row r="1410">
          <cell r="B1410" t="str">
            <v>이정숙</v>
          </cell>
          <cell r="E1410">
            <v>17819565</v>
          </cell>
          <cell r="L1410" t="str">
            <v>2000-173</v>
          </cell>
        </row>
        <row r="1411">
          <cell r="B1411" t="str">
            <v>차신자</v>
          </cell>
          <cell r="E1411">
            <v>10369010</v>
          </cell>
          <cell r="L1411" t="str">
            <v>2000-174</v>
          </cell>
        </row>
        <row r="1412">
          <cell r="B1412" t="str">
            <v>박찬근</v>
          </cell>
          <cell r="E1412">
            <v>2337799</v>
          </cell>
          <cell r="L1412" t="str">
            <v>2000-175</v>
          </cell>
        </row>
        <row r="1413">
          <cell r="B1413" t="str">
            <v>백연자</v>
          </cell>
          <cell r="E1413">
            <v>3702580</v>
          </cell>
          <cell r="L1413" t="str">
            <v>2000-176</v>
          </cell>
        </row>
        <row r="1414">
          <cell r="B1414" t="str">
            <v>유민자</v>
          </cell>
          <cell r="E1414">
            <v>14786657</v>
          </cell>
          <cell r="L1414" t="str">
            <v>2000-177</v>
          </cell>
        </row>
        <row r="1415">
          <cell r="B1415" t="str">
            <v>김희수</v>
          </cell>
          <cell r="E1415">
            <v>10209997</v>
          </cell>
          <cell r="L1415" t="str">
            <v>2000-178</v>
          </cell>
        </row>
        <row r="1416">
          <cell r="B1416" t="str">
            <v>박미임</v>
          </cell>
          <cell r="E1416">
            <v>3869164</v>
          </cell>
          <cell r="L1416" t="str">
            <v>2000-179</v>
          </cell>
        </row>
        <row r="1417">
          <cell r="B1417" t="str">
            <v>김계자</v>
          </cell>
          <cell r="E1417">
            <v>6120720</v>
          </cell>
          <cell r="L1417" t="str">
            <v>2000-180</v>
          </cell>
        </row>
        <row r="1418">
          <cell r="B1418" t="str">
            <v>박미애</v>
          </cell>
          <cell r="E1418">
            <v>1022392</v>
          </cell>
          <cell r="L1418" t="str">
            <v>2000-181</v>
          </cell>
        </row>
        <row r="1419">
          <cell r="B1419" t="str">
            <v>정승수</v>
          </cell>
          <cell r="E1419">
            <v>3936374</v>
          </cell>
          <cell r="L1419" t="str">
            <v>2000-182</v>
          </cell>
        </row>
        <row r="1420">
          <cell r="B1420" t="str">
            <v>심재웅</v>
          </cell>
          <cell r="E1420">
            <v>24320276</v>
          </cell>
          <cell r="L1420" t="str">
            <v>2000-183</v>
          </cell>
        </row>
        <row r="1421">
          <cell r="B1421" t="str">
            <v>최경욱</v>
          </cell>
          <cell r="E1421">
            <v>11828448</v>
          </cell>
          <cell r="L1421" t="str">
            <v>2000-184</v>
          </cell>
        </row>
        <row r="1422">
          <cell r="B1422" t="str">
            <v>조윤순</v>
          </cell>
          <cell r="E1422">
            <v>17437825</v>
          </cell>
          <cell r="L1422" t="str">
            <v>2000-185</v>
          </cell>
        </row>
        <row r="1423">
          <cell r="B1423" t="str">
            <v>길용태</v>
          </cell>
          <cell r="E1423">
            <v>15000000</v>
          </cell>
          <cell r="L1423" t="str">
            <v>2000-186</v>
          </cell>
        </row>
        <row r="1424">
          <cell r="B1424" t="str">
            <v>이은경</v>
          </cell>
          <cell r="E1424">
            <v>11284830</v>
          </cell>
          <cell r="L1424" t="str">
            <v>2000-187</v>
          </cell>
        </row>
        <row r="1425">
          <cell r="B1425" t="str">
            <v>신세기건설산업</v>
          </cell>
          <cell r="E1425">
            <v>128469422</v>
          </cell>
          <cell r="L1425" t="str">
            <v>2000-188</v>
          </cell>
        </row>
        <row r="1426">
          <cell r="B1426" t="str">
            <v>정명순</v>
          </cell>
          <cell r="E1426">
            <v>9397160</v>
          </cell>
          <cell r="L1426" t="str">
            <v>2000-189</v>
          </cell>
        </row>
        <row r="1427">
          <cell r="B1427" t="str">
            <v>유근성</v>
          </cell>
          <cell r="E1427">
            <v>7479664</v>
          </cell>
          <cell r="K1427" t="str">
            <v>경매</v>
          </cell>
          <cell r="L1427" t="str">
            <v>2000-190</v>
          </cell>
        </row>
        <row r="1428">
          <cell r="B1428" t="str">
            <v>남승익</v>
          </cell>
          <cell r="E1428">
            <v>12000000</v>
          </cell>
          <cell r="K1428" t="str">
            <v>경매</v>
          </cell>
          <cell r="L1428" t="str">
            <v>2000-191</v>
          </cell>
        </row>
        <row r="1429">
          <cell r="B1429" t="str">
            <v>송교호</v>
          </cell>
          <cell r="E1429">
            <v>12000000</v>
          </cell>
          <cell r="K1429" t="str">
            <v>경매</v>
          </cell>
          <cell r="L1429" t="str">
            <v>2000-192</v>
          </cell>
        </row>
        <row r="1430">
          <cell r="B1430" t="str">
            <v>김우평</v>
          </cell>
          <cell r="E1430">
            <v>1206139</v>
          </cell>
          <cell r="L1430" t="str">
            <v>2000-193</v>
          </cell>
        </row>
        <row r="1431">
          <cell r="B1431" t="str">
            <v>유병수</v>
          </cell>
          <cell r="E1431">
            <v>39922714</v>
          </cell>
          <cell r="K1431" t="str">
            <v>경매</v>
          </cell>
          <cell r="L1431" t="str">
            <v>2000-194</v>
          </cell>
        </row>
        <row r="1432">
          <cell r="B1432" t="str">
            <v>이명희</v>
          </cell>
          <cell r="E1432">
            <v>11516623</v>
          </cell>
          <cell r="L1432" t="str">
            <v>2000-195</v>
          </cell>
        </row>
        <row r="1433">
          <cell r="B1433" t="str">
            <v>임경옥</v>
          </cell>
          <cell r="E1433">
            <v>12562531</v>
          </cell>
          <cell r="L1433" t="str">
            <v>2000-196</v>
          </cell>
        </row>
        <row r="1434">
          <cell r="B1434" t="str">
            <v>김종성</v>
          </cell>
          <cell r="E1434">
            <v>2380339</v>
          </cell>
          <cell r="L1434" t="str">
            <v>2000-197</v>
          </cell>
        </row>
        <row r="1435">
          <cell r="B1435" t="str">
            <v>정평모</v>
          </cell>
          <cell r="E1435">
            <v>14965050</v>
          </cell>
          <cell r="L1435" t="str">
            <v>2000-198</v>
          </cell>
        </row>
        <row r="1436">
          <cell r="B1436" t="str">
            <v>리만전자공업㈜</v>
          </cell>
          <cell r="E1436">
            <v>546665962</v>
          </cell>
          <cell r="L1436" t="str">
            <v>2000-199</v>
          </cell>
        </row>
        <row r="1437">
          <cell r="B1437" t="str">
            <v>하기찬</v>
          </cell>
          <cell r="E1437">
            <v>131841150</v>
          </cell>
          <cell r="L1437" t="str">
            <v>2000-200</v>
          </cell>
        </row>
        <row r="1438">
          <cell r="B1438" t="str">
            <v>임유성</v>
          </cell>
          <cell r="E1438">
            <v>5819860</v>
          </cell>
          <cell r="L1438" t="str">
            <v>2000-201</v>
          </cell>
        </row>
        <row r="1439">
          <cell r="B1439" t="str">
            <v>이상우</v>
          </cell>
          <cell r="E1439">
            <v>8793983</v>
          </cell>
          <cell r="L1439" t="str">
            <v>2000-202</v>
          </cell>
        </row>
        <row r="1440">
          <cell r="B1440" t="str">
            <v>이금철</v>
          </cell>
          <cell r="E1440">
            <v>15286436</v>
          </cell>
          <cell r="L1440" t="str">
            <v>2000-203</v>
          </cell>
        </row>
        <row r="1441">
          <cell r="B1441" t="str">
            <v>오세일</v>
          </cell>
          <cell r="E1441">
            <v>12450825</v>
          </cell>
          <cell r="L1441" t="str">
            <v>2000-204</v>
          </cell>
        </row>
        <row r="1442">
          <cell r="B1442" t="str">
            <v>윤주일</v>
          </cell>
          <cell r="E1442">
            <v>59776000</v>
          </cell>
          <cell r="L1442" t="str">
            <v>2000-205</v>
          </cell>
        </row>
        <row r="1443">
          <cell r="B1443" t="str">
            <v>유수옥</v>
          </cell>
          <cell r="E1443">
            <v>5000000</v>
          </cell>
          <cell r="K1443" t="str">
            <v>경매</v>
          </cell>
          <cell r="L1443" t="str">
            <v>2000-206</v>
          </cell>
        </row>
        <row r="1444">
          <cell r="B1444" t="str">
            <v>이정옥</v>
          </cell>
          <cell r="E1444">
            <v>16000000</v>
          </cell>
          <cell r="K1444" t="str">
            <v>경매</v>
          </cell>
          <cell r="L1444" t="str">
            <v>2000-207</v>
          </cell>
        </row>
        <row r="1445">
          <cell r="B1445" t="str">
            <v>윤인자</v>
          </cell>
          <cell r="E1445">
            <v>9756414</v>
          </cell>
          <cell r="L1445" t="str">
            <v>2000-208</v>
          </cell>
        </row>
        <row r="1446">
          <cell r="B1446" t="str">
            <v>김원영</v>
          </cell>
          <cell r="E1446">
            <v>8600841</v>
          </cell>
          <cell r="L1446" t="str">
            <v>2000-209</v>
          </cell>
        </row>
        <row r="1447">
          <cell r="B1447" t="str">
            <v>서영철</v>
          </cell>
          <cell r="E1447">
            <v>27362003</v>
          </cell>
          <cell r="L1447" t="str">
            <v>2000-210</v>
          </cell>
        </row>
        <row r="1448">
          <cell r="B1448" t="str">
            <v>김윤경</v>
          </cell>
          <cell r="E1448">
            <v>17208628</v>
          </cell>
          <cell r="L1448" t="str">
            <v>2000-211</v>
          </cell>
        </row>
        <row r="1449">
          <cell r="B1449" t="str">
            <v>정성관</v>
          </cell>
          <cell r="E1449">
            <v>2707916</v>
          </cell>
          <cell r="L1449" t="str">
            <v>2000-212</v>
          </cell>
        </row>
        <row r="1450">
          <cell r="B1450" t="str">
            <v>김종천</v>
          </cell>
          <cell r="E1450">
            <v>16671368</v>
          </cell>
          <cell r="L1450" t="str">
            <v>2000-213</v>
          </cell>
        </row>
        <row r="1451">
          <cell r="B1451" t="str">
            <v>김홍연,김흥연???</v>
          </cell>
          <cell r="E1451">
            <v>4100807</v>
          </cell>
          <cell r="L1451" t="str">
            <v>2000-214</v>
          </cell>
        </row>
        <row r="1452">
          <cell r="B1452" t="str">
            <v>이승표</v>
          </cell>
          <cell r="E1452">
            <v>14105150</v>
          </cell>
          <cell r="L1452" t="str">
            <v>2000-215</v>
          </cell>
        </row>
        <row r="1453">
          <cell r="B1453" t="str">
            <v>㈜줄바위</v>
          </cell>
          <cell r="E1453">
            <v>22647504</v>
          </cell>
          <cell r="L1453" t="str">
            <v>2000-216</v>
          </cell>
        </row>
        <row r="1454">
          <cell r="B1454" t="str">
            <v>송혜석</v>
          </cell>
          <cell r="E1454">
            <v>41432976</v>
          </cell>
          <cell r="L1454" t="str">
            <v>2000-217</v>
          </cell>
        </row>
        <row r="1455">
          <cell r="B1455" t="str">
            <v>양승업</v>
          </cell>
          <cell r="E1455">
            <v>6167218</v>
          </cell>
          <cell r="L1455" t="str">
            <v>2000-218</v>
          </cell>
        </row>
        <row r="1456">
          <cell r="B1456" t="str">
            <v>송태희</v>
          </cell>
          <cell r="E1456">
            <v>11234327</v>
          </cell>
          <cell r="L1456" t="str">
            <v>2000-219</v>
          </cell>
        </row>
        <row r="1457">
          <cell r="B1457" t="str">
            <v>김윤수</v>
          </cell>
          <cell r="E1457">
            <v>6380768</v>
          </cell>
          <cell r="L1457" t="str">
            <v>2000-220</v>
          </cell>
        </row>
        <row r="1458">
          <cell r="B1458" t="str">
            <v>김영숙</v>
          </cell>
          <cell r="E1458">
            <v>5657938</v>
          </cell>
          <cell r="L1458" t="str">
            <v>2000-221</v>
          </cell>
        </row>
        <row r="1459">
          <cell r="B1459" t="str">
            <v>전명희</v>
          </cell>
          <cell r="E1459">
            <v>4740983</v>
          </cell>
          <cell r="L1459" t="str">
            <v>2000-222</v>
          </cell>
        </row>
        <row r="1460">
          <cell r="B1460" t="str">
            <v>변순옥</v>
          </cell>
          <cell r="E1460">
            <v>15473880</v>
          </cell>
          <cell r="L1460" t="str">
            <v>2000-223</v>
          </cell>
        </row>
        <row r="1461">
          <cell r="B1461" t="str">
            <v>김현옥</v>
          </cell>
          <cell r="E1461">
            <v>12487271</v>
          </cell>
          <cell r="L1461" t="str">
            <v>2000-224</v>
          </cell>
        </row>
        <row r="1462">
          <cell r="B1462" t="str">
            <v>김옥선</v>
          </cell>
          <cell r="E1462">
            <v>16002493</v>
          </cell>
          <cell r="L1462" t="str">
            <v>2000-225</v>
          </cell>
        </row>
        <row r="1463">
          <cell r="B1463" t="str">
            <v>황영필</v>
          </cell>
          <cell r="E1463">
            <v>31844868</v>
          </cell>
          <cell r="L1463" t="str">
            <v>2000-226</v>
          </cell>
        </row>
        <row r="1464">
          <cell r="B1464" t="str">
            <v>김문규</v>
          </cell>
          <cell r="E1464">
            <v>30654259</v>
          </cell>
          <cell r="L1464" t="str">
            <v>2000-227</v>
          </cell>
        </row>
        <row r="1465">
          <cell r="B1465" t="str">
            <v>남기혁</v>
          </cell>
          <cell r="E1465">
            <v>153942332</v>
          </cell>
          <cell r="K1465">
            <v>25033</v>
          </cell>
          <cell r="L1465" t="str">
            <v>2000-228</v>
          </cell>
        </row>
        <row r="1466">
          <cell r="B1466" t="str">
            <v>이준석</v>
          </cell>
          <cell r="E1466">
            <v>299629559</v>
          </cell>
          <cell r="K1466">
            <v>4166</v>
          </cell>
          <cell r="L1466" t="str">
            <v>2000-229</v>
          </cell>
        </row>
        <row r="1467">
          <cell r="B1467" t="str">
            <v>김세현</v>
          </cell>
          <cell r="E1467">
            <v>31490450</v>
          </cell>
          <cell r="K1467">
            <v>5940</v>
          </cell>
          <cell r="L1467" t="str">
            <v>2000-230</v>
          </cell>
        </row>
        <row r="1468">
          <cell r="B1468" t="str">
            <v>서상기</v>
          </cell>
          <cell r="E1468">
            <v>21091960</v>
          </cell>
          <cell r="K1468">
            <v>4183</v>
          </cell>
          <cell r="L1468" t="str">
            <v>2000-231</v>
          </cell>
        </row>
        <row r="1469">
          <cell r="B1469" t="str">
            <v>손영자</v>
          </cell>
          <cell r="E1469">
            <v>11738979</v>
          </cell>
          <cell r="K1469">
            <v>5299</v>
          </cell>
          <cell r="L1469" t="str">
            <v>2000-232</v>
          </cell>
        </row>
        <row r="1470">
          <cell r="B1470" t="str">
            <v>서울대한공영</v>
          </cell>
          <cell r="E1470">
            <v>58569283</v>
          </cell>
          <cell r="K1470">
            <v>5410</v>
          </cell>
          <cell r="L1470" t="str">
            <v>2000-233</v>
          </cell>
        </row>
        <row r="1471">
          <cell r="B1471" t="str">
            <v>㈜창조공간</v>
          </cell>
          <cell r="E1471">
            <v>50266225</v>
          </cell>
          <cell r="K1471">
            <v>12160</v>
          </cell>
          <cell r="L1471" t="str">
            <v>2000-234</v>
          </cell>
        </row>
        <row r="1472">
          <cell r="B1472" t="str">
            <v>㈜광일훼밀리건설</v>
          </cell>
          <cell r="E1472">
            <v>64733147</v>
          </cell>
          <cell r="K1472">
            <v>6099</v>
          </cell>
          <cell r="L1472" t="str">
            <v>2000-235</v>
          </cell>
        </row>
        <row r="1473">
          <cell r="B1473" t="str">
            <v>박태권</v>
          </cell>
          <cell r="E1473">
            <v>27000000</v>
          </cell>
          <cell r="K1473" t="str">
            <v>경매</v>
          </cell>
          <cell r="L1473" t="str">
            <v>2000-236</v>
          </cell>
        </row>
        <row r="1474">
          <cell r="B1474" t="str">
            <v>이종필? 이종열</v>
          </cell>
          <cell r="E1474">
            <v>18026563</v>
          </cell>
          <cell r="L1474" t="str">
            <v>2000-237</v>
          </cell>
        </row>
        <row r="1475">
          <cell r="B1475" t="str">
            <v>강영애</v>
          </cell>
          <cell r="E1475">
            <v>12076163</v>
          </cell>
          <cell r="L1475" t="str">
            <v>2000-238</v>
          </cell>
        </row>
        <row r="1476">
          <cell r="B1476" t="str">
            <v>윤성균</v>
          </cell>
          <cell r="E1476">
            <v>4812311</v>
          </cell>
          <cell r="L1476" t="str">
            <v>2000-239</v>
          </cell>
        </row>
        <row r="1477">
          <cell r="B1477" t="str">
            <v>안정희</v>
          </cell>
          <cell r="E1477">
            <v>6517492</v>
          </cell>
          <cell r="L1477" t="str">
            <v>2000-240</v>
          </cell>
        </row>
        <row r="1478">
          <cell r="B1478" t="str">
            <v>송현모</v>
          </cell>
          <cell r="E1478">
            <v>10146522</v>
          </cell>
          <cell r="L1478" t="str">
            <v>2000-241</v>
          </cell>
        </row>
        <row r="1479">
          <cell r="B1479" t="str">
            <v>김단희</v>
          </cell>
          <cell r="E1479">
            <v>17295084</v>
          </cell>
          <cell r="L1479" t="str">
            <v>2000-242</v>
          </cell>
        </row>
        <row r="1480">
          <cell r="B1480" t="str">
            <v>강천기</v>
          </cell>
          <cell r="E1480">
            <v>5539511</v>
          </cell>
          <cell r="L1480" t="str">
            <v>2000-243</v>
          </cell>
        </row>
        <row r="1481">
          <cell r="B1481" t="str">
            <v>이만승</v>
          </cell>
          <cell r="E1481">
            <v>14107252</v>
          </cell>
          <cell r="L1481" t="str">
            <v>2000-244</v>
          </cell>
        </row>
        <row r="1482">
          <cell r="B1482" t="str">
            <v>서일산기㈜</v>
          </cell>
          <cell r="E1482">
            <v>69737680</v>
          </cell>
          <cell r="L1482" t="str">
            <v>2000-245</v>
          </cell>
        </row>
        <row r="1483">
          <cell r="B1483" t="str">
            <v>감명춘</v>
          </cell>
          <cell r="E1483">
            <v>17632806</v>
          </cell>
          <cell r="L1483" t="str">
            <v>2000-246</v>
          </cell>
        </row>
        <row r="1484">
          <cell r="B1484" t="str">
            <v>김미숙</v>
          </cell>
          <cell r="E1484">
            <v>24913207</v>
          </cell>
          <cell r="L1484" t="str">
            <v>2000-247</v>
          </cell>
        </row>
        <row r="1485">
          <cell r="B1485" t="str">
            <v>이경애</v>
          </cell>
          <cell r="E1485">
            <v>17953775</v>
          </cell>
          <cell r="L1485" t="str">
            <v>2000-248</v>
          </cell>
        </row>
        <row r="1486">
          <cell r="B1486" t="str">
            <v>성신축산㈜</v>
          </cell>
          <cell r="E1486">
            <v>240029783</v>
          </cell>
          <cell r="L1486" t="str">
            <v>2000-249</v>
          </cell>
        </row>
        <row r="1487">
          <cell r="B1487" t="str">
            <v>고경덕</v>
          </cell>
          <cell r="E1487">
            <v>9243207</v>
          </cell>
          <cell r="K1487" t="str">
            <v>경매</v>
          </cell>
          <cell r="L1487" t="str">
            <v>2000-250</v>
          </cell>
        </row>
        <row r="1488">
          <cell r="B1488" t="str">
            <v>노영심</v>
          </cell>
          <cell r="E1488">
            <v>8161342</v>
          </cell>
          <cell r="L1488" t="str">
            <v>2000-251</v>
          </cell>
        </row>
        <row r="1489">
          <cell r="B1489" t="str">
            <v>안희율</v>
          </cell>
          <cell r="E1489">
            <v>14313527</v>
          </cell>
          <cell r="L1489" t="str">
            <v>2000-252</v>
          </cell>
        </row>
        <row r="1490">
          <cell r="B1490" t="str">
            <v>정대남</v>
          </cell>
          <cell r="E1490">
            <v>5785713</v>
          </cell>
          <cell r="L1490" t="str">
            <v>2000-253</v>
          </cell>
        </row>
        <row r="1491">
          <cell r="B1491" t="str">
            <v>박미자</v>
          </cell>
          <cell r="E1491">
            <v>16117634</v>
          </cell>
          <cell r="L1491" t="str">
            <v>2000-254</v>
          </cell>
        </row>
        <row r="1492">
          <cell r="B1492" t="str">
            <v>이근옥</v>
          </cell>
          <cell r="E1492">
            <v>11666504</v>
          </cell>
          <cell r="L1492" t="str">
            <v>2000-255</v>
          </cell>
        </row>
        <row r="1493">
          <cell r="B1493" t="str">
            <v>이한순</v>
          </cell>
          <cell r="E1493">
            <v>11344603</v>
          </cell>
          <cell r="L1493" t="str">
            <v>2000-256</v>
          </cell>
        </row>
        <row r="1494">
          <cell r="B1494" t="str">
            <v>박옥경</v>
          </cell>
          <cell r="E1494">
            <v>14936379</v>
          </cell>
          <cell r="L1494" t="str">
            <v>2000-257</v>
          </cell>
        </row>
        <row r="1495">
          <cell r="B1495" t="str">
            <v>홍한봉</v>
          </cell>
          <cell r="E1495">
            <v>19057806</v>
          </cell>
          <cell r="L1495" t="str">
            <v>2000-258</v>
          </cell>
        </row>
        <row r="1496">
          <cell r="B1496" t="str">
            <v>이귀남</v>
          </cell>
          <cell r="E1496">
            <v>3190909</v>
          </cell>
          <cell r="L1496" t="str">
            <v>2000-259</v>
          </cell>
        </row>
        <row r="1497">
          <cell r="B1497" t="str">
            <v>유대봉</v>
          </cell>
          <cell r="E1497">
            <v>15293818</v>
          </cell>
          <cell r="L1497" t="str">
            <v>2000-260</v>
          </cell>
        </row>
        <row r="1498">
          <cell r="B1498" t="str">
            <v>오도식</v>
          </cell>
          <cell r="E1498">
            <v>5072766</v>
          </cell>
          <cell r="L1498" t="str">
            <v>2000-261</v>
          </cell>
        </row>
        <row r="1499">
          <cell r="B1499" t="str">
            <v>김효식</v>
          </cell>
          <cell r="E1499">
            <v>37311096</v>
          </cell>
          <cell r="L1499" t="str">
            <v>2000-262</v>
          </cell>
        </row>
        <row r="1500">
          <cell r="B1500" t="str">
            <v>김정태</v>
          </cell>
          <cell r="E1500">
            <v>2177229</v>
          </cell>
          <cell r="L1500" t="str">
            <v>2000-263</v>
          </cell>
        </row>
        <row r="1501">
          <cell r="B1501" t="str">
            <v>황병하</v>
          </cell>
          <cell r="E1501">
            <v>18538888</v>
          </cell>
          <cell r="L1501" t="str">
            <v>2000-264</v>
          </cell>
        </row>
        <row r="1502">
          <cell r="B1502" t="str">
            <v>정영훈</v>
          </cell>
          <cell r="E1502">
            <v>7574618</v>
          </cell>
          <cell r="L1502" t="str">
            <v>2000-265</v>
          </cell>
        </row>
        <row r="1503">
          <cell r="B1503" t="str">
            <v>이경자</v>
          </cell>
          <cell r="E1503">
            <v>17781368</v>
          </cell>
          <cell r="L1503" t="str">
            <v>2000-266</v>
          </cell>
        </row>
        <row r="1504">
          <cell r="B1504" t="str">
            <v>박흥준</v>
          </cell>
          <cell r="E1504">
            <v>4471423</v>
          </cell>
          <cell r="L1504" t="str">
            <v>2000-267</v>
          </cell>
        </row>
        <row r="1505">
          <cell r="B1505" t="str">
            <v>김병선</v>
          </cell>
          <cell r="E1505">
            <v>10930788</v>
          </cell>
          <cell r="L1505" t="str">
            <v>2000-268</v>
          </cell>
        </row>
        <row r="1506">
          <cell r="B1506" t="str">
            <v>김현우</v>
          </cell>
          <cell r="E1506">
            <v>33059464</v>
          </cell>
          <cell r="L1506" t="str">
            <v>2000-269</v>
          </cell>
        </row>
        <row r="1507">
          <cell r="B1507" t="str">
            <v>우인식</v>
          </cell>
          <cell r="E1507">
            <v>42557511</v>
          </cell>
          <cell r="L1507" t="str">
            <v>2000-270</v>
          </cell>
        </row>
        <row r="1508">
          <cell r="B1508" t="str">
            <v>연취현</v>
          </cell>
          <cell r="E1508">
            <v>4281585</v>
          </cell>
          <cell r="L1508" t="str">
            <v>2000-271</v>
          </cell>
        </row>
        <row r="1509">
          <cell r="B1509" t="str">
            <v>남기자</v>
          </cell>
          <cell r="E1509">
            <v>13629496</v>
          </cell>
          <cell r="L1509" t="str">
            <v>2000-272</v>
          </cell>
        </row>
        <row r="1510">
          <cell r="B1510" t="str">
            <v>홍권표</v>
          </cell>
          <cell r="E1510">
            <v>10268218</v>
          </cell>
          <cell r="L1510" t="str">
            <v>2000-273</v>
          </cell>
        </row>
        <row r="1511">
          <cell r="B1511" t="str">
            <v>이건순</v>
          </cell>
          <cell r="E1511">
            <v>4041043</v>
          </cell>
          <cell r="L1511" t="str">
            <v>2000-274</v>
          </cell>
        </row>
        <row r="1512">
          <cell r="B1512" t="str">
            <v>김동식</v>
          </cell>
          <cell r="E1512">
            <v>16671024</v>
          </cell>
          <cell r="L1512" t="str">
            <v>2000-275</v>
          </cell>
        </row>
        <row r="1513">
          <cell r="B1513" t="str">
            <v>김형계</v>
          </cell>
          <cell r="E1513">
            <v>5351523</v>
          </cell>
          <cell r="L1513" t="str">
            <v>2000-276</v>
          </cell>
        </row>
        <row r="1514">
          <cell r="B1514" t="str">
            <v>김태일</v>
          </cell>
          <cell r="E1514">
            <v>1650050</v>
          </cell>
          <cell r="L1514" t="str">
            <v>2000-277</v>
          </cell>
        </row>
        <row r="1515">
          <cell r="B1515" t="str">
            <v>㈜서원관광개발</v>
          </cell>
          <cell r="E1515">
            <v>24898907</v>
          </cell>
          <cell r="L1515" t="str">
            <v>2000-278</v>
          </cell>
        </row>
        <row r="1516">
          <cell r="B1516" t="str">
            <v>이은이</v>
          </cell>
          <cell r="E1516">
            <v>13063229</v>
          </cell>
          <cell r="L1516" t="str">
            <v>2000-279</v>
          </cell>
        </row>
        <row r="1517">
          <cell r="L1517" t="str">
            <v>2000-280</v>
          </cell>
        </row>
        <row r="1518">
          <cell r="L1518" t="str">
            <v>2000-281</v>
          </cell>
        </row>
        <row r="1519">
          <cell r="L1519" t="str">
            <v>2000-282</v>
          </cell>
        </row>
        <row r="1520">
          <cell r="L1520" t="str">
            <v>2000-283</v>
          </cell>
        </row>
        <row r="1521">
          <cell r="L1521" t="str">
            <v>2000-284</v>
          </cell>
        </row>
        <row r="1522">
          <cell r="L1522" t="str">
            <v>2000-285</v>
          </cell>
        </row>
        <row r="1523">
          <cell r="L1523" t="str">
            <v>2000-286</v>
          </cell>
        </row>
        <row r="1524">
          <cell r="L1524" t="str">
            <v>2000-287</v>
          </cell>
        </row>
        <row r="1525">
          <cell r="L1525" t="str">
            <v>2000-288</v>
          </cell>
        </row>
        <row r="1526">
          <cell r="L1526" t="str">
            <v>2000-289</v>
          </cell>
        </row>
        <row r="1527">
          <cell r="L1527" t="str">
            <v>2000-290</v>
          </cell>
        </row>
        <row r="1528">
          <cell r="L1528" t="str">
            <v>2000-291</v>
          </cell>
        </row>
        <row r="1529">
          <cell r="L1529" t="str">
            <v>2000-292</v>
          </cell>
        </row>
        <row r="1530">
          <cell r="L1530" t="str">
            <v>2000-293</v>
          </cell>
        </row>
        <row r="1531">
          <cell r="L1531" t="str">
            <v>2000-294</v>
          </cell>
        </row>
        <row r="1532">
          <cell r="L1532" t="str">
            <v>2000-295</v>
          </cell>
        </row>
        <row r="1533">
          <cell r="L1533" t="str">
            <v>2000-296</v>
          </cell>
        </row>
        <row r="1534">
          <cell r="L1534" t="str">
            <v>2000-297</v>
          </cell>
        </row>
        <row r="1535">
          <cell r="L1535" t="str">
            <v>2000-298</v>
          </cell>
        </row>
        <row r="1536">
          <cell r="L1536" t="str">
            <v>2000-299</v>
          </cell>
        </row>
        <row r="1537">
          <cell r="L1537" t="str">
            <v>2000-300</v>
          </cell>
        </row>
        <row r="1538">
          <cell r="L1538" t="str">
            <v>2000-301</v>
          </cell>
        </row>
        <row r="1539">
          <cell r="L1539" t="str">
            <v>2000-302</v>
          </cell>
        </row>
        <row r="1540">
          <cell r="L1540" t="str">
            <v>2000-303</v>
          </cell>
        </row>
        <row r="1541">
          <cell r="L1541" t="str">
            <v>2000-304</v>
          </cell>
        </row>
        <row r="1542">
          <cell r="L1542" t="str">
            <v>2000-305</v>
          </cell>
        </row>
        <row r="1543">
          <cell r="L1543" t="str">
            <v>2000-306</v>
          </cell>
        </row>
        <row r="1544">
          <cell r="L1544" t="str">
            <v>2000-307</v>
          </cell>
        </row>
        <row r="1545">
          <cell r="L1545" t="str">
            <v>2000-308</v>
          </cell>
        </row>
        <row r="1546">
          <cell r="L1546" t="str">
            <v>2000-309</v>
          </cell>
        </row>
        <row r="1547">
          <cell r="L1547" t="str">
            <v>2000-310</v>
          </cell>
        </row>
        <row r="1548">
          <cell r="L1548" t="str">
            <v>2000-311</v>
          </cell>
        </row>
        <row r="1549">
          <cell r="L1549" t="str">
            <v>2000-312</v>
          </cell>
        </row>
        <row r="1550">
          <cell r="L1550" t="str">
            <v>2000-313</v>
          </cell>
        </row>
        <row r="1551">
          <cell r="L1551" t="str">
            <v>2000-314</v>
          </cell>
        </row>
        <row r="1552">
          <cell r="L1552" t="str">
            <v>2000-315</v>
          </cell>
        </row>
        <row r="1553">
          <cell r="L1553" t="str">
            <v>2000-316</v>
          </cell>
        </row>
        <row r="1554">
          <cell r="L1554" t="str">
            <v>2000-317</v>
          </cell>
        </row>
        <row r="1555">
          <cell r="L1555" t="str">
            <v>2000-318</v>
          </cell>
        </row>
        <row r="1556">
          <cell r="L1556" t="str">
            <v>2000-319</v>
          </cell>
        </row>
        <row r="1557">
          <cell r="L1557" t="str">
            <v>2000-320</v>
          </cell>
        </row>
        <row r="1558">
          <cell r="L1558" t="str">
            <v>2000-321</v>
          </cell>
        </row>
        <row r="1559">
          <cell r="L1559" t="str">
            <v>2000-322</v>
          </cell>
        </row>
        <row r="1560">
          <cell r="L1560" t="str">
            <v>2000-323</v>
          </cell>
        </row>
        <row r="1561">
          <cell r="L1561" t="str">
            <v>2000-324</v>
          </cell>
        </row>
        <row r="1562">
          <cell r="L1562" t="str">
            <v>2000-325</v>
          </cell>
        </row>
        <row r="1563">
          <cell r="L1563" t="str">
            <v>2000-326</v>
          </cell>
        </row>
        <row r="1564">
          <cell r="L1564" t="str">
            <v>2000-327</v>
          </cell>
        </row>
        <row r="1565">
          <cell r="L1565" t="str">
            <v>2000-328</v>
          </cell>
        </row>
        <row r="1566">
          <cell r="L1566" t="str">
            <v>2000-329</v>
          </cell>
        </row>
        <row r="1567">
          <cell r="L1567" t="str">
            <v>2000-330</v>
          </cell>
        </row>
        <row r="1568">
          <cell r="L1568" t="str">
            <v>2000-331</v>
          </cell>
        </row>
        <row r="1569">
          <cell r="L1569" t="str">
            <v>2000-332</v>
          </cell>
        </row>
        <row r="1570">
          <cell r="L1570" t="str">
            <v>2000-333</v>
          </cell>
        </row>
        <row r="1571">
          <cell r="L1571" t="str">
            <v>2000-334</v>
          </cell>
        </row>
        <row r="1572">
          <cell r="L1572" t="str">
            <v>2000-335</v>
          </cell>
        </row>
        <row r="1573">
          <cell r="L1573" t="str">
            <v>2000-336</v>
          </cell>
        </row>
        <row r="1574">
          <cell r="L1574" t="str">
            <v>2000-337</v>
          </cell>
        </row>
        <row r="1575">
          <cell r="L1575" t="str">
            <v>2000-338</v>
          </cell>
        </row>
        <row r="1576">
          <cell r="L1576" t="str">
            <v>2000-339</v>
          </cell>
        </row>
        <row r="1577">
          <cell r="L1577" t="str">
            <v>2000-340</v>
          </cell>
        </row>
        <row r="1578">
          <cell r="L1578" t="str">
            <v>2000-341</v>
          </cell>
        </row>
        <row r="1579">
          <cell r="L1579" t="str">
            <v>2000-342</v>
          </cell>
        </row>
        <row r="1580">
          <cell r="L1580" t="str">
            <v>2000-343</v>
          </cell>
        </row>
        <row r="1581">
          <cell r="L1581" t="str">
            <v>2000-344</v>
          </cell>
        </row>
        <row r="1582">
          <cell r="L1582" t="str">
            <v>2000-345</v>
          </cell>
        </row>
        <row r="1583">
          <cell r="L1583" t="str">
            <v>2000-346</v>
          </cell>
        </row>
        <row r="1584">
          <cell r="L1584" t="str">
            <v>2000-347</v>
          </cell>
        </row>
        <row r="1585">
          <cell r="L1585" t="str">
            <v>2000-348</v>
          </cell>
        </row>
        <row r="1586">
          <cell r="L1586" t="str">
            <v>2000-349</v>
          </cell>
        </row>
        <row r="1587">
          <cell r="L1587" t="str">
            <v>2000-350</v>
          </cell>
        </row>
        <row r="1588">
          <cell r="L1588" t="str">
            <v>2000-351</v>
          </cell>
        </row>
        <row r="1589">
          <cell r="L1589" t="str">
            <v>2000-352</v>
          </cell>
        </row>
        <row r="1590">
          <cell r="L1590" t="str">
            <v>2000-353</v>
          </cell>
        </row>
        <row r="1591">
          <cell r="L1591" t="str">
            <v>2000-354</v>
          </cell>
        </row>
        <row r="1592">
          <cell r="L1592" t="str">
            <v>2000-355</v>
          </cell>
        </row>
        <row r="1593">
          <cell r="L1593" t="str">
            <v>2000-356</v>
          </cell>
        </row>
        <row r="1594">
          <cell r="L1594" t="str">
            <v>2000-357</v>
          </cell>
        </row>
        <row r="1595">
          <cell r="L1595" t="str">
            <v>2000-358</v>
          </cell>
        </row>
        <row r="1596">
          <cell r="L1596" t="str">
            <v>2000-359</v>
          </cell>
        </row>
        <row r="1597">
          <cell r="L1597" t="str">
            <v>2000-360</v>
          </cell>
        </row>
        <row r="1598">
          <cell r="L1598" t="str">
            <v>2000-361</v>
          </cell>
        </row>
        <row r="1599">
          <cell r="L1599" t="str">
            <v>2000-362</v>
          </cell>
        </row>
        <row r="1600">
          <cell r="L1600" t="str">
            <v>2000-363</v>
          </cell>
        </row>
        <row r="1601">
          <cell r="L1601" t="str">
            <v>2000-364</v>
          </cell>
        </row>
        <row r="1602">
          <cell r="L1602" t="str">
            <v>2000-365</v>
          </cell>
        </row>
        <row r="1603">
          <cell r="L1603" t="str">
            <v>2000-366</v>
          </cell>
        </row>
        <row r="1604">
          <cell r="L1604" t="str">
            <v>2000-367</v>
          </cell>
        </row>
        <row r="1605">
          <cell r="L1605" t="str">
            <v>2000-368</v>
          </cell>
        </row>
        <row r="1606">
          <cell r="L1606" t="str">
            <v>2000-369</v>
          </cell>
        </row>
        <row r="1607">
          <cell r="L1607" t="str">
            <v>2000-370</v>
          </cell>
        </row>
        <row r="1608">
          <cell r="L1608" t="str">
            <v>2000-371</v>
          </cell>
        </row>
        <row r="1609">
          <cell r="L1609" t="str">
            <v>2000-372</v>
          </cell>
        </row>
        <row r="1610">
          <cell r="L1610" t="str">
            <v>2000-373</v>
          </cell>
        </row>
        <row r="1611">
          <cell r="L1611" t="str">
            <v>2000-374</v>
          </cell>
        </row>
        <row r="1612">
          <cell r="L1612" t="str">
            <v>2000-375</v>
          </cell>
        </row>
        <row r="1613">
          <cell r="L1613" t="str">
            <v>2000-376</v>
          </cell>
        </row>
        <row r="1614">
          <cell r="L1614" t="str">
            <v>2000-377</v>
          </cell>
        </row>
        <row r="1615">
          <cell r="L1615" t="str">
            <v>2000-378</v>
          </cell>
        </row>
        <row r="1616">
          <cell r="L1616" t="str">
            <v>2000-379</v>
          </cell>
        </row>
        <row r="1617">
          <cell r="L1617" t="str">
            <v>2000-380</v>
          </cell>
        </row>
        <row r="1618">
          <cell r="L1618" t="str">
            <v>2000-381</v>
          </cell>
        </row>
        <row r="1619">
          <cell r="L1619" t="str">
            <v>2000-382</v>
          </cell>
        </row>
        <row r="1620">
          <cell r="L1620" t="str">
            <v>2000-383</v>
          </cell>
        </row>
        <row r="1621">
          <cell r="L1621" t="str">
            <v>2000-384</v>
          </cell>
        </row>
        <row r="1622">
          <cell r="L1622" t="str">
            <v>2000-385</v>
          </cell>
        </row>
        <row r="1623">
          <cell r="L1623" t="str">
            <v>2000-386</v>
          </cell>
        </row>
        <row r="1624">
          <cell r="L1624" t="str">
            <v>2000-387</v>
          </cell>
        </row>
        <row r="1625">
          <cell r="L1625" t="str">
            <v>2000-388</v>
          </cell>
        </row>
        <row r="1626">
          <cell r="L1626" t="str">
            <v>2000-389</v>
          </cell>
        </row>
        <row r="1627">
          <cell r="L1627" t="str">
            <v>2000-390</v>
          </cell>
        </row>
        <row r="1628">
          <cell r="L1628" t="str">
            <v>2000-391</v>
          </cell>
        </row>
        <row r="1629">
          <cell r="L1629" t="str">
            <v>2000-392</v>
          </cell>
        </row>
        <row r="1630">
          <cell r="L1630" t="str">
            <v>2000-393</v>
          </cell>
        </row>
        <row r="1631">
          <cell r="L1631" t="str">
            <v>2000-394</v>
          </cell>
        </row>
        <row r="1632">
          <cell r="L1632" t="str">
            <v>2000-395</v>
          </cell>
        </row>
        <row r="1633">
          <cell r="L1633" t="str">
            <v>2000-396</v>
          </cell>
        </row>
        <row r="1634">
          <cell r="L1634" t="str">
            <v>2000-397</v>
          </cell>
        </row>
        <row r="1635">
          <cell r="L1635" t="str">
            <v>2000-398</v>
          </cell>
        </row>
        <row r="1636">
          <cell r="L1636" t="str">
            <v>2000-399</v>
          </cell>
        </row>
        <row r="1637">
          <cell r="L1637" t="str">
            <v>2000-400</v>
          </cell>
        </row>
        <row r="1638">
          <cell r="L1638" t="str">
            <v>2000-401</v>
          </cell>
        </row>
        <row r="1639">
          <cell r="L1639" t="str">
            <v>2000-402</v>
          </cell>
        </row>
        <row r="1640">
          <cell r="L1640" t="str">
            <v>2000-403</v>
          </cell>
        </row>
        <row r="1641">
          <cell r="L1641" t="str">
            <v>2000-404</v>
          </cell>
        </row>
        <row r="1642">
          <cell r="L1642" t="str">
            <v>2000-405</v>
          </cell>
        </row>
        <row r="1643">
          <cell r="L1643" t="str">
            <v>2000-406</v>
          </cell>
        </row>
        <row r="1644">
          <cell r="L1644" t="str">
            <v>2000-407</v>
          </cell>
        </row>
        <row r="1645">
          <cell r="L1645" t="str">
            <v>2000-408</v>
          </cell>
        </row>
        <row r="1646">
          <cell r="L1646" t="str">
            <v>2000-409</v>
          </cell>
        </row>
        <row r="1647">
          <cell r="L1647" t="str">
            <v>2000-410</v>
          </cell>
        </row>
        <row r="1648">
          <cell r="L1648" t="str">
            <v>2000-411</v>
          </cell>
        </row>
        <row r="1649">
          <cell r="L1649" t="str">
            <v>2000-412</v>
          </cell>
        </row>
        <row r="1650">
          <cell r="L1650" t="str">
            <v>2000-413</v>
          </cell>
        </row>
        <row r="1651">
          <cell r="L1651" t="str">
            <v>2000-414</v>
          </cell>
        </row>
        <row r="1652">
          <cell r="L1652" t="str">
            <v>2000-415</v>
          </cell>
        </row>
        <row r="1653">
          <cell r="L1653" t="str">
            <v>2000-416</v>
          </cell>
        </row>
        <row r="1654">
          <cell r="L1654" t="str">
            <v>2000-417</v>
          </cell>
        </row>
        <row r="1655">
          <cell r="L1655" t="str">
            <v>2000-418</v>
          </cell>
        </row>
        <row r="1656">
          <cell r="L1656" t="str">
            <v>2000-419</v>
          </cell>
        </row>
        <row r="1657">
          <cell r="L1657" t="str">
            <v>2000-420</v>
          </cell>
        </row>
        <row r="1658">
          <cell r="L1658" t="str">
            <v>2000-421</v>
          </cell>
        </row>
        <row r="1659">
          <cell r="L1659" t="str">
            <v>2000-422</v>
          </cell>
        </row>
        <row r="1660">
          <cell r="L1660" t="str">
            <v>2000-423</v>
          </cell>
        </row>
        <row r="1661">
          <cell r="L1661" t="str">
            <v>2000-424</v>
          </cell>
        </row>
        <row r="1662">
          <cell r="L1662" t="str">
            <v>2000-425</v>
          </cell>
        </row>
        <row r="1663">
          <cell r="L1663" t="str">
            <v>2000-426</v>
          </cell>
        </row>
        <row r="1664">
          <cell r="L1664" t="str">
            <v>2000-427</v>
          </cell>
        </row>
        <row r="1665">
          <cell r="L1665" t="str">
            <v>2000-428</v>
          </cell>
        </row>
        <row r="1666">
          <cell r="L1666" t="str">
            <v>2000-429</v>
          </cell>
        </row>
        <row r="1667">
          <cell r="L1667" t="str">
            <v>2000-430</v>
          </cell>
        </row>
        <row r="1668">
          <cell r="L1668" t="str">
            <v>2000-431</v>
          </cell>
        </row>
        <row r="1669">
          <cell r="L1669" t="str">
            <v>2000-432</v>
          </cell>
        </row>
        <row r="1670">
          <cell r="L1670" t="str">
            <v>2000-433</v>
          </cell>
        </row>
        <row r="1671">
          <cell r="L1671" t="str">
            <v>2000-434</v>
          </cell>
        </row>
        <row r="1672">
          <cell r="L1672" t="str">
            <v>2000-435</v>
          </cell>
        </row>
        <row r="1673">
          <cell r="L1673" t="str">
            <v>2000-436</v>
          </cell>
        </row>
        <row r="1674">
          <cell r="L1674" t="str">
            <v>2000-437</v>
          </cell>
        </row>
        <row r="1675">
          <cell r="L1675" t="str">
            <v>2000-438</v>
          </cell>
        </row>
        <row r="1676">
          <cell r="L1676" t="str">
            <v>2000-439</v>
          </cell>
        </row>
        <row r="1677">
          <cell r="L1677" t="str">
            <v>2000-440</v>
          </cell>
        </row>
        <row r="1678">
          <cell r="L1678" t="str">
            <v>2000-441</v>
          </cell>
        </row>
        <row r="1679">
          <cell r="L1679" t="str">
            <v>2000-442</v>
          </cell>
        </row>
        <row r="1680">
          <cell r="L1680" t="str">
            <v>2000-443</v>
          </cell>
        </row>
        <row r="1681">
          <cell r="L1681" t="str">
            <v>2000-444</v>
          </cell>
        </row>
        <row r="1682">
          <cell r="L1682" t="str">
            <v>2000-445</v>
          </cell>
        </row>
        <row r="1683">
          <cell r="L1683" t="str">
            <v>2000-446</v>
          </cell>
        </row>
        <row r="1684">
          <cell r="L1684" t="str">
            <v>2000-447</v>
          </cell>
        </row>
        <row r="1685">
          <cell r="L1685" t="str">
            <v>2000-448</v>
          </cell>
        </row>
        <row r="1686">
          <cell r="L1686" t="str">
            <v>2000-449</v>
          </cell>
        </row>
        <row r="1687">
          <cell r="L1687" t="str">
            <v>2000-450</v>
          </cell>
        </row>
        <row r="1688">
          <cell r="L1688" t="str">
            <v>2000-451</v>
          </cell>
        </row>
        <row r="1689">
          <cell r="L1689" t="str">
            <v>2000-452</v>
          </cell>
        </row>
        <row r="1690">
          <cell r="L1690" t="str">
            <v>2000-453</v>
          </cell>
        </row>
        <row r="1691">
          <cell r="L1691" t="str">
            <v>2000-454</v>
          </cell>
        </row>
        <row r="1692">
          <cell r="L1692" t="str">
            <v>2000-455</v>
          </cell>
        </row>
        <row r="1693">
          <cell r="L1693" t="str">
            <v>2000-456</v>
          </cell>
        </row>
        <row r="1694">
          <cell r="L1694" t="str">
            <v>2000-457</v>
          </cell>
        </row>
        <row r="1695">
          <cell r="L1695" t="str">
            <v>2000-458</v>
          </cell>
        </row>
        <row r="1696">
          <cell r="L1696" t="str">
            <v>2000-459</v>
          </cell>
        </row>
        <row r="1697">
          <cell r="L1697" t="str">
            <v>2000-460</v>
          </cell>
        </row>
        <row r="1698">
          <cell r="L1698" t="str">
            <v>2000-461</v>
          </cell>
        </row>
        <row r="1699">
          <cell r="L1699" t="str">
            <v>2000-462</v>
          </cell>
        </row>
        <row r="1700">
          <cell r="L1700" t="str">
            <v>2000-463</v>
          </cell>
        </row>
        <row r="1701">
          <cell r="L1701" t="str">
            <v>2000-464</v>
          </cell>
        </row>
        <row r="1702">
          <cell r="L1702" t="str">
            <v>2000-465</v>
          </cell>
        </row>
        <row r="1703">
          <cell r="L1703" t="str">
            <v>2000-466</v>
          </cell>
        </row>
        <row r="1704">
          <cell r="L1704" t="str">
            <v>2000-467</v>
          </cell>
        </row>
        <row r="1705">
          <cell r="L1705" t="str">
            <v>2000-468</v>
          </cell>
        </row>
        <row r="1706">
          <cell r="L1706" t="str">
            <v>2000-469</v>
          </cell>
        </row>
        <row r="1707">
          <cell r="L1707" t="str">
            <v>2000-470</v>
          </cell>
        </row>
        <row r="1708">
          <cell r="L1708" t="str">
            <v>2000-471</v>
          </cell>
        </row>
        <row r="1709">
          <cell r="L1709" t="str">
            <v>2000-472</v>
          </cell>
        </row>
        <row r="1710">
          <cell r="L1710" t="str">
            <v>2000-473</v>
          </cell>
        </row>
        <row r="1711">
          <cell r="L1711" t="str">
            <v>2000-474</v>
          </cell>
        </row>
        <row r="1712">
          <cell r="L1712" t="str">
            <v>2000-475</v>
          </cell>
        </row>
        <row r="1713">
          <cell r="L1713" t="str">
            <v>2000-476</v>
          </cell>
        </row>
        <row r="1714">
          <cell r="L1714" t="str">
            <v>2000-477</v>
          </cell>
        </row>
        <row r="1715">
          <cell r="L1715" t="str">
            <v>2000-478</v>
          </cell>
        </row>
        <row r="1716">
          <cell r="L1716" t="str">
            <v>2000-479</v>
          </cell>
        </row>
        <row r="1717">
          <cell r="L1717" t="str">
            <v>2000-480</v>
          </cell>
        </row>
        <row r="1718">
          <cell r="L1718" t="str">
            <v>2000-481</v>
          </cell>
        </row>
        <row r="1719">
          <cell r="L1719" t="str">
            <v>2000-482</v>
          </cell>
        </row>
        <row r="1720">
          <cell r="L1720" t="str">
            <v>2000-483</v>
          </cell>
        </row>
        <row r="1721">
          <cell r="L1721" t="str">
            <v>2000-484</v>
          </cell>
        </row>
        <row r="1722">
          <cell r="L1722" t="str">
            <v>2000-485</v>
          </cell>
        </row>
        <row r="1723">
          <cell r="L1723" t="str">
            <v>2000-486</v>
          </cell>
        </row>
        <row r="1724">
          <cell r="L1724" t="str">
            <v>2000-487</v>
          </cell>
        </row>
        <row r="1725">
          <cell r="L1725" t="str">
            <v>2000-488</v>
          </cell>
        </row>
        <row r="1726">
          <cell r="L1726" t="str">
            <v>2000-489</v>
          </cell>
        </row>
        <row r="1727">
          <cell r="L1727" t="str">
            <v>2000-490</v>
          </cell>
        </row>
        <row r="1728">
          <cell r="L1728" t="str">
            <v>2000-491</v>
          </cell>
        </row>
        <row r="1729">
          <cell r="L1729" t="str">
            <v>2000-492</v>
          </cell>
        </row>
        <row r="1730">
          <cell r="L1730" t="str">
            <v>2000-493</v>
          </cell>
        </row>
        <row r="1731">
          <cell r="L1731" t="str">
            <v>2000-494</v>
          </cell>
        </row>
        <row r="1732">
          <cell r="L1732" t="str">
            <v>2000-495</v>
          </cell>
        </row>
        <row r="1733">
          <cell r="L1733" t="str">
            <v>2000-496</v>
          </cell>
        </row>
        <row r="1734">
          <cell r="L1734" t="str">
            <v>2000-497</v>
          </cell>
        </row>
        <row r="1735">
          <cell r="L1735" t="str">
            <v>2000-498</v>
          </cell>
        </row>
        <row r="1736">
          <cell r="L1736" t="str">
            <v>2000-499</v>
          </cell>
        </row>
        <row r="1737">
          <cell r="L1737" t="str">
            <v>2000-500</v>
          </cell>
        </row>
        <row r="1738">
          <cell r="L1738" t="str">
            <v>2000-501</v>
          </cell>
        </row>
        <row r="1739">
          <cell r="L1739" t="str">
            <v>2000-502</v>
          </cell>
        </row>
        <row r="1740">
          <cell r="L1740" t="str">
            <v>2000-503</v>
          </cell>
        </row>
        <row r="1741">
          <cell r="L1741" t="str">
            <v>2000-504</v>
          </cell>
        </row>
        <row r="1742">
          <cell r="L1742" t="str">
            <v>2000-505</v>
          </cell>
        </row>
        <row r="1743">
          <cell r="L1743" t="str">
            <v>2000-506</v>
          </cell>
        </row>
        <row r="1744">
          <cell r="L1744" t="str">
            <v>2000-507</v>
          </cell>
        </row>
        <row r="1745">
          <cell r="L1745" t="str">
            <v>2000-508</v>
          </cell>
        </row>
        <row r="1746">
          <cell r="L1746" t="str">
            <v>2000-509</v>
          </cell>
        </row>
        <row r="1747">
          <cell r="L1747" t="str">
            <v>2000-510</v>
          </cell>
        </row>
        <row r="1748">
          <cell r="L1748" t="str">
            <v>2000-511</v>
          </cell>
        </row>
        <row r="1749">
          <cell r="L1749" t="str">
            <v>2000-512</v>
          </cell>
        </row>
        <row r="1750">
          <cell r="L1750" t="str">
            <v>2000-513</v>
          </cell>
        </row>
        <row r="1751">
          <cell r="L1751" t="str">
            <v>2000-514</v>
          </cell>
        </row>
        <row r="1752">
          <cell r="L1752" t="str">
            <v>2000-515</v>
          </cell>
        </row>
        <row r="1753">
          <cell r="L1753" t="str">
            <v>2000-516</v>
          </cell>
        </row>
        <row r="1754">
          <cell r="L1754" t="str">
            <v>2000-517</v>
          </cell>
        </row>
        <row r="1755">
          <cell r="L1755" t="str">
            <v>2000-518</v>
          </cell>
        </row>
        <row r="1756">
          <cell r="L1756" t="str">
            <v>2000-519</v>
          </cell>
        </row>
        <row r="1757">
          <cell r="L1757" t="str">
            <v>2000-520</v>
          </cell>
        </row>
        <row r="1758">
          <cell r="L1758" t="str">
            <v>2000-521</v>
          </cell>
        </row>
        <row r="1759">
          <cell r="L1759" t="str">
            <v>2000-522</v>
          </cell>
        </row>
        <row r="1760">
          <cell r="L1760" t="str">
            <v>2000-523</v>
          </cell>
        </row>
        <row r="1761">
          <cell r="L1761" t="str">
            <v>2000-524</v>
          </cell>
        </row>
        <row r="1762">
          <cell r="L1762" t="str">
            <v>2000-525</v>
          </cell>
        </row>
        <row r="1763">
          <cell r="L1763" t="str">
            <v>2000-526</v>
          </cell>
        </row>
        <row r="1764">
          <cell r="L1764" t="str">
            <v>2000-527</v>
          </cell>
        </row>
        <row r="1765">
          <cell r="L1765" t="str">
            <v>2000-528</v>
          </cell>
        </row>
        <row r="1766">
          <cell r="L1766" t="str">
            <v>2000-529</v>
          </cell>
        </row>
        <row r="1767">
          <cell r="L1767" t="str">
            <v>2000-530</v>
          </cell>
        </row>
        <row r="1768">
          <cell r="L1768" t="str">
            <v>2000-531</v>
          </cell>
        </row>
        <row r="1769">
          <cell r="L1769" t="str">
            <v>2000-532</v>
          </cell>
        </row>
        <row r="1770">
          <cell r="L1770" t="str">
            <v>2000-533</v>
          </cell>
        </row>
        <row r="1771">
          <cell r="L1771" t="str">
            <v>2000-534</v>
          </cell>
        </row>
        <row r="1772">
          <cell r="L1772" t="str">
            <v>2000-535</v>
          </cell>
        </row>
        <row r="1773">
          <cell r="L1773" t="str">
            <v>2000-536</v>
          </cell>
        </row>
        <row r="1774">
          <cell r="L1774" t="str">
            <v>2000-537</v>
          </cell>
        </row>
        <row r="1775">
          <cell r="L1775" t="str">
            <v>2000-538</v>
          </cell>
        </row>
        <row r="1776">
          <cell r="L1776" t="str">
            <v>2000-539</v>
          </cell>
        </row>
        <row r="1777">
          <cell r="L1777" t="str">
            <v>2000-540</v>
          </cell>
        </row>
        <row r="1778">
          <cell r="L1778" t="str">
            <v>2000-541</v>
          </cell>
        </row>
        <row r="1779">
          <cell r="L1779" t="str">
            <v>2000-542</v>
          </cell>
        </row>
        <row r="1780">
          <cell r="L1780" t="str">
            <v>2000-543</v>
          </cell>
        </row>
        <row r="1781">
          <cell r="L1781" t="str">
            <v>2000-544</v>
          </cell>
        </row>
        <row r="1782">
          <cell r="L1782" t="str">
            <v>2000-545</v>
          </cell>
        </row>
        <row r="1783">
          <cell r="L1783" t="str">
            <v>2000-546</v>
          </cell>
        </row>
        <row r="1784">
          <cell r="L1784" t="str">
            <v>2000-547</v>
          </cell>
        </row>
        <row r="1785">
          <cell r="L1785" t="str">
            <v>2000-548</v>
          </cell>
        </row>
        <row r="1786">
          <cell r="L1786" t="str">
            <v>2000-549</v>
          </cell>
        </row>
        <row r="1787">
          <cell r="L1787" t="str">
            <v>2000-550</v>
          </cell>
        </row>
        <row r="1788">
          <cell r="L1788" t="str">
            <v>2000-551</v>
          </cell>
        </row>
        <row r="1789">
          <cell r="L1789" t="str">
            <v>2000-552</v>
          </cell>
        </row>
        <row r="1790">
          <cell r="L1790" t="str">
            <v>2000-553</v>
          </cell>
        </row>
        <row r="1791">
          <cell r="L1791" t="str">
            <v>2000-554</v>
          </cell>
        </row>
        <row r="1792">
          <cell r="L1792" t="str">
            <v>2000-555</v>
          </cell>
        </row>
        <row r="1793">
          <cell r="L1793" t="str">
            <v>2000-556</v>
          </cell>
        </row>
        <row r="1794">
          <cell r="L1794" t="str">
            <v>2000-557</v>
          </cell>
        </row>
        <row r="1795">
          <cell r="L1795" t="str">
            <v>2000-558</v>
          </cell>
        </row>
        <row r="1796">
          <cell r="L1796" t="str">
            <v>2000-559</v>
          </cell>
        </row>
        <row r="1797">
          <cell r="L1797" t="str">
            <v>2000-560</v>
          </cell>
        </row>
        <row r="1798">
          <cell r="L1798" t="str">
            <v>2000-561</v>
          </cell>
        </row>
        <row r="1799">
          <cell r="L1799" t="str">
            <v>2000-562</v>
          </cell>
        </row>
        <row r="1800">
          <cell r="L1800" t="str">
            <v>2000-563</v>
          </cell>
        </row>
        <row r="1801">
          <cell r="L1801" t="str">
            <v>2000-564</v>
          </cell>
        </row>
        <row r="1802">
          <cell r="L1802" t="str">
            <v>2000-565</v>
          </cell>
        </row>
        <row r="1803">
          <cell r="L1803" t="str">
            <v>2000-566</v>
          </cell>
        </row>
        <row r="1804">
          <cell r="L1804" t="str">
            <v>2000-567</v>
          </cell>
        </row>
        <row r="1805">
          <cell r="L1805" t="str">
            <v>2000-568</v>
          </cell>
        </row>
        <row r="1806">
          <cell r="L1806" t="str">
            <v>2000-569</v>
          </cell>
        </row>
        <row r="1807">
          <cell r="L1807" t="str">
            <v>2000-570</v>
          </cell>
        </row>
        <row r="1808">
          <cell r="L1808" t="str">
            <v>2000-571</v>
          </cell>
        </row>
        <row r="1809">
          <cell r="L1809" t="str">
            <v>2000-572</v>
          </cell>
        </row>
        <row r="1810">
          <cell r="L1810" t="str">
            <v>2000-573</v>
          </cell>
        </row>
        <row r="1811">
          <cell r="L1811" t="str">
            <v>2000-574</v>
          </cell>
        </row>
        <row r="1812">
          <cell r="L1812" t="str">
            <v>2000-575</v>
          </cell>
        </row>
        <row r="1813">
          <cell r="L1813" t="str">
            <v>2000-576</v>
          </cell>
        </row>
        <row r="1814">
          <cell r="L1814" t="str">
            <v>2000-577</v>
          </cell>
        </row>
        <row r="1815">
          <cell r="L1815" t="str">
            <v>2000-578</v>
          </cell>
        </row>
        <row r="1816">
          <cell r="L1816" t="str">
            <v>2000-579</v>
          </cell>
        </row>
        <row r="1817">
          <cell r="L1817" t="str">
            <v>2000-580</v>
          </cell>
        </row>
        <row r="1818">
          <cell r="L1818" t="str">
            <v>2000-581</v>
          </cell>
        </row>
        <row r="1819">
          <cell r="L1819" t="str">
            <v>2000-582</v>
          </cell>
        </row>
        <row r="1820">
          <cell r="L1820" t="str">
            <v>2000-583</v>
          </cell>
        </row>
        <row r="1821">
          <cell r="L1821" t="str">
            <v>2000-584</v>
          </cell>
        </row>
        <row r="1822">
          <cell r="L1822" t="str">
            <v>2000-585</v>
          </cell>
        </row>
        <row r="1823">
          <cell r="L1823" t="str">
            <v>2000-586</v>
          </cell>
        </row>
        <row r="1824">
          <cell r="L1824" t="str">
            <v>2000-587</v>
          </cell>
        </row>
        <row r="1825">
          <cell r="L1825" t="str">
            <v>2000-588</v>
          </cell>
        </row>
        <row r="1826">
          <cell r="L1826" t="str">
            <v>2000-589</v>
          </cell>
        </row>
        <row r="1827">
          <cell r="L1827" t="str">
            <v>2000-590</v>
          </cell>
        </row>
        <row r="1828">
          <cell r="L1828" t="str">
            <v>2000-591</v>
          </cell>
        </row>
        <row r="1829">
          <cell r="L1829" t="str">
            <v>2000-592</v>
          </cell>
        </row>
        <row r="1830">
          <cell r="L1830" t="str">
            <v>2000-593</v>
          </cell>
        </row>
        <row r="1831">
          <cell r="L1831" t="str">
            <v>2000-594</v>
          </cell>
        </row>
        <row r="1832">
          <cell r="L1832" t="str">
            <v>2000-595</v>
          </cell>
        </row>
        <row r="1833">
          <cell r="L1833" t="str">
            <v>2000-596</v>
          </cell>
        </row>
        <row r="1834">
          <cell r="L1834" t="str">
            <v>2000-597</v>
          </cell>
        </row>
        <row r="1835">
          <cell r="L1835" t="str">
            <v>2000-598</v>
          </cell>
        </row>
        <row r="1836">
          <cell r="L1836" t="str">
            <v>2000-599</v>
          </cell>
        </row>
        <row r="1837">
          <cell r="L1837" t="str">
            <v>2000-600</v>
          </cell>
        </row>
        <row r="1838">
          <cell r="B1838" t="str">
            <v>김향숙</v>
          </cell>
          <cell r="F1838">
            <v>27179662</v>
          </cell>
          <cell r="L1838" t="str">
            <v>2000-601</v>
          </cell>
        </row>
        <row r="1839">
          <cell r="B1839" t="str">
            <v>이상권</v>
          </cell>
          <cell r="F1839">
            <v>89223377</v>
          </cell>
          <cell r="L1839" t="str">
            <v>2000-602</v>
          </cell>
        </row>
        <row r="1840">
          <cell r="B1840" t="str">
            <v>김인철</v>
          </cell>
          <cell r="F1840">
            <v>12109170</v>
          </cell>
          <cell r="L1840" t="str">
            <v>2000-603</v>
          </cell>
        </row>
        <row r="1841">
          <cell r="B1841" t="str">
            <v>김복희</v>
          </cell>
          <cell r="F1841">
            <v>1352125</v>
          </cell>
          <cell r="L1841" t="str">
            <v>2000-604</v>
          </cell>
        </row>
        <row r="1842">
          <cell r="B1842" t="str">
            <v>김종기</v>
          </cell>
          <cell r="F1842">
            <v>2678698</v>
          </cell>
          <cell r="L1842" t="str">
            <v>2000-605</v>
          </cell>
        </row>
        <row r="1843">
          <cell r="B1843" t="str">
            <v>심규성</v>
          </cell>
          <cell r="F1843">
            <v>17409345</v>
          </cell>
          <cell r="L1843" t="str">
            <v>2000-606</v>
          </cell>
        </row>
        <row r="1844">
          <cell r="B1844" t="str">
            <v>김남숙</v>
          </cell>
          <cell r="E1844" t="str">
            <v>김남숙 방수경</v>
          </cell>
          <cell r="F1844">
            <v>16322451</v>
          </cell>
          <cell r="L1844">
            <v>4215</v>
          </cell>
        </row>
        <row r="1845">
          <cell r="B1845" t="str">
            <v>김영철</v>
          </cell>
          <cell r="E1845" t="str">
            <v>김영철 김성순</v>
          </cell>
          <cell r="F1845">
            <v>10398996</v>
          </cell>
          <cell r="L1845">
            <v>4373</v>
          </cell>
        </row>
        <row r="1846">
          <cell r="B1846" t="str">
            <v>박광선</v>
          </cell>
          <cell r="E1846" t="str">
            <v>박광선 신영애</v>
          </cell>
          <cell r="F1846">
            <v>6671243</v>
          </cell>
          <cell r="L1846">
            <v>4203</v>
          </cell>
        </row>
        <row r="1847">
          <cell r="B1847" t="str">
            <v>강영환</v>
          </cell>
          <cell r="E1847" t="str">
            <v>강영환</v>
          </cell>
          <cell r="F1847">
            <v>5341091</v>
          </cell>
          <cell r="L1847">
            <v>4227</v>
          </cell>
        </row>
        <row r="1848">
          <cell r="B1848" t="str">
            <v>김미자</v>
          </cell>
          <cell r="E1848" t="str">
            <v>김미자 윤혜숙</v>
          </cell>
          <cell r="F1848">
            <v>2444287</v>
          </cell>
          <cell r="L1848">
            <v>27529</v>
          </cell>
        </row>
        <row r="1849">
          <cell r="B1849" t="str">
            <v>도현경</v>
          </cell>
          <cell r="E1849" t="str">
            <v>도현경 조옥선</v>
          </cell>
          <cell r="F1849">
            <v>7009313</v>
          </cell>
          <cell r="L1849">
            <v>4235</v>
          </cell>
        </row>
        <row r="1850">
          <cell r="B1850" t="str">
            <v>김영순</v>
          </cell>
          <cell r="E1850" t="str">
            <v>김영순 정병연</v>
          </cell>
          <cell r="F1850">
            <v>11560917</v>
          </cell>
          <cell r="L1850">
            <v>4392</v>
          </cell>
        </row>
        <row r="1851">
          <cell r="B1851" t="str">
            <v>박시완</v>
          </cell>
          <cell r="E1851" t="str">
            <v>박시환 길화영</v>
          </cell>
          <cell r="F1851">
            <v>6955723</v>
          </cell>
          <cell r="L1851">
            <v>4252</v>
          </cell>
        </row>
        <row r="1852">
          <cell r="B1852" t="str">
            <v>최명현</v>
          </cell>
          <cell r="E1852" t="str">
            <v>최명현 전태형</v>
          </cell>
          <cell r="F1852">
            <v>8435678</v>
          </cell>
          <cell r="L1852">
            <v>4108</v>
          </cell>
        </row>
        <row r="1853">
          <cell r="B1853" t="str">
            <v>이종호</v>
          </cell>
          <cell r="E1853" t="str">
            <v>이종호 이석윤</v>
          </cell>
          <cell r="F1853">
            <v>13772448</v>
          </cell>
          <cell r="L1853" t="str">
            <v>경매(김혁)</v>
          </cell>
        </row>
        <row r="1854">
          <cell r="B1854" t="str">
            <v>김종구</v>
          </cell>
          <cell r="E1854" t="str">
            <v>김종구</v>
          </cell>
          <cell r="F1854">
            <v>29656541</v>
          </cell>
          <cell r="L1854">
            <v>4179</v>
          </cell>
        </row>
        <row r="1855">
          <cell r="B1855" t="str">
            <v>최성의</v>
          </cell>
          <cell r="E1855" t="str">
            <v>최의성 김복희</v>
          </cell>
          <cell r="F1855">
            <v>15487760</v>
          </cell>
          <cell r="L1855">
            <v>1830</v>
          </cell>
        </row>
        <row r="1856">
          <cell r="B1856" t="str">
            <v>송연문</v>
          </cell>
          <cell r="E1856" t="str">
            <v>송연문 오판임</v>
          </cell>
          <cell r="F1856">
            <v>10840316</v>
          </cell>
          <cell r="L1856">
            <v>1842</v>
          </cell>
        </row>
        <row r="1857">
          <cell r="B1857" t="str">
            <v>김명옥</v>
          </cell>
          <cell r="E1857" t="str">
            <v>김명옥 김숙자</v>
          </cell>
          <cell r="F1857">
            <v>7503496</v>
          </cell>
          <cell r="L1857">
            <v>1893</v>
          </cell>
        </row>
        <row r="1858">
          <cell r="B1858" t="str">
            <v>이길삼</v>
          </cell>
          <cell r="E1858" t="str">
            <v>이길삼 김재인 김재옥</v>
          </cell>
          <cell r="F1858">
            <v>20385160</v>
          </cell>
          <cell r="L1858">
            <v>2108</v>
          </cell>
        </row>
        <row r="1859">
          <cell r="B1859" t="str">
            <v>(주)금강케이베스</v>
          </cell>
          <cell r="F1859">
            <v>80595219</v>
          </cell>
          <cell r="L1859" t="str">
            <v>2000-622</v>
          </cell>
        </row>
        <row r="1860">
          <cell r="B1860" t="str">
            <v>최상용</v>
          </cell>
          <cell r="F1860">
            <v>29480903</v>
          </cell>
          <cell r="L1860" t="str">
            <v>2000-623</v>
          </cell>
        </row>
        <row r="1861">
          <cell r="B1861" t="str">
            <v>박성용</v>
          </cell>
          <cell r="F1861">
            <v>17441096</v>
          </cell>
          <cell r="L1861" t="str">
            <v>2000-624</v>
          </cell>
        </row>
        <row r="1862">
          <cell r="B1862" t="str">
            <v>함원희</v>
          </cell>
          <cell r="F1862">
            <v>13710970</v>
          </cell>
          <cell r="L1862" t="str">
            <v>2000-625</v>
          </cell>
        </row>
        <row r="1863">
          <cell r="B1863" t="str">
            <v>남현우</v>
          </cell>
          <cell r="F1863">
            <v>18534770</v>
          </cell>
          <cell r="L1863" t="str">
            <v>2000-626</v>
          </cell>
        </row>
        <row r="1864">
          <cell r="B1864" t="str">
            <v>동일정공</v>
          </cell>
          <cell r="F1864">
            <v>18600068</v>
          </cell>
          <cell r="L1864" t="str">
            <v>2000-627</v>
          </cell>
        </row>
        <row r="1865">
          <cell r="B1865" t="str">
            <v>이경일</v>
          </cell>
          <cell r="F1865">
            <v>182240699</v>
          </cell>
          <cell r="L1865" t="str">
            <v>2000-628</v>
          </cell>
        </row>
        <row r="1866">
          <cell r="B1866" t="str">
            <v>손종택</v>
          </cell>
          <cell r="F1866">
            <v>22040361</v>
          </cell>
          <cell r="L1866" t="str">
            <v>2000-629</v>
          </cell>
        </row>
        <row r="1867">
          <cell r="B1867" t="str">
            <v>서선</v>
          </cell>
          <cell r="F1867">
            <v>15535041</v>
          </cell>
          <cell r="L1867" t="str">
            <v>2000-630</v>
          </cell>
        </row>
        <row r="1868">
          <cell r="B1868" t="str">
            <v>중앙해운</v>
          </cell>
          <cell r="F1868">
            <v>106649130</v>
          </cell>
          <cell r="L1868" t="str">
            <v>2000-631</v>
          </cell>
        </row>
        <row r="1869">
          <cell r="B1869" t="str">
            <v>고충주</v>
          </cell>
          <cell r="F1869">
            <v>12000000</v>
          </cell>
          <cell r="L1869" t="str">
            <v>2000-632</v>
          </cell>
        </row>
        <row r="1870">
          <cell r="B1870" t="str">
            <v>정양임</v>
          </cell>
          <cell r="F1870">
            <v>15246636</v>
          </cell>
          <cell r="L1870" t="str">
            <v>2000-633</v>
          </cell>
        </row>
        <row r="1871">
          <cell r="B1871" t="str">
            <v>변종희</v>
          </cell>
          <cell r="F1871">
            <v>21196896</v>
          </cell>
          <cell r="L1871" t="str">
            <v>2000-634</v>
          </cell>
        </row>
        <row r="1872">
          <cell r="B1872" t="str">
            <v>민우전자</v>
          </cell>
          <cell r="F1872">
            <v>129063657</v>
          </cell>
          <cell r="L1872" t="str">
            <v>2000-635</v>
          </cell>
        </row>
        <row r="1873">
          <cell r="B1873" t="str">
            <v>(주)경기화학</v>
          </cell>
          <cell r="F1873">
            <v>206409714</v>
          </cell>
          <cell r="L1873" t="str">
            <v>2000-636</v>
          </cell>
        </row>
        <row r="1874">
          <cell r="B1874" t="str">
            <v>한영월드(주)</v>
          </cell>
          <cell r="F1874">
            <v>274953335</v>
          </cell>
          <cell r="L1874" t="str">
            <v>2000-637</v>
          </cell>
        </row>
        <row r="1875">
          <cell r="B1875" t="str">
            <v>김수복</v>
          </cell>
          <cell r="F1875">
            <v>29998832</v>
          </cell>
          <cell r="L1875" t="str">
            <v>2000-638</v>
          </cell>
        </row>
        <row r="1876">
          <cell r="B1876" t="str">
            <v>최승인</v>
          </cell>
          <cell r="F1876">
            <v>26019060</v>
          </cell>
          <cell r="L1876" t="str">
            <v>2000-639</v>
          </cell>
        </row>
        <row r="1877">
          <cell r="B1877" t="str">
            <v>박성희</v>
          </cell>
          <cell r="F1877">
            <v>7934606</v>
          </cell>
          <cell r="L1877" t="str">
            <v>2000-640</v>
          </cell>
        </row>
        <row r="1878">
          <cell r="B1878" t="str">
            <v>대홍철강(주)</v>
          </cell>
          <cell r="F1878">
            <v>234401565</v>
          </cell>
          <cell r="L1878" t="str">
            <v>2000-641</v>
          </cell>
        </row>
        <row r="1879">
          <cell r="B1879" t="str">
            <v>윤여성</v>
          </cell>
          <cell r="F1879">
            <v>63030991</v>
          </cell>
          <cell r="L1879" t="str">
            <v>2000-642</v>
          </cell>
        </row>
        <row r="1880">
          <cell r="B1880" t="str">
            <v>최윤선</v>
          </cell>
          <cell r="F1880">
            <v>5000000</v>
          </cell>
          <cell r="L1880" t="str">
            <v>2000-643</v>
          </cell>
        </row>
        <row r="1881">
          <cell r="B1881" t="str">
            <v>신정민산업</v>
          </cell>
          <cell r="F1881">
            <v>50150000</v>
          </cell>
          <cell r="L1881" t="str">
            <v>2000-644</v>
          </cell>
        </row>
        <row r="1882">
          <cell r="B1882" t="str">
            <v>양선영</v>
          </cell>
          <cell r="F1882">
            <v>12000000</v>
          </cell>
          <cell r="L1882" t="str">
            <v>2000-645</v>
          </cell>
        </row>
        <row r="1883">
          <cell r="B1883" t="str">
            <v>배영옥</v>
          </cell>
          <cell r="F1883">
            <v>7912745</v>
          </cell>
          <cell r="L1883" t="str">
            <v>2000-646</v>
          </cell>
        </row>
        <row r="1884">
          <cell r="B1884" t="str">
            <v>구재포</v>
          </cell>
          <cell r="F1884">
            <v>6932002</v>
          </cell>
          <cell r="L1884" t="str">
            <v>2000-647</v>
          </cell>
        </row>
        <row r="1885">
          <cell r="B1885" t="str">
            <v>정재근</v>
          </cell>
          <cell r="F1885">
            <v>4648956</v>
          </cell>
          <cell r="L1885" t="str">
            <v>2000-648</v>
          </cell>
        </row>
        <row r="1886">
          <cell r="B1886" t="str">
            <v>김영일</v>
          </cell>
          <cell r="F1886">
            <v>15558041</v>
          </cell>
          <cell r="L1886" t="str">
            <v>2000-649</v>
          </cell>
        </row>
        <row r="1887">
          <cell r="B1887" t="str">
            <v>정은숙</v>
          </cell>
          <cell r="F1887">
            <v>5854469</v>
          </cell>
          <cell r="L1887" t="str">
            <v>2000-650</v>
          </cell>
        </row>
        <row r="1888">
          <cell r="B1888" t="str">
            <v>안재경</v>
          </cell>
          <cell r="F1888">
            <v>5227052</v>
          </cell>
          <cell r="L1888" t="str">
            <v>2000-651</v>
          </cell>
        </row>
        <row r="1889">
          <cell r="B1889" t="str">
            <v>김성수</v>
          </cell>
          <cell r="F1889">
            <v>12263156</v>
          </cell>
          <cell r="L1889" t="str">
            <v>2000-652</v>
          </cell>
        </row>
        <row r="1890">
          <cell r="B1890" t="str">
            <v>김진서</v>
          </cell>
          <cell r="F1890">
            <v>6422276</v>
          </cell>
          <cell r="L1890" t="str">
            <v>2000-653</v>
          </cell>
        </row>
        <row r="1891">
          <cell r="B1891" t="str">
            <v>백성례</v>
          </cell>
          <cell r="F1891">
            <v>15201214</v>
          </cell>
          <cell r="L1891" t="str">
            <v>2000-654</v>
          </cell>
        </row>
        <row r="1892">
          <cell r="B1892" t="str">
            <v>김영순</v>
          </cell>
          <cell r="F1892">
            <v>16094609</v>
          </cell>
          <cell r="L1892" t="str">
            <v>2000-655</v>
          </cell>
        </row>
        <row r="1893">
          <cell r="B1893" t="str">
            <v>조의제</v>
          </cell>
          <cell r="F1893">
            <v>11375896</v>
          </cell>
          <cell r="L1893" t="str">
            <v>2000-656</v>
          </cell>
        </row>
        <row r="1894">
          <cell r="B1894" t="str">
            <v>이정희</v>
          </cell>
          <cell r="F1894">
            <v>50000000</v>
          </cell>
          <cell r="L1894" t="str">
            <v>2000-657</v>
          </cell>
        </row>
        <row r="1895">
          <cell r="B1895" t="str">
            <v>백창현</v>
          </cell>
          <cell r="F1895">
            <v>29814606</v>
          </cell>
          <cell r="L1895" t="str">
            <v>2000-658</v>
          </cell>
        </row>
        <row r="1896">
          <cell r="B1896" t="str">
            <v>남은주</v>
          </cell>
          <cell r="F1896">
            <v>3748951</v>
          </cell>
          <cell r="G1896">
            <v>38788</v>
          </cell>
          <cell r="H1896">
            <v>7565240</v>
          </cell>
          <cell r="I1896">
            <v>788740</v>
          </cell>
        </row>
        <row r="1897">
          <cell r="B1897" t="str">
            <v>임재홍</v>
          </cell>
          <cell r="F1897">
            <v>5986344</v>
          </cell>
        </row>
        <row r="1898">
          <cell r="B1898" t="str">
            <v>윤영희</v>
          </cell>
          <cell r="F1898">
            <v>6322439</v>
          </cell>
        </row>
        <row r="1899">
          <cell r="B1899" t="str">
            <v>장보선</v>
          </cell>
          <cell r="F1899">
            <v>2654318</v>
          </cell>
        </row>
        <row r="1900">
          <cell r="B1900" t="str">
            <v>정생도</v>
          </cell>
          <cell r="F1900">
            <v>4878422</v>
          </cell>
        </row>
        <row r="1901">
          <cell r="B1901" t="str">
            <v>문정순</v>
          </cell>
          <cell r="F1901">
            <v>10314020</v>
          </cell>
        </row>
        <row r="1902">
          <cell r="B1902" t="str">
            <v>이상협</v>
          </cell>
          <cell r="F1902">
            <v>12306880</v>
          </cell>
        </row>
        <row r="1903">
          <cell r="B1903" t="str">
            <v>박동식</v>
          </cell>
          <cell r="F1903">
            <v>80990409</v>
          </cell>
        </row>
        <row r="1904">
          <cell r="B1904" t="str">
            <v>김종숙</v>
          </cell>
          <cell r="F1904">
            <v>14942669</v>
          </cell>
        </row>
        <row r="1905">
          <cell r="B1905" t="str">
            <v>권익수</v>
          </cell>
          <cell r="F1905">
            <v>8797246</v>
          </cell>
        </row>
        <row r="1906">
          <cell r="B1906" t="str">
            <v>이선민</v>
          </cell>
          <cell r="F1906">
            <v>9210065</v>
          </cell>
        </row>
        <row r="1907">
          <cell r="B1907" t="str">
            <v>박금지</v>
          </cell>
          <cell r="F1907">
            <v>13485979</v>
          </cell>
        </row>
        <row r="1908">
          <cell r="B1908" t="str">
            <v>김기성</v>
          </cell>
          <cell r="F1908">
            <v>33358542</v>
          </cell>
        </row>
        <row r="1909">
          <cell r="B1909" t="str">
            <v>신현숙</v>
          </cell>
          <cell r="F1909">
            <v>6415487</v>
          </cell>
        </row>
        <row r="1910">
          <cell r="B1910" t="str">
            <v>이기란</v>
          </cell>
          <cell r="F1910">
            <v>12506254</v>
          </cell>
        </row>
        <row r="1911">
          <cell r="B1911" t="str">
            <v>함영빈</v>
          </cell>
          <cell r="F1911">
            <v>5540119</v>
          </cell>
        </row>
        <row r="1912">
          <cell r="B1912" t="str">
            <v>지영남</v>
          </cell>
          <cell r="F1912">
            <v>6608538</v>
          </cell>
        </row>
        <row r="1913">
          <cell r="B1913" t="str">
            <v>허태일</v>
          </cell>
          <cell r="F1913">
            <v>13314637</v>
          </cell>
        </row>
        <row r="1914">
          <cell r="B1914" t="str">
            <v>김종규</v>
          </cell>
          <cell r="F1914">
            <v>5521113</v>
          </cell>
        </row>
        <row r="1915">
          <cell r="B1915" t="str">
            <v>전영이</v>
          </cell>
          <cell r="F1915">
            <v>11607404</v>
          </cell>
        </row>
        <row r="1916">
          <cell r="B1916" t="str">
            <v>황금연</v>
          </cell>
          <cell r="F1916">
            <v>5788617</v>
          </cell>
        </row>
        <row r="1917">
          <cell r="B1917" t="str">
            <v>김태운</v>
          </cell>
          <cell r="F1917">
            <v>12368825</v>
          </cell>
        </row>
        <row r="1918">
          <cell r="B1918" t="str">
            <v>이부섭</v>
          </cell>
          <cell r="F1918">
            <v>14385145</v>
          </cell>
        </row>
        <row r="1919">
          <cell r="B1919" t="str">
            <v>유지연</v>
          </cell>
          <cell r="F1919">
            <v>6447166</v>
          </cell>
        </row>
        <row r="1920">
          <cell r="B1920" t="str">
            <v>조나미</v>
          </cell>
          <cell r="F1920">
            <v>13284902</v>
          </cell>
        </row>
        <row r="1921">
          <cell r="B1921" t="str">
            <v>박태순</v>
          </cell>
          <cell r="F1921">
            <v>3987529</v>
          </cell>
        </row>
        <row r="1922">
          <cell r="B1922" t="str">
            <v>이상하</v>
          </cell>
          <cell r="F1922">
            <v>4594988</v>
          </cell>
        </row>
        <row r="1923">
          <cell r="B1923" t="str">
            <v>이귀종</v>
          </cell>
          <cell r="F1923">
            <v>41342623</v>
          </cell>
        </row>
        <row r="1924">
          <cell r="B1924" t="str">
            <v>손서익</v>
          </cell>
          <cell r="F1924">
            <v>26377874</v>
          </cell>
        </row>
        <row r="1925">
          <cell r="B1925" t="str">
            <v>이종율</v>
          </cell>
          <cell r="F1925">
            <v>8000000</v>
          </cell>
        </row>
        <row r="1926">
          <cell r="B1926" t="str">
            <v>최영호</v>
          </cell>
          <cell r="F1926">
            <v>21431107</v>
          </cell>
        </row>
        <row r="1927">
          <cell r="B1927" t="str">
            <v>김형갑</v>
          </cell>
          <cell r="F1927">
            <v>4033297</v>
          </cell>
        </row>
        <row r="1928">
          <cell r="B1928" t="str">
            <v>최영순</v>
          </cell>
          <cell r="F1928">
            <v>20662598</v>
          </cell>
        </row>
        <row r="1929">
          <cell r="B1929" t="str">
            <v>이정녀</v>
          </cell>
          <cell r="F1929">
            <v>11560457</v>
          </cell>
        </row>
        <row r="1930">
          <cell r="B1930" t="str">
            <v>김국자</v>
          </cell>
          <cell r="C1930" t="str">
            <v>2000가소1233716</v>
          </cell>
          <cell r="D1930" t="str">
            <v>소취하0508</v>
          </cell>
          <cell r="E1930" t="str">
            <v>김국자 최남례 박성무 박성래 박성희 박성복</v>
          </cell>
          <cell r="F1930">
            <v>2873364</v>
          </cell>
          <cell r="L1930">
            <v>1854</v>
          </cell>
        </row>
        <row r="1931">
          <cell r="B1931" t="str">
            <v>배은정</v>
          </cell>
          <cell r="F1931">
            <v>10971063</v>
          </cell>
        </row>
        <row r="1932">
          <cell r="B1932" t="str">
            <v>김덕남</v>
          </cell>
          <cell r="F1932">
            <v>21074463</v>
          </cell>
        </row>
        <row r="1933">
          <cell r="B1933" t="str">
            <v>김희선</v>
          </cell>
          <cell r="F1933">
            <v>6950473</v>
          </cell>
        </row>
        <row r="1934">
          <cell r="B1934" t="str">
            <v>백홍배</v>
          </cell>
          <cell r="F1934">
            <v>15870416</v>
          </cell>
        </row>
        <row r="1935">
          <cell r="B1935" t="str">
            <v>노승환</v>
          </cell>
          <cell r="F1935">
            <v>12316890</v>
          </cell>
        </row>
        <row r="1936">
          <cell r="B1936" t="str">
            <v>진순자</v>
          </cell>
          <cell r="F1936">
            <v>2840740</v>
          </cell>
        </row>
        <row r="1937">
          <cell r="B1937" t="str">
            <v>이보경</v>
          </cell>
          <cell r="F1937">
            <v>5833120</v>
          </cell>
        </row>
        <row r="1938">
          <cell r="B1938" t="str">
            <v>이재왕</v>
          </cell>
          <cell r="F1938">
            <v>8726674</v>
          </cell>
        </row>
        <row r="1939">
          <cell r="B1939" t="str">
            <v>강복례</v>
          </cell>
          <cell r="D1939" t="str">
            <v>완제에 따른 소미제기</v>
          </cell>
          <cell r="F1939">
            <v>5423303</v>
          </cell>
        </row>
        <row r="1940">
          <cell r="B1940" t="str">
            <v>고경희</v>
          </cell>
          <cell r="F1940">
            <v>2982135</v>
          </cell>
        </row>
        <row r="1941">
          <cell r="B1941" t="str">
            <v>홍봉호</v>
          </cell>
          <cell r="F1941">
            <v>12690885</v>
          </cell>
        </row>
        <row r="1942">
          <cell r="B1942" t="str">
            <v>김순동</v>
          </cell>
          <cell r="F1942">
            <v>2904994</v>
          </cell>
        </row>
        <row r="1943">
          <cell r="B1943" t="str">
            <v>최현순</v>
          </cell>
          <cell r="F1943">
            <v>12581983</v>
          </cell>
        </row>
        <row r="1944">
          <cell r="B1944" t="str">
            <v>김혜숙</v>
          </cell>
          <cell r="F1944">
            <v>10663408</v>
          </cell>
        </row>
        <row r="1945">
          <cell r="B1945" t="str">
            <v>김주철</v>
          </cell>
          <cell r="F1945">
            <v>19508445</v>
          </cell>
        </row>
        <row r="1946">
          <cell r="B1946" t="str">
            <v>이낙영</v>
          </cell>
          <cell r="F1946">
            <v>291204982</v>
          </cell>
        </row>
        <row r="1947">
          <cell r="B1947" t="str">
            <v>정경애</v>
          </cell>
          <cell r="F1947">
            <v>1200000</v>
          </cell>
        </row>
        <row r="1948">
          <cell r="B1948" t="str">
            <v>서은아</v>
          </cell>
          <cell r="F1948">
            <v>9262060</v>
          </cell>
        </row>
        <row r="1949">
          <cell r="B1949" t="str">
            <v>이의선</v>
          </cell>
          <cell r="F1949">
            <v>8333458</v>
          </cell>
        </row>
        <row r="1950">
          <cell r="B1950" t="str">
            <v>함기석</v>
          </cell>
          <cell r="F1950">
            <v>16693694</v>
          </cell>
        </row>
        <row r="1951">
          <cell r="B1951" t="str">
            <v>최종남</v>
          </cell>
          <cell r="F1951">
            <v>9393810</v>
          </cell>
        </row>
        <row r="1952">
          <cell r="B1952" t="str">
            <v>이미희</v>
          </cell>
          <cell r="F1952">
            <v>10137696</v>
          </cell>
        </row>
        <row r="1953">
          <cell r="B1953" t="str">
            <v>연옥진</v>
          </cell>
          <cell r="F1953">
            <v>16377395</v>
          </cell>
        </row>
        <row r="1954">
          <cell r="B1954" t="str">
            <v>국순일</v>
          </cell>
          <cell r="F1954">
            <v>8096828</v>
          </cell>
        </row>
        <row r="1955">
          <cell r="B1955" t="str">
            <v>조상휘</v>
          </cell>
          <cell r="F1955">
            <v>4808220</v>
          </cell>
        </row>
        <row r="1956">
          <cell r="B1956" t="str">
            <v>이단오</v>
          </cell>
          <cell r="F1956">
            <v>13094924</v>
          </cell>
        </row>
        <row r="1957">
          <cell r="B1957" t="str">
            <v>이경우</v>
          </cell>
          <cell r="F1957">
            <v>13916461</v>
          </cell>
        </row>
        <row r="1958">
          <cell r="B1958" t="str">
            <v>선행숙</v>
          </cell>
          <cell r="F1958">
            <v>13842016</v>
          </cell>
        </row>
        <row r="1959">
          <cell r="B1959" t="str">
            <v>김혁</v>
          </cell>
          <cell r="F1959">
            <v>12813297</v>
          </cell>
        </row>
        <row r="1960">
          <cell r="B1960" t="str">
            <v>김미희</v>
          </cell>
          <cell r="F1960">
            <v>5853026</v>
          </cell>
        </row>
        <row r="1961">
          <cell r="B1961" t="str">
            <v>박111111</v>
          </cell>
          <cell r="F1961">
            <v>28293743</v>
          </cell>
        </row>
        <row r="1962">
          <cell r="B1962" t="str">
            <v>김정희</v>
          </cell>
          <cell r="F1962">
            <v>16179712</v>
          </cell>
        </row>
        <row r="1963">
          <cell r="B1963" t="str">
            <v>이기자</v>
          </cell>
          <cell r="F1963">
            <v>15105460</v>
          </cell>
        </row>
        <row r="1964">
          <cell r="B1964" t="str">
            <v>최삼호</v>
          </cell>
          <cell r="F1964">
            <v>19765545</v>
          </cell>
        </row>
        <row r="1965">
          <cell r="B1965" t="str">
            <v>김현창</v>
          </cell>
          <cell r="F1965">
            <v>10982091</v>
          </cell>
        </row>
        <row r="1966">
          <cell r="B1966" t="str">
            <v>임복희</v>
          </cell>
          <cell r="F1966">
            <v>1661308</v>
          </cell>
        </row>
        <row r="1967">
          <cell r="B1967" t="str">
            <v>김영현</v>
          </cell>
          <cell r="F1967">
            <v>2513675</v>
          </cell>
        </row>
        <row r="1968">
          <cell r="B1968" t="str">
            <v>정덕임</v>
          </cell>
          <cell r="F1968">
            <v>16401555</v>
          </cell>
        </row>
        <row r="1969">
          <cell r="B1969" t="str">
            <v>조용자</v>
          </cell>
          <cell r="F1969">
            <v>13818997</v>
          </cell>
        </row>
        <row r="1970">
          <cell r="B1970" t="str">
            <v>이태수</v>
          </cell>
          <cell r="F1970">
            <v>11294977</v>
          </cell>
        </row>
        <row r="1971">
          <cell r="B1971" t="str">
            <v>김종임</v>
          </cell>
          <cell r="F1971">
            <v>6714937</v>
          </cell>
        </row>
        <row r="1972">
          <cell r="B1972" t="str">
            <v>이묘학</v>
          </cell>
          <cell r="F1972">
            <v>3592149</v>
          </cell>
        </row>
        <row r="1973">
          <cell r="B1973" t="str">
            <v>서병희</v>
          </cell>
          <cell r="F1973">
            <v>4399876</v>
          </cell>
        </row>
        <row r="1974">
          <cell r="B1974" t="str">
            <v>김보년</v>
          </cell>
          <cell r="F1974">
            <v>20405215</v>
          </cell>
        </row>
        <row r="1975">
          <cell r="B1975" t="str">
            <v>남경토건(주)</v>
          </cell>
          <cell r="F1975">
            <v>22377105</v>
          </cell>
        </row>
        <row r="1976">
          <cell r="B1976" t="str">
            <v>이경희</v>
          </cell>
          <cell r="F1976">
            <v>30000000</v>
          </cell>
        </row>
        <row r="1977">
          <cell r="B1977" t="str">
            <v>석미희</v>
          </cell>
          <cell r="F1977">
            <v>10018166</v>
          </cell>
        </row>
        <row r="1978">
          <cell r="B1978" t="str">
            <v>이현숙</v>
          </cell>
          <cell r="F1978">
            <v>1417469</v>
          </cell>
        </row>
        <row r="1979">
          <cell r="B1979" t="str">
            <v>최상채</v>
          </cell>
          <cell r="F1979">
            <v>9441028</v>
          </cell>
        </row>
        <row r="1980">
          <cell r="B1980" t="str">
            <v>조창남</v>
          </cell>
          <cell r="F1980">
            <v>10505896</v>
          </cell>
        </row>
        <row r="1981">
          <cell r="B1981" t="str">
            <v>위여양</v>
          </cell>
          <cell r="F1981">
            <v>8842904</v>
          </cell>
        </row>
        <row r="1982">
          <cell r="B1982" t="str">
            <v>이건택</v>
          </cell>
          <cell r="F1982">
            <v>10046695</v>
          </cell>
        </row>
        <row r="1983">
          <cell r="B1983" t="str">
            <v>곽민석</v>
          </cell>
          <cell r="F1983">
            <v>5478403</v>
          </cell>
        </row>
        <row r="1984">
          <cell r="B1984" t="str">
            <v>한영달</v>
          </cell>
          <cell r="F1984">
            <v>1137324</v>
          </cell>
        </row>
        <row r="1985">
          <cell r="B1985" t="str">
            <v>김석제</v>
          </cell>
          <cell r="F1985">
            <v>10613431</v>
          </cell>
        </row>
        <row r="1986">
          <cell r="B1986" t="str">
            <v>유일국</v>
          </cell>
          <cell r="F1986">
            <v>8351135</v>
          </cell>
        </row>
        <row r="1987">
          <cell r="B1987" t="str">
            <v>유옥희</v>
          </cell>
          <cell r="F1987">
            <v>17399176</v>
          </cell>
        </row>
        <row r="1988">
          <cell r="B1988" t="str">
            <v>유상환</v>
          </cell>
          <cell r="F1988">
            <v>9023549</v>
          </cell>
        </row>
        <row r="1989">
          <cell r="B1989" t="str">
            <v>박명운</v>
          </cell>
          <cell r="F1989">
            <v>5786136</v>
          </cell>
        </row>
        <row r="1990">
          <cell r="B1990" t="str">
            <v>박성숙</v>
          </cell>
          <cell r="F1990">
            <v>12248271</v>
          </cell>
        </row>
        <row r="1991">
          <cell r="B1991" t="str">
            <v>김장환</v>
          </cell>
          <cell r="F1991">
            <v>594724</v>
          </cell>
        </row>
        <row r="1992">
          <cell r="B1992" t="str">
            <v>권태순</v>
          </cell>
          <cell r="F1992">
            <v>9535844</v>
          </cell>
        </row>
        <row r="1993">
          <cell r="B1993" t="str">
            <v>김종훈</v>
          </cell>
          <cell r="F1993">
            <v>4355553</v>
          </cell>
        </row>
        <row r="1994">
          <cell r="B1994" t="str">
            <v>이경상</v>
          </cell>
          <cell r="F1994">
            <v>2071068</v>
          </cell>
        </row>
        <row r="1995">
          <cell r="B1995" t="str">
            <v>정찬생</v>
          </cell>
          <cell r="F1995">
            <v>9905054</v>
          </cell>
        </row>
        <row r="1996">
          <cell r="B1996" t="str">
            <v>임순희</v>
          </cell>
          <cell r="F1996">
            <v>7498741</v>
          </cell>
        </row>
        <row r="1997">
          <cell r="B1997" t="str">
            <v>이용희</v>
          </cell>
          <cell r="F1997">
            <v>14271295</v>
          </cell>
        </row>
        <row r="1998">
          <cell r="B1998" t="str">
            <v>김해동</v>
          </cell>
          <cell r="F1998">
            <v>13639107</v>
          </cell>
        </row>
        <row r="1999">
          <cell r="B1999" t="str">
            <v>고환풍</v>
          </cell>
          <cell r="F1999">
            <v>6693597</v>
          </cell>
        </row>
        <row r="2000">
          <cell r="B2000" t="str">
            <v>배영채</v>
          </cell>
          <cell r="F2000">
            <v>9096899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수신(하)"/>
      <sheetName val="이수관(0707~)"/>
      <sheetName val="통폐합"/>
      <sheetName val="특수요인등록"/>
      <sheetName val="총수신(연)"/>
      <sheetName val="총수신_속보"/>
      <sheetName val="확정계수"/>
      <sheetName val="계정코드"/>
      <sheetName val="총수신(상)"/>
      <sheetName val="진행(자99,2000)"/>
      <sheetName val="보험금"/>
      <sheetName val="가정"/>
      <sheetName val="목표고객속보"/>
      <sheetName val="3-2.담보정보(물건별)"/>
      <sheetName val="수출실적명세서"/>
      <sheetName val="(06)총수신(0711)v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4">
          <cell r="D4">
            <v>5204</v>
          </cell>
          <cell r="E4" t="str">
            <v xml:space="preserve">기업영업부          </v>
          </cell>
          <cell r="F4">
            <v>1</v>
          </cell>
          <cell r="G4">
            <v>516787</v>
          </cell>
          <cell r="H4">
            <v>-135</v>
          </cell>
          <cell r="I4">
            <v>647</v>
          </cell>
          <cell r="J4">
            <v>0</v>
          </cell>
          <cell r="K4">
            <v>624812</v>
          </cell>
          <cell r="L4">
            <v>108025</v>
          </cell>
          <cell r="M4">
            <v>225</v>
          </cell>
          <cell r="N4">
            <v>20.9</v>
          </cell>
          <cell r="O4">
            <v>122</v>
          </cell>
          <cell r="P4">
            <v>347</v>
          </cell>
        </row>
        <row r="5">
          <cell r="D5">
            <v>5412</v>
          </cell>
          <cell r="E5" t="str">
            <v xml:space="preserve">시화MC              </v>
          </cell>
          <cell r="F5">
            <v>5</v>
          </cell>
          <cell r="G5">
            <v>76835</v>
          </cell>
          <cell r="H5">
            <v>220</v>
          </cell>
          <cell r="I5">
            <v>0</v>
          </cell>
          <cell r="J5">
            <v>0</v>
          </cell>
          <cell r="K5">
            <v>83874</v>
          </cell>
          <cell r="L5">
            <v>7039</v>
          </cell>
          <cell r="M5">
            <v>157</v>
          </cell>
          <cell r="N5">
            <v>9.16</v>
          </cell>
          <cell r="O5">
            <v>104</v>
          </cell>
          <cell r="P5">
            <v>261</v>
          </cell>
        </row>
        <row r="6">
          <cell r="D6">
            <v>5237</v>
          </cell>
          <cell r="E6" t="str">
            <v xml:space="preserve">여의도JYMC          </v>
          </cell>
          <cell r="F6">
            <v>7</v>
          </cell>
          <cell r="G6">
            <v>306216</v>
          </cell>
          <cell r="H6">
            <v>-159</v>
          </cell>
          <cell r="I6">
            <v>0</v>
          </cell>
          <cell r="J6">
            <v>0</v>
          </cell>
          <cell r="K6">
            <v>312962</v>
          </cell>
          <cell r="L6">
            <v>6745</v>
          </cell>
          <cell r="M6">
            <v>157</v>
          </cell>
          <cell r="N6">
            <v>2.2000000000000002</v>
          </cell>
          <cell r="O6">
            <v>93</v>
          </cell>
          <cell r="P6">
            <v>250</v>
          </cell>
        </row>
        <row r="7">
          <cell r="D7">
            <v>5410</v>
          </cell>
          <cell r="E7" t="str">
            <v xml:space="preserve">남동공단MC          </v>
          </cell>
          <cell r="F7">
            <v>9</v>
          </cell>
          <cell r="G7">
            <v>90560</v>
          </cell>
          <cell r="H7">
            <v>70</v>
          </cell>
          <cell r="I7">
            <v>0</v>
          </cell>
          <cell r="J7">
            <v>0</v>
          </cell>
          <cell r="K7">
            <v>86965</v>
          </cell>
          <cell r="L7">
            <v>-3595</v>
          </cell>
          <cell r="M7">
            <v>135</v>
          </cell>
          <cell r="N7">
            <v>-3.97</v>
          </cell>
          <cell r="O7">
            <v>84</v>
          </cell>
          <cell r="P7">
            <v>218</v>
          </cell>
        </row>
        <row r="8">
          <cell r="D8">
            <v>5259</v>
          </cell>
          <cell r="E8" t="str">
            <v xml:space="preserve">광교기업영업부      </v>
          </cell>
          <cell r="F8">
            <v>4</v>
          </cell>
          <cell r="G8">
            <v>167991</v>
          </cell>
          <cell r="H8">
            <v>-886</v>
          </cell>
          <cell r="I8">
            <v>757</v>
          </cell>
          <cell r="J8">
            <v>0</v>
          </cell>
          <cell r="K8">
            <v>179773</v>
          </cell>
          <cell r="L8">
            <v>11783</v>
          </cell>
          <cell r="M8">
            <v>167</v>
          </cell>
          <cell r="N8">
            <v>7.01</v>
          </cell>
          <cell r="O8">
            <v>101</v>
          </cell>
          <cell r="P8">
            <v>268</v>
          </cell>
        </row>
        <row r="9">
          <cell r="D9">
            <v>5222</v>
          </cell>
          <cell r="E9" t="str">
            <v xml:space="preserve">역삼동MC            </v>
          </cell>
          <cell r="F9">
            <v>8</v>
          </cell>
          <cell r="G9">
            <v>313735</v>
          </cell>
          <cell r="H9">
            <v>4120</v>
          </cell>
          <cell r="I9">
            <v>430</v>
          </cell>
          <cell r="J9">
            <v>0</v>
          </cell>
          <cell r="K9">
            <v>313539</v>
          </cell>
          <cell r="L9">
            <v>-196</v>
          </cell>
          <cell r="M9">
            <v>142</v>
          </cell>
          <cell r="N9">
            <v>-0.06</v>
          </cell>
          <cell r="O9">
            <v>90</v>
          </cell>
          <cell r="P9">
            <v>232</v>
          </cell>
        </row>
        <row r="10">
          <cell r="D10">
            <v>5236</v>
          </cell>
          <cell r="E10" t="str">
            <v xml:space="preserve">강남JYMC            </v>
          </cell>
          <cell r="F10">
            <v>11</v>
          </cell>
          <cell r="G10">
            <v>175555</v>
          </cell>
          <cell r="H10">
            <v>127</v>
          </cell>
          <cell r="I10">
            <v>0</v>
          </cell>
          <cell r="J10">
            <v>0</v>
          </cell>
          <cell r="K10">
            <v>160266</v>
          </cell>
          <cell r="L10">
            <v>-15289</v>
          </cell>
          <cell r="M10">
            <v>110</v>
          </cell>
          <cell r="N10">
            <v>-8.7100000000000009</v>
          </cell>
          <cell r="O10">
            <v>76</v>
          </cell>
          <cell r="P10">
            <v>186</v>
          </cell>
        </row>
        <row r="11">
          <cell r="D11">
            <v>5405</v>
          </cell>
          <cell r="E11" t="str">
            <v xml:space="preserve">평촌MC              </v>
          </cell>
          <cell r="F11">
            <v>6</v>
          </cell>
          <cell r="G11">
            <v>115822</v>
          </cell>
          <cell r="H11">
            <v>-315</v>
          </cell>
          <cell r="I11">
            <v>0</v>
          </cell>
          <cell r="J11">
            <v>0</v>
          </cell>
          <cell r="K11">
            <v>122973</v>
          </cell>
          <cell r="L11">
            <v>7151</v>
          </cell>
          <cell r="M11">
            <v>157</v>
          </cell>
          <cell r="N11">
            <v>6.17</v>
          </cell>
          <cell r="O11">
            <v>99</v>
          </cell>
          <cell r="P11">
            <v>257</v>
          </cell>
        </row>
        <row r="12">
          <cell r="D12">
            <v>5235</v>
          </cell>
          <cell r="E12" t="str">
            <v xml:space="preserve">양재동MC            </v>
          </cell>
          <cell r="F12">
            <v>10</v>
          </cell>
          <cell r="G12">
            <v>144278</v>
          </cell>
          <cell r="H12">
            <v>122</v>
          </cell>
          <cell r="I12">
            <v>0</v>
          </cell>
          <cell r="J12">
            <v>0</v>
          </cell>
          <cell r="K12">
            <v>139128</v>
          </cell>
          <cell r="L12">
            <v>-5150</v>
          </cell>
          <cell r="M12">
            <v>131</v>
          </cell>
          <cell r="N12">
            <v>-3.57</v>
          </cell>
          <cell r="O12">
            <v>84</v>
          </cell>
          <cell r="P12">
            <v>216</v>
          </cell>
        </row>
        <row r="13">
          <cell r="D13">
            <v>5217</v>
          </cell>
          <cell r="E13" t="str">
            <v xml:space="preserve">종로MC              </v>
          </cell>
          <cell r="F13">
            <v>2</v>
          </cell>
          <cell r="G13">
            <v>150926</v>
          </cell>
          <cell r="H13">
            <v>-39</v>
          </cell>
          <cell r="I13">
            <v>2715</v>
          </cell>
          <cell r="J13">
            <v>0</v>
          </cell>
          <cell r="K13">
            <v>181443</v>
          </cell>
          <cell r="L13">
            <v>30516</v>
          </cell>
          <cell r="M13">
            <v>207</v>
          </cell>
          <cell r="N13">
            <v>20.22</v>
          </cell>
          <cell r="O13">
            <v>121</v>
          </cell>
          <cell r="P13">
            <v>328</v>
          </cell>
        </row>
        <row r="14">
          <cell r="D14">
            <v>5276</v>
          </cell>
          <cell r="E14" t="str">
            <v xml:space="preserve">남산MC              </v>
          </cell>
          <cell r="F14">
            <v>3</v>
          </cell>
          <cell r="G14">
            <v>67666</v>
          </cell>
          <cell r="H14">
            <v>-1063</v>
          </cell>
          <cell r="I14">
            <v>0</v>
          </cell>
          <cell r="J14">
            <v>0</v>
          </cell>
          <cell r="K14">
            <v>84335</v>
          </cell>
          <cell r="L14">
            <v>16669</v>
          </cell>
          <cell r="M14">
            <v>178</v>
          </cell>
          <cell r="N14">
            <v>24.63</v>
          </cell>
          <cell r="O14">
            <v>128</v>
          </cell>
          <cell r="P14">
            <v>306</v>
          </cell>
        </row>
        <row r="15">
          <cell r="D15">
            <v>5218</v>
          </cell>
          <cell r="E15" t="str">
            <v xml:space="preserve">학동MC              </v>
          </cell>
          <cell r="F15">
            <v>12</v>
          </cell>
          <cell r="G15">
            <v>121790</v>
          </cell>
          <cell r="H15">
            <v>-69</v>
          </cell>
          <cell r="I15">
            <v>0</v>
          </cell>
          <cell r="J15">
            <v>0</v>
          </cell>
          <cell r="K15">
            <v>106028</v>
          </cell>
          <cell r="L15">
            <v>-15762</v>
          </cell>
          <cell r="M15">
            <v>109</v>
          </cell>
          <cell r="N15">
            <v>-12.94</v>
          </cell>
          <cell r="O15">
            <v>70</v>
          </cell>
          <cell r="P15">
            <v>178</v>
          </cell>
        </row>
        <row r="16">
          <cell r="D16">
            <v>9998</v>
          </cell>
          <cell r="E16" t="str">
            <v xml:space="preserve">M01군2소계          </v>
          </cell>
          <cell r="F16">
            <v>0</v>
          </cell>
          <cell r="G16">
            <v>1731374</v>
          </cell>
          <cell r="H16">
            <v>2128</v>
          </cell>
          <cell r="I16">
            <v>3903</v>
          </cell>
          <cell r="J16">
            <v>0</v>
          </cell>
          <cell r="K16">
            <v>1771285</v>
          </cell>
          <cell r="L16">
            <v>39911</v>
          </cell>
          <cell r="M16">
            <v>0</v>
          </cell>
          <cell r="N16">
            <v>2.31</v>
          </cell>
          <cell r="O16">
            <v>0</v>
          </cell>
          <cell r="P16">
            <v>0</v>
          </cell>
        </row>
        <row r="17">
          <cell r="D17">
            <v>9999</v>
          </cell>
          <cell r="E17" t="str">
            <v xml:space="preserve">M01군1소계          </v>
          </cell>
          <cell r="F17">
            <v>0</v>
          </cell>
          <cell r="G17">
            <v>2248160</v>
          </cell>
          <cell r="H17">
            <v>1994</v>
          </cell>
          <cell r="I17">
            <v>4550</v>
          </cell>
          <cell r="J17">
            <v>0</v>
          </cell>
          <cell r="K17">
            <v>2396097</v>
          </cell>
          <cell r="L17">
            <v>147936</v>
          </cell>
          <cell r="M17">
            <v>0</v>
          </cell>
          <cell r="N17">
            <v>6.58</v>
          </cell>
          <cell r="O17">
            <v>0</v>
          </cell>
          <cell r="P17">
            <v>0</v>
          </cell>
        </row>
        <row r="18">
          <cell r="D18">
            <v>5208</v>
          </cell>
          <cell r="E18" t="str">
            <v xml:space="preserve">성수동MC            </v>
          </cell>
          <cell r="F18">
            <v>4</v>
          </cell>
          <cell r="G18">
            <v>122476</v>
          </cell>
          <cell r="H18">
            <v>-127</v>
          </cell>
          <cell r="I18">
            <v>5853</v>
          </cell>
          <cell r="J18">
            <v>0</v>
          </cell>
          <cell r="K18">
            <v>145335</v>
          </cell>
          <cell r="L18">
            <v>22859</v>
          </cell>
          <cell r="M18">
            <v>164</v>
          </cell>
          <cell r="N18">
            <v>18.66</v>
          </cell>
          <cell r="O18">
            <v>113</v>
          </cell>
          <cell r="P18">
            <v>277</v>
          </cell>
        </row>
        <row r="19">
          <cell r="D19">
            <v>5440</v>
          </cell>
          <cell r="E19" t="str">
            <v xml:space="preserve">시화JYMC            </v>
          </cell>
          <cell r="F19">
            <v>3</v>
          </cell>
          <cell r="G19">
            <v>42995</v>
          </cell>
          <cell r="H19">
            <v>-45</v>
          </cell>
          <cell r="I19">
            <v>0</v>
          </cell>
          <cell r="J19">
            <v>0</v>
          </cell>
          <cell r="K19">
            <v>60521</v>
          </cell>
          <cell r="L19">
            <v>17526</v>
          </cell>
          <cell r="M19">
            <v>160</v>
          </cell>
          <cell r="N19">
            <v>40.76</v>
          </cell>
          <cell r="O19">
            <v>133</v>
          </cell>
          <cell r="P19">
            <v>293</v>
          </cell>
        </row>
        <row r="20">
          <cell r="D20">
            <v>5227</v>
          </cell>
          <cell r="E20" t="str">
            <v xml:space="preserve">서여의도MC          </v>
          </cell>
          <cell r="F20">
            <v>1</v>
          </cell>
          <cell r="G20">
            <v>181168</v>
          </cell>
          <cell r="H20">
            <v>130</v>
          </cell>
          <cell r="I20">
            <v>0</v>
          </cell>
          <cell r="J20">
            <v>0</v>
          </cell>
          <cell r="K20">
            <v>255087</v>
          </cell>
          <cell r="L20">
            <v>73919</v>
          </cell>
          <cell r="M20">
            <v>206</v>
          </cell>
          <cell r="N20">
            <v>40.799999999999997</v>
          </cell>
          <cell r="O20">
            <v>133</v>
          </cell>
          <cell r="P20">
            <v>339</v>
          </cell>
        </row>
        <row r="21">
          <cell r="D21">
            <v>5240</v>
          </cell>
          <cell r="E21" t="str">
            <v xml:space="preserve">무교MC              </v>
          </cell>
          <cell r="F21">
            <v>2</v>
          </cell>
          <cell r="G21">
            <v>327288</v>
          </cell>
          <cell r="H21">
            <v>-630</v>
          </cell>
          <cell r="I21">
            <v>0</v>
          </cell>
          <cell r="J21">
            <v>0</v>
          </cell>
          <cell r="K21">
            <v>387071</v>
          </cell>
          <cell r="L21">
            <v>59783</v>
          </cell>
          <cell r="M21">
            <v>194</v>
          </cell>
          <cell r="N21">
            <v>18.27</v>
          </cell>
          <cell r="O21">
            <v>113</v>
          </cell>
          <cell r="P21">
            <v>307</v>
          </cell>
        </row>
        <row r="22">
          <cell r="D22">
            <v>5228</v>
          </cell>
          <cell r="E22" t="str">
            <v xml:space="preserve">무역센터MC          </v>
          </cell>
          <cell r="F22">
            <v>8</v>
          </cell>
          <cell r="G22">
            <v>177415</v>
          </cell>
          <cell r="H22">
            <v>-589</v>
          </cell>
          <cell r="I22">
            <v>0</v>
          </cell>
          <cell r="J22">
            <v>0</v>
          </cell>
          <cell r="K22">
            <v>178339</v>
          </cell>
          <cell r="L22">
            <v>925</v>
          </cell>
          <cell r="M22">
            <v>146</v>
          </cell>
          <cell r="N22">
            <v>0.52</v>
          </cell>
          <cell r="O22">
            <v>97</v>
          </cell>
          <cell r="P22">
            <v>243</v>
          </cell>
        </row>
        <row r="23">
          <cell r="D23">
            <v>5234</v>
          </cell>
          <cell r="E23" t="str">
            <v xml:space="preserve">선릉JYMC            </v>
          </cell>
          <cell r="F23">
            <v>6</v>
          </cell>
          <cell r="G23">
            <v>168694</v>
          </cell>
          <cell r="H23">
            <v>-3</v>
          </cell>
          <cell r="I23">
            <v>0</v>
          </cell>
          <cell r="J23">
            <v>0</v>
          </cell>
          <cell r="K23">
            <v>179249</v>
          </cell>
          <cell r="L23">
            <v>10556</v>
          </cell>
          <cell r="M23">
            <v>154</v>
          </cell>
          <cell r="N23">
            <v>6.26</v>
          </cell>
          <cell r="O23">
            <v>102</v>
          </cell>
          <cell r="P23">
            <v>256</v>
          </cell>
        </row>
        <row r="24">
          <cell r="D24">
            <v>5210</v>
          </cell>
          <cell r="E24" t="str">
            <v xml:space="preserve">논현동MC            </v>
          </cell>
          <cell r="F24">
            <v>12</v>
          </cell>
          <cell r="G24">
            <v>343910</v>
          </cell>
          <cell r="H24">
            <v>726</v>
          </cell>
          <cell r="I24">
            <v>1311</v>
          </cell>
          <cell r="J24">
            <v>0</v>
          </cell>
          <cell r="K24">
            <v>257491</v>
          </cell>
          <cell r="L24">
            <v>-86418</v>
          </cell>
          <cell r="M24">
            <v>75</v>
          </cell>
          <cell r="N24">
            <v>-25.13</v>
          </cell>
          <cell r="O24">
            <v>74</v>
          </cell>
          <cell r="P24">
            <v>149</v>
          </cell>
        </row>
        <row r="25">
          <cell r="D25">
            <v>5229</v>
          </cell>
          <cell r="E25" t="str">
            <v xml:space="preserve">마포JYMC            </v>
          </cell>
          <cell r="F25">
            <v>7</v>
          </cell>
          <cell r="G25">
            <v>101078</v>
          </cell>
          <cell r="H25">
            <v>-328</v>
          </cell>
          <cell r="I25">
            <v>0</v>
          </cell>
          <cell r="J25">
            <v>0</v>
          </cell>
          <cell r="K25">
            <v>104058</v>
          </cell>
          <cell r="L25">
            <v>2981</v>
          </cell>
          <cell r="M25">
            <v>148</v>
          </cell>
          <cell r="N25">
            <v>2.95</v>
          </cell>
          <cell r="O25">
            <v>99</v>
          </cell>
          <cell r="P25">
            <v>247</v>
          </cell>
        </row>
        <row r="26">
          <cell r="D26">
            <v>5251</v>
          </cell>
          <cell r="E26" t="str">
            <v xml:space="preserve">동여의도MC          </v>
          </cell>
          <cell r="F26">
            <v>11</v>
          </cell>
          <cell r="G26">
            <v>132251</v>
          </cell>
          <cell r="H26">
            <v>41</v>
          </cell>
          <cell r="I26">
            <v>0</v>
          </cell>
          <cell r="J26">
            <v>0</v>
          </cell>
          <cell r="K26">
            <v>95937</v>
          </cell>
          <cell r="L26">
            <v>-36314</v>
          </cell>
          <cell r="M26">
            <v>116</v>
          </cell>
          <cell r="N26">
            <v>-27.46</v>
          </cell>
          <cell r="O26">
            <v>72</v>
          </cell>
          <cell r="P26">
            <v>188</v>
          </cell>
        </row>
        <row r="27">
          <cell r="D27">
            <v>5407</v>
          </cell>
          <cell r="E27" t="str">
            <v xml:space="preserve">안산SbirdMC         </v>
          </cell>
          <cell r="F27">
            <v>9</v>
          </cell>
          <cell r="G27">
            <v>97076</v>
          </cell>
          <cell r="H27">
            <v>5231</v>
          </cell>
          <cell r="I27">
            <v>0</v>
          </cell>
          <cell r="J27">
            <v>0</v>
          </cell>
          <cell r="K27">
            <v>92535</v>
          </cell>
          <cell r="L27">
            <v>-4541</v>
          </cell>
          <cell r="M27">
            <v>142</v>
          </cell>
          <cell r="N27">
            <v>-4.68</v>
          </cell>
          <cell r="O27">
            <v>93</v>
          </cell>
          <cell r="P27">
            <v>234</v>
          </cell>
        </row>
        <row r="28">
          <cell r="D28">
            <v>5201</v>
          </cell>
          <cell r="E28" t="str">
            <v xml:space="preserve">삼성YMC             </v>
          </cell>
          <cell r="F28">
            <v>5</v>
          </cell>
          <cell r="G28">
            <v>188363</v>
          </cell>
          <cell r="H28">
            <v>392</v>
          </cell>
          <cell r="I28">
            <v>0</v>
          </cell>
          <cell r="J28">
            <v>0</v>
          </cell>
          <cell r="K28">
            <v>204287</v>
          </cell>
          <cell r="L28">
            <v>15923</v>
          </cell>
          <cell r="M28">
            <v>158</v>
          </cell>
          <cell r="N28">
            <v>8.4499999999999993</v>
          </cell>
          <cell r="O28">
            <v>104</v>
          </cell>
          <cell r="P28">
            <v>263</v>
          </cell>
        </row>
        <row r="29">
          <cell r="D29">
            <v>5604</v>
          </cell>
          <cell r="E29" t="str">
            <v xml:space="preserve">창원MC              </v>
          </cell>
          <cell r="F29">
            <v>10</v>
          </cell>
          <cell r="G29">
            <v>48961</v>
          </cell>
          <cell r="H29">
            <v>-2329</v>
          </cell>
          <cell r="I29">
            <v>0</v>
          </cell>
          <cell r="J29">
            <v>0</v>
          </cell>
          <cell r="K29">
            <v>41860</v>
          </cell>
          <cell r="L29">
            <v>-7101</v>
          </cell>
          <cell r="M29">
            <v>139</v>
          </cell>
          <cell r="N29">
            <v>-14.5</v>
          </cell>
          <cell r="O29">
            <v>84</v>
          </cell>
          <cell r="P29">
            <v>223</v>
          </cell>
        </row>
        <row r="30">
          <cell r="D30">
            <v>9998</v>
          </cell>
          <cell r="E30" t="str">
            <v xml:space="preserve">M02군2소계          </v>
          </cell>
          <cell r="F30">
            <v>0</v>
          </cell>
          <cell r="G30">
            <v>1931676</v>
          </cell>
          <cell r="H30">
            <v>2469</v>
          </cell>
          <cell r="I30">
            <v>7165</v>
          </cell>
          <cell r="J30">
            <v>0</v>
          </cell>
          <cell r="K30">
            <v>2001772</v>
          </cell>
          <cell r="L30">
            <v>70096</v>
          </cell>
          <cell r="M30">
            <v>0</v>
          </cell>
          <cell r="N30">
            <v>3.63</v>
          </cell>
          <cell r="O30">
            <v>0</v>
          </cell>
          <cell r="P30">
            <v>0</v>
          </cell>
        </row>
        <row r="31">
          <cell r="D31">
            <v>9999</v>
          </cell>
          <cell r="E31" t="str">
            <v xml:space="preserve">M02군1소계          </v>
          </cell>
          <cell r="F31">
            <v>0</v>
          </cell>
          <cell r="G31">
            <v>1931676</v>
          </cell>
          <cell r="H31">
            <v>2469</v>
          </cell>
          <cell r="I31">
            <v>7165</v>
          </cell>
          <cell r="J31">
            <v>0</v>
          </cell>
          <cell r="K31">
            <v>2001772</v>
          </cell>
          <cell r="L31">
            <v>70096</v>
          </cell>
          <cell r="M31">
            <v>0</v>
          </cell>
          <cell r="N31">
            <v>3.63</v>
          </cell>
          <cell r="O31">
            <v>0</v>
          </cell>
          <cell r="P31">
            <v>0</v>
          </cell>
        </row>
        <row r="32">
          <cell r="D32">
            <v>5216</v>
          </cell>
          <cell r="E32" t="str">
            <v xml:space="preserve">광화문JYMC          </v>
          </cell>
          <cell r="F32">
            <v>3</v>
          </cell>
          <cell r="G32">
            <v>161570</v>
          </cell>
          <cell r="H32">
            <v>-150</v>
          </cell>
          <cell r="I32">
            <v>0</v>
          </cell>
          <cell r="J32">
            <v>0</v>
          </cell>
          <cell r="K32">
            <v>173550</v>
          </cell>
          <cell r="L32">
            <v>11980</v>
          </cell>
          <cell r="M32">
            <v>184</v>
          </cell>
          <cell r="N32">
            <v>7.41</v>
          </cell>
          <cell r="O32">
            <v>117</v>
          </cell>
          <cell r="P32">
            <v>301</v>
          </cell>
        </row>
        <row r="33">
          <cell r="D33">
            <v>5213</v>
          </cell>
          <cell r="E33" t="str">
            <v xml:space="preserve">충무로극동 MC       </v>
          </cell>
          <cell r="F33">
            <v>6</v>
          </cell>
          <cell r="G33">
            <v>83910</v>
          </cell>
          <cell r="H33">
            <v>-19184</v>
          </cell>
          <cell r="I33">
            <v>393</v>
          </cell>
          <cell r="J33">
            <v>0</v>
          </cell>
          <cell r="K33">
            <v>86094</v>
          </cell>
          <cell r="L33">
            <v>2184</v>
          </cell>
          <cell r="M33">
            <v>160</v>
          </cell>
          <cell r="N33">
            <v>2.6</v>
          </cell>
          <cell r="O33">
            <v>108</v>
          </cell>
          <cell r="P33">
            <v>268</v>
          </cell>
        </row>
        <row r="34">
          <cell r="D34">
            <v>5215</v>
          </cell>
          <cell r="E34" t="str">
            <v xml:space="preserve">디지털센터MC        </v>
          </cell>
          <cell r="F34">
            <v>2</v>
          </cell>
          <cell r="G34">
            <v>123532</v>
          </cell>
          <cell r="H34">
            <v>-94</v>
          </cell>
          <cell r="I34">
            <v>0</v>
          </cell>
          <cell r="J34">
            <v>0</v>
          </cell>
          <cell r="K34">
            <v>141466</v>
          </cell>
          <cell r="L34">
            <v>17934</v>
          </cell>
          <cell r="M34">
            <v>198</v>
          </cell>
          <cell r="N34">
            <v>14.52</v>
          </cell>
          <cell r="O34">
            <v>131</v>
          </cell>
          <cell r="P34">
            <v>330</v>
          </cell>
        </row>
        <row r="35">
          <cell r="D35">
            <v>5221</v>
          </cell>
          <cell r="E35" t="str">
            <v xml:space="preserve">서교동MC            </v>
          </cell>
          <cell r="F35">
            <v>5</v>
          </cell>
          <cell r="G35">
            <v>132749</v>
          </cell>
          <cell r="H35">
            <v>-620</v>
          </cell>
          <cell r="I35">
            <v>0</v>
          </cell>
          <cell r="J35">
            <v>0</v>
          </cell>
          <cell r="K35">
            <v>137648</v>
          </cell>
          <cell r="L35">
            <v>4899</v>
          </cell>
          <cell r="M35">
            <v>167</v>
          </cell>
          <cell r="N35">
            <v>3.69</v>
          </cell>
          <cell r="O35">
            <v>110</v>
          </cell>
          <cell r="P35">
            <v>277</v>
          </cell>
        </row>
        <row r="36">
          <cell r="D36">
            <v>5223</v>
          </cell>
          <cell r="E36" t="str">
            <v xml:space="preserve">영동MC              </v>
          </cell>
          <cell r="F36">
            <v>8</v>
          </cell>
          <cell r="G36">
            <v>290780</v>
          </cell>
          <cell r="H36">
            <v>-14569</v>
          </cell>
          <cell r="I36">
            <v>0</v>
          </cell>
          <cell r="J36">
            <v>0</v>
          </cell>
          <cell r="K36">
            <v>287845</v>
          </cell>
          <cell r="L36">
            <v>-2936</v>
          </cell>
          <cell r="M36">
            <v>148</v>
          </cell>
          <cell r="N36">
            <v>-1.01</v>
          </cell>
          <cell r="O36">
            <v>101</v>
          </cell>
          <cell r="P36">
            <v>249</v>
          </cell>
        </row>
        <row r="37">
          <cell r="D37">
            <v>5232</v>
          </cell>
          <cell r="E37" t="str">
            <v xml:space="preserve">강서MC              </v>
          </cell>
          <cell r="F37">
            <v>7</v>
          </cell>
          <cell r="G37">
            <v>105374</v>
          </cell>
          <cell r="H37">
            <v>-20405</v>
          </cell>
          <cell r="I37">
            <v>0</v>
          </cell>
          <cell r="J37">
            <v>0</v>
          </cell>
          <cell r="K37">
            <v>104065</v>
          </cell>
          <cell r="L37">
            <v>-1309</v>
          </cell>
          <cell r="M37">
            <v>152</v>
          </cell>
          <cell r="N37">
            <v>-1.24</v>
          </cell>
          <cell r="O37">
            <v>101</v>
          </cell>
          <cell r="P37">
            <v>252</v>
          </cell>
        </row>
        <row r="38">
          <cell r="D38">
            <v>5409</v>
          </cell>
          <cell r="E38" t="str">
            <v xml:space="preserve">성남공단MC          </v>
          </cell>
          <cell r="F38">
            <v>10</v>
          </cell>
          <cell r="G38">
            <v>149715</v>
          </cell>
          <cell r="H38">
            <v>162</v>
          </cell>
          <cell r="I38">
            <v>0</v>
          </cell>
          <cell r="J38">
            <v>0</v>
          </cell>
          <cell r="K38">
            <v>134559</v>
          </cell>
          <cell r="L38">
            <v>-15156</v>
          </cell>
          <cell r="M38">
            <v>118</v>
          </cell>
          <cell r="N38">
            <v>-10.119999999999999</v>
          </cell>
          <cell r="O38">
            <v>83</v>
          </cell>
          <cell r="P38">
            <v>201</v>
          </cell>
        </row>
        <row r="39">
          <cell r="D39">
            <v>5207</v>
          </cell>
          <cell r="E39" t="str">
            <v xml:space="preserve">여의도MC            </v>
          </cell>
          <cell r="F39">
            <v>1</v>
          </cell>
          <cell r="G39">
            <v>153055</v>
          </cell>
          <cell r="H39">
            <v>48</v>
          </cell>
          <cell r="I39">
            <v>0</v>
          </cell>
          <cell r="J39">
            <v>0</v>
          </cell>
          <cell r="K39">
            <v>306409</v>
          </cell>
          <cell r="L39">
            <v>153354</v>
          </cell>
          <cell r="M39">
            <v>225</v>
          </cell>
          <cell r="N39">
            <v>100.2</v>
          </cell>
          <cell r="O39">
            <v>150</v>
          </cell>
          <cell r="P39">
            <v>375</v>
          </cell>
        </row>
        <row r="40">
          <cell r="D40">
            <v>5602</v>
          </cell>
          <cell r="E40" t="str">
            <v xml:space="preserve">울산MC              </v>
          </cell>
          <cell r="F40">
            <v>4</v>
          </cell>
          <cell r="G40">
            <v>58377</v>
          </cell>
          <cell r="H40">
            <v>48</v>
          </cell>
          <cell r="I40">
            <v>0</v>
          </cell>
          <cell r="J40">
            <v>0</v>
          </cell>
          <cell r="K40">
            <v>61985</v>
          </cell>
          <cell r="L40">
            <v>3608</v>
          </cell>
          <cell r="M40">
            <v>163</v>
          </cell>
          <cell r="N40">
            <v>6.18</v>
          </cell>
          <cell r="O40">
            <v>115</v>
          </cell>
          <cell r="P40">
            <v>279</v>
          </cell>
        </row>
        <row r="41">
          <cell r="D41">
            <v>5212</v>
          </cell>
          <cell r="E41" t="str">
            <v xml:space="preserve">방배JYMC            </v>
          </cell>
          <cell r="F41">
            <v>12</v>
          </cell>
          <cell r="G41">
            <v>133327</v>
          </cell>
          <cell r="H41">
            <v>-305</v>
          </cell>
          <cell r="I41">
            <v>0</v>
          </cell>
          <cell r="J41">
            <v>0</v>
          </cell>
          <cell r="K41">
            <v>113119</v>
          </cell>
          <cell r="L41">
            <v>-20208</v>
          </cell>
          <cell r="M41">
            <v>106</v>
          </cell>
          <cell r="N41">
            <v>-15.16</v>
          </cell>
          <cell r="O41">
            <v>73</v>
          </cell>
          <cell r="P41">
            <v>179</v>
          </cell>
        </row>
        <row r="42">
          <cell r="D42">
            <v>5608</v>
          </cell>
          <cell r="E42" t="str">
            <v xml:space="preserve">신평MC              </v>
          </cell>
          <cell r="F42">
            <v>9</v>
          </cell>
          <cell r="G42">
            <v>68101</v>
          </cell>
          <cell r="H42">
            <v>-31</v>
          </cell>
          <cell r="I42">
            <v>0</v>
          </cell>
          <cell r="J42">
            <v>0</v>
          </cell>
          <cell r="K42">
            <v>63742</v>
          </cell>
          <cell r="L42">
            <v>-4359</v>
          </cell>
          <cell r="M42">
            <v>144</v>
          </cell>
          <cell r="N42">
            <v>-6.4</v>
          </cell>
          <cell r="O42">
            <v>90</v>
          </cell>
          <cell r="P42">
            <v>235</v>
          </cell>
        </row>
        <row r="43">
          <cell r="D43">
            <v>5246</v>
          </cell>
          <cell r="E43" t="str">
            <v xml:space="preserve">선릉MC              </v>
          </cell>
          <cell r="F43">
            <v>11</v>
          </cell>
          <cell r="G43">
            <v>114487</v>
          </cell>
          <cell r="H43">
            <v>382</v>
          </cell>
          <cell r="I43">
            <v>0</v>
          </cell>
          <cell r="J43">
            <v>0</v>
          </cell>
          <cell r="K43">
            <v>96281</v>
          </cell>
          <cell r="L43">
            <v>-18206</v>
          </cell>
          <cell r="M43">
            <v>111</v>
          </cell>
          <cell r="N43">
            <v>-15.9</v>
          </cell>
          <cell r="O43">
            <v>72</v>
          </cell>
          <cell r="P43">
            <v>182</v>
          </cell>
        </row>
        <row r="44">
          <cell r="D44">
            <v>9998</v>
          </cell>
          <cell r="E44" t="str">
            <v xml:space="preserve">M03군2소계          </v>
          </cell>
          <cell r="F44">
            <v>0</v>
          </cell>
          <cell r="G44">
            <v>1421922</v>
          </cell>
          <cell r="H44">
            <v>-54768</v>
          </cell>
          <cell r="I44">
            <v>393</v>
          </cell>
          <cell r="J44">
            <v>0</v>
          </cell>
          <cell r="K44">
            <v>1400354</v>
          </cell>
          <cell r="L44">
            <v>-21568</v>
          </cell>
          <cell r="M44">
            <v>0</v>
          </cell>
          <cell r="N44">
            <v>-1.52</v>
          </cell>
          <cell r="O44">
            <v>0</v>
          </cell>
          <cell r="P44">
            <v>0</v>
          </cell>
        </row>
        <row r="45">
          <cell r="D45">
            <v>9999</v>
          </cell>
          <cell r="E45" t="str">
            <v xml:space="preserve">M03군1소계          </v>
          </cell>
          <cell r="F45">
            <v>0</v>
          </cell>
          <cell r="G45">
            <v>1574977</v>
          </cell>
          <cell r="H45">
            <v>-54720</v>
          </cell>
          <cell r="I45">
            <v>393</v>
          </cell>
          <cell r="J45">
            <v>0</v>
          </cell>
          <cell r="K45">
            <v>1706762</v>
          </cell>
          <cell r="L45">
            <v>131785</v>
          </cell>
          <cell r="M45">
            <v>0</v>
          </cell>
          <cell r="N45">
            <v>8.3699999999999992</v>
          </cell>
          <cell r="O45">
            <v>0</v>
          </cell>
          <cell r="P45">
            <v>0</v>
          </cell>
        </row>
        <row r="46">
          <cell r="D46">
            <v>5247</v>
          </cell>
          <cell r="E46" t="str">
            <v xml:space="preserve">코엑스MC            </v>
          </cell>
          <cell r="F46">
            <v>1</v>
          </cell>
          <cell r="G46">
            <v>95903</v>
          </cell>
          <cell r="H46">
            <v>743</v>
          </cell>
          <cell r="I46">
            <v>0</v>
          </cell>
          <cell r="J46">
            <v>0</v>
          </cell>
          <cell r="K46">
            <v>168051</v>
          </cell>
          <cell r="L46">
            <v>72147</v>
          </cell>
          <cell r="M46">
            <v>225</v>
          </cell>
          <cell r="N46">
            <v>75.23</v>
          </cell>
          <cell r="O46">
            <v>150</v>
          </cell>
          <cell r="P46">
            <v>375</v>
          </cell>
        </row>
        <row r="47">
          <cell r="D47">
            <v>5402</v>
          </cell>
          <cell r="E47" t="str">
            <v xml:space="preserve">인천남동MC          </v>
          </cell>
          <cell r="F47">
            <v>9</v>
          </cell>
          <cell r="G47">
            <v>54509</v>
          </cell>
          <cell r="H47">
            <v>-50</v>
          </cell>
          <cell r="I47">
            <v>0</v>
          </cell>
          <cell r="J47">
            <v>0</v>
          </cell>
          <cell r="K47">
            <v>53830</v>
          </cell>
          <cell r="L47">
            <v>-679</v>
          </cell>
          <cell r="M47">
            <v>145</v>
          </cell>
          <cell r="N47">
            <v>-1.25</v>
          </cell>
          <cell r="O47">
            <v>96</v>
          </cell>
          <cell r="P47">
            <v>241</v>
          </cell>
        </row>
        <row r="48">
          <cell r="D48">
            <v>5209</v>
          </cell>
          <cell r="E48" t="str">
            <v xml:space="preserve">잠실MC              </v>
          </cell>
          <cell r="F48">
            <v>4</v>
          </cell>
          <cell r="G48">
            <v>81974</v>
          </cell>
          <cell r="H48">
            <v>74</v>
          </cell>
          <cell r="I48">
            <v>1058</v>
          </cell>
          <cell r="J48">
            <v>0</v>
          </cell>
          <cell r="K48">
            <v>87119</v>
          </cell>
          <cell r="L48">
            <v>5145</v>
          </cell>
          <cell r="M48">
            <v>169</v>
          </cell>
          <cell r="N48">
            <v>6.28</v>
          </cell>
          <cell r="O48">
            <v>112</v>
          </cell>
          <cell r="P48">
            <v>281</v>
          </cell>
        </row>
        <row r="49">
          <cell r="D49">
            <v>5404</v>
          </cell>
          <cell r="E49" t="str">
            <v xml:space="preserve">수원JYMC            </v>
          </cell>
          <cell r="F49">
            <v>7</v>
          </cell>
          <cell r="G49">
            <v>63934</v>
          </cell>
          <cell r="H49">
            <v>-35</v>
          </cell>
          <cell r="I49">
            <v>0</v>
          </cell>
          <cell r="J49">
            <v>0</v>
          </cell>
          <cell r="K49">
            <v>65388</v>
          </cell>
          <cell r="L49">
            <v>1454</v>
          </cell>
          <cell r="M49">
            <v>154</v>
          </cell>
          <cell r="N49">
            <v>2.27</v>
          </cell>
          <cell r="O49">
            <v>103</v>
          </cell>
          <cell r="P49">
            <v>257</v>
          </cell>
        </row>
        <row r="50">
          <cell r="D50">
            <v>5413</v>
          </cell>
          <cell r="E50" t="str">
            <v xml:space="preserve">일산MC              </v>
          </cell>
          <cell r="F50">
            <v>10</v>
          </cell>
          <cell r="G50">
            <v>47864</v>
          </cell>
          <cell r="H50">
            <v>-44</v>
          </cell>
          <cell r="I50">
            <v>0</v>
          </cell>
          <cell r="J50">
            <v>0</v>
          </cell>
          <cell r="K50">
            <v>45463</v>
          </cell>
          <cell r="L50">
            <v>-2401</v>
          </cell>
          <cell r="M50">
            <v>138</v>
          </cell>
          <cell r="N50">
            <v>-5.0199999999999996</v>
          </cell>
          <cell r="O50">
            <v>88</v>
          </cell>
          <cell r="P50">
            <v>225</v>
          </cell>
        </row>
        <row r="51">
          <cell r="D51">
            <v>5603</v>
          </cell>
          <cell r="E51" t="str">
            <v xml:space="preserve">양산MC              </v>
          </cell>
          <cell r="F51">
            <v>3</v>
          </cell>
          <cell r="G51">
            <v>65251</v>
          </cell>
          <cell r="H51">
            <v>-4</v>
          </cell>
          <cell r="I51">
            <v>0</v>
          </cell>
          <cell r="J51">
            <v>0</v>
          </cell>
          <cell r="K51">
            <v>72151</v>
          </cell>
          <cell r="L51">
            <v>6900</v>
          </cell>
          <cell r="M51">
            <v>176</v>
          </cell>
          <cell r="N51">
            <v>10.57</v>
          </cell>
          <cell r="O51">
            <v>121</v>
          </cell>
          <cell r="P51">
            <v>297</v>
          </cell>
        </row>
        <row r="52">
          <cell r="D52">
            <v>5225</v>
          </cell>
          <cell r="E52" t="str">
            <v xml:space="preserve">용산전자MC          </v>
          </cell>
          <cell r="F52">
            <v>2</v>
          </cell>
          <cell r="G52">
            <v>100577</v>
          </cell>
          <cell r="H52">
            <v>84</v>
          </cell>
          <cell r="I52">
            <v>2417</v>
          </cell>
          <cell r="J52">
            <v>0</v>
          </cell>
          <cell r="K52">
            <v>113629</v>
          </cell>
          <cell r="L52">
            <v>13052</v>
          </cell>
          <cell r="M52">
            <v>201</v>
          </cell>
          <cell r="N52">
            <v>12.98</v>
          </cell>
          <cell r="O52">
            <v>126</v>
          </cell>
          <cell r="P52">
            <v>328</v>
          </cell>
        </row>
        <row r="53">
          <cell r="D53">
            <v>5205</v>
          </cell>
          <cell r="E53" t="str">
            <v xml:space="preserve">명동MC              </v>
          </cell>
          <cell r="F53">
            <v>5</v>
          </cell>
          <cell r="G53">
            <v>80553</v>
          </cell>
          <cell r="H53">
            <v>162</v>
          </cell>
          <cell r="I53">
            <v>0</v>
          </cell>
          <cell r="J53">
            <v>0</v>
          </cell>
          <cell r="K53">
            <v>85263</v>
          </cell>
          <cell r="L53">
            <v>4710</v>
          </cell>
          <cell r="M53">
            <v>167</v>
          </cell>
          <cell r="N53">
            <v>5.85</v>
          </cell>
          <cell r="O53">
            <v>111</v>
          </cell>
          <cell r="P53">
            <v>278</v>
          </cell>
        </row>
        <row r="54">
          <cell r="D54">
            <v>5503</v>
          </cell>
          <cell r="E54" t="str">
            <v xml:space="preserve">천안MC              </v>
          </cell>
          <cell r="F54">
            <v>6</v>
          </cell>
          <cell r="G54">
            <v>98210</v>
          </cell>
          <cell r="H54">
            <v>-37062</v>
          </cell>
          <cell r="I54">
            <v>0</v>
          </cell>
          <cell r="J54">
            <v>0</v>
          </cell>
          <cell r="K54">
            <v>100591</v>
          </cell>
          <cell r="L54">
            <v>2381</v>
          </cell>
          <cell r="M54">
            <v>157</v>
          </cell>
          <cell r="N54">
            <v>2.42</v>
          </cell>
          <cell r="O54">
            <v>104</v>
          </cell>
          <cell r="P54">
            <v>261</v>
          </cell>
        </row>
        <row r="55">
          <cell r="D55">
            <v>5203</v>
          </cell>
          <cell r="E55" t="str">
            <v xml:space="preserve">서초남MC            </v>
          </cell>
          <cell r="F55">
            <v>8</v>
          </cell>
          <cell r="G55">
            <v>79194</v>
          </cell>
          <cell r="H55">
            <v>66</v>
          </cell>
          <cell r="I55">
            <v>0</v>
          </cell>
          <cell r="J55">
            <v>0</v>
          </cell>
          <cell r="K55">
            <v>79690</v>
          </cell>
          <cell r="L55">
            <v>496</v>
          </cell>
          <cell r="M55">
            <v>150</v>
          </cell>
          <cell r="N55">
            <v>0.63</v>
          </cell>
          <cell r="O55">
            <v>100</v>
          </cell>
          <cell r="P55">
            <v>249</v>
          </cell>
        </row>
        <row r="56">
          <cell r="D56">
            <v>5219</v>
          </cell>
          <cell r="E56" t="str">
            <v xml:space="preserve">신사동MC            </v>
          </cell>
          <cell r="F56">
            <v>11</v>
          </cell>
          <cell r="G56">
            <v>138366</v>
          </cell>
          <cell r="H56">
            <v>-7233</v>
          </cell>
          <cell r="I56">
            <v>1995</v>
          </cell>
          <cell r="J56">
            <v>0</v>
          </cell>
          <cell r="K56">
            <v>123873</v>
          </cell>
          <cell r="L56">
            <v>-14493</v>
          </cell>
          <cell r="M56">
            <v>88</v>
          </cell>
          <cell r="N56">
            <v>-10.47</v>
          </cell>
          <cell r="O56">
            <v>76</v>
          </cell>
          <cell r="P56">
            <v>164</v>
          </cell>
        </row>
        <row r="57">
          <cell r="D57">
            <v>5419</v>
          </cell>
          <cell r="E57" t="str">
            <v xml:space="preserve">수원MC              </v>
          </cell>
          <cell r="F57">
            <v>12</v>
          </cell>
          <cell r="G57">
            <v>49840</v>
          </cell>
          <cell r="H57">
            <v>-8</v>
          </cell>
          <cell r="I57">
            <v>0</v>
          </cell>
          <cell r="J57">
            <v>0</v>
          </cell>
          <cell r="K57">
            <v>39610</v>
          </cell>
          <cell r="L57">
            <v>-10230</v>
          </cell>
          <cell r="M57">
            <v>106</v>
          </cell>
          <cell r="N57">
            <v>-20.53</v>
          </cell>
          <cell r="O57">
            <v>54</v>
          </cell>
          <cell r="P57">
            <v>160</v>
          </cell>
        </row>
        <row r="58">
          <cell r="D58">
            <v>9998</v>
          </cell>
          <cell r="E58" t="str">
            <v xml:space="preserve">M04군2소계          </v>
          </cell>
          <cell r="F58">
            <v>0</v>
          </cell>
          <cell r="G58">
            <v>860272</v>
          </cell>
          <cell r="H58">
            <v>-44049</v>
          </cell>
          <cell r="I58">
            <v>5469</v>
          </cell>
          <cell r="J58">
            <v>0</v>
          </cell>
          <cell r="K58">
            <v>866607</v>
          </cell>
          <cell r="L58">
            <v>6335</v>
          </cell>
          <cell r="M58">
            <v>0</v>
          </cell>
          <cell r="N58">
            <v>0.74</v>
          </cell>
          <cell r="O58">
            <v>0</v>
          </cell>
          <cell r="P58">
            <v>0</v>
          </cell>
        </row>
        <row r="59">
          <cell r="D59">
            <v>9999</v>
          </cell>
          <cell r="E59" t="str">
            <v xml:space="preserve">M04군1소계          </v>
          </cell>
          <cell r="F59">
            <v>0</v>
          </cell>
          <cell r="G59">
            <v>956175</v>
          </cell>
          <cell r="H59">
            <v>-43307</v>
          </cell>
          <cell r="I59">
            <v>5469</v>
          </cell>
          <cell r="J59">
            <v>0</v>
          </cell>
          <cell r="K59">
            <v>1034658</v>
          </cell>
          <cell r="L59">
            <v>78482</v>
          </cell>
          <cell r="M59">
            <v>0</v>
          </cell>
          <cell r="N59">
            <v>8.2100000000000009</v>
          </cell>
          <cell r="O59">
            <v>0</v>
          </cell>
          <cell r="P59">
            <v>0</v>
          </cell>
        </row>
        <row r="60">
          <cell r="D60">
            <v>5606</v>
          </cell>
          <cell r="E60" t="str">
            <v xml:space="preserve">부산서면MC          </v>
          </cell>
          <cell r="F60">
            <v>1</v>
          </cell>
          <cell r="G60">
            <v>82927</v>
          </cell>
          <cell r="H60">
            <v>-55</v>
          </cell>
          <cell r="I60">
            <v>0</v>
          </cell>
          <cell r="J60">
            <v>0</v>
          </cell>
          <cell r="K60">
            <v>106275</v>
          </cell>
          <cell r="L60">
            <v>23349</v>
          </cell>
          <cell r="M60">
            <v>200</v>
          </cell>
          <cell r="N60">
            <v>28.16</v>
          </cell>
          <cell r="O60">
            <v>132</v>
          </cell>
          <cell r="P60">
            <v>332</v>
          </cell>
        </row>
        <row r="61">
          <cell r="D61">
            <v>5214</v>
          </cell>
          <cell r="E61" t="str">
            <v xml:space="preserve">장한평MC            </v>
          </cell>
          <cell r="F61">
            <v>11</v>
          </cell>
          <cell r="G61">
            <v>108336</v>
          </cell>
          <cell r="H61">
            <v>538</v>
          </cell>
          <cell r="I61">
            <v>0</v>
          </cell>
          <cell r="J61">
            <v>0</v>
          </cell>
          <cell r="K61">
            <v>98528</v>
          </cell>
          <cell r="L61">
            <v>-9808</v>
          </cell>
          <cell r="M61">
            <v>124</v>
          </cell>
          <cell r="N61">
            <v>-9.0500000000000007</v>
          </cell>
          <cell r="O61">
            <v>87</v>
          </cell>
          <cell r="P61">
            <v>211</v>
          </cell>
        </row>
        <row r="62">
          <cell r="D62">
            <v>5601</v>
          </cell>
          <cell r="E62" t="str">
            <v xml:space="preserve">마산MC              </v>
          </cell>
          <cell r="F62">
            <v>4</v>
          </cell>
          <cell r="G62">
            <v>168476</v>
          </cell>
          <cell r="H62">
            <v>26603</v>
          </cell>
          <cell r="I62">
            <v>0</v>
          </cell>
          <cell r="J62">
            <v>0</v>
          </cell>
          <cell r="K62">
            <v>178544</v>
          </cell>
          <cell r="L62">
            <v>10069</v>
          </cell>
          <cell r="M62">
            <v>169</v>
          </cell>
          <cell r="N62">
            <v>5.98</v>
          </cell>
          <cell r="O62">
            <v>105</v>
          </cell>
          <cell r="P62">
            <v>275</v>
          </cell>
        </row>
        <row r="63">
          <cell r="D63">
            <v>5401</v>
          </cell>
          <cell r="E63" t="str">
            <v xml:space="preserve">반월MC              </v>
          </cell>
          <cell r="F63">
            <v>8</v>
          </cell>
          <cell r="G63">
            <v>71001</v>
          </cell>
          <cell r="H63">
            <v>52</v>
          </cell>
          <cell r="I63">
            <v>0</v>
          </cell>
          <cell r="J63">
            <v>0</v>
          </cell>
          <cell r="K63">
            <v>66018</v>
          </cell>
          <cell r="L63">
            <v>-4983</v>
          </cell>
          <cell r="M63">
            <v>135</v>
          </cell>
          <cell r="N63">
            <v>-7.02</v>
          </cell>
          <cell r="O63">
            <v>89</v>
          </cell>
          <cell r="P63">
            <v>224</v>
          </cell>
        </row>
        <row r="64">
          <cell r="D64">
            <v>5239</v>
          </cell>
          <cell r="E64" t="str">
            <v xml:space="preserve">구로MC              </v>
          </cell>
          <cell r="F64">
            <v>9</v>
          </cell>
          <cell r="G64">
            <v>59324</v>
          </cell>
          <cell r="H64">
            <v>-37586</v>
          </cell>
          <cell r="I64">
            <v>0</v>
          </cell>
          <cell r="J64">
            <v>0</v>
          </cell>
          <cell r="K64">
            <v>52030</v>
          </cell>
          <cell r="L64">
            <v>-7294</v>
          </cell>
          <cell r="M64">
            <v>130</v>
          </cell>
          <cell r="N64">
            <v>-12.29</v>
          </cell>
          <cell r="O64">
            <v>83</v>
          </cell>
          <cell r="P64">
            <v>212</v>
          </cell>
        </row>
        <row r="65">
          <cell r="D65">
            <v>5411</v>
          </cell>
          <cell r="E65" t="str">
            <v xml:space="preserve">평택MC              </v>
          </cell>
          <cell r="F65">
            <v>7</v>
          </cell>
          <cell r="G65">
            <v>99858</v>
          </cell>
          <cell r="H65">
            <v>6</v>
          </cell>
          <cell r="I65">
            <v>0</v>
          </cell>
          <cell r="J65">
            <v>0</v>
          </cell>
          <cell r="K65">
            <v>94696</v>
          </cell>
          <cell r="L65">
            <v>-5162</v>
          </cell>
          <cell r="M65">
            <v>135</v>
          </cell>
          <cell r="N65">
            <v>-5.17</v>
          </cell>
          <cell r="O65">
            <v>91</v>
          </cell>
          <cell r="P65">
            <v>226</v>
          </cell>
        </row>
        <row r="66">
          <cell r="D66">
            <v>5260</v>
          </cell>
          <cell r="E66" t="str">
            <v xml:space="preserve">소공동 MC           </v>
          </cell>
          <cell r="F66">
            <v>10</v>
          </cell>
          <cell r="G66">
            <v>71417</v>
          </cell>
          <cell r="H66">
            <v>12</v>
          </cell>
          <cell r="I66">
            <v>1907</v>
          </cell>
          <cell r="J66">
            <v>0</v>
          </cell>
          <cell r="K66">
            <v>63150</v>
          </cell>
          <cell r="L66">
            <v>-8267</v>
          </cell>
          <cell r="M66">
            <v>128</v>
          </cell>
          <cell r="N66">
            <v>-11.58</v>
          </cell>
          <cell r="O66">
            <v>84</v>
          </cell>
          <cell r="P66">
            <v>211</v>
          </cell>
        </row>
        <row r="67">
          <cell r="D67">
            <v>5403</v>
          </cell>
          <cell r="E67" t="str">
            <v xml:space="preserve">인천MC              </v>
          </cell>
          <cell r="F67">
            <v>5</v>
          </cell>
          <cell r="G67">
            <v>62060</v>
          </cell>
          <cell r="H67">
            <v>447</v>
          </cell>
          <cell r="I67">
            <v>0</v>
          </cell>
          <cell r="J67">
            <v>0</v>
          </cell>
          <cell r="K67">
            <v>61630</v>
          </cell>
          <cell r="L67">
            <v>-430</v>
          </cell>
          <cell r="M67">
            <v>146</v>
          </cell>
          <cell r="N67">
            <v>-0.69</v>
          </cell>
          <cell r="O67">
            <v>97</v>
          </cell>
          <cell r="P67">
            <v>242</v>
          </cell>
        </row>
        <row r="68">
          <cell r="D68">
            <v>5806</v>
          </cell>
          <cell r="E68" t="str">
            <v xml:space="preserve">광주MC              </v>
          </cell>
          <cell r="F68">
            <v>2</v>
          </cell>
          <cell r="G68">
            <v>56827</v>
          </cell>
          <cell r="H68">
            <v>1</v>
          </cell>
          <cell r="I68">
            <v>0</v>
          </cell>
          <cell r="J68">
            <v>0</v>
          </cell>
          <cell r="K68">
            <v>72652</v>
          </cell>
          <cell r="L68">
            <v>15825</v>
          </cell>
          <cell r="M68">
            <v>183</v>
          </cell>
          <cell r="N68">
            <v>27.85</v>
          </cell>
          <cell r="O68">
            <v>132</v>
          </cell>
          <cell r="P68">
            <v>315</v>
          </cell>
        </row>
        <row r="69">
          <cell r="D69">
            <v>5206</v>
          </cell>
          <cell r="E69" t="str">
            <v xml:space="preserve">영등포JYMC          </v>
          </cell>
          <cell r="F69">
            <v>6</v>
          </cell>
          <cell r="G69">
            <v>59229</v>
          </cell>
          <cell r="H69">
            <v>5227</v>
          </cell>
          <cell r="I69">
            <v>3556</v>
          </cell>
          <cell r="J69">
            <v>0</v>
          </cell>
          <cell r="K69">
            <v>57527</v>
          </cell>
          <cell r="L69">
            <v>-1702</v>
          </cell>
          <cell r="M69">
            <v>143</v>
          </cell>
          <cell r="N69">
            <v>-2.87</v>
          </cell>
          <cell r="O69">
            <v>94</v>
          </cell>
          <cell r="P69">
            <v>237</v>
          </cell>
        </row>
        <row r="70">
          <cell r="D70">
            <v>5211</v>
          </cell>
          <cell r="E70" t="str">
            <v xml:space="preserve">한남동MC            </v>
          </cell>
          <cell r="F70">
            <v>3</v>
          </cell>
          <cell r="G70">
            <v>110921</v>
          </cell>
          <cell r="H70">
            <v>2130</v>
          </cell>
          <cell r="I70">
            <v>0</v>
          </cell>
          <cell r="J70">
            <v>0</v>
          </cell>
          <cell r="K70">
            <v>126951</v>
          </cell>
          <cell r="L70">
            <v>16030</v>
          </cell>
          <cell r="M70">
            <v>183</v>
          </cell>
          <cell r="N70">
            <v>14.45</v>
          </cell>
          <cell r="O70">
            <v>116</v>
          </cell>
          <cell r="P70">
            <v>299</v>
          </cell>
        </row>
        <row r="71">
          <cell r="D71">
            <v>5263</v>
          </cell>
          <cell r="E71" t="str">
            <v xml:space="preserve">반도MC              </v>
          </cell>
          <cell r="F71">
            <v>12</v>
          </cell>
          <cell r="G71">
            <v>65377</v>
          </cell>
          <cell r="H71">
            <v>64</v>
          </cell>
          <cell r="I71">
            <v>0</v>
          </cell>
          <cell r="J71">
            <v>0</v>
          </cell>
          <cell r="K71">
            <v>56213</v>
          </cell>
          <cell r="L71">
            <v>-9164</v>
          </cell>
          <cell r="M71">
            <v>126</v>
          </cell>
          <cell r="N71">
            <v>-14.02</v>
          </cell>
          <cell r="O71">
            <v>81</v>
          </cell>
          <cell r="P71">
            <v>206</v>
          </cell>
        </row>
        <row r="72">
          <cell r="D72">
            <v>9998</v>
          </cell>
          <cell r="E72" t="str">
            <v xml:space="preserve">M05군2소계          </v>
          </cell>
          <cell r="F72">
            <v>0</v>
          </cell>
          <cell r="G72">
            <v>1015751</v>
          </cell>
          <cell r="H72">
            <v>-2561</v>
          </cell>
          <cell r="I72">
            <v>5463</v>
          </cell>
          <cell r="J72">
            <v>0</v>
          </cell>
          <cell r="K72">
            <v>1034213</v>
          </cell>
          <cell r="L72">
            <v>18462</v>
          </cell>
          <cell r="M72">
            <v>0</v>
          </cell>
          <cell r="N72">
            <v>1.82</v>
          </cell>
          <cell r="O72">
            <v>0</v>
          </cell>
          <cell r="P72">
            <v>0</v>
          </cell>
        </row>
        <row r="73">
          <cell r="D73">
            <v>9999</v>
          </cell>
          <cell r="E73" t="str">
            <v xml:space="preserve">M05군1소계          </v>
          </cell>
          <cell r="F73">
            <v>0</v>
          </cell>
          <cell r="G73">
            <v>1015751</v>
          </cell>
          <cell r="H73">
            <v>-2561</v>
          </cell>
          <cell r="I73">
            <v>5463</v>
          </cell>
          <cell r="J73">
            <v>0</v>
          </cell>
          <cell r="K73">
            <v>1034213</v>
          </cell>
          <cell r="L73">
            <v>18462</v>
          </cell>
          <cell r="M73">
            <v>0</v>
          </cell>
          <cell r="N73">
            <v>1.82</v>
          </cell>
          <cell r="O73">
            <v>0</v>
          </cell>
          <cell r="P73">
            <v>0</v>
          </cell>
        </row>
        <row r="74">
          <cell r="D74">
            <v>5238</v>
          </cell>
          <cell r="E74" t="str">
            <v xml:space="preserve">용산MC              </v>
          </cell>
          <cell r="F74">
            <v>1</v>
          </cell>
          <cell r="G74">
            <v>63958</v>
          </cell>
          <cell r="H74">
            <v>372</v>
          </cell>
          <cell r="I74">
            <v>0</v>
          </cell>
          <cell r="J74">
            <v>0</v>
          </cell>
          <cell r="K74">
            <v>189557</v>
          </cell>
          <cell r="L74">
            <v>125599</v>
          </cell>
          <cell r="M74">
            <v>225</v>
          </cell>
          <cell r="N74">
            <v>196.38</v>
          </cell>
          <cell r="O74">
            <v>150</v>
          </cell>
          <cell r="P74">
            <v>375</v>
          </cell>
        </row>
        <row r="75">
          <cell r="D75">
            <v>5615</v>
          </cell>
          <cell r="E75" t="str">
            <v xml:space="preserve">울산JYMC            </v>
          </cell>
          <cell r="F75">
            <v>10</v>
          </cell>
          <cell r="G75">
            <v>50451</v>
          </cell>
          <cell r="H75">
            <v>-4</v>
          </cell>
          <cell r="I75">
            <v>449</v>
          </cell>
          <cell r="J75">
            <v>0</v>
          </cell>
          <cell r="K75">
            <v>50279</v>
          </cell>
          <cell r="L75">
            <v>-172</v>
          </cell>
          <cell r="M75">
            <v>140</v>
          </cell>
          <cell r="N75">
            <v>-0.34</v>
          </cell>
          <cell r="O75">
            <v>92</v>
          </cell>
          <cell r="P75">
            <v>232</v>
          </cell>
        </row>
        <row r="76">
          <cell r="D76">
            <v>5805</v>
          </cell>
          <cell r="E76" t="str">
            <v xml:space="preserve">광산MC              </v>
          </cell>
          <cell r="F76">
            <v>5</v>
          </cell>
          <cell r="G76">
            <v>46373</v>
          </cell>
          <cell r="H76">
            <v>-1</v>
          </cell>
          <cell r="I76">
            <v>0</v>
          </cell>
          <cell r="J76">
            <v>0</v>
          </cell>
          <cell r="K76">
            <v>48576</v>
          </cell>
          <cell r="L76">
            <v>2204</v>
          </cell>
          <cell r="M76">
            <v>149</v>
          </cell>
          <cell r="N76">
            <v>4.75</v>
          </cell>
          <cell r="O76">
            <v>103</v>
          </cell>
          <cell r="P76">
            <v>252</v>
          </cell>
        </row>
        <row r="77">
          <cell r="D77">
            <v>5253</v>
          </cell>
          <cell r="E77" t="str">
            <v xml:space="preserve">테헤란로MC          </v>
          </cell>
          <cell r="F77">
            <v>2</v>
          </cell>
          <cell r="G77">
            <v>124192</v>
          </cell>
          <cell r="H77">
            <v>-79</v>
          </cell>
          <cell r="I77">
            <v>21131</v>
          </cell>
          <cell r="J77">
            <v>0</v>
          </cell>
          <cell r="K77">
            <v>153860</v>
          </cell>
          <cell r="L77">
            <v>29668</v>
          </cell>
          <cell r="M77">
            <v>225</v>
          </cell>
          <cell r="N77">
            <v>23.89</v>
          </cell>
          <cell r="O77">
            <v>143</v>
          </cell>
          <cell r="P77">
            <v>368</v>
          </cell>
        </row>
        <row r="78">
          <cell r="D78">
            <v>5220</v>
          </cell>
          <cell r="E78" t="str">
            <v xml:space="preserve">명동역MC            </v>
          </cell>
          <cell r="F78">
            <v>7</v>
          </cell>
          <cell r="G78">
            <v>86014</v>
          </cell>
          <cell r="H78">
            <v>-23</v>
          </cell>
          <cell r="I78">
            <v>0</v>
          </cell>
          <cell r="J78">
            <v>0</v>
          </cell>
          <cell r="K78">
            <v>88195</v>
          </cell>
          <cell r="L78">
            <v>2180</v>
          </cell>
          <cell r="M78">
            <v>149</v>
          </cell>
          <cell r="N78">
            <v>2.54</v>
          </cell>
          <cell r="O78">
            <v>98</v>
          </cell>
          <cell r="P78">
            <v>248</v>
          </cell>
        </row>
        <row r="79">
          <cell r="D79">
            <v>5224</v>
          </cell>
          <cell r="E79" t="str">
            <v xml:space="preserve">독산동MC            </v>
          </cell>
          <cell r="F79">
            <v>3</v>
          </cell>
          <cell r="G79">
            <v>65515</v>
          </cell>
          <cell r="H79">
            <v>474</v>
          </cell>
          <cell r="I79">
            <v>0</v>
          </cell>
          <cell r="J79">
            <v>0</v>
          </cell>
          <cell r="K79">
            <v>71472</v>
          </cell>
          <cell r="L79">
            <v>5957</v>
          </cell>
          <cell r="M79">
            <v>164</v>
          </cell>
          <cell r="N79">
            <v>9.09</v>
          </cell>
          <cell r="O79">
            <v>112</v>
          </cell>
          <cell r="P79">
            <v>276</v>
          </cell>
        </row>
        <row r="80">
          <cell r="D80">
            <v>5704</v>
          </cell>
          <cell r="E80" t="str">
            <v xml:space="preserve">성서MC              </v>
          </cell>
          <cell r="F80">
            <v>9</v>
          </cell>
          <cell r="G80">
            <v>104908</v>
          </cell>
          <cell r="H80">
            <v>-380</v>
          </cell>
          <cell r="I80">
            <v>0</v>
          </cell>
          <cell r="J80">
            <v>0</v>
          </cell>
          <cell r="K80">
            <v>105252</v>
          </cell>
          <cell r="L80">
            <v>344</v>
          </cell>
          <cell r="M80">
            <v>142</v>
          </cell>
          <cell r="N80">
            <v>0.33</v>
          </cell>
          <cell r="O80">
            <v>94</v>
          </cell>
          <cell r="P80">
            <v>236</v>
          </cell>
        </row>
        <row r="81">
          <cell r="D81">
            <v>5414</v>
          </cell>
          <cell r="E81" t="str">
            <v xml:space="preserve">분당MC              </v>
          </cell>
          <cell r="F81">
            <v>6</v>
          </cell>
          <cell r="G81">
            <v>112031</v>
          </cell>
          <cell r="H81">
            <v>-295</v>
          </cell>
          <cell r="I81">
            <v>0</v>
          </cell>
          <cell r="J81">
            <v>0</v>
          </cell>
          <cell r="K81">
            <v>114786</v>
          </cell>
          <cell r="L81">
            <v>2755</v>
          </cell>
          <cell r="M81">
            <v>151</v>
          </cell>
          <cell r="N81">
            <v>2.46</v>
          </cell>
          <cell r="O81">
            <v>98</v>
          </cell>
          <cell r="P81">
            <v>250</v>
          </cell>
        </row>
        <row r="82">
          <cell r="D82">
            <v>5264</v>
          </cell>
          <cell r="E82" t="str">
            <v xml:space="preserve">압구정역MC          </v>
          </cell>
          <cell r="F82">
            <v>8</v>
          </cell>
          <cell r="G82">
            <v>49792</v>
          </cell>
          <cell r="H82">
            <v>-59</v>
          </cell>
          <cell r="I82">
            <v>176</v>
          </cell>
          <cell r="J82">
            <v>0</v>
          </cell>
          <cell r="K82">
            <v>50466</v>
          </cell>
          <cell r="L82">
            <v>675</v>
          </cell>
          <cell r="M82">
            <v>143</v>
          </cell>
          <cell r="N82">
            <v>1.36</v>
          </cell>
          <cell r="O82">
            <v>96</v>
          </cell>
          <cell r="P82">
            <v>239</v>
          </cell>
        </row>
        <row r="83">
          <cell r="D83">
            <v>5417</v>
          </cell>
          <cell r="E83" t="str">
            <v xml:space="preserve">안산MC              </v>
          </cell>
          <cell r="F83">
            <v>11</v>
          </cell>
          <cell r="G83">
            <v>49094</v>
          </cell>
          <cell r="H83">
            <v>80</v>
          </cell>
          <cell r="I83">
            <v>0</v>
          </cell>
          <cell r="J83">
            <v>0</v>
          </cell>
          <cell r="K83">
            <v>48041</v>
          </cell>
          <cell r="L83">
            <v>-1054</v>
          </cell>
          <cell r="M83">
            <v>137</v>
          </cell>
          <cell r="N83">
            <v>-2.15</v>
          </cell>
          <cell r="O83">
            <v>89</v>
          </cell>
          <cell r="P83">
            <v>225</v>
          </cell>
        </row>
        <row r="84">
          <cell r="D84">
            <v>5226</v>
          </cell>
          <cell r="E84" t="str">
            <v xml:space="preserve">당산동MC            </v>
          </cell>
          <cell r="F84">
            <v>12</v>
          </cell>
          <cell r="G84">
            <v>72308</v>
          </cell>
          <cell r="H84">
            <v>288</v>
          </cell>
          <cell r="I84">
            <v>0</v>
          </cell>
          <cell r="J84">
            <v>0</v>
          </cell>
          <cell r="K84">
            <v>52937</v>
          </cell>
          <cell r="L84">
            <v>-19371</v>
          </cell>
          <cell r="M84">
            <v>75</v>
          </cell>
          <cell r="N84">
            <v>-26.79</v>
          </cell>
          <cell r="O84">
            <v>50</v>
          </cell>
          <cell r="P84">
            <v>125</v>
          </cell>
        </row>
        <row r="85">
          <cell r="D85">
            <v>5801</v>
          </cell>
          <cell r="E85" t="str">
            <v xml:space="preserve">전주MC              </v>
          </cell>
          <cell r="F85">
            <v>4</v>
          </cell>
          <cell r="G85">
            <v>39336</v>
          </cell>
          <cell r="H85">
            <v>79</v>
          </cell>
          <cell r="I85">
            <v>0</v>
          </cell>
          <cell r="J85">
            <v>0</v>
          </cell>
          <cell r="K85">
            <v>42627</v>
          </cell>
          <cell r="L85">
            <v>3291</v>
          </cell>
          <cell r="M85">
            <v>153</v>
          </cell>
          <cell r="N85">
            <v>8.3699999999999992</v>
          </cell>
          <cell r="O85">
            <v>111</v>
          </cell>
          <cell r="P85">
            <v>264</v>
          </cell>
        </row>
        <row r="86">
          <cell r="D86">
            <v>9998</v>
          </cell>
          <cell r="E86" t="str">
            <v xml:space="preserve">M06군2소계          </v>
          </cell>
          <cell r="F86">
            <v>0</v>
          </cell>
          <cell r="G86">
            <v>800015</v>
          </cell>
          <cell r="H86">
            <v>80</v>
          </cell>
          <cell r="I86">
            <v>21756</v>
          </cell>
          <cell r="J86">
            <v>0</v>
          </cell>
          <cell r="K86">
            <v>826491</v>
          </cell>
          <cell r="L86">
            <v>26476</v>
          </cell>
          <cell r="M86">
            <v>0</v>
          </cell>
          <cell r="N86">
            <v>3.31</v>
          </cell>
          <cell r="O86">
            <v>0</v>
          </cell>
          <cell r="P86">
            <v>0</v>
          </cell>
        </row>
        <row r="87">
          <cell r="D87">
            <v>9999</v>
          </cell>
          <cell r="E87" t="str">
            <v xml:space="preserve">M06군1소계          </v>
          </cell>
          <cell r="F87">
            <v>0</v>
          </cell>
          <cell r="G87">
            <v>863973</v>
          </cell>
          <cell r="H87">
            <v>453</v>
          </cell>
          <cell r="I87">
            <v>21756</v>
          </cell>
          <cell r="J87">
            <v>0</v>
          </cell>
          <cell r="K87">
            <v>1016048</v>
          </cell>
          <cell r="L87">
            <v>152076</v>
          </cell>
          <cell r="M87">
            <v>0</v>
          </cell>
          <cell r="N87">
            <v>17.600000000000001</v>
          </cell>
          <cell r="O87">
            <v>0</v>
          </cell>
          <cell r="P87">
            <v>0</v>
          </cell>
        </row>
        <row r="88">
          <cell r="D88">
            <v>5408</v>
          </cell>
          <cell r="E88" t="str">
            <v xml:space="preserve">부천MC              </v>
          </cell>
          <cell r="F88">
            <v>4</v>
          </cell>
          <cell r="G88">
            <v>58889</v>
          </cell>
          <cell r="H88">
            <v>94</v>
          </cell>
          <cell r="I88">
            <v>313</v>
          </cell>
          <cell r="J88">
            <v>0</v>
          </cell>
          <cell r="K88">
            <v>56052</v>
          </cell>
          <cell r="L88">
            <v>-2837</v>
          </cell>
          <cell r="M88">
            <v>159</v>
          </cell>
          <cell r="N88">
            <v>-4.82</v>
          </cell>
          <cell r="O88">
            <v>95</v>
          </cell>
          <cell r="P88">
            <v>254</v>
          </cell>
        </row>
        <row r="89">
          <cell r="D89">
            <v>5406</v>
          </cell>
          <cell r="E89" t="str">
            <v xml:space="preserve">부평JYMC            </v>
          </cell>
          <cell r="F89">
            <v>8</v>
          </cell>
          <cell r="G89">
            <v>55257</v>
          </cell>
          <cell r="H89">
            <v>2</v>
          </cell>
          <cell r="I89">
            <v>0</v>
          </cell>
          <cell r="J89">
            <v>0</v>
          </cell>
          <cell r="K89">
            <v>47912</v>
          </cell>
          <cell r="L89">
            <v>-7345</v>
          </cell>
          <cell r="M89">
            <v>136</v>
          </cell>
          <cell r="N89">
            <v>-13.29</v>
          </cell>
          <cell r="O89">
            <v>84</v>
          </cell>
          <cell r="P89">
            <v>220</v>
          </cell>
        </row>
        <row r="90">
          <cell r="D90">
            <v>5277</v>
          </cell>
          <cell r="E90" t="str">
            <v xml:space="preserve">광화문MC            </v>
          </cell>
          <cell r="F90">
            <v>10</v>
          </cell>
          <cell r="G90">
            <v>123476</v>
          </cell>
          <cell r="H90">
            <v>-250</v>
          </cell>
          <cell r="I90">
            <v>0</v>
          </cell>
          <cell r="J90">
            <v>0</v>
          </cell>
          <cell r="K90">
            <v>107353</v>
          </cell>
          <cell r="L90">
            <v>-16124</v>
          </cell>
          <cell r="M90">
            <v>91</v>
          </cell>
          <cell r="N90">
            <v>-13.06</v>
          </cell>
          <cell r="O90">
            <v>85</v>
          </cell>
          <cell r="P90">
            <v>175</v>
          </cell>
        </row>
        <row r="91">
          <cell r="D91">
            <v>5249</v>
          </cell>
          <cell r="E91" t="str">
            <v xml:space="preserve">GS타워MC            </v>
          </cell>
          <cell r="F91">
            <v>1</v>
          </cell>
          <cell r="G91">
            <v>87234</v>
          </cell>
          <cell r="H91">
            <v>-75</v>
          </cell>
          <cell r="I91">
            <v>0</v>
          </cell>
          <cell r="J91">
            <v>0</v>
          </cell>
          <cell r="K91">
            <v>120046</v>
          </cell>
          <cell r="L91">
            <v>32811</v>
          </cell>
          <cell r="M91">
            <v>225</v>
          </cell>
          <cell r="N91">
            <v>37.61</v>
          </cell>
          <cell r="O91">
            <v>150</v>
          </cell>
          <cell r="P91">
            <v>375</v>
          </cell>
        </row>
        <row r="92">
          <cell r="D92">
            <v>5255</v>
          </cell>
          <cell r="E92" t="str">
            <v xml:space="preserve">영등포MC            </v>
          </cell>
          <cell r="F92">
            <v>9</v>
          </cell>
          <cell r="G92">
            <v>91877</v>
          </cell>
          <cell r="H92">
            <v>-77</v>
          </cell>
          <cell r="I92">
            <v>1184</v>
          </cell>
          <cell r="J92">
            <v>0</v>
          </cell>
          <cell r="K92">
            <v>82146</v>
          </cell>
          <cell r="L92">
            <v>-9731</v>
          </cell>
          <cell r="M92">
            <v>123</v>
          </cell>
          <cell r="N92">
            <v>-10.59</v>
          </cell>
          <cell r="O92">
            <v>88</v>
          </cell>
          <cell r="P92">
            <v>211</v>
          </cell>
        </row>
        <row r="93">
          <cell r="D93">
            <v>5438</v>
          </cell>
          <cell r="E93" t="str">
            <v xml:space="preserve">오산MC              </v>
          </cell>
          <cell r="F93">
            <v>7</v>
          </cell>
          <cell r="G93">
            <v>49924</v>
          </cell>
          <cell r="H93">
            <v>1382</v>
          </cell>
          <cell r="I93">
            <v>1243</v>
          </cell>
          <cell r="J93">
            <v>0</v>
          </cell>
          <cell r="K93">
            <v>45139</v>
          </cell>
          <cell r="L93">
            <v>-4786</v>
          </cell>
          <cell r="M93">
            <v>149</v>
          </cell>
          <cell r="N93">
            <v>-9.59</v>
          </cell>
          <cell r="O93">
            <v>89</v>
          </cell>
          <cell r="P93">
            <v>238</v>
          </cell>
        </row>
        <row r="94">
          <cell r="D94">
            <v>5270</v>
          </cell>
          <cell r="E94" t="str">
            <v xml:space="preserve">강남대로MC          </v>
          </cell>
          <cell r="F94">
            <v>2</v>
          </cell>
          <cell r="G94">
            <v>50914</v>
          </cell>
          <cell r="H94">
            <v>-913</v>
          </cell>
          <cell r="I94">
            <v>249</v>
          </cell>
          <cell r="J94">
            <v>0</v>
          </cell>
          <cell r="K94">
            <v>55601</v>
          </cell>
          <cell r="L94">
            <v>4687</v>
          </cell>
          <cell r="M94">
            <v>198</v>
          </cell>
          <cell r="N94">
            <v>9.2100000000000009</v>
          </cell>
          <cell r="O94">
            <v>113</v>
          </cell>
          <cell r="P94">
            <v>311</v>
          </cell>
        </row>
        <row r="95">
          <cell r="D95">
            <v>5420</v>
          </cell>
          <cell r="E95" t="str">
            <v xml:space="preserve">구리MC              </v>
          </cell>
          <cell r="F95">
            <v>3</v>
          </cell>
          <cell r="G95">
            <v>63668</v>
          </cell>
          <cell r="H95">
            <v>-46</v>
          </cell>
          <cell r="I95">
            <v>0</v>
          </cell>
          <cell r="J95">
            <v>0</v>
          </cell>
          <cell r="K95">
            <v>66650</v>
          </cell>
          <cell r="L95">
            <v>2982</v>
          </cell>
          <cell r="M95">
            <v>189</v>
          </cell>
          <cell r="N95">
            <v>4.68</v>
          </cell>
          <cell r="O95">
            <v>108</v>
          </cell>
          <cell r="P95">
            <v>296</v>
          </cell>
        </row>
        <row r="96">
          <cell r="D96">
            <v>5507</v>
          </cell>
          <cell r="E96" t="str">
            <v xml:space="preserve">충북기업영업부      </v>
          </cell>
          <cell r="F96">
            <v>5</v>
          </cell>
          <cell r="G96">
            <v>44769</v>
          </cell>
          <cell r="H96">
            <v>-31</v>
          </cell>
          <cell r="I96">
            <v>0</v>
          </cell>
          <cell r="J96">
            <v>0</v>
          </cell>
          <cell r="K96">
            <v>41020</v>
          </cell>
          <cell r="L96">
            <v>-3749</v>
          </cell>
          <cell r="M96">
            <v>154</v>
          </cell>
          <cell r="N96">
            <v>-8.3699999999999992</v>
          </cell>
          <cell r="O96">
            <v>91</v>
          </cell>
          <cell r="P96">
            <v>245</v>
          </cell>
        </row>
        <row r="97">
          <cell r="D97">
            <v>5267</v>
          </cell>
          <cell r="E97" t="str">
            <v xml:space="preserve">장안동MC            </v>
          </cell>
          <cell r="F97">
            <v>6</v>
          </cell>
          <cell r="G97">
            <v>40830</v>
          </cell>
          <cell r="H97">
            <v>14</v>
          </cell>
          <cell r="I97">
            <v>0</v>
          </cell>
          <cell r="J97">
            <v>0</v>
          </cell>
          <cell r="K97">
            <v>36638</v>
          </cell>
          <cell r="L97">
            <v>-4193</v>
          </cell>
          <cell r="M97">
            <v>152</v>
          </cell>
          <cell r="N97">
            <v>-10.27</v>
          </cell>
          <cell r="O97">
            <v>88</v>
          </cell>
          <cell r="P97">
            <v>240</v>
          </cell>
        </row>
        <row r="98">
          <cell r="D98">
            <v>9998</v>
          </cell>
          <cell r="E98" t="str">
            <v xml:space="preserve">M07군2소계          </v>
          </cell>
          <cell r="F98">
            <v>0</v>
          </cell>
          <cell r="G98">
            <v>579606</v>
          </cell>
          <cell r="H98">
            <v>175</v>
          </cell>
          <cell r="I98">
            <v>2989</v>
          </cell>
          <cell r="J98">
            <v>0</v>
          </cell>
          <cell r="K98">
            <v>538511</v>
          </cell>
          <cell r="L98">
            <v>-41095</v>
          </cell>
          <cell r="M98">
            <v>0</v>
          </cell>
          <cell r="N98">
            <v>-7.09</v>
          </cell>
          <cell r="O98">
            <v>0</v>
          </cell>
          <cell r="P98">
            <v>0</v>
          </cell>
        </row>
        <row r="99">
          <cell r="D99">
            <v>9999</v>
          </cell>
          <cell r="E99" t="str">
            <v xml:space="preserve">M07군1소계          </v>
          </cell>
          <cell r="F99">
            <v>0</v>
          </cell>
          <cell r="G99">
            <v>666840</v>
          </cell>
          <cell r="H99">
            <v>100</v>
          </cell>
          <cell r="I99">
            <v>2989</v>
          </cell>
          <cell r="J99">
            <v>0</v>
          </cell>
          <cell r="K99">
            <v>658557</v>
          </cell>
          <cell r="L99">
            <v>-8284</v>
          </cell>
          <cell r="M99">
            <v>0</v>
          </cell>
          <cell r="N99">
            <v>-1.24</v>
          </cell>
          <cell r="O99">
            <v>0</v>
          </cell>
          <cell r="P99">
            <v>0</v>
          </cell>
        </row>
        <row r="100">
          <cell r="D100">
            <v>5428</v>
          </cell>
          <cell r="E100" t="str">
            <v xml:space="preserve">평촌역MC            </v>
          </cell>
          <cell r="F100">
            <v>10</v>
          </cell>
          <cell r="G100">
            <v>50172</v>
          </cell>
          <cell r="H100">
            <v>-194</v>
          </cell>
          <cell r="I100">
            <v>0</v>
          </cell>
          <cell r="J100">
            <v>0</v>
          </cell>
          <cell r="K100">
            <v>51913</v>
          </cell>
          <cell r="L100">
            <v>1741</v>
          </cell>
          <cell r="M100">
            <v>128</v>
          </cell>
          <cell r="N100">
            <v>3.47</v>
          </cell>
          <cell r="O100">
            <v>84</v>
          </cell>
          <cell r="P100">
            <v>212</v>
          </cell>
        </row>
        <row r="101">
          <cell r="D101">
            <v>5415</v>
          </cell>
          <cell r="E101" t="str">
            <v xml:space="preserve">파주 LCD MC         </v>
          </cell>
          <cell r="F101">
            <v>2</v>
          </cell>
          <cell r="G101">
            <v>63008</v>
          </cell>
          <cell r="H101">
            <v>-6</v>
          </cell>
          <cell r="I101">
            <v>0</v>
          </cell>
          <cell r="J101">
            <v>0</v>
          </cell>
          <cell r="K101">
            <v>81080</v>
          </cell>
          <cell r="L101">
            <v>18073</v>
          </cell>
          <cell r="M101">
            <v>195</v>
          </cell>
          <cell r="N101">
            <v>28.68</v>
          </cell>
          <cell r="O101">
            <v>123</v>
          </cell>
          <cell r="P101">
            <v>318</v>
          </cell>
        </row>
        <row r="102">
          <cell r="D102">
            <v>5248</v>
          </cell>
          <cell r="E102" t="str">
            <v xml:space="preserve">테헤란로JYMC        </v>
          </cell>
          <cell r="F102">
            <v>5</v>
          </cell>
          <cell r="G102">
            <v>69692</v>
          </cell>
          <cell r="H102">
            <v>-101</v>
          </cell>
          <cell r="I102">
            <v>0</v>
          </cell>
          <cell r="J102">
            <v>0</v>
          </cell>
          <cell r="K102">
            <v>79730</v>
          </cell>
          <cell r="L102">
            <v>10038</v>
          </cell>
          <cell r="M102">
            <v>162</v>
          </cell>
          <cell r="N102">
            <v>14.4</v>
          </cell>
          <cell r="O102">
            <v>101</v>
          </cell>
          <cell r="P102">
            <v>263</v>
          </cell>
        </row>
        <row r="103">
          <cell r="D103">
            <v>5437</v>
          </cell>
          <cell r="E103" t="str">
            <v xml:space="preserve">남동JYMC            </v>
          </cell>
          <cell r="F103">
            <v>9</v>
          </cell>
          <cell r="G103">
            <v>36527</v>
          </cell>
          <cell r="H103">
            <v>4</v>
          </cell>
          <cell r="I103">
            <v>0</v>
          </cell>
          <cell r="J103">
            <v>0</v>
          </cell>
          <cell r="K103">
            <v>39961</v>
          </cell>
          <cell r="L103">
            <v>3434</v>
          </cell>
          <cell r="M103">
            <v>135</v>
          </cell>
          <cell r="N103">
            <v>9.4</v>
          </cell>
          <cell r="O103">
            <v>93</v>
          </cell>
          <cell r="P103">
            <v>228</v>
          </cell>
        </row>
        <row r="104">
          <cell r="D104">
            <v>5284</v>
          </cell>
          <cell r="E104" t="str">
            <v xml:space="preserve">강남역MC            </v>
          </cell>
          <cell r="F104">
            <v>7</v>
          </cell>
          <cell r="G104">
            <v>26595</v>
          </cell>
          <cell r="H104">
            <v>-2588</v>
          </cell>
          <cell r="I104">
            <v>0</v>
          </cell>
          <cell r="J104">
            <v>0</v>
          </cell>
          <cell r="K104">
            <v>31983</v>
          </cell>
          <cell r="L104">
            <v>5388</v>
          </cell>
          <cell r="M104">
            <v>143</v>
          </cell>
          <cell r="N104">
            <v>20.260000000000002</v>
          </cell>
          <cell r="O104">
            <v>110</v>
          </cell>
          <cell r="P104">
            <v>253</v>
          </cell>
        </row>
        <row r="105">
          <cell r="D105">
            <v>5703</v>
          </cell>
          <cell r="E105" t="str">
            <v xml:space="preserve">구미MC              </v>
          </cell>
          <cell r="F105">
            <v>4</v>
          </cell>
          <cell r="G105">
            <v>84889</v>
          </cell>
          <cell r="H105">
            <v>217</v>
          </cell>
          <cell r="I105">
            <v>1037</v>
          </cell>
          <cell r="J105">
            <v>0</v>
          </cell>
          <cell r="K105">
            <v>97069</v>
          </cell>
          <cell r="L105">
            <v>12181</v>
          </cell>
          <cell r="M105">
            <v>171</v>
          </cell>
          <cell r="N105">
            <v>14.35</v>
          </cell>
          <cell r="O105">
            <v>101</v>
          </cell>
          <cell r="P105">
            <v>272</v>
          </cell>
        </row>
        <row r="106">
          <cell r="D106">
            <v>5273</v>
          </cell>
          <cell r="E106" t="str">
            <v xml:space="preserve">퇴계로MC            </v>
          </cell>
          <cell r="F106">
            <v>1</v>
          </cell>
          <cell r="G106">
            <v>50577</v>
          </cell>
          <cell r="H106">
            <v>-49343</v>
          </cell>
          <cell r="I106">
            <v>0</v>
          </cell>
          <cell r="J106">
            <v>0</v>
          </cell>
          <cell r="K106">
            <v>68777</v>
          </cell>
          <cell r="L106">
            <v>18200</v>
          </cell>
          <cell r="M106">
            <v>196</v>
          </cell>
          <cell r="N106">
            <v>35.979999999999997</v>
          </cell>
          <cell r="O106">
            <v>134</v>
          </cell>
          <cell r="P106">
            <v>330</v>
          </cell>
        </row>
        <row r="107">
          <cell r="D107">
            <v>5607</v>
          </cell>
          <cell r="E107" t="str">
            <v xml:space="preserve">사상MC              </v>
          </cell>
          <cell r="F107">
            <v>3</v>
          </cell>
          <cell r="G107">
            <v>31398</v>
          </cell>
          <cell r="H107">
            <v>-34</v>
          </cell>
          <cell r="I107">
            <v>0</v>
          </cell>
          <cell r="J107">
            <v>0</v>
          </cell>
          <cell r="K107">
            <v>40574</v>
          </cell>
          <cell r="L107">
            <v>9176</v>
          </cell>
          <cell r="M107">
            <v>159</v>
          </cell>
          <cell r="N107">
            <v>29.22</v>
          </cell>
          <cell r="O107">
            <v>123</v>
          </cell>
          <cell r="P107">
            <v>282</v>
          </cell>
        </row>
        <row r="108">
          <cell r="D108">
            <v>5502</v>
          </cell>
          <cell r="E108" t="str">
            <v xml:space="preserve">대전MC              </v>
          </cell>
          <cell r="F108">
            <v>8</v>
          </cell>
          <cell r="G108">
            <v>38296</v>
          </cell>
          <cell r="H108">
            <v>-7324</v>
          </cell>
          <cell r="I108">
            <v>0</v>
          </cell>
          <cell r="J108">
            <v>0</v>
          </cell>
          <cell r="K108">
            <v>43349</v>
          </cell>
          <cell r="L108">
            <v>5053</v>
          </cell>
          <cell r="M108">
            <v>142</v>
          </cell>
          <cell r="N108">
            <v>13.19</v>
          </cell>
          <cell r="O108">
            <v>99</v>
          </cell>
          <cell r="P108">
            <v>241</v>
          </cell>
        </row>
        <row r="109">
          <cell r="D109">
            <v>5271</v>
          </cell>
          <cell r="E109" t="str">
            <v xml:space="preserve">남부터미널MC        </v>
          </cell>
          <cell r="F109">
            <v>11</v>
          </cell>
          <cell r="G109">
            <v>49016</v>
          </cell>
          <cell r="H109">
            <v>-88</v>
          </cell>
          <cell r="I109">
            <v>0</v>
          </cell>
          <cell r="J109">
            <v>0</v>
          </cell>
          <cell r="K109">
            <v>45823</v>
          </cell>
          <cell r="L109">
            <v>-3194</v>
          </cell>
          <cell r="M109">
            <v>108</v>
          </cell>
          <cell r="N109">
            <v>-6.52</v>
          </cell>
          <cell r="O109">
            <v>68</v>
          </cell>
          <cell r="P109">
            <v>177</v>
          </cell>
        </row>
        <row r="110">
          <cell r="D110">
            <v>5202</v>
          </cell>
          <cell r="E110" t="str">
            <v xml:space="preserve">창신동MC            </v>
          </cell>
          <cell r="F110">
            <v>6</v>
          </cell>
          <cell r="G110">
            <v>46778</v>
          </cell>
          <cell r="H110">
            <v>-9</v>
          </cell>
          <cell r="I110">
            <v>0</v>
          </cell>
          <cell r="J110">
            <v>0</v>
          </cell>
          <cell r="K110">
            <v>54126</v>
          </cell>
          <cell r="L110">
            <v>7348</v>
          </cell>
          <cell r="M110">
            <v>151</v>
          </cell>
          <cell r="N110">
            <v>15.71</v>
          </cell>
          <cell r="O110">
            <v>103</v>
          </cell>
          <cell r="P110">
            <v>254</v>
          </cell>
        </row>
        <row r="111">
          <cell r="D111">
            <v>5242</v>
          </cell>
          <cell r="E111" t="str">
            <v xml:space="preserve">양재남MC            </v>
          </cell>
          <cell r="F111">
            <v>12</v>
          </cell>
          <cell r="G111">
            <v>53035</v>
          </cell>
          <cell r="H111">
            <v>24</v>
          </cell>
          <cell r="I111">
            <v>0</v>
          </cell>
          <cell r="J111">
            <v>0</v>
          </cell>
          <cell r="K111">
            <v>49713</v>
          </cell>
          <cell r="L111">
            <v>-3323</v>
          </cell>
          <cell r="M111">
            <v>108</v>
          </cell>
          <cell r="N111">
            <v>-6.27</v>
          </cell>
          <cell r="O111">
            <v>69</v>
          </cell>
          <cell r="P111">
            <v>177</v>
          </cell>
        </row>
        <row r="112">
          <cell r="D112">
            <v>9998</v>
          </cell>
          <cell r="E112" t="str">
            <v xml:space="preserve">M08군2소계          </v>
          </cell>
          <cell r="F112">
            <v>0</v>
          </cell>
          <cell r="G112">
            <v>599985</v>
          </cell>
          <cell r="H112">
            <v>-59443</v>
          </cell>
          <cell r="I112">
            <v>1037</v>
          </cell>
          <cell r="J112">
            <v>0</v>
          </cell>
          <cell r="K112">
            <v>684098</v>
          </cell>
          <cell r="L112">
            <v>84113</v>
          </cell>
          <cell r="M112">
            <v>0</v>
          </cell>
          <cell r="N112">
            <v>14.02</v>
          </cell>
          <cell r="O112">
            <v>0</v>
          </cell>
          <cell r="P112">
            <v>0</v>
          </cell>
        </row>
        <row r="113">
          <cell r="D113">
            <v>9999</v>
          </cell>
          <cell r="E113" t="str">
            <v xml:space="preserve">M08군1소계          </v>
          </cell>
          <cell r="F113">
            <v>0</v>
          </cell>
          <cell r="G113">
            <v>599985</v>
          </cell>
          <cell r="H113">
            <v>-59443</v>
          </cell>
          <cell r="I113">
            <v>1037</v>
          </cell>
          <cell r="J113">
            <v>0</v>
          </cell>
          <cell r="K113">
            <v>684098</v>
          </cell>
          <cell r="L113">
            <v>84113</v>
          </cell>
          <cell r="M113">
            <v>0</v>
          </cell>
          <cell r="N113">
            <v>14.02</v>
          </cell>
          <cell r="O113">
            <v>0</v>
          </cell>
          <cell r="P113">
            <v>0</v>
          </cell>
        </row>
        <row r="114">
          <cell r="D114">
            <v>5434</v>
          </cell>
          <cell r="E114" t="str">
            <v xml:space="preserve">송현동MC            </v>
          </cell>
          <cell r="F114">
            <v>10</v>
          </cell>
          <cell r="G114">
            <v>24021</v>
          </cell>
          <cell r="H114">
            <v>-48</v>
          </cell>
          <cell r="I114">
            <v>0</v>
          </cell>
          <cell r="J114">
            <v>0</v>
          </cell>
          <cell r="K114">
            <v>22735</v>
          </cell>
          <cell r="L114">
            <v>-1286</v>
          </cell>
          <cell r="M114">
            <v>121</v>
          </cell>
          <cell r="N114">
            <v>-5.35</v>
          </cell>
          <cell r="O114">
            <v>74</v>
          </cell>
          <cell r="P114">
            <v>194</v>
          </cell>
        </row>
        <row r="115">
          <cell r="D115">
            <v>5706</v>
          </cell>
          <cell r="E115" t="str">
            <v xml:space="preserve">성서공단MC          </v>
          </cell>
          <cell r="F115">
            <v>5</v>
          </cell>
          <cell r="G115">
            <v>28295</v>
          </cell>
          <cell r="H115">
            <v>-88</v>
          </cell>
          <cell r="I115">
            <v>0</v>
          </cell>
          <cell r="J115">
            <v>0</v>
          </cell>
          <cell r="K115">
            <v>30667</v>
          </cell>
          <cell r="L115">
            <v>2372</v>
          </cell>
          <cell r="M115">
            <v>151</v>
          </cell>
          <cell r="N115">
            <v>8.3800000000000008</v>
          </cell>
          <cell r="O115">
            <v>108</v>
          </cell>
          <cell r="P115">
            <v>259</v>
          </cell>
        </row>
        <row r="116">
          <cell r="D116">
            <v>5616</v>
          </cell>
          <cell r="E116" t="str">
            <v xml:space="preserve">부전동MC            </v>
          </cell>
          <cell r="F116">
            <v>3</v>
          </cell>
          <cell r="G116">
            <v>42109</v>
          </cell>
          <cell r="H116">
            <v>77</v>
          </cell>
          <cell r="I116">
            <v>3651</v>
          </cell>
          <cell r="J116">
            <v>0</v>
          </cell>
          <cell r="K116">
            <v>45928</v>
          </cell>
          <cell r="L116">
            <v>3820</v>
          </cell>
          <cell r="M116">
            <v>163</v>
          </cell>
          <cell r="N116">
            <v>9.07</v>
          </cell>
          <cell r="O116">
            <v>110</v>
          </cell>
          <cell r="P116">
            <v>273</v>
          </cell>
        </row>
        <row r="117">
          <cell r="D117">
            <v>5269</v>
          </cell>
          <cell r="E117" t="str">
            <v xml:space="preserve">마포MC              </v>
          </cell>
          <cell r="F117">
            <v>4</v>
          </cell>
          <cell r="G117">
            <v>63494</v>
          </cell>
          <cell r="H117">
            <v>37</v>
          </cell>
          <cell r="I117">
            <v>0</v>
          </cell>
          <cell r="J117">
            <v>0</v>
          </cell>
          <cell r="K117">
            <v>67751</v>
          </cell>
          <cell r="L117">
            <v>4257</v>
          </cell>
          <cell r="M117">
            <v>166</v>
          </cell>
          <cell r="N117">
            <v>6.7</v>
          </cell>
          <cell r="O117">
            <v>104</v>
          </cell>
          <cell r="P117">
            <v>270</v>
          </cell>
        </row>
        <row r="118">
          <cell r="D118">
            <v>5430</v>
          </cell>
          <cell r="E118" t="str">
            <v xml:space="preserve">송림동MC            </v>
          </cell>
          <cell r="F118">
            <v>9</v>
          </cell>
          <cell r="G118">
            <v>37909</v>
          </cell>
          <cell r="H118">
            <v>-30</v>
          </cell>
          <cell r="I118">
            <v>0</v>
          </cell>
          <cell r="J118">
            <v>0</v>
          </cell>
          <cell r="K118">
            <v>37966</v>
          </cell>
          <cell r="L118">
            <v>58</v>
          </cell>
          <cell r="M118">
            <v>132</v>
          </cell>
          <cell r="N118">
            <v>0.15</v>
          </cell>
          <cell r="O118">
            <v>88</v>
          </cell>
          <cell r="P118">
            <v>219</v>
          </cell>
        </row>
        <row r="119">
          <cell r="D119">
            <v>5231</v>
          </cell>
          <cell r="E119" t="str">
            <v xml:space="preserve">사당동MC            </v>
          </cell>
          <cell r="F119">
            <v>8</v>
          </cell>
          <cell r="G119">
            <v>51108</v>
          </cell>
          <cell r="H119">
            <v>-1</v>
          </cell>
          <cell r="I119">
            <v>0</v>
          </cell>
          <cell r="J119">
            <v>0</v>
          </cell>
          <cell r="K119">
            <v>51954</v>
          </cell>
          <cell r="L119">
            <v>846</v>
          </cell>
          <cell r="M119">
            <v>138</v>
          </cell>
          <cell r="N119">
            <v>1.66</v>
          </cell>
          <cell r="O119">
            <v>91</v>
          </cell>
          <cell r="P119">
            <v>229</v>
          </cell>
        </row>
        <row r="120">
          <cell r="D120">
            <v>5501</v>
          </cell>
          <cell r="E120" t="str">
            <v xml:space="preserve">오창MC              </v>
          </cell>
          <cell r="F120">
            <v>6</v>
          </cell>
          <cell r="G120">
            <v>41356</v>
          </cell>
          <cell r="H120">
            <v>1874</v>
          </cell>
          <cell r="I120">
            <v>0</v>
          </cell>
          <cell r="J120">
            <v>0</v>
          </cell>
          <cell r="K120">
            <v>42717</v>
          </cell>
          <cell r="L120">
            <v>1361</v>
          </cell>
          <cell r="M120">
            <v>142</v>
          </cell>
          <cell r="N120">
            <v>3.29</v>
          </cell>
          <cell r="O120">
            <v>95</v>
          </cell>
          <cell r="P120">
            <v>238</v>
          </cell>
        </row>
        <row r="121">
          <cell r="D121">
            <v>5711</v>
          </cell>
          <cell r="E121" t="str">
            <v xml:space="preserve">대구3공단MC         </v>
          </cell>
          <cell r="F121">
            <v>7</v>
          </cell>
          <cell r="G121">
            <v>22046</v>
          </cell>
          <cell r="H121">
            <v>-17441</v>
          </cell>
          <cell r="I121">
            <v>0</v>
          </cell>
          <cell r="J121">
            <v>0</v>
          </cell>
          <cell r="K121">
            <v>22621</v>
          </cell>
          <cell r="L121">
            <v>574</v>
          </cell>
          <cell r="M121">
            <v>136</v>
          </cell>
          <cell r="N121">
            <v>2.61</v>
          </cell>
          <cell r="O121">
            <v>94</v>
          </cell>
          <cell r="P121">
            <v>230</v>
          </cell>
        </row>
        <row r="122">
          <cell r="D122">
            <v>5605</v>
          </cell>
          <cell r="E122" t="str">
            <v xml:space="preserve">부산MC              </v>
          </cell>
          <cell r="F122">
            <v>11</v>
          </cell>
          <cell r="G122">
            <v>89595</v>
          </cell>
          <cell r="H122">
            <v>1974</v>
          </cell>
          <cell r="I122">
            <v>6611</v>
          </cell>
          <cell r="J122">
            <v>0</v>
          </cell>
          <cell r="K122">
            <v>86776</v>
          </cell>
          <cell r="L122">
            <v>-2819</v>
          </cell>
          <cell r="M122">
            <v>108</v>
          </cell>
          <cell r="N122">
            <v>-3.15</v>
          </cell>
          <cell r="O122">
            <v>79</v>
          </cell>
          <cell r="P122">
            <v>187</v>
          </cell>
        </row>
        <row r="123">
          <cell r="D123">
            <v>5233</v>
          </cell>
          <cell r="E123" t="str">
            <v xml:space="preserve">강북MC              </v>
          </cell>
          <cell r="F123">
            <v>1</v>
          </cell>
          <cell r="G123">
            <v>36697</v>
          </cell>
          <cell r="H123">
            <v>19</v>
          </cell>
          <cell r="I123">
            <v>0</v>
          </cell>
          <cell r="J123">
            <v>0</v>
          </cell>
          <cell r="K123">
            <v>44819</v>
          </cell>
          <cell r="L123">
            <v>8122</v>
          </cell>
          <cell r="M123">
            <v>198</v>
          </cell>
          <cell r="N123">
            <v>22.13</v>
          </cell>
          <cell r="O123">
            <v>143</v>
          </cell>
          <cell r="P123">
            <v>341</v>
          </cell>
        </row>
        <row r="124">
          <cell r="D124">
            <v>5702</v>
          </cell>
          <cell r="E124" t="str">
            <v xml:space="preserve">포항MC              </v>
          </cell>
          <cell r="F124">
            <v>2</v>
          </cell>
          <cell r="G124">
            <v>61578</v>
          </cell>
          <cell r="H124">
            <v>188</v>
          </cell>
          <cell r="I124">
            <v>0</v>
          </cell>
          <cell r="J124">
            <v>0</v>
          </cell>
          <cell r="K124">
            <v>69552</v>
          </cell>
          <cell r="L124">
            <v>7974</v>
          </cell>
          <cell r="M124">
            <v>197</v>
          </cell>
          <cell r="N124">
            <v>12.95</v>
          </cell>
          <cell r="O124">
            <v>120</v>
          </cell>
          <cell r="P124">
            <v>317</v>
          </cell>
        </row>
        <row r="125">
          <cell r="D125">
            <v>9998</v>
          </cell>
          <cell r="E125" t="str">
            <v xml:space="preserve">M09군2소계          </v>
          </cell>
          <cell r="F125">
            <v>0</v>
          </cell>
          <cell r="G125">
            <v>498209</v>
          </cell>
          <cell r="H125">
            <v>-13440</v>
          </cell>
          <cell r="I125">
            <v>10262</v>
          </cell>
          <cell r="J125">
            <v>0</v>
          </cell>
          <cell r="K125">
            <v>523487</v>
          </cell>
          <cell r="L125">
            <v>25279</v>
          </cell>
          <cell r="M125">
            <v>0</v>
          </cell>
          <cell r="N125">
            <v>5.07</v>
          </cell>
          <cell r="O125">
            <v>0</v>
          </cell>
          <cell r="P125">
            <v>0</v>
          </cell>
        </row>
        <row r="126">
          <cell r="D126">
            <v>9999</v>
          </cell>
          <cell r="E126" t="str">
            <v xml:space="preserve">M09군1소계          </v>
          </cell>
          <cell r="F126">
            <v>0</v>
          </cell>
          <cell r="G126">
            <v>498209</v>
          </cell>
          <cell r="H126">
            <v>-13440</v>
          </cell>
          <cell r="I126">
            <v>10262</v>
          </cell>
          <cell r="J126">
            <v>0</v>
          </cell>
          <cell r="K126">
            <v>523487</v>
          </cell>
          <cell r="L126">
            <v>25279</v>
          </cell>
          <cell r="M126">
            <v>0</v>
          </cell>
          <cell r="N126">
            <v>5.07</v>
          </cell>
          <cell r="O126">
            <v>0</v>
          </cell>
          <cell r="P126">
            <v>0</v>
          </cell>
        </row>
        <row r="127">
          <cell r="D127">
            <v>5281</v>
          </cell>
          <cell r="E127" t="str">
            <v xml:space="preserve">디지털산업MC        </v>
          </cell>
          <cell r="F127">
            <v>1</v>
          </cell>
          <cell r="G127">
            <v>54675</v>
          </cell>
          <cell r="H127">
            <v>7</v>
          </cell>
          <cell r="I127">
            <v>0</v>
          </cell>
          <cell r="J127">
            <v>0</v>
          </cell>
          <cell r="K127">
            <v>64127</v>
          </cell>
          <cell r="L127">
            <v>9453</v>
          </cell>
          <cell r="M127">
            <v>188</v>
          </cell>
          <cell r="N127">
            <v>17.29</v>
          </cell>
          <cell r="O127">
            <v>126</v>
          </cell>
          <cell r="P127">
            <v>314</v>
          </cell>
        </row>
        <row r="128">
          <cell r="D128">
            <v>5245</v>
          </cell>
          <cell r="E128" t="str">
            <v xml:space="preserve">역삼역MC            </v>
          </cell>
          <cell r="F128">
            <v>7</v>
          </cell>
          <cell r="G128">
            <v>72706</v>
          </cell>
          <cell r="H128">
            <v>1416</v>
          </cell>
          <cell r="I128">
            <v>0</v>
          </cell>
          <cell r="J128">
            <v>0</v>
          </cell>
          <cell r="K128">
            <v>64907</v>
          </cell>
          <cell r="L128">
            <v>-7799</v>
          </cell>
          <cell r="M128">
            <v>122</v>
          </cell>
          <cell r="N128">
            <v>-10.73</v>
          </cell>
          <cell r="O128">
            <v>85</v>
          </cell>
          <cell r="P128">
            <v>207</v>
          </cell>
        </row>
        <row r="129">
          <cell r="D129">
            <v>5618</v>
          </cell>
          <cell r="E129" t="str">
            <v xml:space="preserve">김해MC              </v>
          </cell>
          <cell r="F129">
            <v>3</v>
          </cell>
          <cell r="G129">
            <v>32052</v>
          </cell>
          <cell r="H129">
            <v>-51</v>
          </cell>
          <cell r="I129">
            <v>0</v>
          </cell>
          <cell r="J129">
            <v>0</v>
          </cell>
          <cell r="K129">
            <v>34892</v>
          </cell>
          <cell r="L129">
            <v>2840</v>
          </cell>
          <cell r="M129">
            <v>162</v>
          </cell>
          <cell r="N129">
            <v>8.86</v>
          </cell>
          <cell r="O129">
            <v>114</v>
          </cell>
          <cell r="P129">
            <v>276</v>
          </cell>
        </row>
        <row r="130">
          <cell r="D130">
            <v>5709</v>
          </cell>
          <cell r="E130" t="str">
            <v xml:space="preserve">경주MC              </v>
          </cell>
          <cell r="F130">
            <v>2</v>
          </cell>
          <cell r="G130">
            <v>50167</v>
          </cell>
          <cell r="H130">
            <v>-99</v>
          </cell>
          <cell r="I130">
            <v>7</v>
          </cell>
          <cell r="J130">
            <v>0</v>
          </cell>
          <cell r="K130">
            <v>58628</v>
          </cell>
          <cell r="L130">
            <v>8461</v>
          </cell>
          <cell r="M130">
            <v>184</v>
          </cell>
          <cell r="N130">
            <v>16.87</v>
          </cell>
          <cell r="O130">
            <v>126</v>
          </cell>
          <cell r="P130">
            <v>310</v>
          </cell>
        </row>
        <row r="131">
          <cell r="D131">
            <v>5423</v>
          </cell>
          <cell r="E131" t="str">
            <v xml:space="preserve">원주MC              </v>
          </cell>
          <cell r="F131">
            <v>8</v>
          </cell>
          <cell r="G131">
            <v>95721</v>
          </cell>
          <cell r="H131">
            <v>-91</v>
          </cell>
          <cell r="I131">
            <v>992</v>
          </cell>
          <cell r="J131">
            <v>0</v>
          </cell>
          <cell r="K131">
            <v>81056</v>
          </cell>
          <cell r="L131">
            <v>-14665</v>
          </cell>
          <cell r="M131">
            <v>95</v>
          </cell>
          <cell r="N131">
            <v>-15.32</v>
          </cell>
          <cell r="O131">
            <v>79</v>
          </cell>
          <cell r="P131">
            <v>174</v>
          </cell>
        </row>
        <row r="132">
          <cell r="D132">
            <v>5266</v>
          </cell>
          <cell r="E132" t="str">
            <v xml:space="preserve">시흥남MC            </v>
          </cell>
          <cell r="F132">
            <v>4</v>
          </cell>
          <cell r="G132">
            <v>30392</v>
          </cell>
          <cell r="H132">
            <v>-33</v>
          </cell>
          <cell r="I132">
            <v>0</v>
          </cell>
          <cell r="J132">
            <v>0</v>
          </cell>
          <cell r="K132">
            <v>31066</v>
          </cell>
          <cell r="L132">
            <v>674</v>
          </cell>
          <cell r="M132">
            <v>154</v>
          </cell>
          <cell r="N132">
            <v>2.2200000000000002</v>
          </cell>
          <cell r="O132">
            <v>104</v>
          </cell>
          <cell r="P132">
            <v>258</v>
          </cell>
        </row>
        <row r="133">
          <cell r="D133">
            <v>5431</v>
          </cell>
          <cell r="E133" t="str">
            <v xml:space="preserve">신갈MC              </v>
          </cell>
          <cell r="F133">
            <v>5</v>
          </cell>
          <cell r="G133">
            <v>50657</v>
          </cell>
          <cell r="H133">
            <v>-12</v>
          </cell>
          <cell r="I133">
            <v>0</v>
          </cell>
          <cell r="J133">
            <v>0</v>
          </cell>
          <cell r="K133">
            <v>50782</v>
          </cell>
          <cell r="L133">
            <v>125</v>
          </cell>
          <cell r="M133">
            <v>152</v>
          </cell>
          <cell r="N133">
            <v>0.25</v>
          </cell>
          <cell r="O133">
            <v>101</v>
          </cell>
          <cell r="P133">
            <v>253</v>
          </cell>
        </row>
        <row r="134">
          <cell r="D134">
            <v>5230</v>
          </cell>
          <cell r="E134" t="str">
            <v xml:space="preserve">강동MC              </v>
          </cell>
          <cell r="F134">
            <v>6</v>
          </cell>
          <cell r="G134">
            <v>24841</v>
          </cell>
          <cell r="H134">
            <v>50</v>
          </cell>
          <cell r="I134">
            <v>0</v>
          </cell>
          <cell r="J134">
            <v>0</v>
          </cell>
          <cell r="K134">
            <v>22651</v>
          </cell>
          <cell r="L134">
            <v>-2190</v>
          </cell>
          <cell r="M134">
            <v>143</v>
          </cell>
          <cell r="N134">
            <v>-8.82</v>
          </cell>
          <cell r="O134">
            <v>88</v>
          </cell>
          <cell r="P134">
            <v>231</v>
          </cell>
        </row>
        <row r="135">
          <cell r="D135">
            <v>9998</v>
          </cell>
          <cell r="E135" t="str">
            <v xml:space="preserve">M10군2소계          </v>
          </cell>
          <cell r="F135">
            <v>0</v>
          </cell>
          <cell r="G135">
            <v>411210</v>
          </cell>
          <cell r="H135">
            <v>1187</v>
          </cell>
          <cell r="I135">
            <v>998</v>
          </cell>
          <cell r="J135">
            <v>0</v>
          </cell>
          <cell r="K135">
            <v>408109</v>
          </cell>
          <cell r="L135">
            <v>-3101</v>
          </cell>
          <cell r="M135">
            <v>0</v>
          </cell>
          <cell r="N135">
            <v>-0.75</v>
          </cell>
          <cell r="O135">
            <v>0</v>
          </cell>
          <cell r="P135">
            <v>0</v>
          </cell>
        </row>
        <row r="136">
          <cell r="D136">
            <v>9999</v>
          </cell>
          <cell r="E136" t="str">
            <v xml:space="preserve">M10군1소계          </v>
          </cell>
          <cell r="F136">
            <v>0</v>
          </cell>
          <cell r="G136">
            <v>411210</v>
          </cell>
          <cell r="H136">
            <v>1187</v>
          </cell>
          <cell r="I136">
            <v>998</v>
          </cell>
          <cell r="J136">
            <v>0</v>
          </cell>
          <cell r="K136">
            <v>408109</v>
          </cell>
          <cell r="L136">
            <v>-3101</v>
          </cell>
          <cell r="M136">
            <v>0</v>
          </cell>
          <cell r="N136">
            <v>-0.75</v>
          </cell>
          <cell r="O136">
            <v>0</v>
          </cell>
          <cell r="P136">
            <v>0</v>
          </cell>
        </row>
        <row r="137">
          <cell r="D137">
            <v>5280</v>
          </cell>
          <cell r="E137" t="str">
            <v xml:space="preserve">가락JYMC            </v>
          </cell>
          <cell r="F137">
            <v>3</v>
          </cell>
          <cell r="G137">
            <v>65846</v>
          </cell>
          <cell r="H137">
            <v>-76</v>
          </cell>
          <cell r="I137">
            <v>2191</v>
          </cell>
          <cell r="J137">
            <v>0</v>
          </cell>
          <cell r="K137">
            <v>67867</v>
          </cell>
          <cell r="L137">
            <v>2021</v>
          </cell>
          <cell r="M137">
            <v>169</v>
          </cell>
          <cell r="N137">
            <v>3.07</v>
          </cell>
          <cell r="O137">
            <v>107</v>
          </cell>
          <cell r="P137">
            <v>276</v>
          </cell>
        </row>
        <row r="138">
          <cell r="D138">
            <v>5416</v>
          </cell>
          <cell r="E138" t="str">
            <v xml:space="preserve">시화공단MC          </v>
          </cell>
          <cell r="F138">
            <v>6</v>
          </cell>
          <cell r="G138">
            <v>41164</v>
          </cell>
          <cell r="H138">
            <v>-123</v>
          </cell>
          <cell r="I138">
            <v>0</v>
          </cell>
          <cell r="J138">
            <v>0</v>
          </cell>
          <cell r="K138">
            <v>39424</v>
          </cell>
          <cell r="L138">
            <v>-1740</v>
          </cell>
          <cell r="M138">
            <v>131</v>
          </cell>
          <cell r="N138">
            <v>-4.2300000000000004</v>
          </cell>
          <cell r="O138">
            <v>88</v>
          </cell>
          <cell r="P138">
            <v>219</v>
          </cell>
        </row>
        <row r="139">
          <cell r="D139">
            <v>5611</v>
          </cell>
          <cell r="E139" t="str">
            <v xml:space="preserve">연산JYMC            </v>
          </cell>
          <cell r="F139">
            <v>7</v>
          </cell>
          <cell r="G139">
            <v>40600</v>
          </cell>
          <cell r="H139">
            <v>-14</v>
          </cell>
          <cell r="I139">
            <v>0</v>
          </cell>
          <cell r="J139">
            <v>0</v>
          </cell>
          <cell r="K139">
            <v>36554</v>
          </cell>
          <cell r="L139">
            <v>-4045</v>
          </cell>
          <cell r="M139">
            <v>108</v>
          </cell>
          <cell r="N139">
            <v>-9.9600000000000009</v>
          </cell>
          <cell r="O139">
            <v>72</v>
          </cell>
          <cell r="P139">
            <v>180</v>
          </cell>
        </row>
        <row r="140">
          <cell r="D140">
            <v>5279</v>
          </cell>
          <cell r="E140" t="str">
            <v xml:space="preserve">자양동MC            </v>
          </cell>
          <cell r="F140">
            <v>4</v>
          </cell>
          <cell r="G140">
            <v>32885</v>
          </cell>
          <cell r="H140">
            <v>103</v>
          </cell>
          <cell r="I140">
            <v>0</v>
          </cell>
          <cell r="J140">
            <v>0</v>
          </cell>
          <cell r="K140">
            <v>33830</v>
          </cell>
          <cell r="L140">
            <v>945</v>
          </cell>
          <cell r="M140">
            <v>158</v>
          </cell>
          <cell r="N140">
            <v>2.87</v>
          </cell>
          <cell r="O140">
            <v>107</v>
          </cell>
          <cell r="P140">
            <v>265</v>
          </cell>
        </row>
        <row r="141">
          <cell r="D141">
            <v>5710</v>
          </cell>
          <cell r="E141" t="str">
            <v xml:space="preserve">대구MC              </v>
          </cell>
          <cell r="F141">
            <v>5</v>
          </cell>
          <cell r="G141">
            <v>38732</v>
          </cell>
          <cell r="H141">
            <v>332</v>
          </cell>
          <cell r="I141">
            <v>1701</v>
          </cell>
          <cell r="J141">
            <v>0</v>
          </cell>
          <cell r="K141">
            <v>37149</v>
          </cell>
          <cell r="L141">
            <v>-1583</v>
          </cell>
          <cell r="M141">
            <v>133</v>
          </cell>
          <cell r="N141">
            <v>-4.09</v>
          </cell>
          <cell r="O141">
            <v>88</v>
          </cell>
          <cell r="P141">
            <v>221</v>
          </cell>
        </row>
        <row r="142">
          <cell r="D142">
            <v>5613</v>
          </cell>
          <cell r="E142" t="str">
            <v xml:space="preserve">창원공단MC          </v>
          </cell>
          <cell r="F142">
            <v>2</v>
          </cell>
          <cell r="G142">
            <v>40540</v>
          </cell>
          <cell r="H142">
            <v>211</v>
          </cell>
          <cell r="I142">
            <v>0</v>
          </cell>
          <cell r="J142">
            <v>0</v>
          </cell>
          <cell r="K142">
            <v>42913</v>
          </cell>
          <cell r="L142">
            <v>2373</v>
          </cell>
          <cell r="M142">
            <v>173</v>
          </cell>
          <cell r="N142">
            <v>5.85</v>
          </cell>
          <cell r="O142">
            <v>115</v>
          </cell>
          <cell r="P142">
            <v>288</v>
          </cell>
        </row>
        <row r="143">
          <cell r="D143">
            <v>5426</v>
          </cell>
          <cell r="E143" t="str">
            <v xml:space="preserve">부천기업            </v>
          </cell>
          <cell r="F143">
            <v>1</v>
          </cell>
          <cell r="G143">
            <v>33051</v>
          </cell>
          <cell r="H143">
            <v>-6</v>
          </cell>
          <cell r="I143">
            <v>0</v>
          </cell>
          <cell r="J143">
            <v>0</v>
          </cell>
          <cell r="K143">
            <v>36049</v>
          </cell>
          <cell r="L143">
            <v>2999</v>
          </cell>
          <cell r="M143">
            <v>179</v>
          </cell>
          <cell r="N143">
            <v>9.07</v>
          </cell>
          <cell r="O143">
            <v>124</v>
          </cell>
          <cell r="P143">
            <v>303</v>
          </cell>
        </row>
        <row r="144">
          <cell r="D144">
            <v>9998</v>
          </cell>
          <cell r="E144" t="str">
            <v xml:space="preserve">M11군2소계          </v>
          </cell>
          <cell r="F144">
            <v>0</v>
          </cell>
          <cell r="G144">
            <v>292817</v>
          </cell>
          <cell r="H144">
            <v>426</v>
          </cell>
          <cell r="I144">
            <v>3892</v>
          </cell>
          <cell r="J144">
            <v>0</v>
          </cell>
          <cell r="K144">
            <v>293787</v>
          </cell>
          <cell r="L144">
            <v>970</v>
          </cell>
          <cell r="M144">
            <v>0</v>
          </cell>
          <cell r="N144">
            <v>0.33</v>
          </cell>
          <cell r="O144">
            <v>0</v>
          </cell>
          <cell r="P144">
            <v>0</v>
          </cell>
        </row>
        <row r="145">
          <cell r="D145">
            <v>9999</v>
          </cell>
          <cell r="E145" t="str">
            <v xml:space="preserve">M11군1소계          </v>
          </cell>
          <cell r="F145">
            <v>0</v>
          </cell>
          <cell r="G145">
            <v>292817</v>
          </cell>
          <cell r="H145">
            <v>426</v>
          </cell>
          <cell r="I145">
            <v>3892</v>
          </cell>
          <cell r="J145">
            <v>0</v>
          </cell>
          <cell r="K145">
            <v>293787</v>
          </cell>
          <cell r="L145">
            <v>970</v>
          </cell>
          <cell r="M145">
            <v>0</v>
          </cell>
          <cell r="N145">
            <v>0.33</v>
          </cell>
          <cell r="O145">
            <v>0</v>
          </cell>
          <cell r="P145">
            <v>0</v>
          </cell>
        </row>
        <row r="146">
          <cell r="D146">
            <v>5617</v>
          </cell>
          <cell r="E146" t="str">
            <v xml:space="preserve">녹산JYMC            </v>
          </cell>
          <cell r="F146">
            <v>6</v>
          </cell>
          <cell r="G146">
            <v>54472</v>
          </cell>
          <cell r="H146">
            <v>1046</v>
          </cell>
          <cell r="I146">
            <v>0</v>
          </cell>
          <cell r="J146">
            <v>0</v>
          </cell>
          <cell r="K146">
            <v>59044</v>
          </cell>
          <cell r="L146">
            <v>4572</v>
          </cell>
          <cell r="M146">
            <v>155</v>
          </cell>
          <cell r="N146">
            <v>8.39</v>
          </cell>
          <cell r="O146">
            <v>99</v>
          </cell>
          <cell r="P146">
            <v>253</v>
          </cell>
        </row>
        <row r="147">
          <cell r="D147">
            <v>5252</v>
          </cell>
          <cell r="E147" t="str">
            <v xml:space="preserve">여의도서MC          </v>
          </cell>
          <cell r="F147">
            <v>2</v>
          </cell>
          <cell r="G147">
            <v>77450</v>
          </cell>
          <cell r="H147">
            <v>0</v>
          </cell>
          <cell r="I147">
            <v>0</v>
          </cell>
          <cell r="J147">
            <v>0</v>
          </cell>
          <cell r="K147">
            <v>93737</v>
          </cell>
          <cell r="L147">
            <v>16287</v>
          </cell>
          <cell r="M147">
            <v>218</v>
          </cell>
          <cell r="N147">
            <v>21.03</v>
          </cell>
          <cell r="O147">
            <v>120</v>
          </cell>
          <cell r="P147">
            <v>338</v>
          </cell>
        </row>
        <row r="148">
          <cell r="D148">
            <v>5422</v>
          </cell>
          <cell r="E148" t="str">
            <v xml:space="preserve">부평MC              </v>
          </cell>
          <cell r="F148">
            <v>1</v>
          </cell>
          <cell r="G148">
            <v>40548</v>
          </cell>
          <cell r="H148">
            <v>-7</v>
          </cell>
          <cell r="I148">
            <v>0</v>
          </cell>
          <cell r="J148">
            <v>0</v>
          </cell>
          <cell r="K148">
            <v>149160</v>
          </cell>
          <cell r="L148">
            <v>108611</v>
          </cell>
          <cell r="M148">
            <v>225</v>
          </cell>
          <cell r="N148">
            <v>267.86</v>
          </cell>
          <cell r="O148">
            <v>150</v>
          </cell>
          <cell r="P148">
            <v>375</v>
          </cell>
        </row>
        <row r="149">
          <cell r="D149">
            <v>5283</v>
          </cell>
          <cell r="E149" t="str">
            <v xml:space="preserve">가산디지털MC        </v>
          </cell>
          <cell r="F149">
            <v>11</v>
          </cell>
          <cell r="G149">
            <v>53775</v>
          </cell>
          <cell r="H149">
            <v>-273</v>
          </cell>
          <cell r="I149">
            <v>0</v>
          </cell>
          <cell r="J149">
            <v>0</v>
          </cell>
          <cell r="K149">
            <v>47706</v>
          </cell>
          <cell r="L149">
            <v>-6069</v>
          </cell>
          <cell r="M149">
            <v>97</v>
          </cell>
          <cell r="N149">
            <v>-11.29</v>
          </cell>
          <cell r="O149">
            <v>65</v>
          </cell>
          <cell r="P149">
            <v>163</v>
          </cell>
        </row>
        <row r="150">
          <cell r="D150">
            <v>5435</v>
          </cell>
          <cell r="E150" t="str">
            <v xml:space="preserve">의정부JYMC          </v>
          </cell>
          <cell r="F150">
            <v>3</v>
          </cell>
          <cell r="G150">
            <v>40262</v>
          </cell>
          <cell r="H150">
            <v>-2</v>
          </cell>
          <cell r="I150">
            <v>3863</v>
          </cell>
          <cell r="J150">
            <v>0</v>
          </cell>
          <cell r="K150">
            <v>49349</v>
          </cell>
          <cell r="L150">
            <v>9087</v>
          </cell>
          <cell r="M150">
            <v>179</v>
          </cell>
          <cell r="N150">
            <v>22.57</v>
          </cell>
          <cell r="O150">
            <v>123</v>
          </cell>
          <cell r="P150">
            <v>302</v>
          </cell>
        </row>
        <row r="151">
          <cell r="D151">
            <v>5506</v>
          </cell>
          <cell r="E151" t="str">
            <v xml:space="preserve">충주MC              </v>
          </cell>
          <cell r="F151">
            <v>10</v>
          </cell>
          <cell r="G151">
            <v>27431</v>
          </cell>
          <cell r="H151">
            <v>0</v>
          </cell>
          <cell r="I151">
            <v>0</v>
          </cell>
          <cell r="J151">
            <v>0</v>
          </cell>
          <cell r="K151">
            <v>26448</v>
          </cell>
          <cell r="L151">
            <v>-983</v>
          </cell>
          <cell r="M151">
            <v>125</v>
          </cell>
          <cell r="N151">
            <v>-3.58</v>
          </cell>
          <cell r="O151">
            <v>78</v>
          </cell>
          <cell r="P151">
            <v>203</v>
          </cell>
        </row>
        <row r="152">
          <cell r="D152">
            <v>5424</v>
          </cell>
          <cell r="E152" t="str">
            <v xml:space="preserve">성남MC              </v>
          </cell>
          <cell r="F152">
            <v>4</v>
          </cell>
          <cell r="G152">
            <v>30504</v>
          </cell>
          <cell r="H152">
            <v>-6</v>
          </cell>
          <cell r="I152">
            <v>10015</v>
          </cell>
          <cell r="J152">
            <v>0</v>
          </cell>
          <cell r="K152">
            <v>36181</v>
          </cell>
          <cell r="L152">
            <v>5677</v>
          </cell>
          <cell r="M152">
            <v>161</v>
          </cell>
          <cell r="N152">
            <v>18.61</v>
          </cell>
          <cell r="O152">
            <v>116</v>
          </cell>
          <cell r="P152">
            <v>277</v>
          </cell>
        </row>
        <row r="153">
          <cell r="D153">
            <v>5508</v>
          </cell>
          <cell r="E153" t="str">
            <v xml:space="preserve">대전JYMC            </v>
          </cell>
          <cell r="F153">
            <v>5</v>
          </cell>
          <cell r="G153">
            <v>19214</v>
          </cell>
          <cell r="H153">
            <v>0</v>
          </cell>
          <cell r="I153">
            <v>0</v>
          </cell>
          <cell r="J153">
            <v>0</v>
          </cell>
          <cell r="K153">
            <v>22306</v>
          </cell>
          <cell r="L153">
            <v>3092</v>
          </cell>
          <cell r="M153">
            <v>147</v>
          </cell>
          <cell r="N153">
            <v>16.09</v>
          </cell>
          <cell r="O153">
            <v>112</v>
          </cell>
          <cell r="P153">
            <v>258</v>
          </cell>
        </row>
        <row r="154">
          <cell r="D154">
            <v>5282</v>
          </cell>
          <cell r="E154" t="str">
            <v xml:space="preserve">양재역MC            </v>
          </cell>
          <cell r="F154">
            <v>7</v>
          </cell>
          <cell r="G154">
            <v>43170</v>
          </cell>
          <cell r="H154">
            <v>-60</v>
          </cell>
          <cell r="I154">
            <v>0</v>
          </cell>
          <cell r="J154">
            <v>0</v>
          </cell>
          <cell r="K154">
            <v>46590</v>
          </cell>
          <cell r="L154">
            <v>3420</v>
          </cell>
          <cell r="M154">
            <v>149</v>
          </cell>
          <cell r="N154">
            <v>7.92</v>
          </cell>
          <cell r="O154">
            <v>98</v>
          </cell>
          <cell r="P154">
            <v>246</v>
          </cell>
        </row>
        <row r="155">
          <cell r="D155">
            <v>5433</v>
          </cell>
          <cell r="E155" t="str">
            <v xml:space="preserve">이천MC              </v>
          </cell>
          <cell r="F155">
            <v>9</v>
          </cell>
          <cell r="G155">
            <v>26651</v>
          </cell>
          <cell r="H155">
            <v>-13</v>
          </cell>
          <cell r="I155">
            <v>0</v>
          </cell>
          <cell r="J155">
            <v>0</v>
          </cell>
          <cell r="K155">
            <v>26951</v>
          </cell>
          <cell r="L155">
            <v>300</v>
          </cell>
          <cell r="M155">
            <v>132</v>
          </cell>
          <cell r="N155">
            <v>1.1299999999999999</v>
          </cell>
          <cell r="O155">
            <v>86</v>
          </cell>
          <cell r="P155">
            <v>218</v>
          </cell>
        </row>
        <row r="156">
          <cell r="D156">
            <v>5425</v>
          </cell>
          <cell r="E156" t="str">
            <v xml:space="preserve">강원기업영업부      </v>
          </cell>
          <cell r="F156">
            <v>8</v>
          </cell>
          <cell r="G156">
            <v>27605</v>
          </cell>
          <cell r="H156">
            <v>70</v>
          </cell>
          <cell r="I156">
            <v>0</v>
          </cell>
          <cell r="J156">
            <v>0</v>
          </cell>
          <cell r="K156">
            <v>29141</v>
          </cell>
          <cell r="L156">
            <v>1536</v>
          </cell>
          <cell r="M156">
            <v>138</v>
          </cell>
          <cell r="N156">
            <v>5.56</v>
          </cell>
          <cell r="O156">
            <v>94</v>
          </cell>
          <cell r="P156">
            <v>232</v>
          </cell>
        </row>
        <row r="157">
          <cell r="D157">
            <v>9998</v>
          </cell>
          <cell r="E157" t="str">
            <v xml:space="preserve">M12군2소계          </v>
          </cell>
          <cell r="F157">
            <v>0</v>
          </cell>
          <cell r="G157">
            <v>400533</v>
          </cell>
          <cell r="H157">
            <v>762</v>
          </cell>
          <cell r="I157">
            <v>13877</v>
          </cell>
          <cell r="J157">
            <v>0</v>
          </cell>
          <cell r="K157">
            <v>437452</v>
          </cell>
          <cell r="L157">
            <v>36918</v>
          </cell>
          <cell r="M157">
            <v>0</v>
          </cell>
          <cell r="N157">
            <v>9.2200000000000006</v>
          </cell>
          <cell r="O157">
            <v>0</v>
          </cell>
          <cell r="P157">
            <v>0</v>
          </cell>
        </row>
        <row r="158">
          <cell r="D158">
            <v>9999</v>
          </cell>
          <cell r="E158" t="str">
            <v xml:space="preserve">M12군1소계          </v>
          </cell>
          <cell r="F158">
            <v>0</v>
          </cell>
          <cell r="G158">
            <v>441082</v>
          </cell>
          <cell r="H158">
            <v>755</v>
          </cell>
          <cell r="I158">
            <v>13877</v>
          </cell>
          <cell r="J158">
            <v>0</v>
          </cell>
          <cell r="K158">
            <v>586612</v>
          </cell>
          <cell r="L158">
            <v>145530</v>
          </cell>
          <cell r="M158">
            <v>0</v>
          </cell>
          <cell r="N158">
            <v>32.99</v>
          </cell>
          <cell r="O158">
            <v>0</v>
          </cell>
          <cell r="P158">
            <v>0</v>
          </cell>
        </row>
        <row r="159">
          <cell r="D159">
            <v>5258</v>
          </cell>
          <cell r="E159" t="str">
            <v xml:space="preserve">종로JYMC            </v>
          </cell>
          <cell r="F159">
            <v>7</v>
          </cell>
          <cell r="G159">
            <v>58093</v>
          </cell>
          <cell r="H159">
            <v>250</v>
          </cell>
          <cell r="I159">
            <v>0</v>
          </cell>
          <cell r="J159">
            <v>0</v>
          </cell>
          <cell r="K159">
            <v>56221</v>
          </cell>
          <cell r="L159">
            <v>-1872</v>
          </cell>
          <cell r="M159">
            <v>145</v>
          </cell>
          <cell r="N159">
            <v>-3.22</v>
          </cell>
          <cell r="O159">
            <v>77</v>
          </cell>
          <cell r="P159">
            <v>222</v>
          </cell>
        </row>
        <row r="160">
          <cell r="D160">
            <v>5439</v>
          </cell>
          <cell r="E160" t="str">
            <v xml:space="preserve">화성발안MC          </v>
          </cell>
          <cell r="F160">
            <v>5</v>
          </cell>
          <cell r="G160">
            <v>16942</v>
          </cell>
          <cell r="H160">
            <v>56</v>
          </cell>
          <cell r="I160">
            <v>0</v>
          </cell>
          <cell r="J160">
            <v>0</v>
          </cell>
          <cell r="K160">
            <v>17960</v>
          </cell>
          <cell r="L160">
            <v>1017</v>
          </cell>
          <cell r="M160">
            <v>159</v>
          </cell>
          <cell r="N160">
            <v>6</v>
          </cell>
          <cell r="O160">
            <v>90</v>
          </cell>
          <cell r="P160">
            <v>250</v>
          </cell>
        </row>
        <row r="161">
          <cell r="D161">
            <v>5807</v>
          </cell>
          <cell r="E161" t="str">
            <v xml:space="preserve">목포MC              </v>
          </cell>
          <cell r="F161">
            <v>2</v>
          </cell>
          <cell r="G161">
            <v>32420</v>
          </cell>
          <cell r="H161">
            <v>-5</v>
          </cell>
          <cell r="I161">
            <v>0</v>
          </cell>
          <cell r="J161">
            <v>0</v>
          </cell>
          <cell r="K161">
            <v>38410</v>
          </cell>
          <cell r="L161">
            <v>5990</v>
          </cell>
          <cell r="M161">
            <v>184</v>
          </cell>
          <cell r="N161">
            <v>18.48</v>
          </cell>
          <cell r="O161">
            <v>109</v>
          </cell>
          <cell r="P161">
            <v>293</v>
          </cell>
        </row>
        <row r="162">
          <cell r="D162">
            <v>5436</v>
          </cell>
          <cell r="E162" t="str">
            <v xml:space="preserve">부천JYMC            </v>
          </cell>
          <cell r="F162">
            <v>8</v>
          </cell>
          <cell r="G162">
            <v>16594</v>
          </cell>
          <cell r="H162">
            <v>93</v>
          </cell>
          <cell r="I162">
            <v>0</v>
          </cell>
          <cell r="J162">
            <v>0</v>
          </cell>
          <cell r="K162">
            <v>14883</v>
          </cell>
          <cell r="L162">
            <v>-1711</v>
          </cell>
          <cell r="M162">
            <v>146</v>
          </cell>
          <cell r="N162">
            <v>-10.31</v>
          </cell>
          <cell r="O162">
            <v>66</v>
          </cell>
          <cell r="P162">
            <v>212</v>
          </cell>
        </row>
        <row r="163">
          <cell r="D163">
            <v>5268</v>
          </cell>
          <cell r="E163" t="str">
            <v xml:space="preserve">보라매역MC          </v>
          </cell>
          <cell r="F163">
            <v>1</v>
          </cell>
          <cell r="G163">
            <v>151082</v>
          </cell>
          <cell r="H163">
            <v>147</v>
          </cell>
          <cell r="I163">
            <v>1301</v>
          </cell>
          <cell r="J163">
            <v>0</v>
          </cell>
          <cell r="K163">
            <v>184961</v>
          </cell>
          <cell r="L163">
            <v>33879</v>
          </cell>
          <cell r="M163">
            <v>225</v>
          </cell>
          <cell r="N163">
            <v>22.42</v>
          </cell>
          <cell r="O163">
            <v>115</v>
          </cell>
          <cell r="P163">
            <v>340</v>
          </cell>
        </row>
        <row r="164">
          <cell r="D164">
            <v>5278</v>
          </cell>
          <cell r="E164" t="str">
            <v xml:space="preserve">반포남MC            </v>
          </cell>
          <cell r="F164">
            <v>3</v>
          </cell>
          <cell r="G164">
            <v>40935</v>
          </cell>
          <cell r="H164">
            <v>2284</v>
          </cell>
          <cell r="I164">
            <v>0</v>
          </cell>
          <cell r="J164">
            <v>0</v>
          </cell>
          <cell r="K164">
            <v>46825</v>
          </cell>
          <cell r="L164">
            <v>5890</v>
          </cell>
          <cell r="M164">
            <v>184</v>
          </cell>
          <cell r="N164">
            <v>14.39</v>
          </cell>
          <cell r="O164">
            <v>103</v>
          </cell>
          <cell r="P164">
            <v>286</v>
          </cell>
        </row>
        <row r="165">
          <cell r="D165">
            <v>5610</v>
          </cell>
          <cell r="E165" t="str">
            <v xml:space="preserve">웅상MC              </v>
          </cell>
          <cell r="F165">
            <v>6</v>
          </cell>
          <cell r="G165">
            <v>19573</v>
          </cell>
          <cell r="H165">
            <v>-856</v>
          </cell>
          <cell r="I165">
            <v>0</v>
          </cell>
          <cell r="J165">
            <v>0</v>
          </cell>
          <cell r="K165">
            <v>19166</v>
          </cell>
          <cell r="L165">
            <v>-406</v>
          </cell>
          <cell r="M165">
            <v>152</v>
          </cell>
          <cell r="N165">
            <v>-2.08</v>
          </cell>
          <cell r="O165">
            <v>78</v>
          </cell>
          <cell r="P165">
            <v>231</v>
          </cell>
        </row>
        <row r="166">
          <cell r="D166">
            <v>5804</v>
          </cell>
          <cell r="E166" t="str">
            <v xml:space="preserve">익산MC              </v>
          </cell>
          <cell r="F166">
            <v>4</v>
          </cell>
          <cell r="G166">
            <v>15286</v>
          </cell>
          <cell r="H166">
            <v>-6</v>
          </cell>
          <cell r="I166">
            <v>0</v>
          </cell>
          <cell r="J166">
            <v>0</v>
          </cell>
          <cell r="K166">
            <v>16588</v>
          </cell>
          <cell r="L166">
            <v>1303</v>
          </cell>
          <cell r="M166">
            <v>161</v>
          </cell>
          <cell r="N166">
            <v>8.52</v>
          </cell>
          <cell r="O166">
            <v>94</v>
          </cell>
          <cell r="P166">
            <v>255</v>
          </cell>
        </row>
        <row r="167">
          <cell r="D167">
            <v>5421</v>
          </cell>
          <cell r="E167" t="str">
            <v xml:space="preserve">안양MC              </v>
          </cell>
          <cell r="F167">
            <v>9</v>
          </cell>
          <cell r="G167">
            <v>35473</v>
          </cell>
          <cell r="H167">
            <v>749</v>
          </cell>
          <cell r="I167">
            <v>0</v>
          </cell>
          <cell r="J167">
            <v>0</v>
          </cell>
          <cell r="K167">
            <v>18326</v>
          </cell>
          <cell r="L167">
            <v>-17147</v>
          </cell>
          <cell r="M167">
            <v>75</v>
          </cell>
          <cell r="N167">
            <v>-48.34</v>
          </cell>
          <cell r="O167">
            <v>50</v>
          </cell>
          <cell r="P167">
            <v>125</v>
          </cell>
        </row>
        <row r="168">
          <cell r="D168">
            <v>9998</v>
          </cell>
          <cell r="E168" t="str">
            <v xml:space="preserve">M13군2소계          </v>
          </cell>
          <cell r="F168">
            <v>0</v>
          </cell>
          <cell r="G168">
            <v>235315</v>
          </cell>
          <cell r="H168">
            <v>2566</v>
          </cell>
          <cell r="I168">
            <v>0</v>
          </cell>
          <cell r="J168">
            <v>0</v>
          </cell>
          <cell r="K168">
            <v>228379</v>
          </cell>
          <cell r="L168">
            <v>-6937</v>
          </cell>
          <cell r="M168">
            <v>0</v>
          </cell>
          <cell r="N168">
            <v>-2.95</v>
          </cell>
          <cell r="O168">
            <v>0</v>
          </cell>
          <cell r="P168">
            <v>0</v>
          </cell>
        </row>
        <row r="169">
          <cell r="D169">
            <v>9999</v>
          </cell>
          <cell r="E169" t="str">
            <v xml:space="preserve">M13군1소계          </v>
          </cell>
          <cell r="F169">
            <v>0</v>
          </cell>
          <cell r="G169">
            <v>386397</v>
          </cell>
          <cell r="H169">
            <v>2714</v>
          </cell>
          <cell r="I169">
            <v>1301</v>
          </cell>
          <cell r="J169">
            <v>0</v>
          </cell>
          <cell r="K169">
            <v>413340</v>
          </cell>
          <cell r="L169">
            <v>26943</v>
          </cell>
          <cell r="M169">
            <v>0</v>
          </cell>
          <cell r="N169">
            <v>6.97</v>
          </cell>
          <cell r="O169">
            <v>0</v>
          </cell>
          <cell r="P169">
            <v>0</v>
          </cell>
        </row>
        <row r="170">
          <cell r="D170">
            <v>5272</v>
          </cell>
          <cell r="E170" t="str">
            <v xml:space="preserve">스타시티MC          </v>
          </cell>
          <cell r="F170">
            <v>1</v>
          </cell>
          <cell r="G170">
            <v>20921</v>
          </cell>
          <cell r="H170">
            <v>-2</v>
          </cell>
          <cell r="I170">
            <v>0</v>
          </cell>
          <cell r="J170">
            <v>0</v>
          </cell>
          <cell r="K170">
            <v>75043</v>
          </cell>
          <cell r="L170">
            <v>54122</v>
          </cell>
          <cell r="M170">
            <v>225</v>
          </cell>
          <cell r="N170">
            <v>258.69</v>
          </cell>
          <cell r="O170">
            <v>150</v>
          </cell>
          <cell r="P170">
            <v>375</v>
          </cell>
        </row>
        <row r="171">
          <cell r="D171">
            <v>5432</v>
          </cell>
          <cell r="E171" t="str">
            <v xml:space="preserve">서현역MC            </v>
          </cell>
          <cell r="F171">
            <v>4</v>
          </cell>
          <cell r="G171">
            <v>55871</v>
          </cell>
          <cell r="H171">
            <v>-219</v>
          </cell>
          <cell r="I171">
            <v>0</v>
          </cell>
          <cell r="J171">
            <v>0</v>
          </cell>
          <cell r="K171">
            <v>60740</v>
          </cell>
          <cell r="L171">
            <v>4869</v>
          </cell>
          <cell r="M171">
            <v>177</v>
          </cell>
          <cell r="N171">
            <v>8.7100000000000009</v>
          </cell>
          <cell r="O171">
            <v>105</v>
          </cell>
          <cell r="P171">
            <v>282</v>
          </cell>
        </row>
        <row r="172">
          <cell r="D172">
            <v>5712</v>
          </cell>
          <cell r="E172" t="str">
            <v xml:space="preserve">진량공단MC          </v>
          </cell>
          <cell r="F172">
            <v>8</v>
          </cell>
          <cell r="G172">
            <v>17779</v>
          </cell>
          <cell r="H172">
            <v>-162</v>
          </cell>
          <cell r="I172">
            <v>0</v>
          </cell>
          <cell r="J172">
            <v>0</v>
          </cell>
          <cell r="K172">
            <v>16578</v>
          </cell>
          <cell r="L172">
            <v>-1201</v>
          </cell>
          <cell r="M172">
            <v>126</v>
          </cell>
          <cell r="N172">
            <v>-6.75</v>
          </cell>
          <cell r="O172">
            <v>84</v>
          </cell>
          <cell r="P172">
            <v>210</v>
          </cell>
        </row>
        <row r="173">
          <cell r="D173">
            <v>5620</v>
          </cell>
          <cell r="E173" t="str">
            <v xml:space="preserve">진영MC              </v>
          </cell>
          <cell r="F173">
            <v>2</v>
          </cell>
          <cell r="G173">
            <v>59515</v>
          </cell>
          <cell r="H173">
            <v>-49</v>
          </cell>
          <cell r="I173">
            <v>0</v>
          </cell>
          <cell r="J173">
            <v>0</v>
          </cell>
          <cell r="K173">
            <v>66831</v>
          </cell>
          <cell r="L173">
            <v>7316</v>
          </cell>
          <cell r="M173">
            <v>198</v>
          </cell>
          <cell r="N173">
            <v>12.29</v>
          </cell>
          <cell r="O173">
            <v>110</v>
          </cell>
          <cell r="P173">
            <v>307</v>
          </cell>
        </row>
        <row r="174">
          <cell r="D174">
            <v>5418</v>
          </cell>
          <cell r="E174" t="str">
            <v xml:space="preserve">호계동MC            </v>
          </cell>
          <cell r="F174">
            <v>7</v>
          </cell>
          <cell r="G174">
            <v>19022</v>
          </cell>
          <cell r="H174">
            <v>106</v>
          </cell>
          <cell r="I174">
            <v>0</v>
          </cell>
          <cell r="J174">
            <v>0</v>
          </cell>
          <cell r="K174">
            <v>17806</v>
          </cell>
          <cell r="L174">
            <v>-1216</v>
          </cell>
          <cell r="M174">
            <v>126</v>
          </cell>
          <cell r="N174">
            <v>-6.39</v>
          </cell>
          <cell r="O174">
            <v>84</v>
          </cell>
          <cell r="P174">
            <v>210</v>
          </cell>
        </row>
        <row r="175">
          <cell r="D175">
            <v>5442</v>
          </cell>
          <cell r="E175" t="str">
            <v xml:space="preserve">남동공단2MC         </v>
          </cell>
          <cell r="F175">
            <v>3</v>
          </cell>
          <cell r="G175">
            <v>7094</v>
          </cell>
          <cell r="H175">
            <v>-319</v>
          </cell>
          <cell r="I175">
            <v>0</v>
          </cell>
          <cell r="J175">
            <v>0</v>
          </cell>
          <cell r="K175">
            <v>9354</v>
          </cell>
          <cell r="L175">
            <v>2260</v>
          </cell>
          <cell r="M175">
            <v>155</v>
          </cell>
          <cell r="N175">
            <v>31.86</v>
          </cell>
          <cell r="O175">
            <v>136</v>
          </cell>
          <cell r="P175">
            <v>291</v>
          </cell>
        </row>
        <row r="176">
          <cell r="D176">
            <v>5803</v>
          </cell>
          <cell r="E176" t="str">
            <v xml:space="preserve">순천MC              </v>
          </cell>
          <cell r="F176">
            <v>5</v>
          </cell>
          <cell r="G176">
            <v>15470</v>
          </cell>
          <cell r="H176">
            <v>10</v>
          </cell>
          <cell r="I176">
            <v>0</v>
          </cell>
          <cell r="J176">
            <v>0</v>
          </cell>
          <cell r="K176">
            <v>18260</v>
          </cell>
          <cell r="L176">
            <v>2790</v>
          </cell>
          <cell r="M176">
            <v>160</v>
          </cell>
          <cell r="N176">
            <v>18.04</v>
          </cell>
          <cell r="O176">
            <v>117</v>
          </cell>
          <cell r="P176">
            <v>277</v>
          </cell>
        </row>
        <row r="177">
          <cell r="D177">
            <v>5505</v>
          </cell>
          <cell r="E177" t="str">
            <v xml:space="preserve">증평MC              </v>
          </cell>
          <cell r="F177">
            <v>9</v>
          </cell>
          <cell r="G177">
            <v>39124</v>
          </cell>
          <cell r="H177">
            <v>296</v>
          </cell>
          <cell r="I177">
            <v>0</v>
          </cell>
          <cell r="J177">
            <v>0</v>
          </cell>
          <cell r="K177">
            <v>37370</v>
          </cell>
          <cell r="L177">
            <v>-1755</v>
          </cell>
          <cell r="M177">
            <v>121</v>
          </cell>
          <cell r="N177">
            <v>-4.49</v>
          </cell>
          <cell r="O177">
            <v>87</v>
          </cell>
          <cell r="P177">
            <v>208</v>
          </cell>
        </row>
        <row r="178">
          <cell r="D178">
            <v>5256</v>
          </cell>
          <cell r="E178" t="str">
            <v xml:space="preserve">롯데월드MC          </v>
          </cell>
          <cell r="F178">
            <v>6</v>
          </cell>
          <cell r="G178">
            <v>34932</v>
          </cell>
          <cell r="H178">
            <v>30</v>
          </cell>
          <cell r="I178">
            <v>0</v>
          </cell>
          <cell r="J178">
            <v>0</v>
          </cell>
          <cell r="K178">
            <v>34998</v>
          </cell>
          <cell r="L178">
            <v>66</v>
          </cell>
          <cell r="M178">
            <v>137</v>
          </cell>
          <cell r="N178">
            <v>0.19</v>
          </cell>
          <cell r="O178">
            <v>93</v>
          </cell>
          <cell r="P178">
            <v>230</v>
          </cell>
        </row>
        <row r="179">
          <cell r="D179">
            <v>9998</v>
          </cell>
          <cell r="E179" t="str">
            <v xml:space="preserve">M14군2소계          </v>
          </cell>
          <cell r="F179">
            <v>0</v>
          </cell>
          <cell r="G179">
            <v>248806</v>
          </cell>
          <cell r="H179">
            <v>-307</v>
          </cell>
          <cell r="I179">
            <v>0</v>
          </cell>
          <cell r="J179">
            <v>0</v>
          </cell>
          <cell r="K179">
            <v>261937</v>
          </cell>
          <cell r="L179">
            <v>13131</v>
          </cell>
          <cell r="M179">
            <v>0</v>
          </cell>
          <cell r="N179">
            <v>5.28</v>
          </cell>
          <cell r="O179">
            <v>0</v>
          </cell>
          <cell r="P179">
            <v>0</v>
          </cell>
        </row>
        <row r="180">
          <cell r="D180">
            <v>9999</v>
          </cell>
          <cell r="E180" t="str">
            <v xml:space="preserve">M14군1소계          </v>
          </cell>
          <cell r="F180">
            <v>0</v>
          </cell>
          <cell r="G180">
            <v>269728</v>
          </cell>
          <cell r="H180">
            <v>-310</v>
          </cell>
          <cell r="I180">
            <v>0</v>
          </cell>
          <cell r="J180">
            <v>0</v>
          </cell>
          <cell r="K180">
            <v>336981</v>
          </cell>
          <cell r="L180">
            <v>67253</v>
          </cell>
          <cell r="M180">
            <v>0</v>
          </cell>
          <cell r="N180">
            <v>24.93</v>
          </cell>
          <cell r="O180">
            <v>0</v>
          </cell>
          <cell r="P180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기일"/>
      <sheetName val="회차가격율"/>
      <sheetName val="Valuation"/>
      <sheetName val="이자계산"/>
      <sheetName val="가지급금"/>
      <sheetName val="Assumption"/>
      <sheetName val="기본데이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9">
          <cell r="C9">
            <v>0.2</v>
          </cell>
        </row>
      </sheetData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Simulation"/>
      <sheetName val="CashFlow"/>
      <sheetName val="담보평가"/>
      <sheetName val="CashFlow(중간집계)"/>
      <sheetName val="LoanList"/>
      <sheetName val="법원비용"/>
      <sheetName val="청구채권액"/>
      <sheetName val="경락률"/>
      <sheetName val="경매회차하락률"/>
      <sheetName val="항고구분"/>
      <sheetName val="차주별평가결과"/>
      <sheetName val="Assumption"/>
      <sheetName val="갑지"/>
      <sheetName val="실행"/>
      <sheetName val="2. 담보명세"/>
      <sheetName val="연체대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>
        <row r="9">
          <cell r="B9" t="str">
            <v>용도</v>
          </cell>
          <cell r="C9" t="str">
            <v>번호</v>
          </cell>
          <cell r="D9" t="str">
            <v>항고구분</v>
          </cell>
        </row>
        <row r="10">
          <cell r="B10" t="str">
            <v>단독주택</v>
          </cell>
          <cell r="C10">
            <v>1</v>
          </cell>
          <cell r="D10">
            <v>1</v>
          </cell>
        </row>
        <row r="11">
          <cell r="B11" t="str">
            <v>근린주택</v>
          </cell>
          <cell r="C11">
            <v>2</v>
          </cell>
          <cell r="D11">
            <v>1</v>
          </cell>
        </row>
        <row r="12">
          <cell r="B12" t="str">
            <v>아파트</v>
          </cell>
          <cell r="C12">
            <v>3</v>
          </cell>
          <cell r="D12">
            <v>1</v>
          </cell>
        </row>
        <row r="13">
          <cell r="B13" t="str">
            <v>상가아파트</v>
          </cell>
          <cell r="C13">
            <v>4</v>
          </cell>
          <cell r="D13">
            <v>1</v>
          </cell>
        </row>
        <row r="14">
          <cell r="B14" t="str">
            <v>연립주택</v>
          </cell>
          <cell r="C14">
            <v>5</v>
          </cell>
          <cell r="D14">
            <v>1</v>
          </cell>
        </row>
        <row r="15">
          <cell r="B15" t="str">
            <v>다세대,빌라</v>
          </cell>
          <cell r="C15">
            <v>6</v>
          </cell>
          <cell r="D15">
            <v>1</v>
          </cell>
        </row>
        <row r="16">
          <cell r="B16" t="str">
            <v>점포상가</v>
          </cell>
          <cell r="C16">
            <v>7</v>
          </cell>
          <cell r="D16">
            <v>1</v>
          </cell>
        </row>
        <row r="17">
          <cell r="B17" t="str">
            <v>빌딩</v>
          </cell>
          <cell r="C17">
            <v>8</v>
          </cell>
          <cell r="D17">
            <v>0</v>
          </cell>
        </row>
        <row r="18">
          <cell r="B18" t="str">
            <v>근린상가</v>
          </cell>
          <cell r="C18">
            <v>9</v>
          </cell>
          <cell r="D18">
            <v>1</v>
          </cell>
        </row>
        <row r="19">
          <cell r="B19" t="str">
            <v>오피스텔</v>
          </cell>
          <cell r="C19">
            <v>10</v>
          </cell>
          <cell r="D19">
            <v>1</v>
          </cell>
        </row>
        <row r="20">
          <cell r="B20" t="str">
            <v>숙박시설</v>
          </cell>
          <cell r="C20">
            <v>11</v>
          </cell>
          <cell r="D20">
            <v>0</v>
          </cell>
        </row>
        <row r="21">
          <cell r="B21" t="str">
            <v>기타건물</v>
          </cell>
          <cell r="C21">
            <v>12</v>
          </cell>
          <cell r="D21">
            <v>0</v>
          </cell>
        </row>
        <row r="22">
          <cell r="B22" t="str">
            <v>임야</v>
          </cell>
          <cell r="C22">
            <v>13</v>
          </cell>
          <cell r="D22">
            <v>0</v>
          </cell>
        </row>
        <row r="23">
          <cell r="B23" t="str">
            <v>대지</v>
          </cell>
          <cell r="C23">
            <v>14</v>
          </cell>
          <cell r="D23">
            <v>0</v>
          </cell>
        </row>
        <row r="24">
          <cell r="B24" t="str">
            <v>잡종지</v>
          </cell>
          <cell r="C24">
            <v>15</v>
          </cell>
          <cell r="D24">
            <v>0</v>
          </cell>
        </row>
        <row r="25">
          <cell r="B25" t="str">
            <v>전</v>
          </cell>
          <cell r="C25">
            <v>16</v>
          </cell>
          <cell r="D25">
            <v>0</v>
          </cell>
        </row>
        <row r="26">
          <cell r="B26" t="str">
            <v>답</v>
          </cell>
          <cell r="C26">
            <v>17</v>
          </cell>
          <cell r="D26">
            <v>0</v>
          </cell>
        </row>
        <row r="27">
          <cell r="B27" t="str">
            <v>과수원</v>
          </cell>
          <cell r="C27">
            <v>18</v>
          </cell>
          <cell r="D27">
            <v>0</v>
          </cell>
        </row>
        <row r="28">
          <cell r="B28" t="str">
            <v>목장용지</v>
          </cell>
          <cell r="C28">
            <v>19</v>
          </cell>
          <cell r="D28">
            <v>0</v>
          </cell>
        </row>
        <row r="29">
          <cell r="B29" t="str">
            <v>기타토지</v>
          </cell>
          <cell r="C29">
            <v>20</v>
          </cell>
          <cell r="D29">
            <v>0</v>
          </cell>
        </row>
        <row r="30">
          <cell r="B30" t="str">
            <v>공장</v>
          </cell>
          <cell r="C30">
            <v>21</v>
          </cell>
          <cell r="D30">
            <v>0</v>
          </cell>
        </row>
        <row r="31">
          <cell r="B31" t="str">
            <v>차량,중기</v>
          </cell>
          <cell r="C31">
            <v>22</v>
          </cell>
          <cell r="D31">
            <v>0</v>
          </cell>
        </row>
        <row r="32">
          <cell r="B32" t="str">
            <v>선박</v>
          </cell>
          <cell r="C32">
            <v>23</v>
          </cell>
          <cell r="D32">
            <v>0</v>
          </cell>
        </row>
        <row r="33">
          <cell r="B33" t="str">
            <v>광업권</v>
          </cell>
          <cell r="C33">
            <v>24</v>
          </cell>
          <cell r="D33">
            <v>0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Cashflow"/>
      <sheetName val="담보Cashflow"/>
      <sheetName val="Valuation-담보"/>
      <sheetName val="경매비용"/>
      <sheetName val="기일"/>
      <sheetName val="회차가격율"/>
      <sheetName val="신용보증서"/>
      <sheetName val="pricing"/>
      <sheetName val="Variable"/>
      <sheetName val="f_BS"/>
      <sheetName val="담보명세"/>
      <sheetName val="항고구분"/>
      <sheetName val="기은삼차  ABS Program_valuation"/>
      <sheetName val="Data"/>
      <sheetName val="Ⅱ1-0타"/>
      <sheetName val="수출입외형_속보"/>
      <sheetName val="배당율"/>
      <sheetName val="소접수기존파일모음"/>
      <sheetName val="진행(자99,2000)"/>
      <sheetName val="한도관리2"/>
      <sheetName val="합동별편출입"/>
      <sheetName val="년차"/>
      <sheetName val="LIST"/>
      <sheetName val="SC128"/>
    </sheetNames>
    <sheetDataSet>
      <sheetData sheetId="0" refreshError="1">
        <row r="4">
          <cell r="C4">
            <v>37925</v>
          </cell>
        </row>
        <row r="5">
          <cell r="C5">
            <v>37953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73"/>
  <sheetViews>
    <sheetView workbookViewId="0">
      <selection activeCell="M9" sqref="M9"/>
    </sheetView>
  </sheetViews>
  <sheetFormatPr defaultRowHeight="17"/>
  <cols>
    <col min="1" max="1" width="7.25" bestFit="1" customWidth="1"/>
    <col min="2" max="2" width="16.5" bestFit="1" customWidth="1"/>
    <col min="3" max="3" width="9.08203125" bestFit="1" customWidth="1"/>
    <col min="4" max="4" width="8.25" bestFit="1" customWidth="1"/>
    <col min="5" max="5" width="5.08203125" bestFit="1" customWidth="1"/>
    <col min="6" max="6" width="54.75" customWidth="1"/>
    <col min="7" max="7" width="7.75" bestFit="1" customWidth="1"/>
    <col min="8" max="8" width="13.25" bestFit="1" customWidth="1"/>
    <col min="9" max="9" width="6.5" bestFit="1" customWidth="1"/>
    <col min="10" max="10" width="8.9140625" bestFit="1" customWidth="1"/>
    <col min="11" max="11" width="11.25" bestFit="1" customWidth="1"/>
    <col min="12" max="12" width="12.08203125" bestFit="1" customWidth="1"/>
    <col min="13" max="14" width="12.75" bestFit="1" customWidth="1"/>
    <col min="15" max="16" width="10.9140625" bestFit="1" customWidth="1"/>
    <col min="17" max="17" width="11.4140625" bestFit="1" customWidth="1"/>
    <col min="18" max="23" width="10.9140625" bestFit="1" customWidth="1"/>
    <col min="24" max="24" width="12.75" bestFit="1" customWidth="1"/>
    <col min="25" max="25" width="13.25" bestFit="1" customWidth="1"/>
    <col min="26" max="135" width="10.9140625" bestFit="1" customWidth="1"/>
  </cols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>
        <v>45747</v>
      </c>
      <c r="P1" s="6">
        <v>45777</v>
      </c>
      <c r="Q1" s="6">
        <v>45808</v>
      </c>
      <c r="R1" s="6">
        <v>45838</v>
      </c>
      <c r="S1" s="6">
        <v>45869</v>
      </c>
      <c r="T1" s="6">
        <v>45900</v>
      </c>
      <c r="U1" s="6">
        <v>45930</v>
      </c>
      <c r="V1" s="6">
        <v>45961</v>
      </c>
      <c r="W1" s="6">
        <v>45991</v>
      </c>
      <c r="X1" s="6">
        <v>46022</v>
      </c>
      <c r="Y1" s="6">
        <v>46053</v>
      </c>
      <c r="Z1" s="6">
        <v>46081</v>
      </c>
      <c r="AA1" s="6">
        <v>46112</v>
      </c>
      <c r="AB1" s="6">
        <v>46142</v>
      </c>
      <c r="AC1" s="6">
        <v>46173</v>
      </c>
      <c r="AD1" s="6">
        <v>46203</v>
      </c>
      <c r="AE1" s="6">
        <v>46234</v>
      </c>
      <c r="AF1" s="6">
        <v>46265</v>
      </c>
      <c r="AG1" s="6">
        <v>46295</v>
      </c>
      <c r="AH1" s="6">
        <v>46326</v>
      </c>
      <c r="AI1" s="6">
        <v>46356</v>
      </c>
      <c r="AJ1" s="6">
        <v>46387</v>
      </c>
      <c r="AK1" s="6">
        <v>46418</v>
      </c>
      <c r="AL1" s="6">
        <v>46446</v>
      </c>
      <c r="AM1" s="6">
        <v>46477</v>
      </c>
      <c r="AN1" s="6">
        <v>46507</v>
      </c>
      <c r="AO1" s="6">
        <v>46538</v>
      </c>
      <c r="AP1" s="6">
        <v>46568</v>
      </c>
      <c r="AQ1" s="6">
        <v>46599</v>
      </c>
      <c r="AR1" s="6">
        <v>46630</v>
      </c>
      <c r="AS1" s="6">
        <v>46660</v>
      </c>
      <c r="AT1" s="6">
        <v>46691</v>
      </c>
      <c r="AU1" s="6">
        <v>46721</v>
      </c>
      <c r="AV1" s="6">
        <v>46752</v>
      </c>
      <c r="AW1" s="6">
        <v>46783</v>
      </c>
      <c r="AX1" s="6">
        <v>46812</v>
      </c>
      <c r="AY1" s="6">
        <v>46843</v>
      </c>
      <c r="AZ1" s="6">
        <v>46873</v>
      </c>
      <c r="BA1" s="6">
        <v>46904</v>
      </c>
      <c r="BB1" s="6">
        <v>46934</v>
      </c>
      <c r="BC1" s="6">
        <v>46965</v>
      </c>
      <c r="BD1" s="6">
        <v>46996</v>
      </c>
      <c r="BE1" s="6">
        <v>47026</v>
      </c>
      <c r="BF1" s="6">
        <v>47057</v>
      </c>
      <c r="BG1" s="6">
        <v>47087</v>
      </c>
      <c r="BH1" s="6">
        <v>47118</v>
      </c>
      <c r="BI1" s="6">
        <v>47149</v>
      </c>
      <c r="BJ1" s="6">
        <v>47177</v>
      </c>
      <c r="BK1" s="6">
        <v>47208</v>
      </c>
      <c r="BL1" s="6">
        <v>47238</v>
      </c>
      <c r="BM1" s="6">
        <v>47269</v>
      </c>
      <c r="BN1" s="6">
        <v>47299</v>
      </c>
      <c r="BO1" s="6">
        <v>47330</v>
      </c>
      <c r="BP1" s="6">
        <v>47361</v>
      </c>
      <c r="BQ1" s="6">
        <v>47391</v>
      </c>
      <c r="BR1" s="6">
        <v>47422</v>
      </c>
      <c r="BS1" s="6">
        <v>47452</v>
      </c>
      <c r="BT1" s="6">
        <v>47483</v>
      </c>
      <c r="BU1" s="6">
        <v>47514</v>
      </c>
      <c r="BV1" s="6">
        <v>47542</v>
      </c>
      <c r="BW1" s="6">
        <v>47573</v>
      </c>
      <c r="BX1" s="6">
        <v>47603</v>
      </c>
      <c r="BY1" s="6">
        <v>47634</v>
      </c>
      <c r="BZ1" s="6">
        <v>47664</v>
      </c>
      <c r="CA1" s="6">
        <v>47695</v>
      </c>
      <c r="CB1" s="6">
        <v>47726</v>
      </c>
      <c r="CC1" s="6">
        <v>47756</v>
      </c>
      <c r="CD1" s="6">
        <v>47787</v>
      </c>
      <c r="CE1" s="6">
        <v>47817</v>
      </c>
      <c r="CF1" s="6">
        <v>47848</v>
      </c>
      <c r="CG1" s="6">
        <v>47879</v>
      </c>
      <c r="CH1" s="6">
        <v>47907</v>
      </c>
      <c r="CI1" s="6">
        <v>47938</v>
      </c>
      <c r="CJ1" s="6">
        <v>47968</v>
      </c>
      <c r="CK1" s="6">
        <v>47999</v>
      </c>
      <c r="CL1" s="6">
        <v>48029</v>
      </c>
      <c r="CM1" s="6">
        <v>48060</v>
      </c>
      <c r="CN1" s="6">
        <v>48091</v>
      </c>
      <c r="CO1" s="6">
        <v>48121</v>
      </c>
      <c r="CP1" s="6">
        <v>48152</v>
      </c>
      <c r="CQ1" s="6">
        <v>48182</v>
      </c>
      <c r="CR1" s="6">
        <v>48213</v>
      </c>
      <c r="CS1" s="6">
        <v>48244</v>
      </c>
      <c r="CT1" s="6">
        <v>48273</v>
      </c>
      <c r="CU1" s="6">
        <v>48304</v>
      </c>
      <c r="CV1" s="6">
        <v>48334</v>
      </c>
      <c r="CW1" s="6">
        <v>48365</v>
      </c>
      <c r="CX1" s="6">
        <v>48395</v>
      </c>
      <c r="CY1" s="6">
        <v>48426</v>
      </c>
      <c r="CZ1" s="6">
        <v>48457</v>
      </c>
      <c r="DA1" s="6">
        <v>48487</v>
      </c>
      <c r="DB1" s="6">
        <v>48518</v>
      </c>
      <c r="DC1" s="6">
        <v>48548</v>
      </c>
      <c r="DD1" s="6">
        <v>48579</v>
      </c>
      <c r="DE1" s="6">
        <v>48610</v>
      </c>
      <c r="DF1" s="6">
        <v>48638</v>
      </c>
      <c r="DG1" s="6">
        <v>48669</v>
      </c>
      <c r="DH1" s="6">
        <v>48699</v>
      </c>
      <c r="DI1" s="6">
        <v>48730</v>
      </c>
      <c r="DJ1" s="6">
        <v>48760</v>
      </c>
      <c r="DK1" s="6">
        <v>48791</v>
      </c>
      <c r="DL1" s="6">
        <v>48822</v>
      </c>
      <c r="DM1" s="6">
        <v>48852</v>
      </c>
      <c r="DN1" s="6">
        <v>48883</v>
      </c>
      <c r="DO1" s="6">
        <v>48913</v>
      </c>
      <c r="DP1" s="6">
        <v>48944</v>
      </c>
      <c r="DQ1" s="6">
        <v>48975</v>
      </c>
      <c r="DR1" s="6">
        <v>49003</v>
      </c>
      <c r="DS1" s="6">
        <v>49034</v>
      </c>
      <c r="DT1" s="6">
        <v>49064</v>
      </c>
      <c r="DU1" s="6">
        <v>49095</v>
      </c>
      <c r="DV1" s="6">
        <v>49125</v>
      </c>
      <c r="DW1" s="6">
        <v>49156</v>
      </c>
      <c r="DX1" s="6">
        <v>49187</v>
      </c>
      <c r="DY1" s="6">
        <v>49217</v>
      </c>
      <c r="DZ1" s="6">
        <v>49248</v>
      </c>
      <c r="EA1" s="6">
        <v>49278</v>
      </c>
      <c r="EB1" s="6">
        <v>49309</v>
      </c>
      <c r="EC1" s="6">
        <v>49340</v>
      </c>
      <c r="ED1" s="6">
        <v>49368</v>
      </c>
      <c r="EE1" s="6">
        <v>49399</v>
      </c>
    </row>
    <row r="2" spans="1:135" ht="16.5" customHeight="1">
      <c r="A2" s="7" t="s">
        <v>123</v>
      </c>
      <c r="B2" s="7" t="s">
        <v>428</v>
      </c>
      <c r="C2" s="7" t="s">
        <v>429</v>
      </c>
      <c r="D2" s="8" t="s">
        <v>430</v>
      </c>
      <c r="E2" s="8" t="s">
        <v>112</v>
      </c>
      <c r="F2" s="9" t="s">
        <v>431</v>
      </c>
      <c r="G2" s="10">
        <v>0.8503571066323945</v>
      </c>
      <c r="H2" s="11">
        <v>3204362755</v>
      </c>
      <c r="I2" s="12">
        <v>0.12</v>
      </c>
      <c r="J2" s="13">
        <v>8.7996377268213771E-2</v>
      </c>
      <c r="K2" s="14" t="s">
        <v>432</v>
      </c>
      <c r="L2" s="14" t="s">
        <v>14</v>
      </c>
      <c r="M2" s="15">
        <v>2724852640.9424086</v>
      </c>
      <c r="N2" s="16">
        <v>2918994481.2105098</v>
      </c>
      <c r="O2" s="15">
        <v>1236961214.4426715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7">
        <v>0</v>
      </c>
      <c r="X2" s="15">
        <v>0</v>
      </c>
      <c r="Y2" s="17">
        <v>0</v>
      </c>
      <c r="Z2" s="17">
        <v>0</v>
      </c>
      <c r="AA2" s="15">
        <v>0</v>
      </c>
      <c r="AB2" s="15">
        <v>1682033266.7678382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0</v>
      </c>
      <c r="CB2" s="15">
        <v>0</v>
      </c>
      <c r="CC2" s="15">
        <v>0</v>
      </c>
      <c r="CD2" s="15">
        <v>0</v>
      </c>
      <c r="CE2" s="15">
        <v>0</v>
      </c>
      <c r="CF2" s="15">
        <v>0</v>
      </c>
      <c r="CG2" s="15">
        <v>0</v>
      </c>
      <c r="CH2" s="15">
        <v>0</v>
      </c>
      <c r="CI2" s="15">
        <v>0</v>
      </c>
      <c r="CJ2" s="15">
        <v>0</v>
      </c>
      <c r="CK2" s="15">
        <v>0</v>
      </c>
      <c r="CL2" s="15">
        <v>0</v>
      </c>
      <c r="CM2" s="15">
        <v>0</v>
      </c>
      <c r="CN2" s="15">
        <v>0</v>
      </c>
      <c r="CO2" s="15">
        <v>0</v>
      </c>
      <c r="CP2" s="15">
        <v>0</v>
      </c>
      <c r="CQ2" s="15">
        <v>0</v>
      </c>
      <c r="CR2" s="15">
        <v>0</v>
      </c>
      <c r="CS2" s="15">
        <v>0</v>
      </c>
      <c r="CT2" s="15">
        <v>0</v>
      </c>
      <c r="CU2" s="15">
        <v>0</v>
      </c>
      <c r="CV2" s="15">
        <v>0</v>
      </c>
      <c r="CW2" s="15">
        <v>0</v>
      </c>
      <c r="CX2" s="15">
        <v>0</v>
      </c>
      <c r="CY2" s="15">
        <v>0</v>
      </c>
      <c r="CZ2" s="15">
        <v>0</v>
      </c>
      <c r="DA2" s="15">
        <v>0</v>
      </c>
      <c r="DB2" s="15">
        <v>0</v>
      </c>
      <c r="DC2" s="15">
        <v>0</v>
      </c>
      <c r="DD2" s="15">
        <v>0</v>
      </c>
      <c r="DE2" s="15">
        <v>0</v>
      </c>
      <c r="DF2" s="15">
        <v>0</v>
      </c>
      <c r="DG2" s="15">
        <v>0</v>
      </c>
      <c r="DH2" s="15">
        <v>0</v>
      </c>
      <c r="DI2" s="15">
        <v>0</v>
      </c>
      <c r="DJ2" s="15">
        <v>0</v>
      </c>
      <c r="DK2" s="15">
        <v>0</v>
      </c>
      <c r="DL2" s="15">
        <v>0</v>
      </c>
      <c r="DM2" s="15">
        <v>0</v>
      </c>
      <c r="DN2" s="15">
        <v>0</v>
      </c>
      <c r="DO2" s="15">
        <v>0</v>
      </c>
      <c r="DP2" s="15">
        <v>0</v>
      </c>
      <c r="DQ2" s="15">
        <v>0</v>
      </c>
      <c r="DR2" s="15">
        <v>0</v>
      </c>
      <c r="DS2" s="15">
        <v>0</v>
      </c>
      <c r="DT2" s="15">
        <v>0</v>
      </c>
      <c r="DU2" s="15">
        <v>0</v>
      </c>
      <c r="DV2" s="15">
        <v>0</v>
      </c>
      <c r="DW2" s="15">
        <v>0</v>
      </c>
      <c r="DX2" s="15">
        <v>0</v>
      </c>
      <c r="DY2" s="15">
        <v>0</v>
      </c>
      <c r="DZ2" s="15">
        <v>0</v>
      </c>
      <c r="EA2" s="15">
        <v>0</v>
      </c>
      <c r="EB2" s="15">
        <v>0</v>
      </c>
      <c r="EC2" s="15">
        <v>0</v>
      </c>
      <c r="ED2" s="15">
        <v>0</v>
      </c>
      <c r="EE2" s="15">
        <v>0</v>
      </c>
    </row>
    <row r="3" spans="1:135">
      <c r="A3" s="7" t="s">
        <v>123</v>
      </c>
      <c r="B3" s="7" t="s">
        <v>428</v>
      </c>
      <c r="C3" s="7" t="s">
        <v>433</v>
      </c>
      <c r="D3" s="8" t="s">
        <v>434</v>
      </c>
      <c r="E3" s="8" t="s">
        <v>112</v>
      </c>
      <c r="F3" s="9" t="s">
        <v>431</v>
      </c>
      <c r="G3" s="10">
        <v>0.86417636982669266</v>
      </c>
      <c r="H3" s="11">
        <v>3204362755</v>
      </c>
      <c r="I3" s="12">
        <v>0.12</v>
      </c>
      <c r="J3" s="13">
        <v>8.7996377268213771E-2</v>
      </c>
      <c r="K3" s="14" t="s">
        <v>432</v>
      </c>
      <c r="L3" s="18" t="s">
        <v>14</v>
      </c>
      <c r="M3" s="15">
        <v>2769134573.2237597</v>
      </c>
      <c r="N3" s="16">
        <v>2969054372.6027308</v>
      </c>
      <c r="O3" s="19">
        <v>1236961214.4426715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1732093158.1600595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0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0</v>
      </c>
      <c r="CN3" s="19">
        <v>0</v>
      </c>
      <c r="CO3" s="19">
        <v>0</v>
      </c>
      <c r="CP3" s="19">
        <v>0</v>
      </c>
      <c r="CQ3" s="19">
        <v>0</v>
      </c>
      <c r="CR3" s="19">
        <v>0</v>
      </c>
      <c r="CS3" s="19">
        <v>0</v>
      </c>
      <c r="CT3" s="19">
        <v>0</v>
      </c>
      <c r="CU3" s="19">
        <v>0</v>
      </c>
      <c r="CV3" s="19">
        <v>0</v>
      </c>
      <c r="CW3" s="19">
        <v>0</v>
      </c>
      <c r="CX3" s="19">
        <v>0</v>
      </c>
      <c r="CY3" s="19">
        <v>0</v>
      </c>
      <c r="CZ3" s="19">
        <v>0</v>
      </c>
      <c r="DA3" s="19">
        <v>0</v>
      </c>
      <c r="DB3" s="19">
        <v>0</v>
      </c>
      <c r="DC3" s="19">
        <v>0</v>
      </c>
      <c r="DD3" s="19">
        <v>0</v>
      </c>
      <c r="DE3" s="19">
        <v>0</v>
      </c>
      <c r="DF3" s="19">
        <v>0</v>
      </c>
      <c r="DG3" s="19">
        <v>0</v>
      </c>
      <c r="DH3" s="19">
        <v>0</v>
      </c>
      <c r="DI3" s="19">
        <v>0</v>
      </c>
      <c r="DJ3" s="19">
        <v>0</v>
      </c>
      <c r="DK3" s="19">
        <v>0</v>
      </c>
      <c r="DL3" s="19">
        <v>0</v>
      </c>
      <c r="DM3" s="19">
        <v>0</v>
      </c>
      <c r="DN3" s="19">
        <v>0</v>
      </c>
      <c r="DO3" s="19">
        <v>0</v>
      </c>
      <c r="DP3" s="19">
        <v>0</v>
      </c>
      <c r="DQ3" s="19">
        <v>0</v>
      </c>
      <c r="DR3" s="19">
        <v>0</v>
      </c>
      <c r="DS3" s="19">
        <v>0</v>
      </c>
      <c r="DT3" s="19">
        <v>0</v>
      </c>
      <c r="DU3" s="19">
        <v>0</v>
      </c>
      <c r="DV3" s="19">
        <v>0</v>
      </c>
      <c r="DW3" s="19">
        <v>0</v>
      </c>
      <c r="DX3" s="19">
        <v>0</v>
      </c>
      <c r="DY3" s="19">
        <v>0</v>
      </c>
      <c r="DZ3" s="19">
        <v>0</v>
      </c>
      <c r="EA3" s="19">
        <v>0</v>
      </c>
      <c r="EB3" s="19">
        <v>0</v>
      </c>
      <c r="EC3" s="19">
        <v>0</v>
      </c>
      <c r="ED3" s="19">
        <v>0</v>
      </c>
      <c r="EE3" s="19">
        <v>0</v>
      </c>
    </row>
    <row r="4" spans="1:135">
      <c r="A4" s="7" t="s">
        <v>125</v>
      </c>
      <c r="B4" s="7" t="s">
        <v>435</v>
      </c>
      <c r="C4" s="7" t="s">
        <v>436</v>
      </c>
      <c r="D4" s="8" t="s">
        <v>430</v>
      </c>
      <c r="E4" s="8" t="s">
        <v>112</v>
      </c>
      <c r="F4" s="9" t="s">
        <v>437</v>
      </c>
      <c r="G4" s="10">
        <v>0.73629374178097329</v>
      </c>
      <c r="H4" s="11">
        <v>3225812792</v>
      </c>
      <c r="I4" s="12">
        <v>0.12</v>
      </c>
      <c r="J4" s="13">
        <v>8.823893821852509E-2</v>
      </c>
      <c r="K4" s="14" t="s">
        <v>432</v>
      </c>
      <c r="L4" s="18" t="s">
        <v>14</v>
      </c>
      <c r="M4" s="15">
        <v>2375145770.9066086</v>
      </c>
      <c r="N4" s="16">
        <v>2562077012.9719887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2562077012.9719887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19">
        <v>0</v>
      </c>
      <c r="EA4" s="19">
        <v>0</v>
      </c>
      <c r="EB4" s="19">
        <v>0</v>
      </c>
      <c r="EC4" s="19">
        <v>0</v>
      </c>
      <c r="ED4" s="19">
        <v>0</v>
      </c>
      <c r="EE4" s="19">
        <v>0</v>
      </c>
    </row>
    <row r="5" spans="1:135">
      <c r="A5" s="7" t="s">
        <v>125</v>
      </c>
      <c r="B5" s="7" t="s">
        <v>435</v>
      </c>
      <c r="C5" s="7" t="s">
        <v>438</v>
      </c>
      <c r="D5" s="8" t="s">
        <v>434</v>
      </c>
      <c r="E5" s="8" t="s">
        <v>112</v>
      </c>
      <c r="F5" s="9" t="s">
        <v>437</v>
      </c>
      <c r="G5" s="10">
        <v>0.76359038451997219</v>
      </c>
      <c r="H5" s="11">
        <v>3225812792</v>
      </c>
      <c r="I5" s="12">
        <v>0.12</v>
      </c>
      <c r="J5" s="13">
        <v>8.823893821852509E-2</v>
      </c>
      <c r="K5" s="14" t="s">
        <v>432</v>
      </c>
      <c r="L5" s="18" t="s">
        <v>14</v>
      </c>
      <c r="M5" s="15">
        <v>2463199630.2327251</v>
      </c>
      <c r="N5" s="16">
        <v>2657060980.5441346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2657060980.5441346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19">
        <v>0</v>
      </c>
      <c r="EA5" s="19">
        <v>0</v>
      </c>
      <c r="EB5" s="19">
        <v>0</v>
      </c>
      <c r="EC5" s="19">
        <v>0</v>
      </c>
      <c r="ED5" s="19">
        <v>0</v>
      </c>
      <c r="EE5" s="19">
        <v>0</v>
      </c>
    </row>
    <row r="6" spans="1:135">
      <c r="A6" s="7" t="s">
        <v>133</v>
      </c>
      <c r="B6" s="7" t="s">
        <v>439</v>
      </c>
      <c r="C6" s="7" t="s">
        <v>440</v>
      </c>
      <c r="D6" s="8" t="s">
        <v>430</v>
      </c>
      <c r="E6" s="8" t="s">
        <v>112</v>
      </c>
      <c r="F6" s="9" t="s">
        <v>437</v>
      </c>
      <c r="G6" s="10">
        <v>0.61636195978410724</v>
      </c>
      <c r="H6" s="11">
        <v>2200636350</v>
      </c>
      <c r="I6" s="12">
        <v>0.12</v>
      </c>
      <c r="J6" s="13">
        <v>9.1556548347613217E-2</v>
      </c>
      <c r="K6" s="14" t="s">
        <v>432</v>
      </c>
      <c r="L6" s="18" t="s">
        <v>14</v>
      </c>
      <c r="M6" s="15">
        <v>1356388533.4581444</v>
      </c>
      <c r="N6" s="16">
        <v>1491918926.3023777</v>
      </c>
      <c r="O6" s="19">
        <v>-3407700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1495326626.3023777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>
        <v>0</v>
      </c>
      <c r="EB6" s="19">
        <v>0</v>
      </c>
      <c r="EC6" s="19">
        <v>0</v>
      </c>
      <c r="ED6" s="19">
        <v>0</v>
      </c>
      <c r="EE6" s="19">
        <v>0</v>
      </c>
    </row>
    <row r="7" spans="1:135">
      <c r="A7" s="7" t="s">
        <v>133</v>
      </c>
      <c r="B7" s="7" t="s">
        <v>439</v>
      </c>
      <c r="C7" s="7" t="s">
        <v>441</v>
      </c>
      <c r="D7" s="8" t="s">
        <v>434</v>
      </c>
      <c r="E7" s="8" t="s">
        <v>112</v>
      </c>
      <c r="F7" s="9" t="s">
        <v>437</v>
      </c>
      <c r="G7" s="10">
        <v>0.63840648181419823</v>
      </c>
      <c r="H7" s="11">
        <v>2200636350</v>
      </c>
      <c r="I7" s="12">
        <v>0.12</v>
      </c>
      <c r="J7" s="13">
        <v>9.1556548347613217E-2</v>
      </c>
      <c r="K7" s="14" t="s">
        <v>432</v>
      </c>
      <c r="L7" s="18" t="s">
        <v>14</v>
      </c>
      <c r="M7" s="15">
        <v>1404900509.9559386</v>
      </c>
      <c r="N7" s="16">
        <v>1545266073.7402143</v>
      </c>
      <c r="O7" s="19">
        <v>-3407700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1548673773.7402143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  <c r="EE7" s="19">
        <v>0</v>
      </c>
    </row>
    <row r="8" spans="1:135">
      <c r="A8" s="7" t="s">
        <v>30</v>
      </c>
      <c r="B8" s="7" t="s">
        <v>442</v>
      </c>
      <c r="C8" s="7" t="s">
        <v>443</v>
      </c>
      <c r="D8" s="8" t="s">
        <v>430</v>
      </c>
      <c r="E8" s="8" t="s">
        <v>112</v>
      </c>
      <c r="F8" s="9" t="s">
        <v>437</v>
      </c>
      <c r="G8" s="10">
        <v>0.84591742694576999</v>
      </c>
      <c r="H8" s="11">
        <v>2167609790</v>
      </c>
      <c r="I8" s="12">
        <v>0.12</v>
      </c>
      <c r="J8" s="13">
        <v>8.0975000000000005E-2</v>
      </c>
      <c r="K8" s="14" t="s">
        <v>432</v>
      </c>
      <c r="L8" s="18" t="s">
        <v>14</v>
      </c>
      <c r="M8" s="15">
        <v>1833618896.1792607</v>
      </c>
      <c r="N8" s="16">
        <v>2012254964.1834497</v>
      </c>
      <c r="O8" s="19">
        <v>570412606.51499999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1441842357.6684499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0</v>
      </c>
      <c r="ED8" s="19">
        <v>0</v>
      </c>
      <c r="EE8" s="19">
        <v>0</v>
      </c>
    </row>
    <row r="9" spans="1:135">
      <c r="A9" s="7" t="s">
        <v>30</v>
      </c>
      <c r="B9" s="7" t="s">
        <v>442</v>
      </c>
      <c r="C9" s="7" t="s">
        <v>444</v>
      </c>
      <c r="D9" s="8" t="s">
        <v>434</v>
      </c>
      <c r="E9" s="8" t="s">
        <v>112</v>
      </c>
      <c r="F9" s="9" t="s">
        <v>437</v>
      </c>
      <c r="G9" s="10">
        <v>0.86610444622577276</v>
      </c>
      <c r="H9" s="11">
        <v>2167609790</v>
      </c>
      <c r="I9" s="12">
        <v>0.12</v>
      </c>
      <c r="J9" s="13">
        <v>8.0975000000000005E-2</v>
      </c>
      <c r="K9" s="14" t="s">
        <v>432</v>
      </c>
      <c r="L9" s="18" t="s">
        <v>14</v>
      </c>
      <c r="M9" s="15">
        <v>1877376476.8015137</v>
      </c>
      <c r="N9" s="16">
        <v>2062200514.4284735</v>
      </c>
      <c r="O9" s="19">
        <v>570412606.51499999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1491787907.9134736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</row>
    <row r="10" spans="1:135">
      <c r="A10" s="7"/>
      <c r="B10" s="7"/>
      <c r="C10" s="7"/>
      <c r="D10" s="8"/>
      <c r="E10" s="8"/>
      <c r="F10" s="9"/>
      <c r="G10" s="10"/>
      <c r="H10" s="11"/>
      <c r="I10" s="12"/>
      <c r="J10" s="13"/>
      <c r="K10" s="14"/>
      <c r="L10" s="18"/>
      <c r="M10" s="15"/>
      <c r="N10" s="1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</row>
    <row r="11" spans="1:135">
      <c r="A11" s="7"/>
      <c r="B11" s="7"/>
      <c r="C11" s="7"/>
      <c r="D11" s="8"/>
      <c r="E11" s="8"/>
      <c r="F11" s="9"/>
      <c r="G11" s="10"/>
      <c r="H11" s="11"/>
      <c r="I11" s="12"/>
      <c r="J11" s="13"/>
      <c r="K11" s="14"/>
      <c r="L11" s="18"/>
      <c r="M11" s="15"/>
      <c r="N11" s="1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</row>
    <row r="12" spans="1:135">
      <c r="A12" s="7"/>
      <c r="B12" s="7"/>
      <c r="C12" s="7"/>
      <c r="D12" s="8"/>
      <c r="E12" s="8"/>
      <c r="F12" s="9"/>
      <c r="G12" s="10"/>
      <c r="H12" s="11"/>
      <c r="I12" s="12"/>
      <c r="J12" s="13"/>
      <c r="K12" s="14"/>
      <c r="L12" s="18"/>
      <c r="M12" s="15"/>
      <c r="N12" s="1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</row>
    <row r="13" spans="1:135">
      <c r="A13" s="7"/>
      <c r="B13" s="7"/>
      <c r="C13" s="7"/>
      <c r="D13" s="8"/>
      <c r="E13" s="8"/>
      <c r="F13" s="9"/>
      <c r="G13" s="10"/>
      <c r="H13" s="11"/>
      <c r="I13" s="12"/>
      <c r="J13" s="13"/>
      <c r="K13" s="14"/>
      <c r="L13" s="18"/>
      <c r="M13" s="15"/>
      <c r="N13" s="1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</row>
    <row r="14" spans="1:135">
      <c r="A14" s="7"/>
      <c r="B14" s="7"/>
      <c r="C14" s="7"/>
      <c r="D14" s="8"/>
      <c r="E14" s="8"/>
      <c r="F14" s="9"/>
      <c r="G14" s="10"/>
      <c r="H14" s="11"/>
      <c r="I14" s="12"/>
      <c r="J14" s="13"/>
      <c r="K14" s="14"/>
      <c r="L14" s="18"/>
      <c r="M14" s="15"/>
      <c r="N14" s="1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</row>
    <row r="15" spans="1:135">
      <c r="A15" s="7"/>
      <c r="B15" s="7"/>
      <c r="C15" s="7"/>
      <c r="D15" s="8"/>
      <c r="E15" s="8"/>
      <c r="F15" s="9"/>
      <c r="G15" s="10"/>
      <c r="H15" s="11"/>
      <c r="I15" s="12"/>
      <c r="J15" s="13"/>
      <c r="K15" s="14"/>
      <c r="L15" s="18"/>
      <c r="M15" s="15"/>
      <c r="N15" s="16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</row>
    <row r="16" spans="1:135">
      <c r="A16" s="7"/>
      <c r="B16" s="7"/>
      <c r="C16" s="7"/>
      <c r="D16" s="8"/>
      <c r="E16" s="8"/>
      <c r="F16" s="9"/>
      <c r="G16" s="10"/>
      <c r="H16" s="11"/>
      <c r="I16" s="12"/>
      <c r="J16" s="13"/>
      <c r="K16" s="14"/>
      <c r="L16" s="18"/>
      <c r="M16" s="15"/>
      <c r="N16" s="16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</row>
    <row r="17" spans="1:135">
      <c r="A17" s="7"/>
      <c r="B17" s="7"/>
      <c r="C17" s="7"/>
      <c r="D17" s="8"/>
      <c r="E17" s="8"/>
      <c r="F17" s="9"/>
      <c r="G17" s="10"/>
      <c r="H17" s="11"/>
      <c r="I17" s="12"/>
      <c r="J17" s="13"/>
      <c r="K17" s="14"/>
      <c r="L17" s="18"/>
      <c r="M17" s="15"/>
      <c r="N17" s="16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</row>
    <row r="18" spans="1:135">
      <c r="A18" s="7"/>
      <c r="B18" s="7"/>
      <c r="C18" s="7"/>
      <c r="D18" s="8"/>
      <c r="E18" s="8"/>
      <c r="F18" s="9"/>
      <c r="G18" s="10"/>
      <c r="H18" s="11"/>
      <c r="I18" s="12"/>
      <c r="J18" s="13"/>
      <c r="K18" s="14"/>
      <c r="L18" s="18"/>
      <c r="M18" s="15"/>
      <c r="N18" s="1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</row>
    <row r="19" spans="1:135">
      <c r="A19" s="7"/>
      <c r="B19" s="7"/>
      <c r="C19" s="7"/>
      <c r="D19" s="8"/>
      <c r="E19" s="8"/>
      <c r="F19" s="9"/>
      <c r="G19" s="10"/>
      <c r="H19" s="11"/>
      <c r="I19" s="12"/>
      <c r="J19" s="13"/>
      <c r="K19" s="14"/>
      <c r="L19" s="18"/>
      <c r="M19" s="15"/>
      <c r="N19" s="1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</row>
    <row r="20" spans="1:135">
      <c r="A20" s="7"/>
      <c r="B20" s="7"/>
      <c r="C20" s="7"/>
      <c r="D20" s="8"/>
      <c r="E20" s="8"/>
      <c r="F20" s="9"/>
      <c r="G20" s="10"/>
      <c r="H20" s="11"/>
      <c r="I20" s="12"/>
      <c r="J20" s="13"/>
      <c r="K20" s="14"/>
      <c r="L20" s="18"/>
      <c r="M20" s="15"/>
      <c r="N20" s="1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</row>
    <row r="21" spans="1:135">
      <c r="A21" s="7"/>
      <c r="B21" s="7"/>
      <c r="C21" s="7"/>
      <c r="D21" s="8"/>
      <c r="E21" s="8"/>
      <c r="F21" s="9"/>
      <c r="G21" s="10"/>
      <c r="H21" s="11"/>
      <c r="I21" s="12"/>
      <c r="J21" s="13"/>
      <c r="K21" s="14"/>
      <c r="L21" s="18"/>
      <c r="M21" s="15"/>
      <c r="N21" s="1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</row>
    <row r="22" spans="1:135">
      <c r="A22" s="7"/>
      <c r="B22" s="7"/>
      <c r="C22" s="7"/>
      <c r="D22" s="8"/>
      <c r="E22" s="8"/>
      <c r="F22" s="9"/>
      <c r="G22" s="10"/>
      <c r="H22" s="11"/>
      <c r="I22" s="12"/>
      <c r="J22" s="13"/>
      <c r="K22" s="14"/>
      <c r="L22" s="18"/>
      <c r="M22" s="15"/>
      <c r="N22" s="1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</row>
    <row r="23" spans="1:135">
      <c r="A23" s="7"/>
      <c r="B23" s="7"/>
      <c r="C23" s="7"/>
      <c r="D23" s="8"/>
      <c r="E23" s="8"/>
      <c r="F23" s="9"/>
      <c r="G23" s="10"/>
      <c r="H23" s="11"/>
      <c r="I23" s="12"/>
      <c r="J23" s="13"/>
      <c r="K23" s="14"/>
      <c r="L23" s="18"/>
      <c r="M23" s="15"/>
      <c r="N23" s="1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</row>
    <row r="24" spans="1:135">
      <c r="A24" s="7"/>
      <c r="B24" s="7"/>
      <c r="C24" s="7"/>
      <c r="D24" s="8"/>
      <c r="E24" s="8"/>
      <c r="F24" s="9"/>
      <c r="G24" s="10"/>
      <c r="H24" s="11"/>
      <c r="I24" s="12"/>
      <c r="J24" s="13"/>
      <c r="K24" s="14"/>
      <c r="L24" s="18"/>
      <c r="M24" s="15"/>
      <c r="N24" s="16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</row>
    <row r="25" spans="1:135">
      <c r="A25" s="7"/>
      <c r="B25" s="7"/>
      <c r="C25" s="7"/>
      <c r="D25" s="8"/>
      <c r="E25" s="8"/>
      <c r="F25" s="9"/>
      <c r="G25" s="10"/>
      <c r="H25" s="11"/>
      <c r="I25" s="12"/>
      <c r="J25" s="13"/>
      <c r="K25" s="14"/>
      <c r="L25" s="18"/>
      <c r="M25" s="15"/>
      <c r="N25" s="16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</row>
    <row r="26" spans="1:135">
      <c r="A26" s="7"/>
      <c r="B26" s="7"/>
      <c r="C26" s="7"/>
      <c r="D26" s="8"/>
      <c r="E26" s="8"/>
      <c r="F26" s="9"/>
      <c r="G26" s="10"/>
      <c r="H26" s="11"/>
      <c r="I26" s="12"/>
      <c r="J26" s="13"/>
      <c r="K26" s="14"/>
      <c r="L26" s="18"/>
      <c r="M26" s="15"/>
      <c r="N26" s="16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</row>
    <row r="27" spans="1:135">
      <c r="A27" s="7"/>
      <c r="B27" s="7"/>
      <c r="C27" s="7"/>
      <c r="D27" s="8"/>
      <c r="E27" s="8"/>
      <c r="F27" s="9"/>
      <c r="G27" s="10"/>
      <c r="H27" s="11"/>
      <c r="I27" s="12"/>
      <c r="J27" s="13"/>
      <c r="K27" s="14"/>
      <c r="L27" s="18"/>
      <c r="M27" s="15"/>
      <c r="N27" s="16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</row>
    <row r="28" spans="1:135">
      <c r="A28" s="7"/>
      <c r="B28" s="7"/>
      <c r="C28" s="7"/>
      <c r="D28" s="8"/>
      <c r="E28" s="8"/>
      <c r="F28" s="9"/>
      <c r="G28" s="10"/>
      <c r="H28" s="11"/>
      <c r="I28" s="12"/>
      <c r="J28" s="13"/>
      <c r="K28" s="14"/>
      <c r="L28" s="18"/>
      <c r="M28" s="15"/>
      <c r="N28" s="16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</row>
    <row r="29" spans="1:135">
      <c r="A29" s="7"/>
      <c r="B29" s="7"/>
      <c r="C29" s="7"/>
      <c r="D29" s="8"/>
      <c r="E29" s="8"/>
      <c r="F29" s="9"/>
      <c r="G29" s="10"/>
      <c r="H29" s="11"/>
      <c r="I29" s="12"/>
      <c r="J29" s="13"/>
      <c r="K29" s="14"/>
      <c r="L29" s="18"/>
      <c r="M29" s="15"/>
      <c r="N29" s="16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</row>
    <row r="30" spans="1:135">
      <c r="A30" s="7"/>
      <c r="B30" s="7"/>
      <c r="C30" s="7"/>
      <c r="D30" s="8"/>
      <c r="E30" s="8"/>
      <c r="F30" s="9"/>
      <c r="G30" s="10"/>
      <c r="H30" s="11"/>
      <c r="I30" s="12"/>
      <c r="J30" s="13"/>
      <c r="K30" s="14"/>
      <c r="L30" s="18"/>
      <c r="M30" s="15"/>
      <c r="N30" s="16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</row>
    <row r="31" spans="1:135">
      <c r="A31" s="7"/>
      <c r="B31" s="7"/>
      <c r="C31" s="7"/>
      <c r="D31" s="8"/>
      <c r="E31" s="8"/>
      <c r="F31" s="9"/>
      <c r="G31" s="10"/>
      <c r="H31" s="11"/>
      <c r="I31" s="12"/>
      <c r="J31" s="13"/>
      <c r="K31" s="14"/>
      <c r="L31" s="18"/>
      <c r="M31" s="15"/>
      <c r="N31" s="16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</row>
    <row r="32" spans="1:135">
      <c r="A32" s="7"/>
      <c r="B32" s="7"/>
      <c r="C32" s="7"/>
      <c r="D32" s="8"/>
      <c r="E32" s="8"/>
      <c r="F32" s="9"/>
      <c r="G32" s="10"/>
      <c r="H32" s="11"/>
      <c r="I32" s="12"/>
      <c r="J32" s="13"/>
      <c r="K32" s="14"/>
      <c r="L32" s="18"/>
      <c r="M32" s="15"/>
      <c r="N32" s="16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</row>
    <row r="33" spans="1:135">
      <c r="A33" s="7"/>
      <c r="B33" s="7"/>
      <c r="C33" s="7"/>
      <c r="D33" s="8"/>
      <c r="E33" s="8"/>
      <c r="F33" s="9"/>
      <c r="G33" s="10"/>
      <c r="H33" s="11"/>
      <c r="I33" s="12"/>
      <c r="J33" s="13"/>
      <c r="K33" s="14"/>
      <c r="L33" s="18"/>
      <c r="M33" s="15"/>
      <c r="N33" s="16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</row>
    <row r="34" spans="1:135">
      <c r="A34" s="7"/>
      <c r="B34" s="7"/>
      <c r="C34" s="7"/>
      <c r="D34" s="8"/>
      <c r="E34" s="8"/>
      <c r="F34" s="9"/>
      <c r="G34" s="10"/>
      <c r="H34" s="11"/>
      <c r="I34" s="12"/>
      <c r="J34" s="13"/>
      <c r="K34" s="14"/>
      <c r="L34" s="18"/>
      <c r="M34" s="15"/>
      <c r="N34" s="16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</row>
    <row r="35" spans="1:135">
      <c r="A35" s="7"/>
      <c r="B35" s="7"/>
      <c r="C35" s="7"/>
      <c r="D35" s="8"/>
      <c r="E35" s="8"/>
      <c r="F35" s="9"/>
      <c r="G35" s="10"/>
      <c r="H35" s="11"/>
      <c r="I35" s="12"/>
      <c r="J35" s="13"/>
      <c r="K35" s="14"/>
      <c r="L35" s="18"/>
      <c r="M35" s="15"/>
      <c r="N35" s="16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</row>
    <row r="36" spans="1:135">
      <c r="A36" s="7"/>
      <c r="B36" s="7"/>
      <c r="C36" s="7"/>
      <c r="D36" s="8"/>
      <c r="E36" s="8"/>
      <c r="F36" s="9"/>
      <c r="G36" s="10"/>
      <c r="H36" s="11"/>
      <c r="I36" s="12"/>
      <c r="J36" s="13"/>
      <c r="K36" s="14"/>
      <c r="L36" s="18"/>
      <c r="M36" s="15"/>
      <c r="N36" s="16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</row>
    <row r="37" spans="1:135">
      <c r="A37" s="7"/>
      <c r="B37" s="7"/>
      <c r="C37" s="7"/>
      <c r="D37" s="8"/>
      <c r="E37" s="8"/>
      <c r="F37" s="9"/>
      <c r="G37" s="10"/>
      <c r="H37" s="11"/>
      <c r="I37" s="12"/>
      <c r="J37" s="13"/>
      <c r="K37" s="14"/>
      <c r="L37" s="18"/>
      <c r="M37" s="15"/>
      <c r="N37" s="16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</row>
    <row r="38" spans="1:135">
      <c r="A38" s="7"/>
      <c r="B38" s="7"/>
      <c r="C38" s="7"/>
      <c r="D38" s="8"/>
      <c r="E38" s="8"/>
      <c r="F38" s="9"/>
      <c r="G38" s="10"/>
      <c r="H38" s="11"/>
      <c r="I38" s="12"/>
      <c r="J38" s="13"/>
      <c r="K38" s="14"/>
      <c r="L38" s="18"/>
      <c r="M38" s="15"/>
      <c r="N38" s="16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</row>
    <row r="39" spans="1:135">
      <c r="A39" s="7"/>
      <c r="B39" s="7"/>
      <c r="C39" s="7"/>
      <c r="D39" s="8"/>
      <c r="E39" s="8"/>
      <c r="F39" s="9"/>
      <c r="G39" s="10"/>
      <c r="H39" s="11"/>
      <c r="I39" s="12"/>
      <c r="J39" s="13"/>
      <c r="K39" s="14"/>
      <c r="L39" s="18"/>
      <c r="M39" s="15"/>
      <c r="N39" s="16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</row>
    <row r="40" spans="1:135">
      <c r="A40" s="7"/>
      <c r="B40" s="7"/>
      <c r="C40" s="7"/>
      <c r="D40" s="8"/>
      <c r="E40" s="8"/>
      <c r="F40" s="9"/>
      <c r="G40" s="10"/>
      <c r="H40" s="11"/>
      <c r="I40" s="12"/>
      <c r="J40" s="13"/>
      <c r="K40" s="14"/>
      <c r="L40" s="18"/>
      <c r="M40" s="15"/>
      <c r="N40" s="16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</row>
    <row r="41" spans="1:135">
      <c r="A41" s="7"/>
      <c r="B41" s="7"/>
      <c r="C41" s="7"/>
      <c r="D41" s="8"/>
      <c r="E41" s="8"/>
      <c r="F41" s="9"/>
      <c r="G41" s="10"/>
      <c r="H41" s="11"/>
      <c r="I41" s="12"/>
      <c r="J41" s="13"/>
      <c r="K41" s="14"/>
      <c r="L41" s="18"/>
      <c r="M41" s="15"/>
      <c r="N41" s="16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</row>
    <row r="42" spans="1:135">
      <c r="A42" s="7"/>
      <c r="B42" s="7"/>
      <c r="C42" s="7"/>
      <c r="D42" s="8"/>
      <c r="E42" s="8"/>
      <c r="F42" s="9"/>
      <c r="G42" s="10"/>
      <c r="H42" s="11"/>
      <c r="I42" s="12"/>
      <c r="J42" s="13"/>
      <c r="K42" s="14"/>
      <c r="L42" s="18"/>
      <c r="M42" s="15"/>
      <c r="N42" s="16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</row>
    <row r="43" spans="1:135">
      <c r="A43" s="7"/>
      <c r="B43" s="7"/>
      <c r="C43" s="7"/>
      <c r="D43" s="8"/>
      <c r="E43" s="8"/>
      <c r="F43" s="9"/>
      <c r="G43" s="10"/>
      <c r="H43" s="11"/>
      <c r="I43" s="12"/>
      <c r="J43" s="13"/>
      <c r="K43" s="14"/>
      <c r="L43" s="18"/>
      <c r="M43" s="15"/>
      <c r="N43" s="16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</row>
    <row r="44" spans="1:135">
      <c r="A44" s="7"/>
      <c r="B44" s="7"/>
      <c r="C44" s="7"/>
      <c r="D44" s="8"/>
      <c r="E44" s="8"/>
      <c r="F44" s="9"/>
      <c r="G44" s="10"/>
      <c r="H44" s="11"/>
      <c r="I44" s="12"/>
      <c r="J44" s="13"/>
      <c r="K44" s="14"/>
      <c r="L44" s="18"/>
      <c r="M44" s="15"/>
      <c r="N44" s="16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</row>
    <row r="45" spans="1:135">
      <c r="A45" s="7"/>
      <c r="B45" s="7"/>
      <c r="C45" s="7"/>
      <c r="D45" s="8"/>
      <c r="E45" s="8"/>
      <c r="F45" s="9"/>
      <c r="G45" s="10"/>
      <c r="H45" s="11"/>
      <c r="I45" s="12"/>
      <c r="J45" s="13"/>
      <c r="K45" s="14"/>
      <c r="L45" s="18"/>
      <c r="M45" s="15"/>
      <c r="N45" s="16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</row>
    <row r="46" spans="1:135">
      <c r="A46" s="7"/>
      <c r="B46" s="7"/>
      <c r="C46" s="7"/>
      <c r="D46" s="8"/>
      <c r="E46" s="8"/>
      <c r="F46" s="9"/>
      <c r="G46" s="10"/>
      <c r="H46" s="11"/>
      <c r="I46" s="12"/>
      <c r="J46" s="13"/>
      <c r="K46" s="14"/>
      <c r="L46" s="18"/>
      <c r="M46" s="15"/>
      <c r="N46" s="16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</row>
    <row r="47" spans="1:135">
      <c r="A47" s="7"/>
      <c r="B47" s="7"/>
      <c r="C47" s="7"/>
      <c r="D47" s="8"/>
      <c r="E47" s="8"/>
      <c r="F47" s="9"/>
      <c r="G47" s="10"/>
      <c r="H47" s="11"/>
      <c r="I47" s="12"/>
      <c r="J47" s="13"/>
      <c r="K47" s="14"/>
      <c r="L47" s="18"/>
      <c r="M47" s="15"/>
      <c r="N47" s="16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</row>
    <row r="48" spans="1:135">
      <c r="A48" s="7"/>
      <c r="B48" s="7"/>
      <c r="C48" s="7"/>
      <c r="D48" s="8"/>
      <c r="E48" s="8"/>
      <c r="F48" s="9"/>
      <c r="G48" s="10"/>
      <c r="H48" s="11"/>
      <c r="I48" s="12"/>
      <c r="J48" s="13"/>
      <c r="K48" s="14"/>
      <c r="L48" s="18"/>
      <c r="M48" s="15"/>
      <c r="N48" s="16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</row>
    <row r="49" spans="1:135">
      <c r="A49" s="7"/>
      <c r="B49" s="7"/>
      <c r="C49" s="7"/>
      <c r="D49" s="8"/>
      <c r="E49" s="8"/>
      <c r="F49" s="9"/>
      <c r="G49" s="10"/>
      <c r="H49" s="11"/>
      <c r="I49" s="12"/>
      <c r="J49" s="13"/>
      <c r="K49" s="14"/>
      <c r="L49" s="18"/>
      <c r="M49" s="15"/>
      <c r="N49" s="16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</row>
    <row r="50" spans="1:135">
      <c r="A50" s="7"/>
      <c r="B50" s="7"/>
      <c r="C50" s="7"/>
      <c r="D50" s="8"/>
      <c r="E50" s="8"/>
      <c r="F50" s="9"/>
      <c r="G50" s="10"/>
      <c r="H50" s="11"/>
      <c r="I50" s="12"/>
      <c r="J50" s="13"/>
      <c r="K50" s="14"/>
      <c r="L50" s="18"/>
      <c r="M50" s="15"/>
      <c r="N50" s="16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</row>
    <row r="51" spans="1:135">
      <c r="A51" s="7"/>
      <c r="B51" s="7"/>
      <c r="C51" s="7"/>
      <c r="D51" s="8"/>
      <c r="E51" s="8"/>
      <c r="F51" s="9"/>
      <c r="G51" s="10"/>
      <c r="H51" s="11"/>
      <c r="I51" s="12"/>
      <c r="J51" s="13"/>
      <c r="K51" s="14"/>
      <c r="L51" s="18"/>
      <c r="M51" s="15"/>
      <c r="N51" s="16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</row>
    <row r="52" spans="1:135">
      <c r="A52" s="7"/>
      <c r="B52" s="7"/>
      <c r="C52" s="7"/>
      <c r="D52" s="8"/>
      <c r="E52" s="8"/>
      <c r="F52" s="9"/>
      <c r="G52" s="10"/>
      <c r="H52" s="11"/>
      <c r="I52" s="12"/>
      <c r="J52" s="13"/>
      <c r="K52" s="14"/>
      <c r="L52" s="18"/>
      <c r="M52" s="15"/>
      <c r="N52" s="16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</row>
    <row r="53" spans="1:135">
      <c r="A53" s="7"/>
      <c r="B53" s="7"/>
      <c r="C53" s="7"/>
      <c r="D53" s="8"/>
      <c r="E53" s="8"/>
      <c r="F53" s="9"/>
      <c r="G53" s="10"/>
      <c r="H53" s="11"/>
      <c r="I53" s="12"/>
      <c r="J53" s="13"/>
      <c r="K53" s="14"/>
      <c r="L53" s="18"/>
      <c r="M53" s="15"/>
      <c r="N53" s="16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</row>
    <row r="54" spans="1:135">
      <c r="A54" s="7"/>
      <c r="B54" s="7"/>
      <c r="C54" s="7"/>
      <c r="D54" s="8"/>
      <c r="E54" s="8"/>
      <c r="F54" s="9"/>
      <c r="G54" s="10"/>
      <c r="H54" s="11"/>
      <c r="I54" s="12"/>
      <c r="J54" s="13"/>
      <c r="K54" s="14"/>
      <c r="L54" s="18"/>
      <c r="M54" s="15"/>
      <c r="N54" s="16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</row>
    <row r="55" spans="1:135">
      <c r="A55" s="7"/>
      <c r="B55" s="7"/>
      <c r="C55" s="7"/>
      <c r="D55" s="8"/>
      <c r="E55" s="8"/>
      <c r="F55" s="9"/>
      <c r="G55" s="10"/>
      <c r="H55" s="11"/>
      <c r="I55" s="12"/>
      <c r="J55" s="13"/>
      <c r="K55" s="14"/>
      <c r="L55" s="18"/>
      <c r="M55" s="15"/>
      <c r="N55" s="16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</row>
    <row r="56" spans="1:135">
      <c r="A56" s="7"/>
      <c r="B56" s="7"/>
      <c r="C56" s="7"/>
      <c r="D56" s="8"/>
      <c r="E56" s="8"/>
      <c r="F56" s="9"/>
      <c r="G56" s="10"/>
      <c r="H56" s="11"/>
      <c r="I56" s="12"/>
      <c r="J56" s="13"/>
      <c r="K56" s="14"/>
      <c r="L56" s="18"/>
      <c r="M56" s="15"/>
      <c r="N56" s="16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</row>
    <row r="57" spans="1:135">
      <c r="A57" s="7"/>
      <c r="B57" s="7"/>
      <c r="C57" s="7"/>
      <c r="D57" s="8"/>
      <c r="E57" s="8"/>
      <c r="F57" s="9"/>
      <c r="G57" s="10"/>
      <c r="H57" s="11"/>
      <c r="I57" s="12"/>
      <c r="J57" s="13"/>
      <c r="K57" s="14"/>
      <c r="L57" s="18"/>
      <c r="M57" s="15"/>
      <c r="N57" s="16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</row>
    <row r="58" spans="1:135">
      <c r="A58" s="7"/>
      <c r="B58" s="7"/>
      <c r="C58" s="7"/>
      <c r="D58" s="8"/>
      <c r="E58" s="8"/>
      <c r="F58" s="9"/>
      <c r="G58" s="10"/>
      <c r="H58" s="11"/>
      <c r="I58" s="12"/>
      <c r="J58" s="13"/>
      <c r="K58" s="14"/>
      <c r="L58" s="18"/>
      <c r="M58" s="15"/>
      <c r="N58" s="16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</row>
    <row r="59" spans="1:135">
      <c r="A59" s="7"/>
      <c r="B59" s="7"/>
      <c r="C59" s="7"/>
      <c r="D59" s="8"/>
      <c r="E59" s="8"/>
      <c r="F59" s="9"/>
      <c r="G59" s="10"/>
      <c r="H59" s="11"/>
      <c r="I59" s="12"/>
      <c r="J59" s="13"/>
      <c r="K59" s="14"/>
      <c r="L59" s="18"/>
      <c r="M59" s="15"/>
      <c r="N59" s="16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</row>
    <row r="60" spans="1:135">
      <c r="A60" s="7"/>
      <c r="B60" s="7"/>
      <c r="C60" s="7"/>
      <c r="D60" s="8"/>
      <c r="E60" s="8"/>
      <c r="F60" s="9"/>
      <c r="G60" s="10"/>
      <c r="H60" s="11"/>
      <c r="I60" s="12"/>
      <c r="J60" s="13"/>
      <c r="K60" s="14"/>
      <c r="L60" s="18"/>
      <c r="M60" s="15"/>
      <c r="N60" s="16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</row>
    <row r="61" spans="1:135">
      <c r="A61" s="7"/>
      <c r="B61" s="7"/>
      <c r="C61" s="7"/>
      <c r="D61" s="8"/>
      <c r="E61" s="8"/>
      <c r="F61" s="9"/>
      <c r="G61" s="10"/>
      <c r="H61" s="11"/>
      <c r="I61" s="12"/>
      <c r="J61" s="13"/>
      <c r="K61" s="14"/>
      <c r="L61" s="18"/>
      <c r="M61" s="15"/>
      <c r="N61" s="16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</row>
    <row r="62" spans="1:135">
      <c r="A62" s="7"/>
      <c r="B62" s="7"/>
      <c r="C62" s="7"/>
      <c r="D62" s="8"/>
      <c r="E62" s="8"/>
      <c r="F62" s="9"/>
      <c r="G62" s="10"/>
      <c r="H62" s="11"/>
      <c r="I62" s="12"/>
      <c r="J62" s="13"/>
      <c r="K62" s="14"/>
      <c r="L62" s="18"/>
      <c r="M62" s="15"/>
      <c r="N62" s="16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</row>
    <row r="63" spans="1:135">
      <c r="A63" s="7"/>
      <c r="B63" s="7"/>
      <c r="C63" s="7"/>
      <c r="D63" s="8"/>
      <c r="E63" s="8"/>
      <c r="F63" s="9"/>
      <c r="G63" s="10"/>
      <c r="H63" s="11"/>
      <c r="I63" s="12"/>
      <c r="J63" s="13"/>
      <c r="K63" s="14"/>
      <c r="L63" s="18"/>
      <c r="M63" s="15"/>
      <c r="N63" s="16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</row>
    <row r="64" spans="1:135">
      <c r="A64" s="7"/>
      <c r="B64" s="7"/>
      <c r="C64" s="7"/>
      <c r="D64" s="8"/>
      <c r="E64" s="8"/>
      <c r="F64" s="9"/>
      <c r="G64" s="10"/>
      <c r="H64" s="11"/>
      <c r="I64" s="12"/>
      <c r="J64" s="13"/>
      <c r="K64" s="14"/>
      <c r="L64" s="18"/>
      <c r="M64" s="15"/>
      <c r="N64" s="16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</row>
    <row r="65" spans="1:135">
      <c r="A65" s="7"/>
      <c r="B65" s="7"/>
      <c r="C65" s="7"/>
      <c r="D65" s="8"/>
      <c r="E65" s="8"/>
      <c r="F65" s="9"/>
      <c r="G65" s="10"/>
      <c r="H65" s="11"/>
      <c r="I65" s="12"/>
      <c r="J65" s="13"/>
      <c r="K65" s="14"/>
      <c r="L65" s="18"/>
      <c r="M65" s="15"/>
      <c r="N65" s="16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</row>
    <row r="66" spans="1:135">
      <c r="A66" s="7"/>
      <c r="B66" s="7"/>
      <c r="C66" s="7"/>
      <c r="D66" s="8"/>
      <c r="E66" s="8"/>
      <c r="F66" s="9"/>
      <c r="G66" s="10"/>
      <c r="H66" s="11"/>
      <c r="I66" s="12"/>
      <c r="J66" s="13"/>
      <c r="K66" s="14"/>
      <c r="L66" s="18"/>
      <c r="M66" s="15"/>
      <c r="N66" s="16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</row>
    <row r="67" spans="1:135">
      <c r="A67" s="7"/>
      <c r="B67" s="7"/>
      <c r="C67" s="7"/>
      <c r="D67" s="8"/>
      <c r="E67" s="8"/>
      <c r="F67" s="9"/>
      <c r="G67" s="10"/>
      <c r="H67" s="11"/>
      <c r="I67" s="12"/>
      <c r="J67" s="13"/>
      <c r="K67" s="14"/>
      <c r="L67" s="18"/>
      <c r="M67" s="15"/>
      <c r="N67" s="16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</row>
    <row r="68" spans="1:135">
      <c r="A68" s="7"/>
      <c r="B68" s="7"/>
      <c r="C68" s="7"/>
      <c r="D68" s="8"/>
      <c r="E68" s="8"/>
      <c r="F68" s="9"/>
      <c r="G68" s="10"/>
      <c r="H68" s="11"/>
      <c r="I68" s="12"/>
      <c r="J68" s="13"/>
      <c r="K68" s="14"/>
      <c r="L68" s="18"/>
      <c r="M68" s="15"/>
      <c r="N68" s="16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</row>
    <row r="69" spans="1:135">
      <c r="A69" s="7"/>
      <c r="B69" s="7"/>
      <c r="C69" s="7"/>
      <c r="D69" s="8"/>
      <c r="E69" s="8"/>
      <c r="F69" s="9"/>
      <c r="G69" s="10"/>
      <c r="H69" s="11"/>
      <c r="I69" s="12"/>
      <c r="J69" s="13"/>
      <c r="K69" s="14"/>
      <c r="L69" s="18"/>
      <c r="M69" s="15"/>
      <c r="N69" s="16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</row>
    <row r="70" spans="1:135">
      <c r="A70" s="7"/>
      <c r="B70" s="7"/>
      <c r="C70" s="7"/>
      <c r="D70" s="8"/>
      <c r="E70" s="8"/>
      <c r="F70" s="9"/>
      <c r="G70" s="10"/>
      <c r="H70" s="11"/>
      <c r="I70" s="12"/>
      <c r="J70" s="13"/>
      <c r="K70" s="14"/>
      <c r="L70" s="18"/>
      <c r="M70" s="15"/>
      <c r="N70" s="16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</row>
    <row r="71" spans="1:135">
      <c r="A71" s="7"/>
      <c r="B71" s="7"/>
      <c r="C71" s="7"/>
      <c r="D71" s="8"/>
      <c r="E71" s="8"/>
      <c r="F71" s="9"/>
      <c r="G71" s="10"/>
      <c r="H71" s="11"/>
      <c r="I71" s="12"/>
      <c r="J71" s="13"/>
      <c r="K71" s="14"/>
      <c r="L71" s="18"/>
      <c r="M71" s="15"/>
      <c r="N71" s="16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</row>
    <row r="72" spans="1:135">
      <c r="A72" s="7"/>
      <c r="B72" s="7"/>
      <c r="C72" s="7"/>
      <c r="D72" s="8"/>
      <c r="E72" s="8"/>
      <c r="F72" s="9"/>
      <c r="G72" s="10"/>
      <c r="H72" s="11"/>
      <c r="I72" s="12"/>
      <c r="J72" s="13"/>
      <c r="K72" s="14"/>
      <c r="L72" s="18"/>
      <c r="M72" s="15"/>
      <c r="N72" s="16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</row>
    <row r="73" spans="1:135">
      <c r="A73" s="7"/>
      <c r="B73" s="7"/>
      <c r="C73" s="7"/>
      <c r="D73" s="8"/>
      <c r="E73" s="8"/>
      <c r="F73" s="9"/>
      <c r="G73" s="10"/>
      <c r="H73" s="11"/>
      <c r="I73" s="12"/>
      <c r="J73" s="13"/>
      <c r="K73" s="14"/>
      <c r="L73" s="18"/>
      <c r="M73" s="15"/>
      <c r="N73" s="16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</row>
  </sheetData>
  <phoneticPr fontId="4" type="noConversion"/>
  <dataValidations count="2">
    <dataValidation type="list" allowBlank="1" showInputMessage="1" showErrorMessage="1" sqref="L2:L3">
      <formula1>"Y, N"</formula1>
    </dataValidation>
    <dataValidation type="list" allowBlank="1" showInputMessage="1" showErrorMessage="1" sqref="K2:K3">
      <formula1>"Loan cap, Mortgage cap, 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73"/>
  <sheetViews>
    <sheetView tabSelected="1" topLeftCell="L1" workbookViewId="0">
      <selection activeCell="AB7" sqref="AB7"/>
    </sheetView>
  </sheetViews>
  <sheetFormatPr defaultRowHeight="17"/>
  <cols>
    <col min="1" max="1" width="7.25" bestFit="1" customWidth="1"/>
    <col min="2" max="2" width="16.5" bestFit="1" customWidth="1"/>
    <col min="3" max="3" width="9.08203125" bestFit="1" customWidth="1"/>
    <col min="4" max="4" width="8.25" bestFit="1" customWidth="1"/>
    <col min="5" max="5" width="8.25" customWidth="1"/>
    <col min="6" max="6" width="5.08203125" bestFit="1" customWidth="1"/>
    <col min="7" max="7" width="5.08203125" customWidth="1"/>
    <col min="8" max="8" width="66.25" customWidth="1"/>
    <col min="9" max="9" width="7.75" bestFit="1" customWidth="1"/>
    <col min="10" max="10" width="7.75" customWidth="1"/>
    <col min="11" max="11" width="13.25" bestFit="1" customWidth="1"/>
    <col min="12" max="12" width="13.25" customWidth="1"/>
    <col min="13" max="13" width="6.5" bestFit="1" customWidth="1"/>
    <col min="14" max="14" width="6.5" customWidth="1"/>
    <col min="15" max="15" width="8.9140625" bestFit="1" customWidth="1"/>
    <col min="16" max="16" width="11.25" bestFit="1" customWidth="1"/>
    <col min="17" max="17" width="12.08203125" bestFit="1" customWidth="1"/>
    <col min="18" max="18" width="12.75" bestFit="1" customWidth="1"/>
    <col min="19" max="19" width="12.75" customWidth="1"/>
    <col min="20" max="20" width="12.75" bestFit="1" customWidth="1"/>
    <col min="21" max="28" width="12.75" customWidth="1"/>
    <col min="29" max="30" width="10.9140625" bestFit="1" customWidth="1"/>
    <col min="31" max="31" width="11.4140625" bestFit="1" customWidth="1"/>
    <col min="32" max="33" width="12.75" bestFit="1" customWidth="1"/>
    <col min="34" max="37" width="10.9140625" bestFit="1" customWidth="1"/>
    <col min="38" max="38" width="12.75" bestFit="1" customWidth="1"/>
    <col min="39" max="39" width="13.25" bestFit="1" customWidth="1"/>
    <col min="40" max="149" width="10.9140625" bestFit="1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36" t="s">
        <v>51</v>
      </c>
      <c r="F1" s="1" t="s">
        <v>4</v>
      </c>
      <c r="G1" s="36" t="s">
        <v>52</v>
      </c>
      <c r="H1" s="1" t="s">
        <v>5</v>
      </c>
      <c r="I1" s="1" t="s">
        <v>6</v>
      </c>
      <c r="J1" s="38" t="s">
        <v>53</v>
      </c>
      <c r="K1" s="2" t="s">
        <v>7</v>
      </c>
      <c r="L1" s="38" t="s">
        <v>54</v>
      </c>
      <c r="M1" s="2" t="s">
        <v>8</v>
      </c>
      <c r="N1" s="38" t="s">
        <v>55</v>
      </c>
      <c r="O1" s="3" t="s">
        <v>9</v>
      </c>
      <c r="P1" s="3" t="s">
        <v>10</v>
      </c>
      <c r="Q1" s="3" t="s">
        <v>11</v>
      </c>
      <c r="R1" s="4" t="s">
        <v>12</v>
      </c>
      <c r="S1" s="38" t="s">
        <v>63</v>
      </c>
      <c r="T1" s="5" t="s">
        <v>13</v>
      </c>
      <c r="U1" s="38" t="s">
        <v>56</v>
      </c>
      <c r="V1" s="41" t="s">
        <v>57</v>
      </c>
      <c r="W1" s="42" t="s">
        <v>58</v>
      </c>
      <c r="X1" s="42" t="s">
        <v>59</v>
      </c>
      <c r="Y1" s="43" t="s">
        <v>60</v>
      </c>
      <c r="Z1" s="44" t="s">
        <v>61</v>
      </c>
      <c r="AA1" s="44" t="s">
        <v>62</v>
      </c>
      <c r="AB1" s="45" t="s">
        <v>59</v>
      </c>
      <c r="AC1" s="6">
        <v>45747</v>
      </c>
      <c r="AD1" s="6">
        <v>45777</v>
      </c>
      <c r="AE1" s="6">
        <v>45808</v>
      </c>
      <c r="AF1" s="6">
        <v>45838</v>
      </c>
      <c r="AG1" s="6">
        <v>45869</v>
      </c>
      <c r="AH1" s="6">
        <v>45900</v>
      </c>
      <c r="AI1" s="6">
        <v>45930</v>
      </c>
      <c r="AJ1" s="6">
        <v>45961</v>
      </c>
      <c r="AK1" s="6">
        <v>45991</v>
      </c>
      <c r="AL1" s="6">
        <v>46022</v>
      </c>
      <c r="AM1" s="6">
        <v>46053</v>
      </c>
      <c r="AN1" s="6">
        <v>46081</v>
      </c>
      <c r="AO1" s="6">
        <v>46112</v>
      </c>
      <c r="AP1" s="6">
        <v>46142</v>
      </c>
      <c r="AQ1" s="6">
        <v>46173</v>
      </c>
      <c r="AR1" s="6">
        <v>46203</v>
      </c>
      <c r="AS1" s="6">
        <v>46234</v>
      </c>
      <c r="AT1" s="6">
        <v>46265</v>
      </c>
      <c r="AU1" s="6">
        <v>46295</v>
      </c>
      <c r="AV1" s="6">
        <v>46326</v>
      </c>
      <c r="AW1" s="6">
        <v>46356</v>
      </c>
      <c r="AX1" s="6">
        <v>46387</v>
      </c>
      <c r="AY1" s="6">
        <v>46418</v>
      </c>
      <c r="AZ1" s="6">
        <v>46446</v>
      </c>
      <c r="BA1" s="6">
        <v>46477</v>
      </c>
      <c r="BB1" s="6">
        <v>46507</v>
      </c>
      <c r="BC1" s="6">
        <v>46538</v>
      </c>
      <c r="BD1" s="6">
        <v>46568</v>
      </c>
      <c r="BE1" s="6">
        <v>46599</v>
      </c>
      <c r="BF1" s="6">
        <v>46630</v>
      </c>
      <c r="BG1" s="6">
        <v>46660</v>
      </c>
      <c r="BH1" s="6">
        <v>46691</v>
      </c>
      <c r="BI1" s="6">
        <v>46721</v>
      </c>
      <c r="BJ1" s="6">
        <v>46752</v>
      </c>
      <c r="BK1" s="6">
        <v>46783</v>
      </c>
      <c r="BL1" s="6">
        <v>46812</v>
      </c>
      <c r="BM1" s="6">
        <v>46843</v>
      </c>
      <c r="BN1" s="6">
        <v>46873</v>
      </c>
      <c r="BO1" s="6">
        <v>46904</v>
      </c>
      <c r="BP1" s="6">
        <v>46934</v>
      </c>
      <c r="BQ1" s="6">
        <v>46965</v>
      </c>
      <c r="BR1" s="6">
        <v>46996</v>
      </c>
      <c r="BS1" s="6">
        <v>47026</v>
      </c>
      <c r="BT1" s="6">
        <v>47057</v>
      </c>
      <c r="BU1" s="6">
        <v>47087</v>
      </c>
      <c r="BV1" s="6">
        <v>47118</v>
      </c>
      <c r="BW1" s="6">
        <v>47149</v>
      </c>
      <c r="BX1" s="6">
        <v>47177</v>
      </c>
      <c r="BY1" s="6">
        <v>47208</v>
      </c>
      <c r="BZ1" s="6">
        <v>47238</v>
      </c>
      <c r="CA1" s="6">
        <v>47269</v>
      </c>
      <c r="CB1" s="6">
        <v>47299</v>
      </c>
      <c r="CC1" s="6">
        <v>47330</v>
      </c>
      <c r="CD1" s="6">
        <v>47361</v>
      </c>
      <c r="CE1" s="6">
        <v>47391</v>
      </c>
      <c r="CF1" s="6">
        <v>47422</v>
      </c>
      <c r="CG1" s="6">
        <v>47452</v>
      </c>
      <c r="CH1" s="6">
        <v>47483</v>
      </c>
      <c r="CI1" s="6">
        <v>47514</v>
      </c>
      <c r="CJ1" s="6">
        <v>47542</v>
      </c>
      <c r="CK1" s="6">
        <v>47573</v>
      </c>
      <c r="CL1" s="6">
        <v>47603</v>
      </c>
      <c r="CM1" s="6">
        <v>47634</v>
      </c>
      <c r="CN1" s="6">
        <v>47664</v>
      </c>
      <c r="CO1" s="6">
        <v>47695</v>
      </c>
      <c r="CP1" s="6">
        <v>47726</v>
      </c>
      <c r="CQ1" s="6">
        <v>47756</v>
      </c>
      <c r="CR1" s="6">
        <v>47787</v>
      </c>
      <c r="CS1" s="6">
        <v>47817</v>
      </c>
      <c r="CT1" s="6">
        <v>47848</v>
      </c>
      <c r="CU1" s="6">
        <v>47879</v>
      </c>
      <c r="CV1" s="6">
        <v>47907</v>
      </c>
      <c r="CW1" s="6">
        <v>47938</v>
      </c>
      <c r="CX1" s="6">
        <v>47968</v>
      </c>
      <c r="CY1" s="6">
        <v>47999</v>
      </c>
      <c r="CZ1" s="6">
        <v>48029</v>
      </c>
      <c r="DA1" s="6">
        <v>48060</v>
      </c>
      <c r="DB1" s="6">
        <v>48091</v>
      </c>
      <c r="DC1" s="6">
        <v>48121</v>
      </c>
      <c r="DD1" s="6">
        <v>48152</v>
      </c>
      <c r="DE1" s="6">
        <v>48182</v>
      </c>
      <c r="DF1" s="6">
        <v>48213</v>
      </c>
      <c r="DG1" s="6">
        <v>48244</v>
      </c>
      <c r="DH1" s="6">
        <v>48273</v>
      </c>
      <c r="DI1" s="6">
        <v>48304</v>
      </c>
      <c r="DJ1" s="6">
        <v>48334</v>
      </c>
      <c r="DK1" s="6">
        <v>48365</v>
      </c>
      <c r="DL1" s="6">
        <v>48395</v>
      </c>
      <c r="DM1" s="6">
        <v>48426</v>
      </c>
      <c r="DN1" s="6">
        <v>48457</v>
      </c>
      <c r="DO1" s="6">
        <v>48487</v>
      </c>
      <c r="DP1" s="6">
        <v>48518</v>
      </c>
      <c r="DQ1" s="6">
        <v>48548</v>
      </c>
      <c r="DR1" s="6">
        <v>48579</v>
      </c>
      <c r="DS1" s="6">
        <v>48610</v>
      </c>
      <c r="DT1" s="6">
        <v>48638</v>
      </c>
      <c r="DU1" s="6">
        <v>48669</v>
      </c>
      <c r="DV1" s="6">
        <v>48699</v>
      </c>
      <c r="DW1" s="6">
        <v>48730</v>
      </c>
      <c r="DX1" s="6">
        <v>48760</v>
      </c>
      <c r="DY1" s="6">
        <v>48791</v>
      </c>
      <c r="DZ1" s="6">
        <v>48822</v>
      </c>
      <c r="EA1" s="6">
        <v>48852</v>
      </c>
      <c r="EB1" s="6">
        <v>48883</v>
      </c>
      <c r="EC1" s="6">
        <v>48913</v>
      </c>
      <c r="ED1" s="6">
        <v>48944</v>
      </c>
      <c r="EE1" s="6">
        <v>48975</v>
      </c>
      <c r="EF1" s="6">
        <v>49003</v>
      </c>
      <c r="EG1" s="6">
        <v>49034</v>
      </c>
      <c r="EH1" s="6">
        <v>49064</v>
      </c>
      <c r="EI1" s="6">
        <v>49095</v>
      </c>
      <c r="EJ1" s="6">
        <v>49125</v>
      </c>
      <c r="EK1" s="6">
        <v>49156</v>
      </c>
      <c r="EL1" s="6">
        <v>49187</v>
      </c>
      <c r="EM1" s="6">
        <v>49217</v>
      </c>
      <c r="EN1" s="6">
        <v>49248</v>
      </c>
      <c r="EO1" s="6">
        <v>49278</v>
      </c>
      <c r="EP1" s="6">
        <v>49309</v>
      </c>
      <c r="EQ1" s="6">
        <v>49340</v>
      </c>
      <c r="ER1" s="6">
        <v>49368</v>
      </c>
      <c r="ES1" s="6">
        <v>49399</v>
      </c>
    </row>
    <row r="2" spans="1:149">
      <c r="A2" s="7" t="str">
        <f>현금흐름취합!A2</f>
        <v>R-030</v>
      </c>
      <c r="B2" s="7" t="str">
        <f>현금흐름취합!B2</f>
        <v>나모테크</v>
      </c>
      <c r="C2" s="7" t="str">
        <f>현금흐름취합!C2</f>
        <v>R-030-1안</v>
      </c>
      <c r="D2" s="8" t="str">
        <f>현금흐름취합!D2</f>
        <v>1안</v>
      </c>
      <c r="E2" s="37"/>
      <c r="F2" s="8" t="str">
        <f>현금흐름취합!E2</f>
        <v>A</v>
      </c>
      <c r="G2" s="37" t="str">
        <f>IF(F2="A","ok","pool 고치세요")</f>
        <v>ok</v>
      </c>
      <c r="H2" s="9" t="str">
        <f>현금흐름취합!F2</f>
        <v>경매진행중인바,  경매 Flow에 의한 낙찰 가정함</v>
      </c>
      <c r="I2" s="10">
        <f>현금흐름취합!G2</f>
        <v>0.8503571066323945</v>
      </c>
      <c r="J2" s="39" t="b">
        <f>R2/K2=I2</f>
        <v>1</v>
      </c>
      <c r="K2" s="11">
        <f>현금흐름취합!H2</f>
        <v>3204362755</v>
      </c>
      <c r="L2" s="40" t="b">
        <f>VLOOKUP(A2,'Sheet A'!$E$11:$K$60,7,0)=K2</f>
        <v>1</v>
      </c>
      <c r="M2" s="12">
        <f>현금흐름취합!I2</f>
        <v>0.12</v>
      </c>
      <c r="N2" s="40" t="str">
        <f>IF(M2=12%,"OK","검토요")</f>
        <v>OK</v>
      </c>
      <c r="O2" s="13">
        <f>현금흐름취합!J2</f>
        <v>8.7996377268213771E-2</v>
      </c>
      <c r="P2" s="14" t="str">
        <f>현금흐름취합!K2</f>
        <v>N/A</v>
      </c>
      <c r="Q2" s="14" t="str">
        <f>현금흐름취합!L2</f>
        <v>N</v>
      </c>
      <c r="R2" s="15">
        <f>현금흐름취합!M2</f>
        <v>2724852640.9424086</v>
      </c>
      <c r="S2" s="40" t="b">
        <f>XNPV(M2,AC2:ES2,$AC$1:$ES$1)=R2</f>
        <v>1</v>
      </c>
      <c r="T2" s="16">
        <f>현금흐름취합!N2</f>
        <v>2918994481.2105098</v>
      </c>
      <c r="U2" s="40" t="b">
        <f t="shared" ref="U2:U39" si="0">SUM(AC2:ES2)=T2</f>
        <v>1</v>
      </c>
      <c r="V2" s="46">
        <f>SUMIF(일반여신!$E$10:$E$35,검증!A2,일반여신!$O$10:$O$35)*0.985-SUMIF(가지급금!$E$10:$E$180,A2,가지급금!$K$10:$K$180)+SUMIF(가지급금!$E$10:$E$180,검증!A2,가지급금!$O$10:$O$180)*0.985</f>
        <v>-784300</v>
      </c>
      <c r="W2" s="47">
        <f>V2-AC2</f>
        <v>-1237745514.4426715</v>
      </c>
      <c r="X2" s="48" t="s">
        <v>446</v>
      </c>
      <c r="Y2" s="49">
        <f>SUMIF('Sheet D'!$E$11:$E$60,A2,'Sheet D'!$P$11:$P$60)</f>
        <v>1219320000</v>
      </c>
      <c r="Z2" s="48">
        <f>SUMIFS(일반여신!$M$10:$M$35,일반여신!$E$10:$E$35,A2,일반여신!$P$10:$P$35,"신용보증서 대위변제")</f>
        <v>0</v>
      </c>
      <c r="AA2" s="48">
        <f>Z2-Y2</f>
        <v>-1219320000</v>
      </c>
      <c r="AB2" s="48" t="s">
        <v>446</v>
      </c>
      <c r="AC2" s="15">
        <f>현금흐름취합!O2</f>
        <v>1236961214.4426715</v>
      </c>
      <c r="AD2" s="15">
        <f>현금흐름취합!P2</f>
        <v>0</v>
      </c>
      <c r="AE2" s="15">
        <f>현금흐름취합!Q2</f>
        <v>0</v>
      </c>
      <c r="AF2" s="15">
        <f>현금흐름취합!R2</f>
        <v>0</v>
      </c>
      <c r="AG2" s="15">
        <f>현금흐름취합!S2</f>
        <v>0</v>
      </c>
      <c r="AH2" s="15">
        <f>현금흐름취합!T2</f>
        <v>0</v>
      </c>
      <c r="AI2" s="15">
        <f>현금흐름취합!U2</f>
        <v>0</v>
      </c>
      <c r="AJ2" s="15">
        <f>현금흐름취합!V2</f>
        <v>0</v>
      </c>
      <c r="AK2" s="17">
        <f>현금흐름취합!W2</f>
        <v>0</v>
      </c>
      <c r="AL2" s="15">
        <f>현금흐름취합!X2</f>
        <v>0</v>
      </c>
      <c r="AM2" s="17">
        <f>현금흐름취합!Y2</f>
        <v>0</v>
      </c>
      <c r="AN2" s="17">
        <f>현금흐름취합!Z2</f>
        <v>0</v>
      </c>
      <c r="AO2" s="15">
        <f>현금흐름취합!AA2</f>
        <v>0</v>
      </c>
      <c r="AP2" s="15">
        <f>현금흐름취합!AB2</f>
        <v>1682033266.7678382</v>
      </c>
      <c r="AQ2" s="15">
        <f>현금흐름취합!AC2</f>
        <v>0</v>
      </c>
      <c r="AR2" s="15">
        <f>현금흐름취합!AD2</f>
        <v>0</v>
      </c>
      <c r="AS2" s="15">
        <f>현금흐름취합!AE2</f>
        <v>0</v>
      </c>
      <c r="AT2" s="15">
        <f>현금흐름취합!AF2</f>
        <v>0</v>
      </c>
      <c r="AU2" s="15">
        <f>현금흐름취합!AG2</f>
        <v>0</v>
      </c>
      <c r="AV2" s="15">
        <f>현금흐름취합!AH2</f>
        <v>0</v>
      </c>
      <c r="AW2" s="15">
        <f>현금흐름취합!AI2</f>
        <v>0</v>
      </c>
      <c r="AX2" s="15">
        <f>현금흐름취합!AJ2</f>
        <v>0</v>
      </c>
      <c r="AY2" s="15">
        <f>현금흐름취합!AK2</f>
        <v>0</v>
      </c>
      <c r="AZ2" s="15">
        <f>현금흐름취합!AL2</f>
        <v>0</v>
      </c>
      <c r="BA2" s="15">
        <f>현금흐름취합!AM2</f>
        <v>0</v>
      </c>
      <c r="BB2" s="15">
        <f>현금흐름취합!AN2</f>
        <v>0</v>
      </c>
      <c r="BC2" s="15">
        <f>현금흐름취합!AO2</f>
        <v>0</v>
      </c>
      <c r="BD2" s="15">
        <f>현금흐름취합!AP2</f>
        <v>0</v>
      </c>
      <c r="BE2" s="15">
        <f>현금흐름취합!AQ2</f>
        <v>0</v>
      </c>
      <c r="BF2" s="15">
        <f>현금흐름취합!AR2</f>
        <v>0</v>
      </c>
      <c r="BG2" s="15">
        <f>현금흐름취합!AS2</f>
        <v>0</v>
      </c>
      <c r="BH2" s="15">
        <f>현금흐름취합!AT2</f>
        <v>0</v>
      </c>
      <c r="BI2" s="15">
        <f>현금흐름취합!AU2</f>
        <v>0</v>
      </c>
      <c r="BJ2" s="15">
        <f>현금흐름취합!AV2</f>
        <v>0</v>
      </c>
      <c r="BK2" s="15">
        <f>현금흐름취합!AW2</f>
        <v>0</v>
      </c>
      <c r="BL2" s="15">
        <f>현금흐름취합!AX2</f>
        <v>0</v>
      </c>
      <c r="BM2" s="15">
        <f>현금흐름취합!AY2</f>
        <v>0</v>
      </c>
      <c r="BN2" s="15">
        <f>현금흐름취합!AZ2</f>
        <v>0</v>
      </c>
      <c r="BO2" s="15">
        <f>현금흐름취합!BA2</f>
        <v>0</v>
      </c>
      <c r="BP2" s="15">
        <f>현금흐름취합!BB2</f>
        <v>0</v>
      </c>
      <c r="BQ2" s="15">
        <f>현금흐름취합!BC2</f>
        <v>0</v>
      </c>
      <c r="BR2" s="15">
        <f>현금흐름취합!BD2</f>
        <v>0</v>
      </c>
      <c r="BS2" s="15">
        <f>현금흐름취합!BE2</f>
        <v>0</v>
      </c>
      <c r="BT2" s="15">
        <f>현금흐름취합!BF2</f>
        <v>0</v>
      </c>
      <c r="BU2" s="15">
        <f>현금흐름취합!BG2</f>
        <v>0</v>
      </c>
      <c r="BV2" s="15">
        <f>현금흐름취합!BH2</f>
        <v>0</v>
      </c>
      <c r="BW2" s="15">
        <f>현금흐름취합!BI2</f>
        <v>0</v>
      </c>
      <c r="BX2" s="15">
        <f>현금흐름취합!BJ2</f>
        <v>0</v>
      </c>
      <c r="BY2" s="15">
        <f>현금흐름취합!BK2</f>
        <v>0</v>
      </c>
      <c r="BZ2" s="15">
        <f>현금흐름취합!BL2</f>
        <v>0</v>
      </c>
      <c r="CA2" s="15">
        <f>현금흐름취합!BM2</f>
        <v>0</v>
      </c>
      <c r="CB2" s="15">
        <f>현금흐름취합!BN2</f>
        <v>0</v>
      </c>
      <c r="CC2" s="15">
        <f>현금흐름취합!BO2</f>
        <v>0</v>
      </c>
      <c r="CD2" s="15">
        <f>현금흐름취합!BP2</f>
        <v>0</v>
      </c>
      <c r="CE2" s="15">
        <f>현금흐름취합!BQ2</f>
        <v>0</v>
      </c>
      <c r="CF2" s="15">
        <f>현금흐름취합!BR2</f>
        <v>0</v>
      </c>
      <c r="CG2" s="15">
        <f>현금흐름취합!BS2</f>
        <v>0</v>
      </c>
      <c r="CH2" s="15">
        <f>현금흐름취합!BT2</f>
        <v>0</v>
      </c>
      <c r="CI2" s="15">
        <f>현금흐름취합!BU2</f>
        <v>0</v>
      </c>
      <c r="CJ2" s="15">
        <f>현금흐름취합!BV2</f>
        <v>0</v>
      </c>
      <c r="CK2" s="15">
        <f>현금흐름취합!BW2</f>
        <v>0</v>
      </c>
      <c r="CL2" s="15">
        <f>현금흐름취합!BX2</f>
        <v>0</v>
      </c>
      <c r="CM2" s="15">
        <f>현금흐름취합!BY2</f>
        <v>0</v>
      </c>
      <c r="CN2" s="15">
        <f>현금흐름취합!BZ2</f>
        <v>0</v>
      </c>
      <c r="CO2" s="15">
        <f>현금흐름취합!CA2</f>
        <v>0</v>
      </c>
      <c r="CP2" s="15">
        <f>현금흐름취합!CB2</f>
        <v>0</v>
      </c>
      <c r="CQ2" s="15">
        <f>현금흐름취합!CC2</f>
        <v>0</v>
      </c>
      <c r="CR2" s="15">
        <f>현금흐름취합!CD2</f>
        <v>0</v>
      </c>
      <c r="CS2" s="15">
        <f>현금흐름취합!CE2</f>
        <v>0</v>
      </c>
      <c r="CT2" s="15">
        <f>현금흐름취합!CF2</f>
        <v>0</v>
      </c>
      <c r="CU2" s="15">
        <f>현금흐름취합!CG2</f>
        <v>0</v>
      </c>
      <c r="CV2" s="15">
        <f>현금흐름취합!CH2</f>
        <v>0</v>
      </c>
      <c r="CW2" s="15">
        <f>현금흐름취합!CI2</f>
        <v>0</v>
      </c>
      <c r="CX2" s="15">
        <f>현금흐름취합!CJ2</f>
        <v>0</v>
      </c>
      <c r="CY2" s="15">
        <f>현금흐름취합!CK2</f>
        <v>0</v>
      </c>
      <c r="CZ2" s="15">
        <f>현금흐름취합!CL2</f>
        <v>0</v>
      </c>
      <c r="DA2" s="15">
        <f>현금흐름취합!CM2</f>
        <v>0</v>
      </c>
      <c r="DB2" s="15">
        <f>현금흐름취합!CN2</f>
        <v>0</v>
      </c>
      <c r="DC2" s="15">
        <f>현금흐름취합!CO2</f>
        <v>0</v>
      </c>
      <c r="DD2" s="15">
        <f>현금흐름취합!CP2</f>
        <v>0</v>
      </c>
      <c r="DE2" s="15">
        <f>현금흐름취합!CQ2</f>
        <v>0</v>
      </c>
      <c r="DF2" s="15">
        <f>현금흐름취합!CR2</f>
        <v>0</v>
      </c>
      <c r="DG2" s="15">
        <f>현금흐름취합!CS2</f>
        <v>0</v>
      </c>
      <c r="DH2" s="15">
        <f>현금흐름취합!CT2</f>
        <v>0</v>
      </c>
      <c r="DI2" s="15">
        <f>현금흐름취합!CU2</f>
        <v>0</v>
      </c>
      <c r="DJ2" s="15">
        <f>현금흐름취합!CV2</f>
        <v>0</v>
      </c>
      <c r="DK2" s="15">
        <f>현금흐름취합!CW2</f>
        <v>0</v>
      </c>
      <c r="DL2" s="15">
        <f>현금흐름취합!CX2</f>
        <v>0</v>
      </c>
      <c r="DM2" s="15">
        <f>현금흐름취합!CY2</f>
        <v>0</v>
      </c>
      <c r="DN2" s="15">
        <f>현금흐름취합!CZ2</f>
        <v>0</v>
      </c>
      <c r="DO2" s="15">
        <f>현금흐름취합!DA2</f>
        <v>0</v>
      </c>
      <c r="DP2" s="15">
        <f>현금흐름취합!DB2</f>
        <v>0</v>
      </c>
      <c r="DQ2" s="15">
        <f>현금흐름취합!DC2</f>
        <v>0</v>
      </c>
      <c r="DR2" s="15">
        <f>현금흐름취합!DD2</f>
        <v>0</v>
      </c>
      <c r="DS2" s="15">
        <f>현금흐름취합!DE2</f>
        <v>0</v>
      </c>
      <c r="DT2" s="15">
        <f>현금흐름취합!DF2</f>
        <v>0</v>
      </c>
      <c r="DU2" s="15">
        <f>현금흐름취합!DG2</f>
        <v>0</v>
      </c>
      <c r="DV2" s="15">
        <f>현금흐름취합!DH2</f>
        <v>0</v>
      </c>
      <c r="DW2" s="15">
        <f>현금흐름취합!DI2</f>
        <v>0</v>
      </c>
      <c r="DX2" s="15">
        <f>현금흐름취합!DJ2</f>
        <v>0</v>
      </c>
      <c r="DY2" s="15">
        <f>현금흐름취합!DK2</f>
        <v>0</v>
      </c>
      <c r="DZ2" s="15">
        <f>현금흐름취합!DL2</f>
        <v>0</v>
      </c>
      <c r="EA2" s="15">
        <f>현금흐름취합!DM2</f>
        <v>0</v>
      </c>
      <c r="EB2" s="15">
        <f>현금흐름취합!DN2</f>
        <v>0</v>
      </c>
      <c r="EC2" s="15">
        <f>현금흐름취합!DO2</f>
        <v>0</v>
      </c>
      <c r="ED2" s="15">
        <f>현금흐름취합!DP2</f>
        <v>0</v>
      </c>
      <c r="EE2" s="15">
        <f>현금흐름취합!DQ2</f>
        <v>0</v>
      </c>
      <c r="EF2" s="15">
        <f>현금흐름취합!DR2</f>
        <v>0</v>
      </c>
      <c r="EG2" s="15">
        <f>현금흐름취합!DS2</f>
        <v>0</v>
      </c>
      <c r="EH2" s="15">
        <f>현금흐름취합!DT2</f>
        <v>0</v>
      </c>
      <c r="EI2" s="15">
        <f>현금흐름취합!DU2</f>
        <v>0</v>
      </c>
      <c r="EJ2" s="15">
        <f>현금흐름취합!DV2</f>
        <v>0</v>
      </c>
      <c r="EK2" s="15">
        <f>현금흐름취합!DW2</f>
        <v>0</v>
      </c>
      <c r="EL2" s="15">
        <f>현금흐름취합!DX2</f>
        <v>0</v>
      </c>
      <c r="EM2" s="15">
        <f>현금흐름취합!DY2</f>
        <v>0</v>
      </c>
      <c r="EN2" s="15">
        <f>현금흐름취합!DZ2</f>
        <v>0</v>
      </c>
      <c r="EO2" s="15">
        <f>현금흐름취합!EA2</f>
        <v>0</v>
      </c>
      <c r="EP2" s="15">
        <f>현금흐름취합!EB2</f>
        <v>0</v>
      </c>
      <c r="EQ2" s="15">
        <f>현금흐름취합!EC2</f>
        <v>0</v>
      </c>
      <c r="ER2" s="15">
        <f>현금흐름취합!ED2</f>
        <v>0</v>
      </c>
      <c r="ES2" s="15">
        <f>현금흐름취합!EE2</f>
        <v>0</v>
      </c>
    </row>
    <row r="3" spans="1:149">
      <c r="A3" s="7" t="str">
        <f>현금흐름취합!A3</f>
        <v>R-030</v>
      </c>
      <c r="B3" s="7" t="str">
        <f>현금흐름취합!B3</f>
        <v>나모테크</v>
      </c>
      <c r="C3" s="7" t="str">
        <f>현금흐름취합!C3</f>
        <v>R-030-2안</v>
      </c>
      <c r="D3" s="8" t="str">
        <f>현금흐름취합!D3</f>
        <v>2안</v>
      </c>
      <c r="E3" s="37" t="str">
        <f>IF(R2&gt;R3,"역전현상","이상없음")</f>
        <v>이상없음</v>
      </c>
      <c r="F3" s="8" t="str">
        <f>현금흐름취합!E3</f>
        <v>A</v>
      </c>
      <c r="G3" s="37" t="str">
        <f t="shared" ref="G3:G66" si="1">IF(F3="A","ok","pool 고치세요")</f>
        <v>ok</v>
      </c>
      <c r="H3" s="9" t="str">
        <f>현금흐름취합!F3</f>
        <v>경매진행중인바,  경매 Flow에 의한 낙찰 가정함</v>
      </c>
      <c r="I3" s="10">
        <f>현금흐름취합!G3</f>
        <v>0.86417636982669266</v>
      </c>
      <c r="J3" s="39" t="b">
        <f t="shared" ref="J3:J39" si="2">R3/K3=I3</f>
        <v>1</v>
      </c>
      <c r="K3" s="11">
        <f>현금흐름취합!H3</f>
        <v>3204362755</v>
      </c>
      <c r="L3" s="40" t="b">
        <f>VLOOKUP(A3,'Sheet A'!$E$11:$K$60,7,0)=K3</f>
        <v>1</v>
      </c>
      <c r="M3" s="12">
        <f>현금흐름취합!I3</f>
        <v>0.12</v>
      </c>
      <c r="N3" s="40" t="str">
        <f t="shared" ref="N3:N39" si="3">IF(M3=12%,"OK","검토요")</f>
        <v>OK</v>
      </c>
      <c r="O3" s="13">
        <f>현금흐름취합!J3</f>
        <v>8.7996377268213771E-2</v>
      </c>
      <c r="P3" s="14" t="str">
        <f>현금흐름취합!K3</f>
        <v>N/A</v>
      </c>
      <c r="Q3" s="18" t="str">
        <f>현금흐름취합!L3</f>
        <v>N</v>
      </c>
      <c r="R3" s="15">
        <f>현금흐름취합!M3</f>
        <v>2769134573.2237597</v>
      </c>
      <c r="S3" s="40" t="b">
        <f t="shared" ref="S3:S39" si="4">XNPV(M3,AC3:ES3,$AC$1:$ES$1)=R3</f>
        <v>1</v>
      </c>
      <c r="T3" s="16">
        <f>현금흐름취합!N3</f>
        <v>2969054372.6027308</v>
      </c>
      <c r="U3" s="40" t="b">
        <f t="shared" si="0"/>
        <v>1</v>
      </c>
      <c r="V3" s="46">
        <f>SUMIF(일반여신!$E$10:$E$35,검증!A3,일반여신!$O$10:$O$35)*0.985-SUMIF(가지급금!$E$10:$E$180,A3,가지급금!$K$10:$K$180)+SUMIF(가지급금!$E$10:$E$180,검증!A3,가지급금!$O$10:$O$180)*0.985</f>
        <v>-784300</v>
      </c>
      <c r="W3" s="47">
        <f t="shared" ref="W3:W19" si="5">V3-AC3</f>
        <v>-1237745514.4426715</v>
      </c>
      <c r="X3" s="48" t="s">
        <v>446</v>
      </c>
      <c r="Y3" s="49">
        <f>SUMIF('Sheet D'!$E$11:$E$60,A3,'Sheet D'!$P$11:$P$60)</f>
        <v>1219320000</v>
      </c>
      <c r="Z3" s="48">
        <f>SUMIFS(일반여신!$M$10:$M$35,일반여신!$E$10:$E$35,A3,일반여신!$P$10:$P$35,"신용보증서 대위변제")</f>
        <v>0</v>
      </c>
      <c r="AA3" s="48">
        <f t="shared" ref="AA3:AA39" si="6">Z3-Y3</f>
        <v>-1219320000</v>
      </c>
      <c r="AB3" s="48" t="s">
        <v>446</v>
      </c>
      <c r="AC3" s="19">
        <f>현금흐름취합!O3</f>
        <v>1236961214.4426715</v>
      </c>
      <c r="AD3" s="19">
        <f>현금흐름취합!P3</f>
        <v>0</v>
      </c>
      <c r="AE3" s="19">
        <f>현금흐름취합!Q3</f>
        <v>0</v>
      </c>
      <c r="AF3" s="19">
        <f>현금흐름취합!R3</f>
        <v>0</v>
      </c>
      <c r="AG3" s="19">
        <f>현금흐름취합!S3</f>
        <v>0</v>
      </c>
      <c r="AH3" s="19">
        <f>현금흐름취합!T3</f>
        <v>0</v>
      </c>
      <c r="AI3" s="19">
        <f>현금흐름취합!U3</f>
        <v>0</v>
      </c>
      <c r="AJ3" s="19">
        <f>현금흐름취합!V3</f>
        <v>0</v>
      </c>
      <c r="AK3" s="19">
        <f>현금흐름취합!W3</f>
        <v>0</v>
      </c>
      <c r="AL3" s="19">
        <f>현금흐름취합!X3</f>
        <v>0</v>
      </c>
      <c r="AM3" s="19">
        <f>현금흐름취합!Y3</f>
        <v>0</v>
      </c>
      <c r="AN3" s="19">
        <f>현금흐름취합!Z3</f>
        <v>0</v>
      </c>
      <c r="AO3" s="19">
        <f>현금흐름취합!AA3</f>
        <v>0</v>
      </c>
      <c r="AP3" s="19">
        <f>현금흐름취합!AB3</f>
        <v>1732093158.1600595</v>
      </c>
      <c r="AQ3" s="19">
        <f>현금흐름취합!AC3</f>
        <v>0</v>
      </c>
      <c r="AR3" s="19">
        <f>현금흐름취합!AD3</f>
        <v>0</v>
      </c>
      <c r="AS3" s="19">
        <f>현금흐름취합!AE3</f>
        <v>0</v>
      </c>
      <c r="AT3" s="19">
        <f>현금흐름취합!AF3</f>
        <v>0</v>
      </c>
      <c r="AU3" s="19">
        <f>현금흐름취합!AG3</f>
        <v>0</v>
      </c>
      <c r="AV3" s="19">
        <f>현금흐름취합!AH3</f>
        <v>0</v>
      </c>
      <c r="AW3" s="19">
        <f>현금흐름취합!AI3</f>
        <v>0</v>
      </c>
      <c r="AX3" s="19">
        <f>현금흐름취합!AJ3</f>
        <v>0</v>
      </c>
      <c r="AY3" s="19">
        <f>현금흐름취합!AK3</f>
        <v>0</v>
      </c>
      <c r="AZ3" s="19">
        <f>현금흐름취합!AL3</f>
        <v>0</v>
      </c>
      <c r="BA3" s="19">
        <f>현금흐름취합!AM3</f>
        <v>0</v>
      </c>
      <c r="BB3" s="19">
        <f>현금흐름취합!AN3</f>
        <v>0</v>
      </c>
      <c r="BC3" s="19">
        <f>현금흐름취합!AO3</f>
        <v>0</v>
      </c>
      <c r="BD3" s="19">
        <f>현금흐름취합!AP3</f>
        <v>0</v>
      </c>
      <c r="BE3" s="19">
        <f>현금흐름취합!AQ3</f>
        <v>0</v>
      </c>
      <c r="BF3" s="19">
        <f>현금흐름취합!AR3</f>
        <v>0</v>
      </c>
      <c r="BG3" s="19">
        <f>현금흐름취합!AS3</f>
        <v>0</v>
      </c>
      <c r="BH3" s="19">
        <f>현금흐름취합!AT3</f>
        <v>0</v>
      </c>
      <c r="BI3" s="19">
        <f>현금흐름취합!AU3</f>
        <v>0</v>
      </c>
      <c r="BJ3" s="19">
        <f>현금흐름취합!AV3</f>
        <v>0</v>
      </c>
      <c r="BK3" s="19">
        <f>현금흐름취합!AW3</f>
        <v>0</v>
      </c>
      <c r="BL3" s="19">
        <f>현금흐름취합!AX3</f>
        <v>0</v>
      </c>
      <c r="BM3" s="19">
        <f>현금흐름취합!AY3</f>
        <v>0</v>
      </c>
      <c r="BN3" s="19">
        <f>현금흐름취합!AZ3</f>
        <v>0</v>
      </c>
      <c r="BO3" s="19">
        <f>현금흐름취합!BA3</f>
        <v>0</v>
      </c>
      <c r="BP3" s="19">
        <f>현금흐름취합!BB3</f>
        <v>0</v>
      </c>
      <c r="BQ3" s="19">
        <f>현금흐름취합!BC3</f>
        <v>0</v>
      </c>
      <c r="BR3" s="19">
        <f>현금흐름취합!BD3</f>
        <v>0</v>
      </c>
      <c r="BS3" s="19">
        <f>현금흐름취합!BE3</f>
        <v>0</v>
      </c>
      <c r="BT3" s="19">
        <f>현금흐름취합!BF3</f>
        <v>0</v>
      </c>
      <c r="BU3" s="19">
        <f>현금흐름취합!BG3</f>
        <v>0</v>
      </c>
      <c r="BV3" s="19">
        <f>현금흐름취합!BH3</f>
        <v>0</v>
      </c>
      <c r="BW3" s="19">
        <f>현금흐름취합!BI3</f>
        <v>0</v>
      </c>
      <c r="BX3" s="19">
        <f>현금흐름취합!BJ3</f>
        <v>0</v>
      </c>
      <c r="BY3" s="19">
        <f>현금흐름취합!BK3</f>
        <v>0</v>
      </c>
      <c r="BZ3" s="19">
        <f>현금흐름취합!BL3</f>
        <v>0</v>
      </c>
      <c r="CA3" s="19">
        <f>현금흐름취합!BM3</f>
        <v>0</v>
      </c>
      <c r="CB3" s="19">
        <f>현금흐름취합!BN3</f>
        <v>0</v>
      </c>
      <c r="CC3" s="19">
        <f>현금흐름취합!BO3</f>
        <v>0</v>
      </c>
      <c r="CD3" s="19">
        <f>현금흐름취합!BP3</f>
        <v>0</v>
      </c>
      <c r="CE3" s="19">
        <f>현금흐름취합!BQ3</f>
        <v>0</v>
      </c>
      <c r="CF3" s="19">
        <f>현금흐름취합!BR3</f>
        <v>0</v>
      </c>
      <c r="CG3" s="19">
        <f>현금흐름취합!BS3</f>
        <v>0</v>
      </c>
      <c r="CH3" s="19">
        <f>현금흐름취합!BT3</f>
        <v>0</v>
      </c>
      <c r="CI3" s="19">
        <f>현금흐름취합!BU3</f>
        <v>0</v>
      </c>
      <c r="CJ3" s="19">
        <f>현금흐름취합!BV3</f>
        <v>0</v>
      </c>
      <c r="CK3" s="19">
        <f>현금흐름취합!BW3</f>
        <v>0</v>
      </c>
      <c r="CL3" s="19">
        <f>현금흐름취합!BX3</f>
        <v>0</v>
      </c>
      <c r="CM3" s="19">
        <f>현금흐름취합!BY3</f>
        <v>0</v>
      </c>
      <c r="CN3" s="19">
        <f>현금흐름취합!BZ3</f>
        <v>0</v>
      </c>
      <c r="CO3" s="19">
        <f>현금흐름취합!CA3</f>
        <v>0</v>
      </c>
      <c r="CP3" s="19">
        <f>현금흐름취합!CB3</f>
        <v>0</v>
      </c>
      <c r="CQ3" s="19">
        <f>현금흐름취합!CC3</f>
        <v>0</v>
      </c>
      <c r="CR3" s="19">
        <f>현금흐름취합!CD3</f>
        <v>0</v>
      </c>
      <c r="CS3" s="19">
        <f>현금흐름취합!CE3</f>
        <v>0</v>
      </c>
      <c r="CT3" s="19">
        <f>현금흐름취합!CF3</f>
        <v>0</v>
      </c>
      <c r="CU3" s="19">
        <f>현금흐름취합!CG3</f>
        <v>0</v>
      </c>
      <c r="CV3" s="19">
        <f>현금흐름취합!CH3</f>
        <v>0</v>
      </c>
      <c r="CW3" s="19">
        <f>현금흐름취합!CI3</f>
        <v>0</v>
      </c>
      <c r="CX3" s="19">
        <f>현금흐름취합!CJ3</f>
        <v>0</v>
      </c>
      <c r="CY3" s="19">
        <f>현금흐름취합!CK3</f>
        <v>0</v>
      </c>
      <c r="CZ3" s="19">
        <f>현금흐름취합!CL3</f>
        <v>0</v>
      </c>
      <c r="DA3" s="19">
        <f>현금흐름취합!CM3</f>
        <v>0</v>
      </c>
      <c r="DB3" s="19">
        <f>현금흐름취합!CN3</f>
        <v>0</v>
      </c>
      <c r="DC3" s="19">
        <f>현금흐름취합!CO3</f>
        <v>0</v>
      </c>
      <c r="DD3" s="19">
        <f>현금흐름취합!CP3</f>
        <v>0</v>
      </c>
      <c r="DE3" s="19">
        <f>현금흐름취합!CQ3</f>
        <v>0</v>
      </c>
      <c r="DF3" s="19">
        <f>현금흐름취합!CR3</f>
        <v>0</v>
      </c>
      <c r="DG3" s="19">
        <f>현금흐름취합!CS3</f>
        <v>0</v>
      </c>
      <c r="DH3" s="19">
        <f>현금흐름취합!CT3</f>
        <v>0</v>
      </c>
      <c r="DI3" s="19">
        <f>현금흐름취합!CU3</f>
        <v>0</v>
      </c>
      <c r="DJ3" s="19">
        <f>현금흐름취합!CV3</f>
        <v>0</v>
      </c>
      <c r="DK3" s="19">
        <f>현금흐름취합!CW3</f>
        <v>0</v>
      </c>
      <c r="DL3" s="19">
        <f>현금흐름취합!CX3</f>
        <v>0</v>
      </c>
      <c r="DM3" s="19">
        <f>현금흐름취합!CY3</f>
        <v>0</v>
      </c>
      <c r="DN3" s="19">
        <f>현금흐름취합!CZ3</f>
        <v>0</v>
      </c>
      <c r="DO3" s="19">
        <f>현금흐름취합!DA3</f>
        <v>0</v>
      </c>
      <c r="DP3" s="19">
        <f>현금흐름취합!DB3</f>
        <v>0</v>
      </c>
      <c r="DQ3" s="19">
        <f>현금흐름취합!DC3</f>
        <v>0</v>
      </c>
      <c r="DR3" s="19">
        <f>현금흐름취합!DD3</f>
        <v>0</v>
      </c>
      <c r="DS3" s="19">
        <f>현금흐름취합!DE3</f>
        <v>0</v>
      </c>
      <c r="DT3" s="19">
        <f>현금흐름취합!DF3</f>
        <v>0</v>
      </c>
      <c r="DU3" s="19">
        <f>현금흐름취합!DG3</f>
        <v>0</v>
      </c>
      <c r="DV3" s="19">
        <f>현금흐름취합!DH3</f>
        <v>0</v>
      </c>
      <c r="DW3" s="19">
        <f>현금흐름취합!DI3</f>
        <v>0</v>
      </c>
      <c r="DX3" s="19">
        <f>현금흐름취합!DJ3</f>
        <v>0</v>
      </c>
      <c r="DY3" s="19">
        <f>현금흐름취합!DK3</f>
        <v>0</v>
      </c>
      <c r="DZ3" s="19">
        <f>현금흐름취합!DL3</f>
        <v>0</v>
      </c>
      <c r="EA3" s="19">
        <f>현금흐름취합!DM3</f>
        <v>0</v>
      </c>
      <c r="EB3" s="19">
        <f>현금흐름취합!DN3</f>
        <v>0</v>
      </c>
      <c r="EC3" s="19">
        <f>현금흐름취합!DO3</f>
        <v>0</v>
      </c>
      <c r="ED3" s="19">
        <f>현금흐름취합!DP3</f>
        <v>0</v>
      </c>
      <c r="EE3" s="19">
        <f>현금흐름취합!DQ3</f>
        <v>0</v>
      </c>
      <c r="EF3" s="19">
        <f>현금흐름취합!DR3</f>
        <v>0</v>
      </c>
      <c r="EG3" s="19">
        <f>현금흐름취합!DS3</f>
        <v>0</v>
      </c>
      <c r="EH3" s="19">
        <f>현금흐름취합!DT3</f>
        <v>0</v>
      </c>
      <c r="EI3" s="19">
        <f>현금흐름취합!DU3</f>
        <v>0</v>
      </c>
      <c r="EJ3" s="19">
        <f>현금흐름취합!DV3</f>
        <v>0</v>
      </c>
      <c r="EK3" s="19">
        <f>현금흐름취합!DW3</f>
        <v>0</v>
      </c>
      <c r="EL3" s="19">
        <f>현금흐름취합!DX3</f>
        <v>0</v>
      </c>
      <c r="EM3" s="19">
        <f>현금흐름취합!DY3</f>
        <v>0</v>
      </c>
      <c r="EN3" s="19">
        <f>현금흐름취합!DZ3</f>
        <v>0</v>
      </c>
      <c r="EO3" s="19">
        <f>현금흐름취합!EA3</f>
        <v>0</v>
      </c>
      <c r="EP3" s="19">
        <f>현금흐름취합!EB3</f>
        <v>0</v>
      </c>
      <c r="EQ3" s="19">
        <f>현금흐름취합!EC3</f>
        <v>0</v>
      </c>
      <c r="ER3" s="19">
        <f>현금흐름취합!ED3</f>
        <v>0</v>
      </c>
      <c r="ES3" s="19">
        <f>현금흐름취합!EE3</f>
        <v>0</v>
      </c>
    </row>
    <row r="4" spans="1:149">
      <c r="A4" s="7" t="str">
        <f>현금흐름취합!A4</f>
        <v>R-031</v>
      </c>
      <c r="B4" s="7" t="str">
        <f>현금흐름취합!B4</f>
        <v>봄디자인</v>
      </c>
      <c r="C4" s="7" t="str">
        <f>현금흐름취합!C4</f>
        <v>R-031-1안</v>
      </c>
      <c r="D4" s="8" t="str">
        <f>현금흐름취합!D4</f>
        <v>1안</v>
      </c>
      <c r="E4" s="37"/>
      <c r="F4" s="8" t="str">
        <f>현금흐름취합!E4</f>
        <v>A</v>
      </c>
      <c r="G4" s="37" t="str">
        <f t="shared" si="1"/>
        <v>ok</v>
      </c>
      <c r="H4" s="9" t="str">
        <f>현금흐름취합!F4</f>
        <v>현재 경매진행중인바, 경매를 통한 회수를 가정함.</v>
      </c>
      <c r="I4" s="10">
        <f>현금흐름취합!G4</f>
        <v>0.73629374178097329</v>
      </c>
      <c r="J4" s="39" t="b">
        <f t="shared" si="2"/>
        <v>1</v>
      </c>
      <c r="K4" s="11">
        <f>현금흐름취합!H4</f>
        <v>3225812792</v>
      </c>
      <c r="L4" s="40" t="b">
        <f>VLOOKUP(A4,'Sheet A'!$E$11:$K$60,7,0)=K4</f>
        <v>1</v>
      </c>
      <c r="M4" s="12">
        <f>현금흐름취합!I4</f>
        <v>0.12</v>
      </c>
      <c r="N4" s="40" t="str">
        <f t="shared" si="3"/>
        <v>OK</v>
      </c>
      <c r="O4" s="13">
        <f>현금흐름취합!J4</f>
        <v>8.823893821852509E-2</v>
      </c>
      <c r="P4" s="14" t="str">
        <f>현금흐름취합!K4</f>
        <v>N/A</v>
      </c>
      <c r="Q4" s="18" t="str">
        <f>현금흐름취합!L4</f>
        <v>N</v>
      </c>
      <c r="R4" s="15">
        <f>현금흐름취합!M4</f>
        <v>2375145770.9066086</v>
      </c>
      <c r="S4" s="40" t="b">
        <f t="shared" si="4"/>
        <v>1</v>
      </c>
      <c r="T4" s="16">
        <f>현금흐름취합!N4</f>
        <v>2562077012.9719887</v>
      </c>
      <c r="U4" s="40" t="b">
        <f t="shared" si="0"/>
        <v>1</v>
      </c>
      <c r="V4" s="46">
        <f>SUMIF(일반여신!$E$10:$E$35,검증!A4,일반여신!$O$10:$O$35)*0.985-SUMIF(가지급금!$E$10:$E$180,A4,가지급금!$K$10:$K$180)+SUMIF(가지급금!$E$10:$E$180,검증!A4,가지급금!$O$10:$O$180)*0.985</f>
        <v>0</v>
      </c>
      <c r="W4" s="47">
        <f t="shared" si="5"/>
        <v>0</v>
      </c>
      <c r="X4" s="48"/>
      <c r="Y4" s="49">
        <f>SUMIF('Sheet D'!$E$11:$E$60,A4,'Sheet D'!$P$11:$P$60)</f>
        <v>0</v>
      </c>
      <c r="Z4" s="48">
        <f>SUMIFS(일반여신!$M$10:$M$35,일반여신!$E$10:$E$35,A4,일반여신!$P$10:$P$35,"신용보증서 대위변제")</f>
        <v>0</v>
      </c>
      <c r="AA4" s="48">
        <f t="shared" si="6"/>
        <v>0</v>
      </c>
      <c r="AB4" s="50"/>
      <c r="AC4" s="19">
        <f>현금흐름취합!O4</f>
        <v>0</v>
      </c>
      <c r="AD4" s="19">
        <f>현금흐름취합!P4</f>
        <v>0</v>
      </c>
      <c r="AE4" s="19">
        <f>현금흐름취합!Q4</f>
        <v>0</v>
      </c>
      <c r="AF4" s="19">
        <f>현금흐름취합!R4</f>
        <v>0</v>
      </c>
      <c r="AG4" s="19">
        <f>현금흐름취합!S4</f>
        <v>0</v>
      </c>
      <c r="AH4" s="19">
        <f>현금흐름취합!T4</f>
        <v>0</v>
      </c>
      <c r="AI4" s="19">
        <f>현금흐름취합!U4</f>
        <v>0</v>
      </c>
      <c r="AJ4" s="19">
        <f>현금흐름취합!V4</f>
        <v>0</v>
      </c>
      <c r="AK4" s="19">
        <f>현금흐름취합!W4</f>
        <v>2562077012.9719887</v>
      </c>
      <c r="AL4" s="19">
        <f>현금흐름취합!X4</f>
        <v>0</v>
      </c>
      <c r="AM4" s="19">
        <f>현금흐름취합!Y4</f>
        <v>0</v>
      </c>
      <c r="AN4" s="19">
        <f>현금흐름취합!Z4</f>
        <v>0</v>
      </c>
      <c r="AO4" s="19">
        <f>현금흐름취합!AA4</f>
        <v>0</v>
      </c>
      <c r="AP4" s="19">
        <f>현금흐름취합!AB4</f>
        <v>0</v>
      </c>
      <c r="AQ4" s="19">
        <f>현금흐름취합!AC4</f>
        <v>0</v>
      </c>
      <c r="AR4" s="19">
        <f>현금흐름취합!AD4</f>
        <v>0</v>
      </c>
      <c r="AS4" s="19">
        <f>현금흐름취합!AE4</f>
        <v>0</v>
      </c>
      <c r="AT4" s="19">
        <f>현금흐름취합!AF4</f>
        <v>0</v>
      </c>
      <c r="AU4" s="19">
        <f>현금흐름취합!AG4</f>
        <v>0</v>
      </c>
      <c r="AV4" s="19">
        <f>현금흐름취합!AH4</f>
        <v>0</v>
      </c>
      <c r="AW4" s="19">
        <f>현금흐름취합!AI4</f>
        <v>0</v>
      </c>
      <c r="AX4" s="19">
        <f>현금흐름취합!AJ4</f>
        <v>0</v>
      </c>
      <c r="AY4" s="19">
        <f>현금흐름취합!AK4</f>
        <v>0</v>
      </c>
      <c r="AZ4" s="19">
        <f>현금흐름취합!AL4</f>
        <v>0</v>
      </c>
      <c r="BA4" s="19">
        <f>현금흐름취합!AM4</f>
        <v>0</v>
      </c>
      <c r="BB4" s="19">
        <f>현금흐름취합!AN4</f>
        <v>0</v>
      </c>
      <c r="BC4" s="19">
        <f>현금흐름취합!AO4</f>
        <v>0</v>
      </c>
      <c r="BD4" s="19">
        <f>현금흐름취합!AP4</f>
        <v>0</v>
      </c>
      <c r="BE4" s="19">
        <f>현금흐름취합!AQ4</f>
        <v>0</v>
      </c>
      <c r="BF4" s="19">
        <f>현금흐름취합!AR4</f>
        <v>0</v>
      </c>
      <c r="BG4" s="19">
        <f>현금흐름취합!AS4</f>
        <v>0</v>
      </c>
      <c r="BH4" s="19">
        <f>현금흐름취합!AT4</f>
        <v>0</v>
      </c>
      <c r="BI4" s="19">
        <f>현금흐름취합!AU4</f>
        <v>0</v>
      </c>
      <c r="BJ4" s="19">
        <f>현금흐름취합!AV4</f>
        <v>0</v>
      </c>
      <c r="BK4" s="19">
        <f>현금흐름취합!AW4</f>
        <v>0</v>
      </c>
      <c r="BL4" s="19">
        <f>현금흐름취합!AX4</f>
        <v>0</v>
      </c>
      <c r="BM4" s="19">
        <f>현금흐름취합!AY4</f>
        <v>0</v>
      </c>
      <c r="BN4" s="19">
        <f>현금흐름취합!AZ4</f>
        <v>0</v>
      </c>
      <c r="BO4" s="19">
        <f>현금흐름취합!BA4</f>
        <v>0</v>
      </c>
      <c r="BP4" s="19">
        <f>현금흐름취합!BB4</f>
        <v>0</v>
      </c>
      <c r="BQ4" s="19">
        <f>현금흐름취합!BC4</f>
        <v>0</v>
      </c>
      <c r="BR4" s="19">
        <f>현금흐름취합!BD4</f>
        <v>0</v>
      </c>
      <c r="BS4" s="19">
        <f>현금흐름취합!BE4</f>
        <v>0</v>
      </c>
      <c r="BT4" s="19">
        <f>현금흐름취합!BF4</f>
        <v>0</v>
      </c>
      <c r="BU4" s="19">
        <f>현금흐름취합!BG4</f>
        <v>0</v>
      </c>
      <c r="BV4" s="19">
        <f>현금흐름취합!BH4</f>
        <v>0</v>
      </c>
      <c r="BW4" s="19">
        <f>현금흐름취합!BI4</f>
        <v>0</v>
      </c>
      <c r="BX4" s="19">
        <f>현금흐름취합!BJ4</f>
        <v>0</v>
      </c>
      <c r="BY4" s="19">
        <f>현금흐름취합!BK4</f>
        <v>0</v>
      </c>
      <c r="BZ4" s="19">
        <f>현금흐름취합!BL4</f>
        <v>0</v>
      </c>
      <c r="CA4" s="19">
        <f>현금흐름취합!BM4</f>
        <v>0</v>
      </c>
      <c r="CB4" s="19">
        <f>현금흐름취합!BN4</f>
        <v>0</v>
      </c>
      <c r="CC4" s="19">
        <f>현금흐름취합!BO4</f>
        <v>0</v>
      </c>
      <c r="CD4" s="19">
        <f>현금흐름취합!BP4</f>
        <v>0</v>
      </c>
      <c r="CE4" s="19">
        <f>현금흐름취합!BQ4</f>
        <v>0</v>
      </c>
      <c r="CF4" s="19">
        <f>현금흐름취합!BR4</f>
        <v>0</v>
      </c>
      <c r="CG4" s="19">
        <f>현금흐름취합!BS4</f>
        <v>0</v>
      </c>
      <c r="CH4" s="19">
        <f>현금흐름취합!BT4</f>
        <v>0</v>
      </c>
      <c r="CI4" s="19">
        <f>현금흐름취합!BU4</f>
        <v>0</v>
      </c>
      <c r="CJ4" s="19">
        <f>현금흐름취합!BV4</f>
        <v>0</v>
      </c>
      <c r="CK4" s="19">
        <f>현금흐름취합!BW4</f>
        <v>0</v>
      </c>
      <c r="CL4" s="19">
        <f>현금흐름취합!BX4</f>
        <v>0</v>
      </c>
      <c r="CM4" s="19">
        <f>현금흐름취합!BY4</f>
        <v>0</v>
      </c>
      <c r="CN4" s="19">
        <f>현금흐름취합!BZ4</f>
        <v>0</v>
      </c>
      <c r="CO4" s="19">
        <f>현금흐름취합!CA4</f>
        <v>0</v>
      </c>
      <c r="CP4" s="19">
        <f>현금흐름취합!CB4</f>
        <v>0</v>
      </c>
      <c r="CQ4" s="19">
        <f>현금흐름취합!CC4</f>
        <v>0</v>
      </c>
      <c r="CR4" s="19">
        <f>현금흐름취합!CD4</f>
        <v>0</v>
      </c>
      <c r="CS4" s="19">
        <f>현금흐름취합!CE4</f>
        <v>0</v>
      </c>
      <c r="CT4" s="19">
        <f>현금흐름취합!CF4</f>
        <v>0</v>
      </c>
      <c r="CU4" s="19">
        <f>현금흐름취합!CG4</f>
        <v>0</v>
      </c>
      <c r="CV4" s="19">
        <f>현금흐름취합!CH4</f>
        <v>0</v>
      </c>
      <c r="CW4" s="19">
        <f>현금흐름취합!CI4</f>
        <v>0</v>
      </c>
      <c r="CX4" s="19">
        <f>현금흐름취합!CJ4</f>
        <v>0</v>
      </c>
      <c r="CY4" s="19">
        <f>현금흐름취합!CK4</f>
        <v>0</v>
      </c>
      <c r="CZ4" s="19">
        <f>현금흐름취합!CL4</f>
        <v>0</v>
      </c>
      <c r="DA4" s="19">
        <f>현금흐름취합!CM4</f>
        <v>0</v>
      </c>
      <c r="DB4" s="19">
        <f>현금흐름취합!CN4</f>
        <v>0</v>
      </c>
      <c r="DC4" s="19">
        <f>현금흐름취합!CO4</f>
        <v>0</v>
      </c>
      <c r="DD4" s="19">
        <f>현금흐름취합!CP4</f>
        <v>0</v>
      </c>
      <c r="DE4" s="19">
        <f>현금흐름취합!CQ4</f>
        <v>0</v>
      </c>
      <c r="DF4" s="19">
        <f>현금흐름취합!CR4</f>
        <v>0</v>
      </c>
      <c r="DG4" s="19">
        <f>현금흐름취합!CS4</f>
        <v>0</v>
      </c>
      <c r="DH4" s="19">
        <f>현금흐름취합!CT4</f>
        <v>0</v>
      </c>
      <c r="DI4" s="19">
        <f>현금흐름취합!CU4</f>
        <v>0</v>
      </c>
      <c r="DJ4" s="19">
        <f>현금흐름취합!CV4</f>
        <v>0</v>
      </c>
      <c r="DK4" s="19">
        <f>현금흐름취합!CW4</f>
        <v>0</v>
      </c>
      <c r="DL4" s="19">
        <f>현금흐름취합!CX4</f>
        <v>0</v>
      </c>
      <c r="DM4" s="19">
        <f>현금흐름취합!CY4</f>
        <v>0</v>
      </c>
      <c r="DN4" s="19">
        <f>현금흐름취합!CZ4</f>
        <v>0</v>
      </c>
      <c r="DO4" s="19">
        <f>현금흐름취합!DA4</f>
        <v>0</v>
      </c>
      <c r="DP4" s="19">
        <f>현금흐름취합!DB4</f>
        <v>0</v>
      </c>
      <c r="DQ4" s="19">
        <f>현금흐름취합!DC4</f>
        <v>0</v>
      </c>
      <c r="DR4" s="19">
        <f>현금흐름취합!DD4</f>
        <v>0</v>
      </c>
      <c r="DS4" s="19">
        <f>현금흐름취합!DE4</f>
        <v>0</v>
      </c>
      <c r="DT4" s="19">
        <f>현금흐름취합!DF4</f>
        <v>0</v>
      </c>
      <c r="DU4" s="19">
        <f>현금흐름취합!DG4</f>
        <v>0</v>
      </c>
      <c r="DV4" s="19">
        <f>현금흐름취합!DH4</f>
        <v>0</v>
      </c>
      <c r="DW4" s="19">
        <f>현금흐름취합!DI4</f>
        <v>0</v>
      </c>
      <c r="DX4" s="19">
        <f>현금흐름취합!DJ4</f>
        <v>0</v>
      </c>
      <c r="DY4" s="19">
        <f>현금흐름취합!DK4</f>
        <v>0</v>
      </c>
      <c r="DZ4" s="19">
        <f>현금흐름취합!DL4</f>
        <v>0</v>
      </c>
      <c r="EA4" s="19">
        <f>현금흐름취합!DM4</f>
        <v>0</v>
      </c>
      <c r="EB4" s="19">
        <f>현금흐름취합!DN4</f>
        <v>0</v>
      </c>
      <c r="EC4" s="19">
        <f>현금흐름취합!DO4</f>
        <v>0</v>
      </c>
      <c r="ED4" s="19">
        <f>현금흐름취합!DP4</f>
        <v>0</v>
      </c>
      <c r="EE4" s="19">
        <f>현금흐름취합!DQ4</f>
        <v>0</v>
      </c>
      <c r="EF4" s="19">
        <f>현금흐름취합!DR4</f>
        <v>0</v>
      </c>
      <c r="EG4" s="19">
        <f>현금흐름취합!DS4</f>
        <v>0</v>
      </c>
      <c r="EH4" s="19">
        <f>현금흐름취합!DT4</f>
        <v>0</v>
      </c>
      <c r="EI4" s="19">
        <f>현금흐름취합!DU4</f>
        <v>0</v>
      </c>
      <c r="EJ4" s="19">
        <f>현금흐름취합!DV4</f>
        <v>0</v>
      </c>
      <c r="EK4" s="19">
        <f>현금흐름취합!DW4</f>
        <v>0</v>
      </c>
      <c r="EL4" s="19">
        <f>현금흐름취합!DX4</f>
        <v>0</v>
      </c>
      <c r="EM4" s="19">
        <f>현금흐름취합!DY4</f>
        <v>0</v>
      </c>
      <c r="EN4" s="19">
        <f>현금흐름취합!DZ4</f>
        <v>0</v>
      </c>
      <c r="EO4" s="19">
        <f>현금흐름취합!EA4</f>
        <v>0</v>
      </c>
      <c r="EP4" s="19">
        <f>현금흐름취합!EB4</f>
        <v>0</v>
      </c>
      <c r="EQ4" s="19">
        <f>현금흐름취합!EC4</f>
        <v>0</v>
      </c>
      <c r="ER4" s="19">
        <f>현금흐름취합!ED4</f>
        <v>0</v>
      </c>
      <c r="ES4" s="19">
        <f>현금흐름취합!EE4</f>
        <v>0</v>
      </c>
    </row>
    <row r="5" spans="1:149">
      <c r="A5" s="7" t="str">
        <f>현금흐름취합!A5</f>
        <v>R-031</v>
      </c>
      <c r="B5" s="7" t="str">
        <f>현금흐름취합!B5</f>
        <v>봄디자인</v>
      </c>
      <c r="C5" s="7" t="str">
        <f>현금흐름취합!C5</f>
        <v>R-031-2안</v>
      </c>
      <c r="D5" s="8" t="str">
        <f>현금흐름취합!D5</f>
        <v>2안</v>
      </c>
      <c r="E5" s="37" t="str">
        <f>IF(R4&gt;R5,"역전현상","이상없음")</f>
        <v>이상없음</v>
      </c>
      <c r="F5" s="8" t="str">
        <f>현금흐름취합!E5</f>
        <v>A</v>
      </c>
      <c r="G5" s="37" t="str">
        <f t="shared" si="1"/>
        <v>ok</v>
      </c>
      <c r="H5" s="9" t="str">
        <f>현금흐름취합!F5</f>
        <v>현재 경매진행중인바, 경매를 통한 회수를 가정함.</v>
      </c>
      <c r="I5" s="10">
        <f>현금흐름취합!G5</f>
        <v>0.76359038451997219</v>
      </c>
      <c r="J5" s="39" t="b">
        <f t="shared" si="2"/>
        <v>1</v>
      </c>
      <c r="K5" s="11">
        <f>현금흐름취합!H5</f>
        <v>3225812792</v>
      </c>
      <c r="L5" s="40" t="b">
        <f>VLOOKUP(A5,'Sheet A'!$E$11:$K$60,7,0)=K5</f>
        <v>1</v>
      </c>
      <c r="M5" s="12">
        <f>현금흐름취합!I5</f>
        <v>0.12</v>
      </c>
      <c r="N5" s="40" t="str">
        <f t="shared" si="3"/>
        <v>OK</v>
      </c>
      <c r="O5" s="13">
        <f>현금흐름취합!J5</f>
        <v>8.823893821852509E-2</v>
      </c>
      <c r="P5" s="14" t="str">
        <f>현금흐름취합!K5</f>
        <v>N/A</v>
      </c>
      <c r="Q5" s="18" t="str">
        <f>현금흐름취합!L5</f>
        <v>N</v>
      </c>
      <c r="R5" s="15">
        <f>현금흐름취합!M5</f>
        <v>2463199630.2327251</v>
      </c>
      <c r="S5" s="40" t="b">
        <f t="shared" si="4"/>
        <v>1</v>
      </c>
      <c r="T5" s="16">
        <f>현금흐름취합!N5</f>
        <v>2657060980.5441346</v>
      </c>
      <c r="U5" s="40" t="b">
        <f t="shared" si="0"/>
        <v>1</v>
      </c>
      <c r="V5" s="46">
        <f>SUMIF(일반여신!$E$10:$E$35,검증!A5,일반여신!$O$10:$O$35)*0.985-SUMIF(가지급금!$E$10:$E$180,A5,가지급금!$K$10:$K$180)+SUMIF(가지급금!$E$10:$E$180,검증!A5,가지급금!$O$10:$O$180)*0.985</f>
        <v>0</v>
      </c>
      <c r="W5" s="47">
        <f t="shared" si="5"/>
        <v>0</v>
      </c>
      <c r="X5" s="48"/>
      <c r="Y5" s="49">
        <f>SUMIF('Sheet D'!$E$11:$E$60,A5,'Sheet D'!$P$11:$P$60)</f>
        <v>0</v>
      </c>
      <c r="Z5" s="48">
        <f>SUMIFS(일반여신!$M$10:$M$35,일반여신!$E$10:$E$35,A5,일반여신!$P$10:$P$35,"신용보증서 대위변제")</f>
        <v>0</v>
      </c>
      <c r="AA5" s="48">
        <f t="shared" si="6"/>
        <v>0</v>
      </c>
      <c r="AB5" s="50"/>
      <c r="AC5" s="19">
        <f>현금흐름취합!O5</f>
        <v>0</v>
      </c>
      <c r="AD5" s="19">
        <f>현금흐름취합!P5</f>
        <v>0</v>
      </c>
      <c r="AE5" s="19">
        <f>현금흐름취합!Q5</f>
        <v>0</v>
      </c>
      <c r="AF5" s="19">
        <f>현금흐름취합!R5</f>
        <v>0</v>
      </c>
      <c r="AG5" s="19">
        <f>현금흐름취합!S5</f>
        <v>0</v>
      </c>
      <c r="AH5" s="19">
        <f>현금흐름취합!T5</f>
        <v>0</v>
      </c>
      <c r="AI5" s="19">
        <f>현금흐름취합!U5</f>
        <v>0</v>
      </c>
      <c r="AJ5" s="19">
        <f>현금흐름취합!V5</f>
        <v>0</v>
      </c>
      <c r="AK5" s="19">
        <f>현금흐름취합!W5</f>
        <v>2657060980.5441346</v>
      </c>
      <c r="AL5" s="19">
        <f>현금흐름취합!X5</f>
        <v>0</v>
      </c>
      <c r="AM5" s="19">
        <f>현금흐름취합!Y5</f>
        <v>0</v>
      </c>
      <c r="AN5" s="19">
        <f>현금흐름취합!Z5</f>
        <v>0</v>
      </c>
      <c r="AO5" s="19">
        <f>현금흐름취합!AA5</f>
        <v>0</v>
      </c>
      <c r="AP5" s="19">
        <f>현금흐름취합!AB5</f>
        <v>0</v>
      </c>
      <c r="AQ5" s="19">
        <f>현금흐름취합!AC5</f>
        <v>0</v>
      </c>
      <c r="AR5" s="19">
        <f>현금흐름취합!AD5</f>
        <v>0</v>
      </c>
      <c r="AS5" s="19">
        <f>현금흐름취합!AE5</f>
        <v>0</v>
      </c>
      <c r="AT5" s="19">
        <f>현금흐름취합!AF5</f>
        <v>0</v>
      </c>
      <c r="AU5" s="19">
        <f>현금흐름취합!AG5</f>
        <v>0</v>
      </c>
      <c r="AV5" s="19">
        <f>현금흐름취합!AH5</f>
        <v>0</v>
      </c>
      <c r="AW5" s="19">
        <f>현금흐름취합!AI5</f>
        <v>0</v>
      </c>
      <c r="AX5" s="19">
        <f>현금흐름취합!AJ5</f>
        <v>0</v>
      </c>
      <c r="AY5" s="19">
        <f>현금흐름취합!AK5</f>
        <v>0</v>
      </c>
      <c r="AZ5" s="19">
        <f>현금흐름취합!AL5</f>
        <v>0</v>
      </c>
      <c r="BA5" s="19">
        <f>현금흐름취합!AM5</f>
        <v>0</v>
      </c>
      <c r="BB5" s="19">
        <f>현금흐름취합!AN5</f>
        <v>0</v>
      </c>
      <c r="BC5" s="19">
        <f>현금흐름취합!AO5</f>
        <v>0</v>
      </c>
      <c r="BD5" s="19">
        <f>현금흐름취합!AP5</f>
        <v>0</v>
      </c>
      <c r="BE5" s="19">
        <f>현금흐름취합!AQ5</f>
        <v>0</v>
      </c>
      <c r="BF5" s="19">
        <f>현금흐름취합!AR5</f>
        <v>0</v>
      </c>
      <c r="BG5" s="19">
        <f>현금흐름취합!AS5</f>
        <v>0</v>
      </c>
      <c r="BH5" s="19">
        <f>현금흐름취합!AT5</f>
        <v>0</v>
      </c>
      <c r="BI5" s="19">
        <f>현금흐름취합!AU5</f>
        <v>0</v>
      </c>
      <c r="BJ5" s="19">
        <f>현금흐름취합!AV5</f>
        <v>0</v>
      </c>
      <c r="BK5" s="19">
        <f>현금흐름취합!AW5</f>
        <v>0</v>
      </c>
      <c r="BL5" s="19">
        <f>현금흐름취합!AX5</f>
        <v>0</v>
      </c>
      <c r="BM5" s="19">
        <f>현금흐름취합!AY5</f>
        <v>0</v>
      </c>
      <c r="BN5" s="19">
        <f>현금흐름취합!AZ5</f>
        <v>0</v>
      </c>
      <c r="BO5" s="19">
        <f>현금흐름취합!BA5</f>
        <v>0</v>
      </c>
      <c r="BP5" s="19">
        <f>현금흐름취합!BB5</f>
        <v>0</v>
      </c>
      <c r="BQ5" s="19">
        <f>현금흐름취합!BC5</f>
        <v>0</v>
      </c>
      <c r="BR5" s="19">
        <f>현금흐름취합!BD5</f>
        <v>0</v>
      </c>
      <c r="BS5" s="19">
        <f>현금흐름취합!BE5</f>
        <v>0</v>
      </c>
      <c r="BT5" s="19">
        <f>현금흐름취합!BF5</f>
        <v>0</v>
      </c>
      <c r="BU5" s="19">
        <f>현금흐름취합!BG5</f>
        <v>0</v>
      </c>
      <c r="BV5" s="19">
        <f>현금흐름취합!BH5</f>
        <v>0</v>
      </c>
      <c r="BW5" s="19">
        <f>현금흐름취합!BI5</f>
        <v>0</v>
      </c>
      <c r="BX5" s="19">
        <f>현금흐름취합!BJ5</f>
        <v>0</v>
      </c>
      <c r="BY5" s="19">
        <f>현금흐름취합!BK5</f>
        <v>0</v>
      </c>
      <c r="BZ5" s="19">
        <f>현금흐름취합!BL5</f>
        <v>0</v>
      </c>
      <c r="CA5" s="19">
        <f>현금흐름취합!BM5</f>
        <v>0</v>
      </c>
      <c r="CB5" s="19">
        <f>현금흐름취합!BN5</f>
        <v>0</v>
      </c>
      <c r="CC5" s="19">
        <f>현금흐름취합!BO5</f>
        <v>0</v>
      </c>
      <c r="CD5" s="19">
        <f>현금흐름취합!BP5</f>
        <v>0</v>
      </c>
      <c r="CE5" s="19">
        <f>현금흐름취합!BQ5</f>
        <v>0</v>
      </c>
      <c r="CF5" s="19">
        <f>현금흐름취합!BR5</f>
        <v>0</v>
      </c>
      <c r="CG5" s="19">
        <f>현금흐름취합!BS5</f>
        <v>0</v>
      </c>
      <c r="CH5" s="19">
        <f>현금흐름취합!BT5</f>
        <v>0</v>
      </c>
      <c r="CI5" s="19">
        <f>현금흐름취합!BU5</f>
        <v>0</v>
      </c>
      <c r="CJ5" s="19">
        <f>현금흐름취합!BV5</f>
        <v>0</v>
      </c>
      <c r="CK5" s="19">
        <f>현금흐름취합!BW5</f>
        <v>0</v>
      </c>
      <c r="CL5" s="19">
        <f>현금흐름취합!BX5</f>
        <v>0</v>
      </c>
      <c r="CM5" s="19">
        <f>현금흐름취합!BY5</f>
        <v>0</v>
      </c>
      <c r="CN5" s="19">
        <f>현금흐름취합!BZ5</f>
        <v>0</v>
      </c>
      <c r="CO5" s="19">
        <f>현금흐름취합!CA5</f>
        <v>0</v>
      </c>
      <c r="CP5" s="19">
        <f>현금흐름취합!CB5</f>
        <v>0</v>
      </c>
      <c r="CQ5" s="19">
        <f>현금흐름취합!CC5</f>
        <v>0</v>
      </c>
      <c r="CR5" s="19">
        <f>현금흐름취합!CD5</f>
        <v>0</v>
      </c>
      <c r="CS5" s="19">
        <f>현금흐름취합!CE5</f>
        <v>0</v>
      </c>
      <c r="CT5" s="19">
        <f>현금흐름취합!CF5</f>
        <v>0</v>
      </c>
      <c r="CU5" s="19">
        <f>현금흐름취합!CG5</f>
        <v>0</v>
      </c>
      <c r="CV5" s="19">
        <f>현금흐름취합!CH5</f>
        <v>0</v>
      </c>
      <c r="CW5" s="19">
        <f>현금흐름취합!CI5</f>
        <v>0</v>
      </c>
      <c r="CX5" s="19">
        <f>현금흐름취합!CJ5</f>
        <v>0</v>
      </c>
      <c r="CY5" s="19">
        <f>현금흐름취합!CK5</f>
        <v>0</v>
      </c>
      <c r="CZ5" s="19">
        <f>현금흐름취합!CL5</f>
        <v>0</v>
      </c>
      <c r="DA5" s="19">
        <f>현금흐름취합!CM5</f>
        <v>0</v>
      </c>
      <c r="DB5" s="19">
        <f>현금흐름취합!CN5</f>
        <v>0</v>
      </c>
      <c r="DC5" s="19">
        <f>현금흐름취합!CO5</f>
        <v>0</v>
      </c>
      <c r="DD5" s="19">
        <f>현금흐름취합!CP5</f>
        <v>0</v>
      </c>
      <c r="DE5" s="19">
        <f>현금흐름취합!CQ5</f>
        <v>0</v>
      </c>
      <c r="DF5" s="19">
        <f>현금흐름취합!CR5</f>
        <v>0</v>
      </c>
      <c r="DG5" s="19">
        <f>현금흐름취합!CS5</f>
        <v>0</v>
      </c>
      <c r="DH5" s="19">
        <f>현금흐름취합!CT5</f>
        <v>0</v>
      </c>
      <c r="DI5" s="19">
        <f>현금흐름취합!CU5</f>
        <v>0</v>
      </c>
      <c r="DJ5" s="19">
        <f>현금흐름취합!CV5</f>
        <v>0</v>
      </c>
      <c r="DK5" s="19">
        <f>현금흐름취합!CW5</f>
        <v>0</v>
      </c>
      <c r="DL5" s="19">
        <f>현금흐름취합!CX5</f>
        <v>0</v>
      </c>
      <c r="DM5" s="19">
        <f>현금흐름취합!CY5</f>
        <v>0</v>
      </c>
      <c r="DN5" s="19">
        <f>현금흐름취합!CZ5</f>
        <v>0</v>
      </c>
      <c r="DO5" s="19">
        <f>현금흐름취합!DA5</f>
        <v>0</v>
      </c>
      <c r="DP5" s="19">
        <f>현금흐름취합!DB5</f>
        <v>0</v>
      </c>
      <c r="DQ5" s="19">
        <f>현금흐름취합!DC5</f>
        <v>0</v>
      </c>
      <c r="DR5" s="19">
        <f>현금흐름취합!DD5</f>
        <v>0</v>
      </c>
      <c r="DS5" s="19">
        <f>현금흐름취합!DE5</f>
        <v>0</v>
      </c>
      <c r="DT5" s="19">
        <f>현금흐름취합!DF5</f>
        <v>0</v>
      </c>
      <c r="DU5" s="19">
        <f>현금흐름취합!DG5</f>
        <v>0</v>
      </c>
      <c r="DV5" s="19">
        <f>현금흐름취합!DH5</f>
        <v>0</v>
      </c>
      <c r="DW5" s="19">
        <f>현금흐름취합!DI5</f>
        <v>0</v>
      </c>
      <c r="DX5" s="19">
        <f>현금흐름취합!DJ5</f>
        <v>0</v>
      </c>
      <c r="DY5" s="19">
        <f>현금흐름취합!DK5</f>
        <v>0</v>
      </c>
      <c r="DZ5" s="19">
        <f>현금흐름취합!DL5</f>
        <v>0</v>
      </c>
      <c r="EA5" s="19">
        <f>현금흐름취합!DM5</f>
        <v>0</v>
      </c>
      <c r="EB5" s="19">
        <f>현금흐름취합!DN5</f>
        <v>0</v>
      </c>
      <c r="EC5" s="19">
        <f>현금흐름취합!DO5</f>
        <v>0</v>
      </c>
      <c r="ED5" s="19">
        <f>현금흐름취합!DP5</f>
        <v>0</v>
      </c>
      <c r="EE5" s="19">
        <f>현금흐름취합!DQ5</f>
        <v>0</v>
      </c>
      <c r="EF5" s="19">
        <f>현금흐름취합!DR5</f>
        <v>0</v>
      </c>
      <c r="EG5" s="19">
        <f>현금흐름취합!DS5</f>
        <v>0</v>
      </c>
      <c r="EH5" s="19">
        <f>현금흐름취합!DT5</f>
        <v>0</v>
      </c>
      <c r="EI5" s="19">
        <f>현금흐름취합!DU5</f>
        <v>0</v>
      </c>
      <c r="EJ5" s="19">
        <f>현금흐름취합!DV5</f>
        <v>0</v>
      </c>
      <c r="EK5" s="19">
        <f>현금흐름취합!DW5</f>
        <v>0</v>
      </c>
      <c r="EL5" s="19">
        <f>현금흐름취합!DX5</f>
        <v>0</v>
      </c>
      <c r="EM5" s="19">
        <f>현금흐름취합!DY5</f>
        <v>0</v>
      </c>
      <c r="EN5" s="19">
        <f>현금흐름취합!DZ5</f>
        <v>0</v>
      </c>
      <c r="EO5" s="19">
        <f>현금흐름취합!EA5</f>
        <v>0</v>
      </c>
      <c r="EP5" s="19">
        <f>현금흐름취합!EB5</f>
        <v>0</v>
      </c>
      <c r="EQ5" s="19">
        <f>현금흐름취합!EC5</f>
        <v>0</v>
      </c>
      <c r="ER5" s="19">
        <f>현금흐름취합!ED5</f>
        <v>0</v>
      </c>
      <c r="ES5" s="19">
        <f>현금흐름취합!EE5</f>
        <v>0</v>
      </c>
    </row>
    <row r="6" spans="1:149">
      <c r="A6" s="7" t="str">
        <f>현금흐름취합!A6</f>
        <v>R-049</v>
      </c>
      <c r="B6" s="7" t="str">
        <f>현금흐름취합!B6</f>
        <v>한신에스텍</v>
      </c>
      <c r="C6" s="7" t="str">
        <f>현금흐름취합!C6</f>
        <v>R-049-1안</v>
      </c>
      <c r="D6" s="8" t="str">
        <f>현금흐름취합!D6</f>
        <v>1안</v>
      </c>
      <c r="E6" s="37"/>
      <c r="F6" s="8" t="str">
        <f>현금흐름취합!E6</f>
        <v>A</v>
      </c>
      <c r="G6" s="37" t="str">
        <f t="shared" si="1"/>
        <v>ok</v>
      </c>
      <c r="H6" s="9" t="str">
        <f>현금흐름취합!F6</f>
        <v>현재 경매진행중인바, 경매를 통한 회수를 가정함.</v>
      </c>
      <c r="I6" s="10">
        <f>현금흐름취합!G6</f>
        <v>0.61636195978410724</v>
      </c>
      <c r="J6" s="39" t="b">
        <f t="shared" si="2"/>
        <v>1</v>
      </c>
      <c r="K6" s="11">
        <f>현금흐름취합!H6</f>
        <v>2200636350</v>
      </c>
      <c r="L6" s="40" t="b">
        <f>VLOOKUP(A6,'Sheet A'!$E$11:$K$60,7,0)=K6</f>
        <v>1</v>
      </c>
      <c r="M6" s="12">
        <f>현금흐름취합!I6</f>
        <v>0.12</v>
      </c>
      <c r="N6" s="40" t="str">
        <f t="shared" si="3"/>
        <v>OK</v>
      </c>
      <c r="O6" s="13">
        <f>현금흐름취합!J6</f>
        <v>9.1556548347613217E-2</v>
      </c>
      <c r="P6" s="14" t="str">
        <f>현금흐름취합!K6</f>
        <v>N/A</v>
      </c>
      <c r="Q6" s="18" t="str">
        <f>현금흐름취합!L6</f>
        <v>N</v>
      </c>
      <c r="R6" s="15">
        <f>현금흐름취합!M6</f>
        <v>1356388533.4581444</v>
      </c>
      <c r="S6" s="40" t="b">
        <f t="shared" si="4"/>
        <v>1</v>
      </c>
      <c r="T6" s="16">
        <f>현금흐름취합!N6</f>
        <v>1491918926.3023777</v>
      </c>
      <c r="U6" s="40" t="b">
        <f t="shared" si="0"/>
        <v>1</v>
      </c>
      <c r="V6" s="46">
        <f>SUMIF(일반여신!$E$10:$E$35,검증!A6,일반여신!$O$10:$O$35)*0.985-SUMIF(가지급금!$E$10:$E$180,A6,가지급금!$K$10:$K$180)+SUMIF(가지급금!$E$10:$E$180,검증!A6,가지급금!$O$10:$O$180)*0.985</f>
        <v>-3407700</v>
      </c>
      <c r="W6" s="47">
        <f t="shared" si="5"/>
        <v>0</v>
      </c>
      <c r="X6" s="48"/>
      <c r="Y6" s="49">
        <f>SUMIF('Sheet D'!$E$11:$E$60,A6,'Sheet D'!$P$11:$P$60)</f>
        <v>0</v>
      </c>
      <c r="Z6" s="48">
        <f>SUMIFS(일반여신!$M$10:$M$35,일반여신!$E$10:$E$35,A6,일반여신!$P$10:$P$35,"신용보증서 대위변제")</f>
        <v>0</v>
      </c>
      <c r="AA6" s="48">
        <f t="shared" si="6"/>
        <v>0</v>
      </c>
      <c r="AB6" s="50"/>
      <c r="AC6" s="19">
        <f>현금흐름취합!O6</f>
        <v>-3407700</v>
      </c>
      <c r="AD6" s="19">
        <f>현금흐름취합!P6</f>
        <v>0</v>
      </c>
      <c r="AE6" s="19">
        <f>현금흐름취합!Q6</f>
        <v>0</v>
      </c>
      <c r="AF6" s="19">
        <f>현금흐름취합!R6</f>
        <v>0</v>
      </c>
      <c r="AG6" s="19">
        <f>현금흐름취합!S6</f>
        <v>0</v>
      </c>
      <c r="AH6" s="19">
        <f>현금흐름취합!T6</f>
        <v>0</v>
      </c>
      <c r="AI6" s="19">
        <f>현금흐름취합!U6</f>
        <v>0</v>
      </c>
      <c r="AJ6" s="19">
        <f>현금흐름취합!V6</f>
        <v>0</v>
      </c>
      <c r="AK6" s="19">
        <f>현금흐름취합!W6</f>
        <v>0</v>
      </c>
      <c r="AL6" s="19">
        <f>현금흐름취합!X6</f>
        <v>0</v>
      </c>
      <c r="AM6" s="19">
        <f>현금흐름취합!Y6</f>
        <v>1495326626.3023777</v>
      </c>
      <c r="AN6" s="19">
        <f>현금흐름취합!Z6</f>
        <v>0</v>
      </c>
      <c r="AO6" s="19">
        <f>현금흐름취합!AA6</f>
        <v>0</v>
      </c>
      <c r="AP6" s="19">
        <f>현금흐름취합!AB6</f>
        <v>0</v>
      </c>
      <c r="AQ6" s="19">
        <f>현금흐름취합!AC6</f>
        <v>0</v>
      </c>
      <c r="AR6" s="19">
        <f>현금흐름취합!AD6</f>
        <v>0</v>
      </c>
      <c r="AS6" s="19">
        <f>현금흐름취합!AE6</f>
        <v>0</v>
      </c>
      <c r="AT6" s="19">
        <f>현금흐름취합!AF6</f>
        <v>0</v>
      </c>
      <c r="AU6" s="19">
        <f>현금흐름취합!AG6</f>
        <v>0</v>
      </c>
      <c r="AV6" s="19">
        <f>현금흐름취합!AH6</f>
        <v>0</v>
      </c>
      <c r="AW6" s="19">
        <f>현금흐름취합!AI6</f>
        <v>0</v>
      </c>
      <c r="AX6" s="19">
        <f>현금흐름취합!AJ6</f>
        <v>0</v>
      </c>
      <c r="AY6" s="19">
        <f>현금흐름취합!AK6</f>
        <v>0</v>
      </c>
      <c r="AZ6" s="19">
        <f>현금흐름취합!AL6</f>
        <v>0</v>
      </c>
      <c r="BA6" s="19">
        <f>현금흐름취합!AM6</f>
        <v>0</v>
      </c>
      <c r="BB6" s="19">
        <f>현금흐름취합!AN6</f>
        <v>0</v>
      </c>
      <c r="BC6" s="19">
        <f>현금흐름취합!AO6</f>
        <v>0</v>
      </c>
      <c r="BD6" s="19">
        <f>현금흐름취합!AP6</f>
        <v>0</v>
      </c>
      <c r="BE6" s="19">
        <f>현금흐름취합!AQ6</f>
        <v>0</v>
      </c>
      <c r="BF6" s="19">
        <f>현금흐름취합!AR6</f>
        <v>0</v>
      </c>
      <c r="BG6" s="19">
        <f>현금흐름취합!AS6</f>
        <v>0</v>
      </c>
      <c r="BH6" s="19">
        <f>현금흐름취합!AT6</f>
        <v>0</v>
      </c>
      <c r="BI6" s="19">
        <f>현금흐름취합!AU6</f>
        <v>0</v>
      </c>
      <c r="BJ6" s="19">
        <f>현금흐름취합!AV6</f>
        <v>0</v>
      </c>
      <c r="BK6" s="19">
        <f>현금흐름취합!AW6</f>
        <v>0</v>
      </c>
      <c r="BL6" s="19">
        <f>현금흐름취합!AX6</f>
        <v>0</v>
      </c>
      <c r="BM6" s="19">
        <f>현금흐름취합!AY6</f>
        <v>0</v>
      </c>
      <c r="BN6" s="19">
        <f>현금흐름취합!AZ6</f>
        <v>0</v>
      </c>
      <c r="BO6" s="19">
        <f>현금흐름취합!BA6</f>
        <v>0</v>
      </c>
      <c r="BP6" s="19">
        <f>현금흐름취합!BB6</f>
        <v>0</v>
      </c>
      <c r="BQ6" s="19">
        <f>현금흐름취합!BC6</f>
        <v>0</v>
      </c>
      <c r="BR6" s="19">
        <f>현금흐름취합!BD6</f>
        <v>0</v>
      </c>
      <c r="BS6" s="19">
        <f>현금흐름취합!BE6</f>
        <v>0</v>
      </c>
      <c r="BT6" s="19">
        <f>현금흐름취합!BF6</f>
        <v>0</v>
      </c>
      <c r="BU6" s="19">
        <f>현금흐름취합!BG6</f>
        <v>0</v>
      </c>
      <c r="BV6" s="19">
        <f>현금흐름취합!BH6</f>
        <v>0</v>
      </c>
      <c r="BW6" s="19">
        <f>현금흐름취합!BI6</f>
        <v>0</v>
      </c>
      <c r="BX6" s="19">
        <f>현금흐름취합!BJ6</f>
        <v>0</v>
      </c>
      <c r="BY6" s="19">
        <f>현금흐름취합!BK6</f>
        <v>0</v>
      </c>
      <c r="BZ6" s="19">
        <f>현금흐름취합!BL6</f>
        <v>0</v>
      </c>
      <c r="CA6" s="19">
        <f>현금흐름취합!BM6</f>
        <v>0</v>
      </c>
      <c r="CB6" s="19">
        <f>현금흐름취합!BN6</f>
        <v>0</v>
      </c>
      <c r="CC6" s="19">
        <f>현금흐름취합!BO6</f>
        <v>0</v>
      </c>
      <c r="CD6" s="19">
        <f>현금흐름취합!BP6</f>
        <v>0</v>
      </c>
      <c r="CE6" s="19">
        <f>현금흐름취합!BQ6</f>
        <v>0</v>
      </c>
      <c r="CF6" s="19">
        <f>현금흐름취합!BR6</f>
        <v>0</v>
      </c>
      <c r="CG6" s="19">
        <f>현금흐름취합!BS6</f>
        <v>0</v>
      </c>
      <c r="CH6" s="19">
        <f>현금흐름취합!BT6</f>
        <v>0</v>
      </c>
      <c r="CI6" s="19">
        <f>현금흐름취합!BU6</f>
        <v>0</v>
      </c>
      <c r="CJ6" s="19">
        <f>현금흐름취합!BV6</f>
        <v>0</v>
      </c>
      <c r="CK6" s="19">
        <f>현금흐름취합!BW6</f>
        <v>0</v>
      </c>
      <c r="CL6" s="19">
        <f>현금흐름취합!BX6</f>
        <v>0</v>
      </c>
      <c r="CM6" s="19">
        <f>현금흐름취합!BY6</f>
        <v>0</v>
      </c>
      <c r="CN6" s="19">
        <f>현금흐름취합!BZ6</f>
        <v>0</v>
      </c>
      <c r="CO6" s="19">
        <f>현금흐름취합!CA6</f>
        <v>0</v>
      </c>
      <c r="CP6" s="19">
        <f>현금흐름취합!CB6</f>
        <v>0</v>
      </c>
      <c r="CQ6" s="19">
        <f>현금흐름취합!CC6</f>
        <v>0</v>
      </c>
      <c r="CR6" s="19">
        <f>현금흐름취합!CD6</f>
        <v>0</v>
      </c>
      <c r="CS6" s="19">
        <f>현금흐름취합!CE6</f>
        <v>0</v>
      </c>
      <c r="CT6" s="19">
        <f>현금흐름취합!CF6</f>
        <v>0</v>
      </c>
      <c r="CU6" s="19">
        <f>현금흐름취합!CG6</f>
        <v>0</v>
      </c>
      <c r="CV6" s="19">
        <f>현금흐름취합!CH6</f>
        <v>0</v>
      </c>
      <c r="CW6" s="19">
        <f>현금흐름취합!CI6</f>
        <v>0</v>
      </c>
      <c r="CX6" s="19">
        <f>현금흐름취합!CJ6</f>
        <v>0</v>
      </c>
      <c r="CY6" s="19">
        <f>현금흐름취합!CK6</f>
        <v>0</v>
      </c>
      <c r="CZ6" s="19">
        <f>현금흐름취합!CL6</f>
        <v>0</v>
      </c>
      <c r="DA6" s="19">
        <f>현금흐름취합!CM6</f>
        <v>0</v>
      </c>
      <c r="DB6" s="19">
        <f>현금흐름취합!CN6</f>
        <v>0</v>
      </c>
      <c r="DC6" s="19">
        <f>현금흐름취합!CO6</f>
        <v>0</v>
      </c>
      <c r="DD6" s="19">
        <f>현금흐름취합!CP6</f>
        <v>0</v>
      </c>
      <c r="DE6" s="19">
        <f>현금흐름취합!CQ6</f>
        <v>0</v>
      </c>
      <c r="DF6" s="19">
        <f>현금흐름취합!CR6</f>
        <v>0</v>
      </c>
      <c r="DG6" s="19">
        <f>현금흐름취합!CS6</f>
        <v>0</v>
      </c>
      <c r="DH6" s="19">
        <f>현금흐름취합!CT6</f>
        <v>0</v>
      </c>
      <c r="DI6" s="19">
        <f>현금흐름취합!CU6</f>
        <v>0</v>
      </c>
      <c r="DJ6" s="19">
        <f>현금흐름취합!CV6</f>
        <v>0</v>
      </c>
      <c r="DK6" s="19">
        <f>현금흐름취합!CW6</f>
        <v>0</v>
      </c>
      <c r="DL6" s="19">
        <f>현금흐름취합!CX6</f>
        <v>0</v>
      </c>
      <c r="DM6" s="19">
        <f>현금흐름취합!CY6</f>
        <v>0</v>
      </c>
      <c r="DN6" s="19">
        <f>현금흐름취합!CZ6</f>
        <v>0</v>
      </c>
      <c r="DO6" s="19">
        <f>현금흐름취합!DA6</f>
        <v>0</v>
      </c>
      <c r="DP6" s="19">
        <f>현금흐름취합!DB6</f>
        <v>0</v>
      </c>
      <c r="DQ6" s="19">
        <f>현금흐름취합!DC6</f>
        <v>0</v>
      </c>
      <c r="DR6" s="19">
        <f>현금흐름취합!DD6</f>
        <v>0</v>
      </c>
      <c r="DS6" s="19">
        <f>현금흐름취합!DE6</f>
        <v>0</v>
      </c>
      <c r="DT6" s="19">
        <f>현금흐름취합!DF6</f>
        <v>0</v>
      </c>
      <c r="DU6" s="19">
        <f>현금흐름취합!DG6</f>
        <v>0</v>
      </c>
      <c r="DV6" s="19">
        <f>현금흐름취합!DH6</f>
        <v>0</v>
      </c>
      <c r="DW6" s="19">
        <f>현금흐름취합!DI6</f>
        <v>0</v>
      </c>
      <c r="DX6" s="19">
        <f>현금흐름취합!DJ6</f>
        <v>0</v>
      </c>
      <c r="DY6" s="19">
        <f>현금흐름취합!DK6</f>
        <v>0</v>
      </c>
      <c r="DZ6" s="19">
        <f>현금흐름취합!DL6</f>
        <v>0</v>
      </c>
      <c r="EA6" s="19">
        <f>현금흐름취합!DM6</f>
        <v>0</v>
      </c>
      <c r="EB6" s="19">
        <f>현금흐름취합!DN6</f>
        <v>0</v>
      </c>
      <c r="EC6" s="19">
        <f>현금흐름취합!DO6</f>
        <v>0</v>
      </c>
      <c r="ED6" s="19">
        <f>현금흐름취합!DP6</f>
        <v>0</v>
      </c>
      <c r="EE6" s="19">
        <f>현금흐름취합!DQ6</f>
        <v>0</v>
      </c>
      <c r="EF6" s="19">
        <f>현금흐름취합!DR6</f>
        <v>0</v>
      </c>
      <c r="EG6" s="19">
        <f>현금흐름취합!DS6</f>
        <v>0</v>
      </c>
      <c r="EH6" s="19">
        <f>현금흐름취합!DT6</f>
        <v>0</v>
      </c>
      <c r="EI6" s="19">
        <f>현금흐름취합!DU6</f>
        <v>0</v>
      </c>
      <c r="EJ6" s="19">
        <f>현금흐름취합!DV6</f>
        <v>0</v>
      </c>
      <c r="EK6" s="19">
        <f>현금흐름취합!DW6</f>
        <v>0</v>
      </c>
      <c r="EL6" s="19">
        <f>현금흐름취합!DX6</f>
        <v>0</v>
      </c>
      <c r="EM6" s="19">
        <f>현금흐름취합!DY6</f>
        <v>0</v>
      </c>
      <c r="EN6" s="19">
        <f>현금흐름취합!DZ6</f>
        <v>0</v>
      </c>
      <c r="EO6" s="19">
        <f>현금흐름취합!EA6</f>
        <v>0</v>
      </c>
      <c r="EP6" s="19">
        <f>현금흐름취합!EB6</f>
        <v>0</v>
      </c>
      <c r="EQ6" s="19">
        <f>현금흐름취합!EC6</f>
        <v>0</v>
      </c>
      <c r="ER6" s="19">
        <f>현금흐름취합!ED6</f>
        <v>0</v>
      </c>
      <c r="ES6" s="19">
        <f>현금흐름취합!EE6</f>
        <v>0</v>
      </c>
    </row>
    <row r="7" spans="1:149">
      <c r="A7" s="7" t="str">
        <f>현금흐름취합!A7</f>
        <v>R-049</v>
      </c>
      <c r="B7" s="7" t="str">
        <f>현금흐름취합!B7</f>
        <v>한신에스텍</v>
      </c>
      <c r="C7" s="7" t="str">
        <f>현금흐름취합!C7</f>
        <v>R-049-2안</v>
      </c>
      <c r="D7" s="8" t="str">
        <f>현금흐름취합!D7</f>
        <v>2안</v>
      </c>
      <c r="E7" s="37" t="str">
        <f>IF(R6&gt;R7,"역전현상","이상없음")</f>
        <v>이상없음</v>
      </c>
      <c r="F7" s="8" t="str">
        <f>현금흐름취합!E7</f>
        <v>A</v>
      </c>
      <c r="G7" s="37" t="str">
        <f t="shared" si="1"/>
        <v>ok</v>
      </c>
      <c r="H7" s="9" t="str">
        <f>현금흐름취합!F7</f>
        <v>현재 경매진행중인바, 경매를 통한 회수를 가정함.</v>
      </c>
      <c r="I7" s="10">
        <f>현금흐름취합!G7</f>
        <v>0.63840648181419823</v>
      </c>
      <c r="J7" s="39" t="b">
        <f t="shared" si="2"/>
        <v>1</v>
      </c>
      <c r="K7" s="11">
        <f>현금흐름취합!H7</f>
        <v>2200636350</v>
      </c>
      <c r="L7" s="40" t="b">
        <f>VLOOKUP(A7,'Sheet A'!$E$11:$K$60,7,0)=K7</f>
        <v>1</v>
      </c>
      <c r="M7" s="12">
        <f>현금흐름취합!I7</f>
        <v>0.12</v>
      </c>
      <c r="N7" s="40" t="str">
        <f t="shared" si="3"/>
        <v>OK</v>
      </c>
      <c r="O7" s="13">
        <f>현금흐름취합!J7</f>
        <v>9.1556548347613217E-2</v>
      </c>
      <c r="P7" s="14" t="str">
        <f>현금흐름취합!K7</f>
        <v>N/A</v>
      </c>
      <c r="Q7" s="18" t="str">
        <f>현금흐름취합!L7</f>
        <v>N</v>
      </c>
      <c r="R7" s="15">
        <f>현금흐름취합!M7</f>
        <v>1404900509.9559386</v>
      </c>
      <c r="S7" s="40" t="b">
        <f t="shared" si="4"/>
        <v>1</v>
      </c>
      <c r="T7" s="16">
        <f>현금흐름취합!N7</f>
        <v>1545266073.7402143</v>
      </c>
      <c r="U7" s="40" t="b">
        <f t="shared" si="0"/>
        <v>1</v>
      </c>
      <c r="V7" s="46">
        <f>SUMIF(일반여신!$E$10:$E$35,검증!A7,일반여신!$O$10:$O$35)*0.985-SUMIF(가지급금!$E$10:$E$180,A7,가지급금!$K$10:$K$180)+SUMIF(가지급금!$E$10:$E$180,검증!A7,가지급금!$O$10:$O$180)*0.985</f>
        <v>-3407700</v>
      </c>
      <c r="W7" s="47">
        <f t="shared" si="5"/>
        <v>0</v>
      </c>
      <c r="X7" s="48"/>
      <c r="Y7" s="49">
        <f>SUMIF('Sheet D'!$E$11:$E$60,A7,'Sheet D'!$P$11:$P$60)</f>
        <v>0</v>
      </c>
      <c r="Z7" s="48">
        <f>SUMIFS(일반여신!$M$10:$M$35,일반여신!$E$10:$E$35,A7,일반여신!$P$10:$P$35,"신용보증서 대위변제")</f>
        <v>0</v>
      </c>
      <c r="AA7" s="48">
        <f t="shared" si="6"/>
        <v>0</v>
      </c>
      <c r="AB7" s="50"/>
      <c r="AC7" s="19">
        <f>현금흐름취합!O7</f>
        <v>-3407700</v>
      </c>
      <c r="AD7" s="19">
        <f>현금흐름취합!P7</f>
        <v>0</v>
      </c>
      <c r="AE7" s="19">
        <f>현금흐름취합!Q7</f>
        <v>0</v>
      </c>
      <c r="AF7" s="19">
        <f>현금흐름취합!R7</f>
        <v>0</v>
      </c>
      <c r="AG7" s="19">
        <f>현금흐름취합!S7</f>
        <v>0</v>
      </c>
      <c r="AH7" s="19">
        <f>현금흐름취합!T7</f>
        <v>0</v>
      </c>
      <c r="AI7" s="19">
        <f>현금흐름취합!U7</f>
        <v>0</v>
      </c>
      <c r="AJ7" s="19">
        <f>현금흐름취합!V7</f>
        <v>0</v>
      </c>
      <c r="AK7" s="19">
        <f>현금흐름취합!W7</f>
        <v>0</v>
      </c>
      <c r="AL7" s="19">
        <f>현금흐름취합!X7</f>
        <v>0</v>
      </c>
      <c r="AM7" s="19">
        <f>현금흐름취합!Y7</f>
        <v>1548673773.7402143</v>
      </c>
      <c r="AN7" s="19">
        <f>현금흐름취합!Z7</f>
        <v>0</v>
      </c>
      <c r="AO7" s="19">
        <f>현금흐름취합!AA7</f>
        <v>0</v>
      </c>
      <c r="AP7" s="19">
        <f>현금흐름취합!AB7</f>
        <v>0</v>
      </c>
      <c r="AQ7" s="19">
        <f>현금흐름취합!AC7</f>
        <v>0</v>
      </c>
      <c r="AR7" s="19">
        <f>현금흐름취합!AD7</f>
        <v>0</v>
      </c>
      <c r="AS7" s="19">
        <f>현금흐름취합!AE7</f>
        <v>0</v>
      </c>
      <c r="AT7" s="19">
        <f>현금흐름취합!AF7</f>
        <v>0</v>
      </c>
      <c r="AU7" s="19">
        <f>현금흐름취합!AG7</f>
        <v>0</v>
      </c>
      <c r="AV7" s="19">
        <f>현금흐름취합!AH7</f>
        <v>0</v>
      </c>
      <c r="AW7" s="19">
        <f>현금흐름취합!AI7</f>
        <v>0</v>
      </c>
      <c r="AX7" s="19">
        <f>현금흐름취합!AJ7</f>
        <v>0</v>
      </c>
      <c r="AY7" s="19">
        <f>현금흐름취합!AK7</f>
        <v>0</v>
      </c>
      <c r="AZ7" s="19">
        <f>현금흐름취합!AL7</f>
        <v>0</v>
      </c>
      <c r="BA7" s="19">
        <f>현금흐름취합!AM7</f>
        <v>0</v>
      </c>
      <c r="BB7" s="19">
        <f>현금흐름취합!AN7</f>
        <v>0</v>
      </c>
      <c r="BC7" s="19">
        <f>현금흐름취합!AO7</f>
        <v>0</v>
      </c>
      <c r="BD7" s="19">
        <f>현금흐름취합!AP7</f>
        <v>0</v>
      </c>
      <c r="BE7" s="19">
        <f>현금흐름취합!AQ7</f>
        <v>0</v>
      </c>
      <c r="BF7" s="19">
        <f>현금흐름취합!AR7</f>
        <v>0</v>
      </c>
      <c r="BG7" s="19">
        <f>현금흐름취합!AS7</f>
        <v>0</v>
      </c>
      <c r="BH7" s="19">
        <f>현금흐름취합!AT7</f>
        <v>0</v>
      </c>
      <c r="BI7" s="19">
        <f>현금흐름취합!AU7</f>
        <v>0</v>
      </c>
      <c r="BJ7" s="19">
        <f>현금흐름취합!AV7</f>
        <v>0</v>
      </c>
      <c r="BK7" s="19">
        <f>현금흐름취합!AW7</f>
        <v>0</v>
      </c>
      <c r="BL7" s="19">
        <f>현금흐름취합!AX7</f>
        <v>0</v>
      </c>
      <c r="BM7" s="19">
        <f>현금흐름취합!AY7</f>
        <v>0</v>
      </c>
      <c r="BN7" s="19">
        <f>현금흐름취합!AZ7</f>
        <v>0</v>
      </c>
      <c r="BO7" s="19">
        <f>현금흐름취합!BA7</f>
        <v>0</v>
      </c>
      <c r="BP7" s="19">
        <f>현금흐름취합!BB7</f>
        <v>0</v>
      </c>
      <c r="BQ7" s="19">
        <f>현금흐름취합!BC7</f>
        <v>0</v>
      </c>
      <c r="BR7" s="19">
        <f>현금흐름취합!BD7</f>
        <v>0</v>
      </c>
      <c r="BS7" s="19">
        <f>현금흐름취합!BE7</f>
        <v>0</v>
      </c>
      <c r="BT7" s="19">
        <f>현금흐름취합!BF7</f>
        <v>0</v>
      </c>
      <c r="BU7" s="19">
        <f>현금흐름취합!BG7</f>
        <v>0</v>
      </c>
      <c r="BV7" s="19">
        <f>현금흐름취합!BH7</f>
        <v>0</v>
      </c>
      <c r="BW7" s="19">
        <f>현금흐름취합!BI7</f>
        <v>0</v>
      </c>
      <c r="BX7" s="19">
        <f>현금흐름취합!BJ7</f>
        <v>0</v>
      </c>
      <c r="BY7" s="19">
        <f>현금흐름취합!BK7</f>
        <v>0</v>
      </c>
      <c r="BZ7" s="19">
        <f>현금흐름취합!BL7</f>
        <v>0</v>
      </c>
      <c r="CA7" s="19">
        <f>현금흐름취합!BM7</f>
        <v>0</v>
      </c>
      <c r="CB7" s="19">
        <f>현금흐름취합!BN7</f>
        <v>0</v>
      </c>
      <c r="CC7" s="19">
        <f>현금흐름취합!BO7</f>
        <v>0</v>
      </c>
      <c r="CD7" s="19">
        <f>현금흐름취합!BP7</f>
        <v>0</v>
      </c>
      <c r="CE7" s="19">
        <f>현금흐름취합!BQ7</f>
        <v>0</v>
      </c>
      <c r="CF7" s="19">
        <f>현금흐름취합!BR7</f>
        <v>0</v>
      </c>
      <c r="CG7" s="19">
        <f>현금흐름취합!BS7</f>
        <v>0</v>
      </c>
      <c r="CH7" s="19">
        <f>현금흐름취합!BT7</f>
        <v>0</v>
      </c>
      <c r="CI7" s="19">
        <f>현금흐름취합!BU7</f>
        <v>0</v>
      </c>
      <c r="CJ7" s="19">
        <f>현금흐름취합!BV7</f>
        <v>0</v>
      </c>
      <c r="CK7" s="19">
        <f>현금흐름취합!BW7</f>
        <v>0</v>
      </c>
      <c r="CL7" s="19">
        <f>현금흐름취합!BX7</f>
        <v>0</v>
      </c>
      <c r="CM7" s="19">
        <f>현금흐름취합!BY7</f>
        <v>0</v>
      </c>
      <c r="CN7" s="19">
        <f>현금흐름취합!BZ7</f>
        <v>0</v>
      </c>
      <c r="CO7" s="19">
        <f>현금흐름취합!CA7</f>
        <v>0</v>
      </c>
      <c r="CP7" s="19">
        <f>현금흐름취합!CB7</f>
        <v>0</v>
      </c>
      <c r="CQ7" s="19">
        <f>현금흐름취합!CC7</f>
        <v>0</v>
      </c>
      <c r="CR7" s="19">
        <f>현금흐름취합!CD7</f>
        <v>0</v>
      </c>
      <c r="CS7" s="19">
        <f>현금흐름취합!CE7</f>
        <v>0</v>
      </c>
      <c r="CT7" s="19">
        <f>현금흐름취합!CF7</f>
        <v>0</v>
      </c>
      <c r="CU7" s="19">
        <f>현금흐름취합!CG7</f>
        <v>0</v>
      </c>
      <c r="CV7" s="19">
        <f>현금흐름취합!CH7</f>
        <v>0</v>
      </c>
      <c r="CW7" s="19">
        <f>현금흐름취합!CI7</f>
        <v>0</v>
      </c>
      <c r="CX7" s="19">
        <f>현금흐름취합!CJ7</f>
        <v>0</v>
      </c>
      <c r="CY7" s="19">
        <f>현금흐름취합!CK7</f>
        <v>0</v>
      </c>
      <c r="CZ7" s="19">
        <f>현금흐름취합!CL7</f>
        <v>0</v>
      </c>
      <c r="DA7" s="19">
        <f>현금흐름취합!CM7</f>
        <v>0</v>
      </c>
      <c r="DB7" s="19">
        <f>현금흐름취합!CN7</f>
        <v>0</v>
      </c>
      <c r="DC7" s="19">
        <f>현금흐름취합!CO7</f>
        <v>0</v>
      </c>
      <c r="DD7" s="19">
        <f>현금흐름취합!CP7</f>
        <v>0</v>
      </c>
      <c r="DE7" s="19">
        <f>현금흐름취합!CQ7</f>
        <v>0</v>
      </c>
      <c r="DF7" s="19">
        <f>현금흐름취합!CR7</f>
        <v>0</v>
      </c>
      <c r="DG7" s="19">
        <f>현금흐름취합!CS7</f>
        <v>0</v>
      </c>
      <c r="DH7" s="19">
        <f>현금흐름취합!CT7</f>
        <v>0</v>
      </c>
      <c r="DI7" s="19">
        <f>현금흐름취합!CU7</f>
        <v>0</v>
      </c>
      <c r="DJ7" s="19">
        <f>현금흐름취합!CV7</f>
        <v>0</v>
      </c>
      <c r="DK7" s="19">
        <f>현금흐름취합!CW7</f>
        <v>0</v>
      </c>
      <c r="DL7" s="19">
        <f>현금흐름취합!CX7</f>
        <v>0</v>
      </c>
      <c r="DM7" s="19">
        <f>현금흐름취합!CY7</f>
        <v>0</v>
      </c>
      <c r="DN7" s="19">
        <f>현금흐름취합!CZ7</f>
        <v>0</v>
      </c>
      <c r="DO7" s="19">
        <f>현금흐름취합!DA7</f>
        <v>0</v>
      </c>
      <c r="DP7" s="19">
        <f>현금흐름취합!DB7</f>
        <v>0</v>
      </c>
      <c r="DQ7" s="19">
        <f>현금흐름취합!DC7</f>
        <v>0</v>
      </c>
      <c r="DR7" s="19">
        <f>현금흐름취합!DD7</f>
        <v>0</v>
      </c>
      <c r="DS7" s="19">
        <f>현금흐름취합!DE7</f>
        <v>0</v>
      </c>
      <c r="DT7" s="19">
        <f>현금흐름취합!DF7</f>
        <v>0</v>
      </c>
      <c r="DU7" s="19">
        <f>현금흐름취합!DG7</f>
        <v>0</v>
      </c>
      <c r="DV7" s="19">
        <f>현금흐름취합!DH7</f>
        <v>0</v>
      </c>
      <c r="DW7" s="19">
        <f>현금흐름취합!DI7</f>
        <v>0</v>
      </c>
      <c r="DX7" s="19">
        <f>현금흐름취합!DJ7</f>
        <v>0</v>
      </c>
      <c r="DY7" s="19">
        <f>현금흐름취합!DK7</f>
        <v>0</v>
      </c>
      <c r="DZ7" s="19">
        <f>현금흐름취합!DL7</f>
        <v>0</v>
      </c>
      <c r="EA7" s="19">
        <f>현금흐름취합!DM7</f>
        <v>0</v>
      </c>
      <c r="EB7" s="19">
        <f>현금흐름취합!DN7</f>
        <v>0</v>
      </c>
      <c r="EC7" s="19">
        <f>현금흐름취합!DO7</f>
        <v>0</v>
      </c>
      <c r="ED7" s="19">
        <f>현금흐름취합!DP7</f>
        <v>0</v>
      </c>
      <c r="EE7" s="19">
        <f>현금흐름취합!DQ7</f>
        <v>0</v>
      </c>
      <c r="EF7" s="19">
        <f>현금흐름취합!DR7</f>
        <v>0</v>
      </c>
      <c r="EG7" s="19">
        <f>현금흐름취합!DS7</f>
        <v>0</v>
      </c>
      <c r="EH7" s="19">
        <f>현금흐름취합!DT7</f>
        <v>0</v>
      </c>
      <c r="EI7" s="19">
        <f>현금흐름취합!DU7</f>
        <v>0</v>
      </c>
      <c r="EJ7" s="19">
        <f>현금흐름취합!DV7</f>
        <v>0</v>
      </c>
      <c r="EK7" s="19">
        <f>현금흐름취합!DW7</f>
        <v>0</v>
      </c>
      <c r="EL7" s="19">
        <f>현금흐름취합!DX7</f>
        <v>0</v>
      </c>
      <c r="EM7" s="19">
        <f>현금흐름취합!DY7</f>
        <v>0</v>
      </c>
      <c r="EN7" s="19">
        <f>현금흐름취합!DZ7</f>
        <v>0</v>
      </c>
      <c r="EO7" s="19">
        <f>현금흐름취합!EA7</f>
        <v>0</v>
      </c>
      <c r="EP7" s="19">
        <f>현금흐름취합!EB7</f>
        <v>0</v>
      </c>
      <c r="EQ7" s="19">
        <f>현금흐름취합!EC7</f>
        <v>0</v>
      </c>
      <c r="ER7" s="19">
        <f>현금흐름취합!ED7</f>
        <v>0</v>
      </c>
      <c r="ES7" s="19">
        <f>현금흐름취합!EE7</f>
        <v>0</v>
      </c>
    </row>
    <row r="8" spans="1:149">
      <c r="A8" s="7" t="str">
        <f>현금흐름취합!A8</f>
        <v>R-050</v>
      </c>
      <c r="B8" s="7" t="str">
        <f>현금흐름취합!B8</f>
        <v>대한도장</v>
      </c>
      <c r="C8" s="7" t="str">
        <f>현금흐름취합!C8</f>
        <v>R-050-1안</v>
      </c>
      <c r="D8" s="8" t="str">
        <f>현금흐름취합!D8</f>
        <v>1안</v>
      </c>
      <c r="E8" s="37"/>
      <c r="F8" s="8" t="str">
        <f>현금흐름취합!E8</f>
        <v>A</v>
      </c>
      <c r="G8" s="37" t="str">
        <f t="shared" si="1"/>
        <v>ok</v>
      </c>
      <c r="H8" s="9" t="str">
        <f>현금흐름취합!F8</f>
        <v>현재 경매진행중인바, 경매를 통한 회수를 가정함.</v>
      </c>
      <c r="I8" s="10">
        <f>현금흐름취합!G8</f>
        <v>0.84591742694576999</v>
      </c>
      <c r="J8" s="39" t="b">
        <f t="shared" si="2"/>
        <v>1</v>
      </c>
      <c r="K8" s="11">
        <f>현금흐름취합!H8</f>
        <v>2167609790</v>
      </c>
      <c r="L8" s="40" t="b">
        <f>VLOOKUP(A8,'Sheet A'!$E$11:$K$60,7,0)=K8</f>
        <v>1</v>
      </c>
      <c r="M8" s="12">
        <f>현금흐름취합!I8</f>
        <v>0.12</v>
      </c>
      <c r="N8" s="40" t="str">
        <f t="shared" si="3"/>
        <v>OK</v>
      </c>
      <c r="O8" s="13">
        <f>현금흐름취합!J8</f>
        <v>8.0975000000000005E-2</v>
      </c>
      <c r="P8" s="14" t="str">
        <f>현금흐름취합!K8</f>
        <v>N/A</v>
      </c>
      <c r="Q8" s="18" t="str">
        <f>현금흐름취합!L8</f>
        <v>N</v>
      </c>
      <c r="R8" s="15">
        <f>현금흐름취합!M8</f>
        <v>1833618896.1792607</v>
      </c>
      <c r="S8" s="40" t="b">
        <f t="shared" si="4"/>
        <v>1</v>
      </c>
      <c r="T8" s="16">
        <f>현금흐름취합!N8</f>
        <v>2012254964.1834497</v>
      </c>
      <c r="U8" s="40" t="b">
        <f t="shared" si="0"/>
        <v>1</v>
      </c>
      <c r="V8" s="46">
        <f>SUMIF(일반여신!$E$10:$E$35,검증!A8,일반여신!$O$10:$O$35)*0.985-SUMIF(가지급금!$E$10:$E$180,A8,가지급금!$K$10:$K$180)+SUMIF(가지급금!$E$10:$E$180,검증!A8,가지급금!$O$10:$O$180)*0.985</f>
        <v>570412606.51499999</v>
      </c>
      <c r="W8" s="47">
        <f t="shared" si="5"/>
        <v>0</v>
      </c>
      <c r="X8" s="48"/>
      <c r="Y8" s="49">
        <f>SUMIF('Sheet D'!$E$11:$E$60,A8,'Sheet D'!$P$11:$P$60)</f>
        <v>577500000</v>
      </c>
      <c r="Z8" s="48">
        <f>SUMIFS(일반여신!$M$10:$M$35,일반여신!$E$10:$E$35,A8,일반여신!$P$10:$P$35,"신용보증서 대위변제")</f>
        <v>577500000</v>
      </c>
      <c r="AA8" s="48">
        <f t="shared" si="6"/>
        <v>0</v>
      </c>
      <c r="AB8" s="50"/>
      <c r="AC8" s="19">
        <f>현금흐름취합!O8</f>
        <v>570412606.51499999</v>
      </c>
      <c r="AD8" s="19">
        <f>현금흐름취합!P8</f>
        <v>0</v>
      </c>
      <c r="AE8" s="19">
        <f>현금흐름취합!Q8</f>
        <v>0</v>
      </c>
      <c r="AF8" s="19">
        <f>현금흐름취합!R8</f>
        <v>0</v>
      </c>
      <c r="AG8" s="19">
        <f>현금흐름취합!S8</f>
        <v>0</v>
      </c>
      <c r="AH8" s="19">
        <f>현금흐름취합!T8</f>
        <v>0</v>
      </c>
      <c r="AI8" s="19">
        <f>현금흐름취합!U8</f>
        <v>0</v>
      </c>
      <c r="AJ8" s="19">
        <f>현금흐름취합!V8</f>
        <v>0</v>
      </c>
      <c r="AK8" s="19">
        <f>현금흐름취합!W8</f>
        <v>0</v>
      </c>
      <c r="AL8" s="19">
        <f>현금흐름취합!X8</f>
        <v>0</v>
      </c>
      <c r="AM8" s="19">
        <f>현금흐름취합!Y8</f>
        <v>0</v>
      </c>
      <c r="AN8" s="19">
        <f>현금흐름취합!Z8</f>
        <v>0</v>
      </c>
      <c r="AO8" s="19">
        <f>현금흐름취합!AA8</f>
        <v>0</v>
      </c>
      <c r="AP8" s="19">
        <f>현금흐름취합!AB8</f>
        <v>0</v>
      </c>
      <c r="AQ8" s="19">
        <f>현금흐름취합!AC8</f>
        <v>1441842357.6684499</v>
      </c>
      <c r="AR8" s="19">
        <f>현금흐름취합!AD8</f>
        <v>0</v>
      </c>
      <c r="AS8" s="19">
        <f>현금흐름취합!AE8</f>
        <v>0</v>
      </c>
      <c r="AT8" s="19">
        <f>현금흐름취합!AF8</f>
        <v>0</v>
      </c>
      <c r="AU8" s="19">
        <f>현금흐름취합!AG8</f>
        <v>0</v>
      </c>
      <c r="AV8" s="19">
        <f>현금흐름취합!AH8</f>
        <v>0</v>
      </c>
      <c r="AW8" s="19">
        <f>현금흐름취합!AI8</f>
        <v>0</v>
      </c>
      <c r="AX8" s="19">
        <f>현금흐름취합!AJ8</f>
        <v>0</v>
      </c>
      <c r="AY8" s="19">
        <f>현금흐름취합!AK8</f>
        <v>0</v>
      </c>
      <c r="AZ8" s="19">
        <f>현금흐름취합!AL8</f>
        <v>0</v>
      </c>
      <c r="BA8" s="19">
        <f>현금흐름취합!AM8</f>
        <v>0</v>
      </c>
      <c r="BB8" s="19">
        <f>현금흐름취합!AN8</f>
        <v>0</v>
      </c>
      <c r="BC8" s="19">
        <f>현금흐름취합!AO8</f>
        <v>0</v>
      </c>
      <c r="BD8" s="19">
        <f>현금흐름취합!AP8</f>
        <v>0</v>
      </c>
      <c r="BE8" s="19">
        <f>현금흐름취합!AQ8</f>
        <v>0</v>
      </c>
      <c r="BF8" s="19">
        <f>현금흐름취합!AR8</f>
        <v>0</v>
      </c>
      <c r="BG8" s="19">
        <f>현금흐름취합!AS8</f>
        <v>0</v>
      </c>
      <c r="BH8" s="19">
        <f>현금흐름취합!AT8</f>
        <v>0</v>
      </c>
      <c r="BI8" s="19">
        <f>현금흐름취합!AU8</f>
        <v>0</v>
      </c>
      <c r="BJ8" s="19">
        <f>현금흐름취합!AV8</f>
        <v>0</v>
      </c>
      <c r="BK8" s="19">
        <f>현금흐름취합!AW8</f>
        <v>0</v>
      </c>
      <c r="BL8" s="19">
        <f>현금흐름취합!AX8</f>
        <v>0</v>
      </c>
      <c r="BM8" s="19">
        <f>현금흐름취합!AY8</f>
        <v>0</v>
      </c>
      <c r="BN8" s="19">
        <f>현금흐름취합!AZ8</f>
        <v>0</v>
      </c>
      <c r="BO8" s="19">
        <f>현금흐름취합!BA8</f>
        <v>0</v>
      </c>
      <c r="BP8" s="19">
        <f>현금흐름취합!BB8</f>
        <v>0</v>
      </c>
      <c r="BQ8" s="19">
        <f>현금흐름취합!BC8</f>
        <v>0</v>
      </c>
      <c r="BR8" s="19">
        <f>현금흐름취합!BD8</f>
        <v>0</v>
      </c>
      <c r="BS8" s="19">
        <f>현금흐름취합!BE8</f>
        <v>0</v>
      </c>
      <c r="BT8" s="19">
        <f>현금흐름취합!BF8</f>
        <v>0</v>
      </c>
      <c r="BU8" s="19">
        <f>현금흐름취합!BG8</f>
        <v>0</v>
      </c>
      <c r="BV8" s="19">
        <f>현금흐름취합!BH8</f>
        <v>0</v>
      </c>
      <c r="BW8" s="19">
        <f>현금흐름취합!BI8</f>
        <v>0</v>
      </c>
      <c r="BX8" s="19">
        <f>현금흐름취합!BJ8</f>
        <v>0</v>
      </c>
      <c r="BY8" s="19">
        <f>현금흐름취합!BK8</f>
        <v>0</v>
      </c>
      <c r="BZ8" s="19">
        <f>현금흐름취합!BL8</f>
        <v>0</v>
      </c>
      <c r="CA8" s="19">
        <f>현금흐름취합!BM8</f>
        <v>0</v>
      </c>
      <c r="CB8" s="19">
        <f>현금흐름취합!BN8</f>
        <v>0</v>
      </c>
      <c r="CC8" s="19">
        <f>현금흐름취합!BO8</f>
        <v>0</v>
      </c>
      <c r="CD8" s="19">
        <f>현금흐름취합!BP8</f>
        <v>0</v>
      </c>
      <c r="CE8" s="19">
        <f>현금흐름취합!BQ8</f>
        <v>0</v>
      </c>
      <c r="CF8" s="19">
        <f>현금흐름취합!BR8</f>
        <v>0</v>
      </c>
      <c r="CG8" s="19">
        <f>현금흐름취합!BS8</f>
        <v>0</v>
      </c>
      <c r="CH8" s="19">
        <f>현금흐름취합!BT8</f>
        <v>0</v>
      </c>
      <c r="CI8" s="19">
        <f>현금흐름취합!BU8</f>
        <v>0</v>
      </c>
      <c r="CJ8" s="19">
        <f>현금흐름취합!BV8</f>
        <v>0</v>
      </c>
      <c r="CK8" s="19">
        <f>현금흐름취합!BW8</f>
        <v>0</v>
      </c>
      <c r="CL8" s="19">
        <f>현금흐름취합!BX8</f>
        <v>0</v>
      </c>
      <c r="CM8" s="19">
        <f>현금흐름취합!BY8</f>
        <v>0</v>
      </c>
      <c r="CN8" s="19">
        <f>현금흐름취합!BZ8</f>
        <v>0</v>
      </c>
      <c r="CO8" s="19">
        <f>현금흐름취합!CA8</f>
        <v>0</v>
      </c>
      <c r="CP8" s="19">
        <f>현금흐름취합!CB8</f>
        <v>0</v>
      </c>
      <c r="CQ8" s="19">
        <f>현금흐름취합!CC8</f>
        <v>0</v>
      </c>
      <c r="CR8" s="19">
        <f>현금흐름취합!CD8</f>
        <v>0</v>
      </c>
      <c r="CS8" s="19">
        <f>현금흐름취합!CE8</f>
        <v>0</v>
      </c>
      <c r="CT8" s="19">
        <f>현금흐름취합!CF8</f>
        <v>0</v>
      </c>
      <c r="CU8" s="19">
        <f>현금흐름취합!CG8</f>
        <v>0</v>
      </c>
      <c r="CV8" s="19">
        <f>현금흐름취합!CH8</f>
        <v>0</v>
      </c>
      <c r="CW8" s="19">
        <f>현금흐름취합!CI8</f>
        <v>0</v>
      </c>
      <c r="CX8" s="19">
        <f>현금흐름취합!CJ8</f>
        <v>0</v>
      </c>
      <c r="CY8" s="19">
        <f>현금흐름취합!CK8</f>
        <v>0</v>
      </c>
      <c r="CZ8" s="19">
        <f>현금흐름취합!CL8</f>
        <v>0</v>
      </c>
      <c r="DA8" s="19">
        <f>현금흐름취합!CM8</f>
        <v>0</v>
      </c>
      <c r="DB8" s="19">
        <f>현금흐름취합!CN8</f>
        <v>0</v>
      </c>
      <c r="DC8" s="19">
        <f>현금흐름취합!CO8</f>
        <v>0</v>
      </c>
      <c r="DD8" s="19">
        <f>현금흐름취합!CP8</f>
        <v>0</v>
      </c>
      <c r="DE8" s="19">
        <f>현금흐름취합!CQ8</f>
        <v>0</v>
      </c>
      <c r="DF8" s="19">
        <f>현금흐름취합!CR8</f>
        <v>0</v>
      </c>
      <c r="DG8" s="19">
        <f>현금흐름취합!CS8</f>
        <v>0</v>
      </c>
      <c r="DH8" s="19">
        <f>현금흐름취합!CT8</f>
        <v>0</v>
      </c>
      <c r="DI8" s="19">
        <f>현금흐름취합!CU8</f>
        <v>0</v>
      </c>
      <c r="DJ8" s="19">
        <f>현금흐름취합!CV8</f>
        <v>0</v>
      </c>
      <c r="DK8" s="19">
        <f>현금흐름취합!CW8</f>
        <v>0</v>
      </c>
      <c r="DL8" s="19">
        <f>현금흐름취합!CX8</f>
        <v>0</v>
      </c>
      <c r="DM8" s="19">
        <f>현금흐름취합!CY8</f>
        <v>0</v>
      </c>
      <c r="DN8" s="19">
        <f>현금흐름취합!CZ8</f>
        <v>0</v>
      </c>
      <c r="DO8" s="19">
        <f>현금흐름취합!DA8</f>
        <v>0</v>
      </c>
      <c r="DP8" s="19">
        <f>현금흐름취합!DB8</f>
        <v>0</v>
      </c>
      <c r="DQ8" s="19">
        <f>현금흐름취합!DC8</f>
        <v>0</v>
      </c>
      <c r="DR8" s="19">
        <f>현금흐름취합!DD8</f>
        <v>0</v>
      </c>
      <c r="DS8" s="19">
        <f>현금흐름취합!DE8</f>
        <v>0</v>
      </c>
      <c r="DT8" s="19">
        <f>현금흐름취합!DF8</f>
        <v>0</v>
      </c>
      <c r="DU8" s="19">
        <f>현금흐름취합!DG8</f>
        <v>0</v>
      </c>
      <c r="DV8" s="19">
        <f>현금흐름취합!DH8</f>
        <v>0</v>
      </c>
      <c r="DW8" s="19">
        <f>현금흐름취합!DI8</f>
        <v>0</v>
      </c>
      <c r="DX8" s="19">
        <f>현금흐름취합!DJ8</f>
        <v>0</v>
      </c>
      <c r="DY8" s="19">
        <f>현금흐름취합!DK8</f>
        <v>0</v>
      </c>
      <c r="DZ8" s="19">
        <f>현금흐름취합!DL8</f>
        <v>0</v>
      </c>
      <c r="EA8" s="19">
        <f>현금흐름취합!DM8</f>
        <v>0</v>
      </c>
      <c r="EB8" s="19">
        <f>현금흐름취합!DN8</f>
        <v>0</v>
      </c>
      <c r="EC8" s="19">
        <f>현금흐름취합!DO8</f>
        <v>0</v>
      </c>
      <c r="ED8" s="19">
        <f>현금흐름취합!DP8</f>
        <v>0</v>
      </c>
      <c r="EE8" s="19">
        <f>현금흐름취합!DQ8</f>
        <v>0</v>
      </c>
      <c r="EF8" s="19">
        <f>현금흐름취합!DR8</f>
        <v>0</v>
      </c>
      <c r="EG8" s="19">
        <f>현금흐름취합!DS8</f>
        <v>0</v>
      </c>
      <c r="EH8" s="19">
        <f>현금흐름취합!DT8</f>
        <v>0</v>
      </c>
      <c r="EI8" s="19">
        <f>현금흐름취합!DU8</f>
        <v>0</v>
      </c>
      <c r="EJ8" s="19">
        <f>현금흐름취합!DV8</f>
        <v>0</v>
      </c>
      <c r="EK8" s="19">
        <f>현금흐름취합!DW8</f>
        <v>0</v>
      </c>
      <c r="EL8" s="19">
        <f>현금흐름취합!DX8</f>
        <v>0</v>
      </c>
      <c r="EM8" s="19">
        <f>현금흐름취합!DY8</f>
        <v>0</v>
      </c>
      <c r="EN8" s="19">
        <f>현금흐름취합!DZ8</f>
        <v>0</v>
      </c>
      <c r="EO8" s="19">
        <f>현금흐름취합!EA8</f>
        <v>0</v>
      </c>
      <c r="EP8" s="19">
        <f>현금흐름취합!EB8</f>
        <v>0</v>
      </c>
      <c r="EQ8" s="19">
        <f>현금흐름취합!EC8</f>
        <v>0</v>
      </c>
      <c r="ER8" s="19">
        <f>현금흐름취합!ED8</f>
        <v>0</v>
      </c>
      <c r="ES8" s="19">
        <f>현금흐름취합!EE8</f>
        <v>0</v>
      </c>
    </row>
    <row r="9" spans="1:149">
      <c r="A9" s="7" t="str">
        <f>현금흐름취합!A9</f>
        <v>R-050</v>
      </c>
      <c r="B9" s="7" t="str">
        <f>현금흐름취합!B9</f>
        <v>대한도장</v>
      </c>
      <c r="C9" s="7" t="str">
        <f>현금흐름취합!C9</f>
        <v>R-050-2안</v>
      </c>
      <c r="D9" s="8" t="str">
        <f>현금흐름취합!D9</f>
        <v>2안</v>
      </c>
      <c r="E9" s="37" t="str">
        <f t="shared" ref="E9" si="7">IF(R8&gt;R9,"역전현상","이상없음")</f>
        <v>이상없음</v>
      </c>
      <c r="F9" s="8" t="str">
        <f>현금흐름취합!E9</f>
        <v>A</v>
      </c>
      <c r="G9" s="37" t="str">
        <f t="shared" si="1"/>
        <v>ok</v>
      </c>
      <c r="H9" s="9" t="str">
        <f>현금흐름취합!F9</f>
        <v>현재 경매진행중인바, 경매를 통한 회수를 가정함.</v>
      </c>
      <c r="I9" s="10">
        <f>현금흐름취합!G9</f>
        <v>0.86610444622577276</v>
      </c>
      <c r="J9" s="39" t="b">
        <f t="shared" si="2"/>
        <v>1</v>
      </c>
      <c r="K9" s="11">
        <f>현금흐름취합!H9</f>
        <v>2167609790</v>
      </c>
      <c r="L9" s="40" t="b">
        <f>VLOOKUP(A9,'Sheet A'!$E$11:$K$60,7,0)=K9</f>
        <v>1</v>
      </c>
      <c r="M9" s="12">
        <f>현금흐름취합!I9</f>
        <v>0.12</v>
      </c>
      <c r="N9" s="40" t="str">
        <f t="shared" si="3"/>
        <v>OK</v>
      </c>
      <c r="O9" s="13">
        <f>현금흐름취합!J9</f>
        <v>8.0975000000000005E-2</v>
      </c>
      <c r="P9" s="14" t="str">
        <f>현금흐름취합!K9</f>
        <v>N/A</v>
      </c>
      <c r="Q9" s="18" t="str">
        <f>현금흐름취합!L9</f>
        <v>N</v>
      </c>
      <c r="R9" s="15">
        <f>현금흐름취합!M9</f>
        <v>1877376476.8015137</v>
      </c>
      <c r="S9" s="40" t="b">
        <f t="shared" si="4"/>
        <v>1</v>
      </c>
      <c r="T9" s="16">
        <f>현금흐름취합!N9</f>
        <v>2062200514.4284735</v>
      </c>
      <c r="U9" s="40" t="b">
        <f t="shared" si="0"/>
        <v>1</v>
      </c>
      <c r="V9" s="46">
        <f>SUMIF(일반여신!$E$10:$E$35,검증!A9,일반여신!$O$10:$O$35)*0.985-SUMIF(가지급금!$E$10:$E$180,A9,가지급금!$K$10:$K$180)+SUMIF(가지급금!$E$10:$E$180,검증!A9,가지급금!$O$10:$O$180)*0.985</f>
        <v>570412606.51499999</v>
      </c>
      <c r="W9" s="47">
        <f t="shared" si="5"/>
        <v>0</v>
      </c>
      <c r="X9" s="48"/>
      <c r="Y9" s="49">
        <f>SUMIF('Sheet D'!$E$11:$E$60,A9,'Sheet D'!$P$11:$P$60)</f>
        <v>577500000</v>
      </c>
      <c r="Z9" s="48">
        <f>SUMIFS(일반여신!$M$10:$M$35,일반여신!$E$10:$E$35,A9,일반여신!$P$10:$P$35,"신용보증서 대위변제")</f>
        <v>577500000</v>
      </c>
      <c r="AA9" s="48">
        <f t="shared" si="6"/>
        <v>0</v>
      </c>
      <c r="AB9" s="50"/>
      <c r="AC9" s="19">
        <f>현금흐름취합!O9</f>
        <v>570412606.51499999</v>
      </c>
      <c r="AD9" s="19">
        <f>현금흐름취합!P9</f>
        <v>0</v>
      </c>
      <c r="AE9" s="19">
        <f>현금흐름취합!Q9</f>
        <v>0</v>
      </c>
      <c r="AF9" s="19">
        <f>현금흐름취합!R9</f>
        <v>0</v>
      </c>
      <c r="AG9" s="19">
        <f>현금흐름취합!S9</f>
        <v>0</v>
      </c>
      <c r="AH9" s="19">
        <f>현금흐름취합!T9</f>
        <v>0</v>
      </c>
      <c r="AI9" s="19">
        <f>현금흐름취합!U9</f>
        <v>0</v>
      </c>
      <c r="AJ9" s="19">
        <f>현금흐름취합!V9</f>
        <v>0</v>
      </c>
      <c r="AK9" s="19">
        <f>현금흐름취합!W9</f>
        <v>0</v>
      </c>
      <c r="AL9" s="19">
        <f>현금흐름취합!X9</f>
        <v>0</v>
      </c>
      <c r="AM9" s="19">
        <f>현금흐름취합!Y9</f>
        <v>0</v>
      </c>
      <c r="AN9" s="19">
        <f>현금흐름취합!Z9</f>
        <v>0</v>
      </c>
      <c r="AO9" s="19">
        <f>현금흐름취합!AA9</f>
        <v>0</v>
      </c>
      <c r="AP9" s="19">
        <f>현금흐름취합!AB9</f>
        <v>0</v>
      </c>
      <c r="AQ9" s="19">
        <f>현금흐름취합!AC9</f>
        <v>1491787907.9134736</v>
      </c>
      <c r="AR9" s="19">
        <f>현금흐름취합!AD9</f>
        <v>0</v>
      </c>
      <c r="AS9" s="19">
        <f>현금흐름취합!AE9</f>
        <v>0</v>
      </c>
      <c r="AT9" s="19">
        <f>현금흐름취합!AF9</f>
        <v>0</v>
      </c>
      <c r="AU9" s="19">
        <f>현금흐름취합!AG9</f>
        <v>0</v>
      </c>
      <c r="AV9" s="19">
        <f>현금흐름취합!AH9</f>
        <v>0</v>
      </c>
      <c r="AW9" s="19">
        <f>현금흐름취합!AI9</f>
        <v>0</v>
      </c>
      <c r="AX9" s="19">
        <f>현금흐름취합!AJ9</f>
        <v>0</v>
      </c>
      <c r="AY9" s="19">
        <f>현금흐름취합!AK9</f>
        <v>0</v>
      </c>
      <c r="AZ9" s="19">
        <f>현금흐름취합!AL9</f>
        <v>0</v>
      </c>
      <c r="BA9" s="19">
        <f>현금흐름취합!AM9</f>
        <v>0</v>
      </c>
      <c r="BB9" s="19">
        <f>현금흐름취합!AN9</f>
        <v>0</v>
      </c>
      <c r="BC9" s="19">
        <f>현금흐름취합!AO9</f>
        <v>0</v>
      </c>
      <c r="BD9" s="19">
        <f>현금흐름취합!AP9</f>
        <v>0</v>
      </c>
      <c r="BE9" s="19">
        <f>현금흐름취합!AQ9</f>
        <v>0</v>
      </c>
      <c r="BF9" s="19">
        <f>현금흐름취합!AR9</f>
        <v>0</v>
      </c>
      <c r="BG9" s="19">
        <f>현금흐름취합!AS9</f>
        <v>0</v>
      </c>
      <c r="BH9" s="19">
        <f>현금흐름취합!AT9</f>
        <v>0</v>
      </c>
      <c r="BI9" s="19">
        <f>현금흐름취합!AU9</f>
        <v>0</v>
      </c>
      <c r="BJ9" s="19">
        <f>현금흐름취합!AV9</f>
        <v>0</v>
      </c>
      <c r="BK9" s="19">
        <f>현금흐름취합!AW9</f>
        <v>0</v>
      </c>
      <c r="BL9" s="19">
        <f>현금흐름취합!AX9</f>
        <v>0</v>
      </c>
      <c r="BM9" s="19">
        <f>현금흐름취합!AY9</f>
        <v>0</v>
      </c>
      <c r="BN9" s="19">
        <f>현금흐름취합!AZ9</f>
        <v>0</v>
      </c>
      <c r="BO9" s="19">
        <f>현금흐름취합!BA9</f>
        <v>0</v>
      </c>
      <c r="BP9" s="19">
        <f>현금흐름취합!BB9</f>
        <v>0</v>
      </c>
      <c r="BQ9" s="19">
        <f>현금흐름취합!BC9</f>
        <v>0</v>
      </c>
      <c r="BR9" s="19">
        <f>현금흐름취합!BD9</f>
        <v>0</v>
      </c>
      <c r="BS9" s="19">
        <f>현금흐름취합!BE9</f>
        <v>0</v>
      </c>
      <c r="BT9" s="19">
        <f>현금흐름취합!BF9</f>
        <v>0</v>
      </c>
      <c r="BU9" s="19">
        <f>현금흐름취합!BG9</f>
        <v>0</v>
      </c>
      <c r="BV9" s="19">
        <f>현금흐름취합!BH9</f>
        <v>0</v>
      </c>
      <c r="BW9" s="19">
        <f>현금흐름취합!BI9</f>
        <v>0</v>
      </c>
      <c r="BX9" s="19">
        <f>현금흐름취합!BJ9</f>
        <v>0</v>
      </c>
      <c r="BY9" s="19">
        <f>현금흐름취합!BK9</f>
        <v>0</v>
      </c>
      <c r="BZ9" s="19">
        <f>현금흐름취합!BL9</f>
        <v>0</v>
      </c>
      <c r="CA9" s="19">
        <f>현금흐름취합!BM9</f>
        <v>0</v>
      </c>
      <c r="CB9" s="19">
        <f>현금흐름취합!BN9</f>
        <v>0</v>
      </c>
      <c r="CC9" s="19">
        <f>현금흐름취합!BO9</f>
        <v>0</v>
      </c>
      <c r="CD9" s="19">
        <f>현금흐름취합!BP9</f>
        <v>0</v>
      </c>
      <c r="CE9" s="19">
        <f>현금흐름취합!BQ9</f>
        <v>0</v>
      </c>
      <c r="CF9" s="19">
        <f>현금흐름취합!BR9</f>
        <v>0</v>
      </c>
      <c r="CG9" s="19">
        <f>현금흐름취합!BS9</f>
        <v>0</v>
      </c>
      <c r="CH9" s="19">
        <f>현금흐름취합!BT9</f>
        <v>0</v>
      </c>
      <c r="CI9" s="19">
        <f>현금흐름취합!BU9</f>
        <v>0</v>
      </c>
      <c r="CJ9" s="19">
        <f>현금흐름취합!BV9</f>
        <v>0</v>
      </c>
      <c r="CK9" s="19">
        <f>현금흐름취합!BW9</f>
        <v>0</v>
      </c>
      <c r="CL9" s="19">
        <f>현금흐름취합!BX9</f>
        <v>0</v>
      </c>
      <c r="CM9" s="19">
        <f>현금흐름취합!BY9</f>
        <v>0</v>
      </c>
      <c r="CN9" s="19">
        <f>현금흐름취합!BZ9</f>
        <v>0</v>
      </c>
      <c r="CO9" s="19">
        <f>현금흐름취합!CA9</f>
        <v>0</v>
      </c>
      <c r="CP9" s="19">
        <f>현금흐름취합!CB9</f>
        <v>0</v>
      </c>
      <c r="CQ9" s="19">
        <f>현금흐름취합!CC9</f>
        <v>0</v>
      </c>
      <c r="CR9" s="19">
        <f>현금흐름취합!CD9</f>
        <v>0</v>
      </c>
      <c r="CS9" s="19">
        <f>현금흐름취합!CE9</f>
        <v>0</v>
      </c>
      <c r="CT9" s="19">
        <f>현금흐름취합!CF9</f>
        <v>0</v>
      </c>
      <c r="CU9" s="19">
        <f>현금흐름취합!CG9</f>
        <v>0</v>
      </c>
      <c r="CV9" s="19">
        <f>현금흐름취합!CH9</f>
        <v>0</v>
      </c>
      <c r="CW9" s="19">
        <f>현금흐름취합!CI9</f>
        <v>0</v>
      </c>
      <c r="CX9" s="19">
        <f>현금흐름취합!CJ9</f>
        <v>0</v>
      </c>
      <c r="CY9" s="19">
        <f>현금흐름취합!CK9</f>
        <v>0</v>
      </c>
      <c r="CZ9" s="19">
        <f>현금흐름취합!CL9</f>
        <v>0</v>
      </c>
      <c r="DA9" s="19">
        <f>현금흐름취합!CM9</f>
        <v>0</v>
      </c>
      <c r="DB9" s="19">
        <f>현금흐름취합!CN9</f>
        <v>0</v>
      </c>
      <c r="DC9" s="19">
        <f>현금흐름취합!CO9</f>
        <v>0</v>
      </c>
      <c r="DD9" s="19">
        <f>현금흐름취합!CP9</f>
        <v>0</v>
      </c>
      <c r="DE9" s="19">
        <f>현금흐름취합!CQ9</f>
        <v>0</v>
      </c>
      <c r="DF9" s="19">
        <f>현금흐름취합!CR9</f>
        <v>0</v>
      </c>
      <c r="DG9" s="19">
        <f>현금흐름취합!CS9</f>
        <v>0</v>
      </c>
      <c r="DH9" s="19">
        <f>현금흐름취합!CT9</f>
        <v>0</v>
      </c>
      <c r="DI9" s="19">
        <f>현금흐름취합!CU9</f>
        <v>0</v>
      </c>
      <c r="DJ9" s="19">
        <f>현금흐름취합!CV9</f>
        <v>0</v>
      </c>
      <c r="DK9" s="19">
        <f>현금흐름취합!CW9</f>
        <v>0</v>
      </c>
      <c r="DL9" s="19">
        <f>현금흐름취합!CX9</f>
        <v>0</v>
      </c>
      <c r="DM9" s="19">
        <f>현금흐름취합!CY9</f>
        <v>0</v>
      </c>
      <c r="DN9" s="19">
        <f>현금흐름취합!CZ9</f>
        <v>0</v>
      </c>
      <c r="DO9" s="19">
        <f>현금흐름취합!DA9</f>
        <v>0</v>
      </c>
      <c r="DP9" s="19">
        <f>현금흐름취합!DB9</f>
        <v>0</v>
      </c>
      <c r="DQ9" s="19">
        <f>현금흐름취합!DC9</f>
        <v>0</v>
      </c>
      <c r="DR9" s="19">
        <f>현금흐름취합!DD9</f>
        <v>0</v>
      </c>
      <c r="DS9" s="19">
        <f>현금흐름취합!DE9</f>
        <v>0</v>
      </c>
      <c r="DT9" s="19">
        <f>현금흐름취합!DF9</f>
        <v>0</v>
      </c>
      <c r="DU9" s="19">
        <f>현금흐름취합!DG9</f>
        <v>0</v>
      </c>
      <c r="DV9" s="19">
        <f>현금흐름취합!DH9</f>
        <v>0</v>
      </c>
      <c r="DW9" s="19">
        <f>현금흐름취합!DI9</f>
        <v>0</v>
      </c>
      <c r="DX9" s="19">
        <f>현금흐름취합!DJ9</f>
        <v>0</v>
      </c>
      <c r="DY9" s="19">
        <f>현금흐름취합!DK9</f>
        <v>0</v>
      </c>
      <c r="DZ9" s="19">
        <f>현금흐름취합!DL9</f>
        <v>0</v>
      </c>
      <c r="EA9" s="19">
        <f>현금흐름취합!DM9</f>
        <v>0</v>
      </c>
      <c r="EB9" s="19">
        <f>현금흐름취합!DN9</f>
        <v>0</v>
      </c>
      <c r="EC9" s="19">
        <f>현금흐름취합!DO9</f>
        <v>0</v>
      </c>
      <c r="ED9" s="19">
        <f>현금흐름취합!DP9</f>
        <v>0</v>
      </c>
      <c r="EE9" s="19">
        <f>현금흐름취합!DQ9</f>
        <v>0</v>
      </c>
      <c r="EF9" s="19">
        <f>현금흐름취합!DR9</f>
        <v>0</v>
      </c>
      <c r="EG9" s="19">
        <f>현금흐름취합!DS9</f>
        <v>0</v>
      </c>
      <c r="EH9" s="19">
        <f>현금흐름취합!DT9</f>
        <v>0</v>
      </c>
      <c r="EI9" s="19">
        <f>현금흐름취합!DU9</f>
        <v>0</v>
      </c>
      <c r="EJ9" s="19">
        <f>현금흐름취합!DV9</f>
        <v>0</v>
      </c>
      <c r="EK9" s="19">
        <f>현금흐름취합!DW9</f>
        <v>0</v>
      </c>
      <c r="EL9" s="19">
        <f>현금흐름취합!DX9</f>
        <v>0</v>
      </c>
      <c r="EM9" s="19">
        <f>현금흐름취합!DY9</f>
        <v>0</v>
      </c>
      <c r="EN9" s="19">
        <f>현금흐름취합!DZ9</f>
        <v>0</v>
      </c>
      <c r="EO9" s="19">
        <f>현금흐름취합!EA9</f>
        <v>0</v>
      </c>
      <c r="EP9" s="19">
        <f>현금흐름취합!EB9</f>
        <v>0</v>
      </c>
      <c r="EQ9" s="19">
        <f>현금흐름취합!EC9</f>
        <v>0</v>
      </c>
      <c r="ER9" s="19">
        <f>현금흐름취합!ED9</f>
        <v>0</v>
      </c>
      <c r="ES9" s="19">
        <f>현금흐름취합!EE9</f>
        <v>0</v>
      </c>
    </row>
    <row r="10" spans="1:149" hidden="1">
      <c r="A10" s="7">
        <f>현금흐름취합!A10</f>
        <v>0</v>
      </c>
      <c r="B10" s="7">
        <f>현금흐름취합!B10</f>
        <v>0</v>
      </c>
      <c r="C10" s="7">
        <f>현금흐름취합!C10</f>
        <v>0</v>
      </c>
      <c r="D10" s="8">
        <f>현금흐름취합!D10</f>
        <v>0</v>
      </c>
      <c r="E10" s="37"/>
      <c r="F10" s="8">
        <f>현금흐름취합!E10</f>
        <v>0</v>
      </c>
      <c r="G10" s="37" t="str">
        <f t="shared" si="1"/>
        <v>pool 고치세요</v>
      </c>
      <c r="H10" s="9">
        <f>현금흐름취합!F10</f>
        <v>0</v>
      </c>
      <c r="I10" s="10">
        <f>현금흐름취합!G10</f>
        <v>0</v>
      </c>
      <c r="J10" s="39" t="e">
        <f t="shared" si="2"/>
        <v>#DIV/0!</v>
      </c>
      <c r="K10" s="11">
        <f>현금흐름취합!H10</f>
        <v>0</v>
      </c>
      <c r="L10" s="40" t="e">
        <f>VLOOKUP(A10,'Sheet A'!$E$11:$K$60,7,0)=K10</f>
        <v>#N/A</v>
      </c>
      <c r="M10" s="12">
        <f>현금흐름취합!I10</f>
        <v>0</v>
      </c>
      <c r="N10" s="40" t="str">
        <f t="shared" si="3"/>
        <v>검토요</v>
      </c>
      <c r="O10" s="13">
        <f>현금흐름취합!J10</f>
        <v>0</v>
      </c>
      <c r="P10" s="14">
        <f>현금흐름취합!K10</f>
        <v>0</v>
      </c>
      <c r="Q10" s="18">
        <f>현금흐름취합!L10</f>
        <v>0</v>
      </c>
      <c r="R10" s="15">
        <f>현금흐름취합!M10</f>
        <v>0</v>
      </c>
      <c r="S10" s="40" t="e">
        <f t="shared" si="4"/>
        <v>#NUM!</v>
      </c>
      <c r="T10" s="16">
        <f>현금흐름취합!N10</f>
        <v>0</v>
      </c>
      <c r="U10" s="40" t="b">
        <f t="shared" si="0"/>
        <v>1</v>
      </c>
      <c r="V10" s="46">
        <f>SUMIF(일반여신!$E$10:$E$35,검증!A10,일반여신!$O$10:$O$35)*0.985-SUMIF(가지급금!$E$10:$E$180,A10,가지급금!$K$10:$K$180)+SUMIF(가지급금!$E$10:$E$180,검증!A10,가지급금!$O$10:$O$180)*0.985</f>
        <v>0</v>
      </c>
      <c r="W10" s="47">
        <f t="shared" si="5"/>
        <v>0</v>
      </c>
      <c r="X10" s="48"/>
      <c r="Y10" s="49">
        <f>SUMIF('Sheet D'!$E$11:$E$60,A10,'Sheet D'!$P$11:$P$60)</f>
        <v>0</v>
      </c>
      <c r="Z10" s="48">
        <f>SUMIFS(일반여신!$M$10:$M$35,일반여신!$E$10:$E$35,A10,일반여신!$P$10:$P$35,"신옹보증서대위변제")</f>
        <v>0</v>
      </c>
      <c r="AA10" s="48">
        <f t="shared" si="6"/>
        <v>0</v>
      </c>
      <c r="AB10" s="50"/>
      <c r="AC10" s="19">
        <f>현금흐름취합!O10</f>
        <v>0</v>
      </c>
      <c r="AD10" s="19">
        <f>현금흐름취합!P10</f>
        <v>0</v>
      </c>
      <c r="AE10" s="19">
        <f>현금흐름취합!Q10</f>
        <v>0</v>
      </c>
      <c r="AF10" s="19">
        <f>현금흐름취합!R10</f>
        <v>0</v>
      </c>
      <c r="AG10" s="19">
        <f>현금흐름취합!S10</f>
        <v>0</v>
      </c>
      <c r="AH10" s="19">
        <f>현금흐름취합!T10</f>
        <v>0</v>
      </c>
      <c r="AI10" s="19">
        <f>현금흐름취합!U10</f>
        <v>0</v>
      </c>
      <c r="AJ10" s="19">
        <f>현금흐름취합!V10</f>
        <v>0</v>
      </c>
      <c r="AK10" s="19">
        <f>현금흐름취합!W10</f>
        <v>0</v>
      </c>
      <c r="AL10" s="19">
        <f>현금흐름취합!X10</f>
        <v>0</v>
      </c>
      <c r="AM10" s="19">
        <f>현금흐름취합!Y10</f>
        <v>0</v>
      </c>
      <c r="AN10" s="19">
        <f>현금흐름취합!Z10</f>
        <v>0</v>
      </c>
      <c r="AO10" s="19">
        <f>현금흐름취합!AA10</f>
        <v>0</v>
      </c>
      <c r="AP10" s="19">
        <f>현금흐름취합!AB10</f>
        <v>0</v>
      </c>
      <c r="AQ10" s="19">
        <f>현금흐름취합!AC10</f>
        <v>0</v>
      </c>
      <c r="AR10" s="19">
        <f>현금흐름취합!AD10</f>
        <v>0</v>
      </c>
      <c r="AS10" s="19">
        <f>현금흐름취합!AE10</f>
        <v>0</v>
      </c>
      <c r="AT10" s="19">
        <f>현금흐름취합!AF10</f>
        <v>0</v>
      </c>
      <c r="AU10" s="19">
        <f>현금흐름취합!AG10</f>
        <v>0</v>
      </c>
      <c r="AV10" s="19">
        <f>현금흐름취합!AH10</f>
        <v>0</v>
      </c>
      <c r="AW10" s="19">
        <f>현금흐름취합!AI10</f>
        <v>0</v>
      </c>
      <c r="AX10" s="19">
        <f>현금흐름취합!AJ10</f>
        <v>0</v>
      </c>
      <c r="AY10" s="19">
        <f>현금흐름취합!AK10</f>
        <v>0</v>
      </c>
      <c r="AZ10" s="19">
        <f>현금흐름취합!AL10</f>
        <v>0</v>
      </c>
      <c r="BA10" s="19">
        <f>현금흐름취합!AM10</f>
        <v>0</v>
      </c>
      <c r="BB10" s="19">
        <f>현금흐름취합!AN10</f>
        <v>0</v>
      </c>
      <c r="BC10" s="19">
        <f>현금흐름취합!AO10</f>
        <v>0</v>
      </c>
      <c r="BD10" s="19">
        <f>현금흐름취합!AP10</f>
        <v>0</v>
      </c>
      <c r="BE10" s="19">
        <f>현금흐름취합!AQ10</f>
        <v>0</v>
      </c>
      <c r="BF10" s="19">
        <f>현금흐름취합!AR10</f>
        <v>0</v>
      </c>
      <c r="BG10" s="19">
        <f>현금흐름취합!AS10</f>
        <v>0</v>
      </c>
      <c r="BH10" s="19">
        <f>현금흐름취합!AT10</f>
        <v>0</v>
      </c>
      <c r="BI10" s="19">
        <f>현금흐름취합!AU10</f>
        <v>0</v>
      </c>
      <c r="BJ10" s="19">
        <f>현금흐름취합!AV10</f>
        <v>0</v>
      </c>
      <c r="BK10" s="19">
        <f>현금흐름취합!AW10</f>
        <v>0</v>
      </c>
      <c r="BL10" s="19">
        <f>현금흐름취합!AX10</f>
        <v>0</v>
      </c>
      <c r="BM10" s="19">
        <f>현금흐름취합!AY10</f>
        <v>0</v>
      </c>
      <c r="BN10" s="19">
        <f>현금흐름취합!AZ10</f>
        <v>0</v>
      </c>
      <c r="BO10" s="19">
        <f>현금흐름취합!BA10</f>
        <v>0</v>
      </c>
      <c r="BP10" s="19">
        <f>현금흐름취합!BB10</f>
        <v>0</v>
      </c>
      <c r="BQ10" s="19">
        <f>현금흐름취합!BC10</f>
        <v>0</v>
      </c>
      <c r="BR10" s="19">
        <f>현금흐름취합!BD10</f>
        <v>0</v>
      </c>
      <c r="BS10" s="19">
        <f>현금흐름취합!BE10</f>
        <v>0</v>
      </c>
      <c r="BT10" s="19">
        <f>현금흐름취합!BF10</f>
        <v>0</v>
      </c>
      <c r="BU10" s="19">
        <f>현금흐름취합!BG10</f>
        <v>0</v>
      </c>
      <c r="BV10" s="19">
        <f>현금흐름취합!BH10</f>
        <v>0</v>
      </c>
      <c r="BW10" s="19">
        <f>현금흐름취합!BI10</f>
        <v>0</v>
      </c>
      <c r="BX10" s="19">
        <f>현금흐름취합!BJ10</f>
        <v>0</v>
      </c>
      <c r="BY10" s="19">
        <f>현금흐름취합!BK10</f>
        <v>0</v>
      </c>
      <c r="BZ10" s="19">
        <f>현금흐름취합!BL10</f>
        <v>0</v>
      </c>
      <c r="CA10" s="19">
        <f>현금흐름취합!BM10</f>
        <v>0</v>
      </c>
      <c r="CB10" s="19">
        <f>현금흐름취합!BN10</f>
        <v>0</v>
      </c>
      <c r="CC10" s="19">
        <f>현금흐름취합!BO10</f>
        <v>0</v>
      </c>
      <c r="CD10" s="19">
        <f>현금흐름취합!BP10</f>
        <v>0</v>
      </c>
      <c r="CE10" s="19">
        <f>현금흐름취합!BQ10</f>
        <v>0</v>
      </c>
      <c r="CF10" s="19">
        <f>현금흐름취합!BR10</f>
        <v>0</v>
      </c>
      <c r="CG10" s="19">
        <f>현금흐름취합!BS10</f>
        <v>0</v>
      </c>
      <c r="CH10" s="19">
        <f>현금흐름취합!BT10</f>
        <v>0</v>
      </c>
      <c r="CI10" s="19">
        <f>현금흐름취합!BU10</f>
        <v>0</v>
      </c>
      <c r="CJ10" s="19">
        <f>현금흐름취합!BV10</f>
        <v>0</v>
      </c>
      <c r="CK10" s="19">
        <f>현금흐름취합!BW10</f>
        <v>0</v>
      </c>
      <c r="CL10" s="19">
        <f>현금흐름취합!BX10</f>
        <v>0</v>
      </c>
      <c r="CM10" s="19">
        <f>현금흐름취합!BY10</f>
        <v>0</v>
      </c>
      <c r="CN10" s="19">
        <f>현금흐름취합!BZ10</f>
        <v>0</v>
      </c>
      <c r="CO10" s="19">
        <f>현금흐름취합!CA10</f>
        <v>0</v>
      </c>
      <c r="CP10" s="19">
        <f>현금흐름취합!CB10</f>
        <v>0</v>
      </c>
      <c r="CQ10" s="19">
        <f>현금흐름취합!CC10</f>
        <v>0</v>
      </c>
      <c r="CR10" s="19">
        <f>현금흐름취합!CD10</f>
        <v>0</v>
      </c>
      <c r="CS10" s="19">
        <f>현금흐름취합!CE10</f>
        <v>0</v>
      </c>
      <c r="CT10" s="19">
        <f>현금흐름취합!CF10</f>
        <v>0</v>
      </c>
      <c r="CU10" s="19">
        <f>현금흐름취합!CG10</f>
        <v>0</v>
      </c>
      <c r="CV10" s="19">
        <f>현금흐름취합!CH10</f>
        <v>0</v>
      </c>
      <c r="CW10" s="19">
        <f>현금흐름취합!CI10</f>
        <v>0</v>
      </c>
      <c r="CX10" s="19">
        <f>현금흐름취합!CJ10</f>
        <v>0</v>
      </c>
      <c r="CY10" s="19">
        <f>현금흐름취합!CK10</f>
        <v>0</v>
      </c>
      <c r="CZ10" s="19">
        <f>현금흐름취합!CL10</f>
        <v>0</v>
      </c>
      <c r="DA10" s="19">
        <f>현금흐름취합!CM10</f>
        <v>0</v>
      </c>
      <c r="DB10" s="19">
        <f>현금흐름취합!CN10</f>
        <v>0</v>
      </c>
      <c r="DC10" s="19">
        <f>현금흐름취합!CO10</f>
        <v>0</v>
      </c>
      <c r="DD10" s="19">
        <f>현금흐름취합!CP10</f>
        <v>0</v>
      </c>
      <c r="DE10" s="19">
        <f>현금흐름취합!CQ10</f>
        <v>0</v>
      </c>
      <c r="DF10" s="19">
        <f>현금흐름취합!CR10</f>
        <v>0</v>
      </c>
      <c r="DG10" s="19">
        <f>현금흐름취합!CS10</f>
        <v>0</v>
      </c>
      <c r="DH10" s="19">
        <f>현금흐름취합!CT10</f>
        <v>0</v>
      </c>
      <c r="DI10" s="19">
        <f>현금흐름취합!CU10</f>
        <v>0</v>
      </c>
      <c r="DJ10" s="19">
        <f>현금흐름취합!CV10</f>
        <v>0</v>
      </c>
      <c r="DK10" s="19">
        <f>현금흐름취합!CW10</f>
        <v>0</v>
      </c>
      <c r="DL10" s="19">
        <f>현금흐름취합!CX10</f>
        <v>0</v>
      </c>
      <c r="DM10" s="19">
        <f>현금흐름취합!CY10</f>
        <v>0</v>
      </c>
      <c r="DN10" s="19">
        <f>현금흐름취합!CZ10</f>
        <v>0</v>
      </c>
      <c r="DO10" s="19">
        <f>현금흐름취합!DA10</f>
        <v>0</v>
      </c>
      <c r="DP10" s="19">
        <f>현금흐름취합!DB10</f>
        <v>0</v>
      </c>
      <c r="DQ10" s="19">
        <f>현금흐름취합!DC10</f>
        <v>0</v>
      </c>
      <c r="DR10" s="19">
        <f>현금흐름취합!DD10</f>
        <v>0</v>
      </c>
      <c r="DS10" s="19">
        <f>현금흐름취합!DE10</f>
        <v>0</v>
      </c>
      <c r="DT10" s="19">
        <f>현금흐름취합!DF10</f>
        <v>0</v>
      </c>
      <c r="DU10" s="19">
        <f>현금흐름취합!DG10</f>
        <v>0</v>
      </c>
      <c r="DV10" s="19">
        <f>현금흐름취합!DH10</f>
        <v>0</v>
      </c>
      <c r="DW10" s="19">
        <f>현금흐름취합!DI10</f>
        <v>0</v>
      </c>
      <c r="DX10" s="19">
        <f>현금흐름취합!DJ10</f>
        <v>0</v>
      </c>
      <c r="DY10" s="19">
        <f>현금흐름취합!DK10</f>
        <v>0</v>
      </c>
      <c r="DZ10" s="19">
        <f>현금흐름취합!DL10</f>
        <v>0</v>
      </c>
      <c r="EA10" s="19">
        <f>현금흐름취합!DM10</f>
        <v>0</v>
      </c>
      <c r="EB10" s="19">
        <f>현금흐름취합!DN10</f>
        <v>0</v>
      </c>
      <c r="EC10" s="19">
        <f>현금흐름취합!DO10</f>
        <v>0</v>
      </c>
      <c r="ED10" s="19">
        <f>현금흐름취합!DP10</f>
        <v>0</v>
      </c>
      <c r="EE10" s="19">
        <f>현금흐름취합!DQ10</f>
        <v>0</v>
      </c>
      <c r="EF10" s="19">
        <f>현금흐름취합!DR10</f>
        <v>0</v>
      </c>
      <c r="EG10" s="19">
        <f>현금흐름취합!DS10</f>
        <v>0</v>
      </c>
      <c r="EH10" s="19">
        <f>현금흐름취합!DT10</f>
        <v>0</v>
      </c>
      <c r="EI10" s="19">
        <f>현금흐름취합!DU10</f>
        <v>0</v>
      </c>
      <c r="EJ10" s="19">
        <f>현금흐름취합!DV10</f>
        <v>0</v>
      </c>
      <c r="EK10" s="19">
        <f>현금흐름취합!DW10</f>
        <v>0</v>
      </c>
      <c r="EL10" s="19">
        <f>현금흐름취합!DX10</f>
        <v>0</v>
      </c>
      <c r="EM10" s="19">
        <f>현금흐름취합!DY10</f>
        <v>0</v>
      </c>
      <c r="EN10" s="19">
        <f>현금흐름취합!DZ10</f>
        <v>0</v>
      </c>
      <c r="EO10" s="19">
        <f>현금흐름취합!EA10</f>
        <v>0</v>
      </c>
      <c r="EP10" s="19">
        <f>현금흐름취합!EB10</f>
        <v>0</v>
      </c>
      <c r="EQ10" s="19">
        <f>현금흐름취합!EC10</f>
        <v>0</v>
      </c>
      <c r="ER10" s="19">
        <f>현금흐름취합!ED10</f>
        <v>0</v>
      </c>
      <c r="ES10" s="19">
        <f>현금흐름취합!EE10</f>
        <v>0</v>
      </c>
    </row>
    <row r="11" spans="1:149" hidden="1">
      <c r="A11" s="7">
        <f>현금흐름취합!A11</f>
        <v>0</v>
      </c>
      <c r="B11" s="7">
        <f>현금흐름취합!B11</f>
        <v>0</v>
      </c>
      <c r="C11" s="7">
        <f>현금흐름취합!C11</f>
        <v>0</v>
      </c>
      <c r="D11" s="8">
        <f>현금흐름취합!D11</f>
        <v>0</v>
      </c>
      <c r="E11" s="37" t="str">
        <f t="shared" ref="E11" si="8">IF(R10&gt;R11,"역전현상","이상없음")</f>
        <v>이상없음</v>
      </c>
      <c r="F11" s="8">
        <f>현금흐름취합!E11</f>
        <v>0</v>
      </c>
      <c r="G11" s="37" t="str">
        <f t="shared" si="1"/>
        <v>pool 고치세요</v>
      </c>
      <c r="H11" s="9">
        <f>현금흐름취합!F11</f>
        <v>0</v>
      </c>
      <c r="I11" s="10">
        <f>현금흐름취합!G11</f>
        <v>0</v>
      </c>
      <c r="J11" s="39" t="e">
        <f t="shared" si="2"/>
        <v>#DIV/0!</v>
      </c>
      <c r="K11" s="11">
        <f>현금흐름취합!H11</f>
        <v>0</v>
      </c>
      <c r="L11" s="40" t="e">
        <f>VLOOKUP(A11,'Sheet A'!$E$11:$K$60,7,0)=K11</f>
        <v>#N/A</v>
      </c>
      <c r="M11" s="12">
        <f>현금흐름취합!I11</f>
        <v>0</v>
      </c>
      <c r="N11" s="40" t="str">
        <f t="shared" si="3"/>
        <v>검토요</v>
      </c>
      <c r="O11" s="13">
        <f>현금흐름취합!J11</f>
        <v>0</v>
      </c>
      <c r="P11" s="14">
        <f>현금흐름취합!K11</f>
        <v>0</v>
      </c>
      <c r="Q11" s="18">
        <f>현금흐름취합!L11</f>
        <v>0</v>
      </c>
      <c r="R11" s="15">
        <f>현금흐름취합!M11</f>
        <v>0</v>
      </c>
      <c r="S11" s="40" t="e">
        <f t="shared" si="4"/>
        <v>#NUM!</v>
      </c>
      <c r="T11" s="16">
        <f>현금흐름취합!N11</f>
        <v>0</v>
      </c>
      <c r="U11" s="40" t="b">
        <f t="shared" si="0"/>
        <v>1</v>
      </c>
      <c r="V11" s="46">
        <f>SUMIF(일반여신!$E$10:$E$35,검증!A11,일반여신!$O$10:$O$35)*0.985-SUMIF(가지급금!$E$10:$E$180,A11,가지급금!$K$10:$K$180)+SUMIF(가지급금!$E$10:$E$180,검증!A11,가지급금!$O$10:$O$180)*0.985</f>
        <v>0</v>
      </c>
      <c r="W11" s="47">
        <f t="shared" si="5"/>
        <v>0</v>
      </c>
      <c r="X11" s="48"/>
      <c r="Y11" s="49">
        <f>SUMIF('Sheet D'!$E$11:$E$60,A11,'Sheet D'!$P$11:$P$60)</f>
        <v>0</v>
      </c>
      <c r="Z11" s="48">
        <f>SUMIFS(일반여신!$M$10:$M$35,일반여신!$E$10:$E$35,A11,일반여신!$P$10:$P$35,"신옹보증서대위변제")</f>
        <v>0</v>
      </c>
      <c r="AA11" s="48">
        <f t="shared" si="6"/>
        <v>0</v>
      </c>
      <c r="AB11" s="50"/>
      <c r="AC11" s="19">
        <f>현금흐름취합!O11</f>
        <v>0</v>
      </c>
      <c r="AD11" s="19">
        <f>현금흐름취합!P11</f>
        <v>0</v>
      </c>
      <c r="AE11" s="19">
        <f>현금흐름취합!Q11</f>
        <v>0</v>
      </c>
      <c r="AF11" s="19">
        <f>현금흐름취합!R11</f>
        <v>0</v>
      </c>
      <c r="AG11" s="19">
        <f>현금흐름취합!S11</f>
        <v>0</v>
      </c>
      <c r="AH11" s="19">
        <f>현금흐름취합!T11</f>
        <v>0</v>
      </c>
      <c r="AI11" s="19">
        <f>현금흐름취합!U11</f>
        <v>0</v>
      </c>
      <c r="AJ11" s="19">
        <f>현금흐름취합!V11</f>
        <v>0</v>
      </c>
      <c r="AK11" s="19">
        <f>현금흐름취합!W11</f>
        <v>0</v>
      </c>
      <c r="AL11" s="19">
        <f>현금흐름취합!X11</f>
        <v>0</v>
      </c>
      <c r="AM11" s="19">
        <f>현금흐름취합!Y11</f>
        <v>0</v>
      </c>
      <c r="AN11" s="19">
        <f>현금흐름취합!Z11</f>
        <v>0</v>
      </c>
      <c r="AO11" s="19">
        <f>현금흐름취합!AA11</f>
        <v>0</v>
      </c>
      <c r="AP11" s="19">
        <f>현금흐름취합!AB11</f>
        <v>0</v>
      </c>
      <c r="AQ11" s="19">
        <f>현금흐름취합!AC11</f>
        <v>0</v>
      </c>
      <c r="AR11" s="19">
        <f>현금흐름취합!AD11</f>
        <v>0</v>
      </c>
      <c r="AS11" s="19">
        <f>현금흐름취합!AE11</f>
        <v>0</v>
      </c>
      <c r="AT11" s="19">
        <f>현금흐름취합!AF11</f>
        <v>0</v>
      </c>
      <c r="AU11" s="19">
        <f>현금흐름취합!AG11</f>
        <v>0</v>
      </c>
      <c r="AV11" s="19">
        <f>현금흐름취합!AH11</f>
        <v>0</v>
      </c>
      <c r="AW11" s="19">
        <f>현금흐름취합!AI11</f>
        <v>0</v>
      </c>
      <c r="AX11" s="19">
        <f>현금흐름취합!AJ11</f>
        <v>0</v>
      </c>
      <c r="AY11" s="19">
        <f>현금흐름취합!AK11</f>
        <v>0</v>
      </c>
      <c r="AZ11" s="19">
        <f>현금흐름취합!AL11</f>
        <v>0</v>
      </c>
      <c r="BA11" s="19">
        <f>현금흐름취합!AM11</f>
        <v>0</v>
      </c>
      <c r="BB11" s="19">
        <f>현금흐름취합!AN11</f>
        <v>0</v>
      </c>
      <c r="BC11" s="19">
        <f>현금흐름취합!AO11</f>
        <v>0</v>
      </c>
      <c r="BD11" s="19">
        <f>현금흐름취합!AP11</f>
        <v>0</v>
      </c>
      <c r="BE11" s="19">
        <f>현금흐름취합!AQ11</f>
        <v>0</v>
      </c>
      <c r="BF11" s="19">
        <f>현금흐름취합!AR11</f>
        <v>0</v>
      </c>
      <c r="BG11" s="19">
        <f>현금흐름취합!AS11</f>
        <v>0</v>
      </c>
      <c r="BH11" s="19">
        <f>현금흐름취합!AT11</f>
        <v>0</v>
      </c>
      <c r="BI11" s="19">
        <f>현금흐름취합!AU11</f>
        <v>0</v>
      </c>
      <c r="BJ11" s="19">
        <f>현금흐름취합!AV11</f>
        <v>0</v>
      </c>
      <c r="BK11" s="19">
        <f>현금흐름취합!AW11</f>
        <v>0</v>
      </c>
      <c r="BL11" s="19">
        <f>현금흐름취합!AX11</f>
        <v>0</v>
      </c>
      <c r="BM11" s="19">
        <f>현금흐름취합!AY11</f>
        <v>0</v>
      </c>
      <c r="BN11" s="19">
        <f>현금흐름취합!AZ11</f>
        <v>0</v>
      </c>
      <c r="BO11" s="19">
        <f>현금흐름취합!BA11</f>
        <v>0</v>
      </c>
      <c r="BP11" s="19">
        <f>현금흐름취합!BB11</f>
        <v>0</v>
      </c>
      <c r="BQ11" s="19">
        <f>현금흐름취합!BC11</f>
        <v>0</v>
      </c>
      <c r="BR11" s="19">
        <f>현금흐름취합!BD11</f>
        <v>0</v>
      </c>
      <c r="BS11" s="19">
        <f>현금흐름취합!BE11</f>
        <v>0</v>
      </c>
      <c r="BT11" s="19">
        <f>현금흐름취합!BF11</f>
        <v>0</v>
      </c>
      <c r="BU11" s="19">
        <f>현금흐름취합!BG11</f>
        <v>0</v>
      </c>
      <c r="BV11" s="19">
        <f>현금흐름취합!BH11</f>
        <v>0</v>
      </c>
      <c r="BW11" s="19">
        <f>현금흐름취합!BI11</f>
        <v>0</v>
      </c>
      <c r="BX11" s="19">
        <f>현금흐름취합!BJ11</f>
        <v>0</v>
      </c>
      <c r="BY11" s="19">
        <f>현금흐름취합!BK11</f>
        <v>0</v>
      </c>
      <c r="BZ11" s="19">
        <f>현금흐름취합!BL11</f>
        <v>0</v>
      </c>
      <c r="CA11" s="19">
        <f>현금흐름취합!BM11</f>
        <v>0</v>
      </c>
      <c r="CB11" s="19">
        <f>현금흐름취합!BN11</f>
        <v>0</v>
      </c>
      <c r="CC11" s="19">
        <f>현금흐름취합!BO11</f>
        <v>0</v>
      </c>
      <c r="CD11" s="19">
        <f>현금흐름취합!BP11</f>
        <v>0</v>
      </c>
      <c r="CE11" s="19">
        <f>현금흐름취합!BQ11</f>
        <v>0</v>
      </c>
      <c r="CF11" s="19">
        <f>현금흐름취합!BR11</f>
        <v>0</v>
      </c>
      <c r="CG11" s="19">
        <f>현금흐름취합!BS11</f>
        <v>0</v>
      </c>
      <c r="CH11" s="19">
        <f>현금흐름취합!BT11</f>
        <v>0</v>
      </c>
      <c r="CI11" s="19">
        <f>현금흐름취합!BU11</f>
        <v>0</v>
      </c>
      <c r="CJ11" s="19">
        <f>현금흐름취합!BV11</f>
        <v>0</v>
      </c>
      <c r="CK11" s="19">
        <f>현금흐름취합!BW11</f>
        <v>0</v>
      </c>
      <c r="CL11" s="19">
        <f>현금흐름취합!BX11</f>
        <v>0</v>
      </c>
      <c r="CM11" s="19">
        <f>현금흐름취합!BY11</f>
        <v>0</v>
      </c>
      <c r="CN11" s="19">
        <f>현금흐름취합!BZ11</f>
        <v>0</v>
      </c>
      <c r="CO11" s="19">
        <f>현금흐름취합!CA11</f>
        <v>0</v>
      </c>
      <c r="CP11" s="19">
        <f>현금흐름취합!CB11</f>
        <v>0</v>
      </c>
      <c r="CQ11" s="19">
        <f>현금흐름취합!CC11</f>
        <v>0</v>
      </c>
      <c r="CR11" s="19">
        <f>현금흐름취합!CD11</f>
        <v>0</v>
      </c>
      <c r="CS11" s="19">
        <f>현금흐름취합!CE11</f>
        <v>0</v>
      </c>
      <c r="CT11" s="19">
        <f>현금흐름취합!CF11</f>
        <v>0</v>
      </c>
      <c r="CU11" s="19">
        <f>현금흐름취합!CG11</f>
        <v>0</v>
      </c>
      <c r="CV11" s="19">
        <f>현금흐름취합!CH11</f>
        <v>0</v>
      </c>
      <c r="CW11" s="19">
        <f>현금흐름취합!CI11</f>
        <v>0</v>
      </c>
      <c r="CX11" s="19">
        <f>현금흐름취합!CJ11</f>
        <v>0</v>
      </c>
      <c r="CY11" s="19">
        <f>현금흐름취합!CK11</f>
        <v>0</v>
      </c>
      <c r="CZ11" s="19">
        <f>현금흐름취합!CL11</f>
        <v>0</v>
      </c>
      <c r="DA11" s="19">
        <f>현금흐름취합!CM11</f>
        <v>0</v>
      </c>
      <c r="DB11" s="19">
        <f>현금흐름취합!CN11</f>
        <v>0</v>
      </c>
      <c r="DC11" s="19">
        <f>현금흐름취합!CO11</f>
        <v>0</v>
      </c>
      <c r="DD11" s="19">
        <f>현금흐름취합!CP11</f>
        <v>0</v>
      </c>
      <c r="DE11" s="19">
        <f>현금흐름취합!CQ11</f>
        <v>0</v>
      </c>
      <c r="DF11" s="19">
        <f>현금흐름취합!CR11</f>
        <v>0</v>
      </c>
      <c r="DG11" s="19">
        <f>현금흐름취합!CS11</f>
        <v>0</v>
      </c>
      <c r="DH11" s="19">
        <f>현금흐름취합!CT11</f>
        <v>0</v>
      </c>
      <c r="DI11" s="19">
        <f>현금흐름취합!CU11</f>
        <v>0</v>
      </c>
      <c r="DJ11" s="19">
        <f>현금흐름취합!CV11</f>
        <v>0</v>
      </c>
      <c r="DK11" s="19">
        <f>현금흐름취합!CW11</f>
        <v>0</v>
      </c>
      <c r="DL11" s="19">
        <f>현금흐름취합!CX11</f>
        <v>0</v>
      </c>
      <c r="DM11" s="19">
        <f>현금흐름취합!CY11</f>
        <v>0</v>
      </c>
      <c r="DN11" s="19">
        <f>현금흐름취합!CZ11</f>
        <v>0</v>
      </c>
      <c r="DO11" s="19">
        <f>현금흐름취합!DA11</f>
        <v>0</v>
      </c>
      <c r="DP11" s="19">
        <f>현금흐름취합!DB11</f>
        <v>0</v>
      </c>
      <c r="DQ11" s="19">
        <f>현금흐름취합!DC11</f>
        <v>0</v>
      </c>
      <c r="DR11" s="19">
        <f>현금흐름취합!DD11</f>
        <v>0</v>
      </c>
      <c r="DS11" s="19">
        <f>현금흐름취합!DE11</f>
        <v>0</v>
      </c>
      <c r="DT11" s="19">
        <f>현금흐름취합!DF11</f>
        <v>0</v>
      </c>
      <c r="DU11" s="19">
        <f>현금흐름취합!DG11</f>
        <v>0</v>
      </c>
      <c r="DV11" s="19">
        <f>현금흐름취합!DH11</f>
        <v>0</v>
      </c>
      <c r="DW11" s="19">
        <f>현금흐름취합!DI11</f>
        <v>0</v>
      </c>
      <c r="DX11" s="19">
        <f>현금흐름취합!DJ11</f>
        <v>0</v>
      </c>
      <c r="DY11" s="19">
        <f>현금흐름취합!DK11</f>
        <v>0</v>
      </c>
      <c r="DZ11" s="19">
        <f>현금흐름취합!DL11</f>
        <v>0</v>
      </c>
      <c r="EA11" s="19">
        <f>현금흐름취합!DM11</f>
        <v>0</v>
      </c>
      <c r="EB11" s="19">
        <f>현금흐름취합!DN11</f>
        <v>0</v>
      </c>
      <c r="EC11" s="19">
        <f>현금흐름취합!DO11</f>
        <v>0</v>
      </c>
      <c r="ED11" s="19">
        <f>현금흐름취합!DP11</f>
        <v>0</v>
      </c>
      <c r="EE11" s="19">
        <f>현금흐름취합!DQ11</f>
        <v>0</v>
      </c>
      <c r="EF11" s="19">
        <f>현금흐름취합!DR11</f>
        <v>0</v>
      </c>
      <c r="EG11" s="19">
        <f>현금흐름취합!DS11</f>
        <v>0</v>
      </c>
      <c r="EH11" s="19">
        <f>현금흐름취합!DT11</f>
        <v>0</v>
      </c>
      <c r="EI11" s="19">
        <f>현금흐름취합!DU11</f>
        <v>0</v>
      </c>
      <c r="EJ11" s="19">
        <f>현금흐름취합!DV11</f>
        <v>0</v>
      </c>
      <c r="EK11" s="19">
        <f>현금흐름취합!DW11</f>
        <v>0</v>
      </c>
      <c r="EL11" s="19">
        <f>현금흐름취합!DX11</f>
        <v>0</v>
      </c>
      <c r="EM11" s="19">
        <f>현금흐름취합!DY11</f>
        <v>0</v>
      </c>
      <c r="EN11" s="19">
        <f>현금흐름취합!DZ11</f>
        <v>0</v>
      </c>
      <c r="EO11" s="19">
        <f>현금흐름취합!EA11</f>
        <v>0</v>
      </c>
      <c r="EP11" s="19">
        <f>현금흐름취합!EB11</f>
        <v>0</v>
      </c>
      <c r="EQ11" s="19">
        <f>현금흐름취합!EC11</f>
        <v>0</v>
      </c>
      <c r="ER11" s="19">
        <f>현금흐름취합!ED11</f>
        <v>0</v>
      </c>
      <c r="ES11" s="19">
        <f>현금흐름취합!EE11</f>
        <v>0</v>
      </c>
    </row>
    <row r="12" spans="1:149" hidden="1">
      <c r="A12" s="7">
        <f>현금흐름취합!A12</f>
        <v>0</v>
      </c>
      <c r="B12" s="7">
        <f>현금흐름취합!B12</f>
        <v>0</v>
      </c>
      <c r="C12" s="7">
        <f>현금흐름취합!C12</f>
        <v>0</v>
      </c>
      <c r="D12" s="8">
        <f>현금흐름취합!D12</f>
        <v>0</v>
      </c>
      <c r="E12" s="37"/>
      <c r="F12" s="8">
        <f>현금흐름취합!E12</f>
        <v>0</v>
      </c>
      <c r="G12" s="37" t="str">
        <f t="shared" si="1"/>
        <v>pool 고치세요</v>
      </c>
      <c r="H12" s="9">
        <f>현금흐름취합!F12</f>
        <v>0</v>
      </c>
      <c r="I12" s="10">
        <f>현금흐름취합!G12</f>
        <v>0</v>
      </c>
      <c r="J12" s="39" t="e">
        <f t="shared" si="2"/>
        <v>#DIV/0!</v>
      </c>
      <c r="K12" s="11">
        <f>현금흐름취합!H12</f>
        <v>0</v>
      </c>
      <c r="L12" s="40" t="e">
        <f>VLOOKUP(A12,'Sheet A'!$E$11:$K$60,7,0)=K12</f>
        <v>#N/A</v>
      </c>
      <c r="M12" s="12">
        <f>현금흐름취합!I12</f>
        <v>0</v>
      </c>
      <c r="N12" s="40" t="str">
        <f t="shared" si="3"/>
        <v>검토요</v>
      </c>
      <c r="O12" s="13">
        <f>현금흐름취합!J12</f>
        <v>0</v>
      </c>
      <c r="P12" s="14">
        <f>현금흐름취합!K12</f>
        <v>0</v>
      </c>
      <c r="Q12" s="18">
        <f>현금흐름취합!L12</f>
        <v>0</v>
      </c>
      <c r="R12" s="15">
        <f>현금흐름취합!M12</f>
        <v>0</v>
      </c>
      <c r="S12" s="40" t="e">
        <f t="shared" si="4"/>
        <v>#NUM!</v>
      </c>
      <c r="T12" s="16">
        <f>현금흐름취합!N12</f>
        <v>0</v>
      </c>
      <c r="U12" s="40" t="b">
        <f t="shared" si="0"/>
        <v>1</v>
      </c>
      <c r="V12" s="46">
        <f>SUMIF(일반여신!$E$10:$E$35,검증!A12,일반여신!$O$10:$O$35)*0.985-SUMIF(가지급금!$E$10:$E$180,A12,가지급금!$K$10:$K$180)+SUMIF(가지급금!$E$10:$E$180,검증!A12,가지급금!$O$10:$O$180)*0.985</f>
        <v>0</v>
      </c>
      <c r="W12" s="47">
        <f t="shared" si="5"/>
        <v>0</v>
      </c>
      <c r="X12" s="48"/>
      <c r="Y12" s="49">
        <f>SUMIF('Sheet D'!$E$11:$E$60,A12,'Sheet D'!$P$11:$P$60)</f>
        <v>0</v>
      </c>
      <c r="Z12" s="48">
        <f>SUMIFS(일반여신!$M$10:$M$35,일반여신!$E$10:$E$35,A12,일반여신!$P$10:$P$35,"신옹보증서대위변제")</f>
        <v>0</v>
      </c>
      <c r="AA12" s="48">
        <f t="shared" si="6"/>
        <v>0</v>
      </c>
      <c r="AB12" s="50"/>
      <c r="AC12" s="19">
        <f>현금흐름취합!O12</f>
        <v>0</v>
      </c>
      <c r="AD12" s="19">
        <f>현금흐름취합!P12</f>
        <v>0</v>
      </c>
      <c r="AE12" s="19">
        <f>현금흐름취합!Q12</f>
        <v>0</v>
      </c>
      <c r="AF12" s="19">
        <f>현금흐름취합!R12</f>
        <v>0</v>
      </c>
      <c r="AG12" s="19">
        <f>현금흐름취합!S12</f>
        <v>0</v>
      </c>
      <c r="AH12" s="19">
        <f>현금흐름취합!T12</f>
        <v>0</v>
      </c>
      <c r="AI12" s="19">
        <f>현금흐름취합!U12</f>
        <v>0</v>
      </c>
      <c r="AJ12" s="19">
        <f>현금흐름취합!V12</f>
        <v>0</v>
      </c>
      <c r="AK12" s="19">
        <f>현금흐름취합!W12</f>
        <v>0</v>
      </c>
      <c r="AL12" s="19">
        <f>현금흐름취합!X12</f>
        <v>0</v>
      </c>
      <c r="AM12" s="19">
        <f>현금흐름취합!Y12</f>
        <v>0</v>
      </c>
      <c r="AN12" s="19">
        <f>현금흐름취합!Z12</f>
        <v>0</v>
      </c>
      <c r="AO12" s="19">
        <f>현금흐름취합!AA12</f>
        <v>0</v>
      </c>
      <c r="AP12" s="19">
        <f>현금흐름취합!AB12</f>
        <v>0</v>
      </c>
      <c r="AQ12" s="19">
        <f>현금흐름취합!AC12</f>
        <v>0</v>
      </c>
      <c r="AR12" s="19">
        <f>현금흐름취합!AD12</f>
        <v>0</v>
      </c>
      <c r="AS12" s="19">
        <f>현금흐름취합!AE12</f>
        <v>0</v>
      </c>
      <c r="AT12" s="19">
        <f>현금흐름취합!AF12</f>
        <v>0</v>
      </c>
      <c r="AU12" s="19">
        <f>현금흐름취합!AG12</f>
        <v>0</v>
      </c>
      <c r="AV12" s="19">
        <f>현금흐름취합!AH12</f>
        <v>0</v>
      </c>
      <c r="AW12" s="19">
        <f>현금흐름취합!AI12</f>
        <v>0</v>
      </c>
      <c r="AX12" s="19">
        <f>현금흐름취합!AJ12</f>
        <v>0</v>
      </c>
      <c r="AY12" s="19">
        <f>현금흐름취합!AK12</f>
        <v>0</v>
      </c>
      <c r="AZ12" s="19">
        <f>현금흐름취합!AL12</f>
        <v>0</v>
      </c>
      <c r="BA12" s="19">
        <f>현금흐름취합!AM12</f>
        <v>0</v>
      </c>
      <c r="BB12" s="19">
        <f>현금흐름취합!AN12</f>
        <v>0</v>
      </c>
      <c r="BC12" s="19">
        <f>현금흐름취합!AO12</f>
        <v>0</v>
      </c>
      <c r="BD12" s="19">
        <f>현금흐름취합!AP12</f>
        <v>0</v>
      </c>
      <c r="BE12" s="19">
        <f>현금흐름취합!AQ12</f>
        <v>0</v>
      </c>
      <c r="BF12" s="19">
        <f>현금흐름취합!AR12</f>
        <v>0</v>
      </c>
      <c r="BG12" s="19">
        <f>현금흐름취합!AS12</f>
        <v>0</v>
      </c>
      <c r="BH12" s="19">
        <f>현금흐름취합!AT12</f>
        <v>0</v>
      </c>
      <c r="BI12" s="19">
        <f>현금흐름취합!AU12</f>
        <v>0</v>
      </c>
      <c r="BJ12" s="19">
        <f>현금흐름취합!AV12</f>
        <v>0</v>
      </c>
      <c r="BK12" s="19">
        <f>현금흐름취합!AW12</f>
        <v>0</v>
      </c>
      <c r="BL12" s="19">
        <f>현금흐름취합!AX12</f>
        <v>0</v>
      </c>
      <c r="BM12" s="19">
        <f>현금흐름취합!AY12</f>
        <v>0</v>
      </c>
      <c r="BN12" s="19">
        <f>현금흐름취합!AZ12</f>
        <v>0</v>
      </c>
      <c r="BO12" s="19">
        <f>현금흐름취합!BA12</f>
        <v>0</v>
      </c>
      <c r="BP12" s="19">
        <f>현금흐름취합!BB12</f>
        <v>0</v>
      </c>
      <c r="BQ12" s="19">
        <f>현금흐름취합!BC12</f>
        <v>0</v>
      </c>
      <c r="BR12" s="19">
        <f>현금흐름취합!BD12</f>
        <v>0</v>
      </c>
      <c r="BS12" s="19">
        <f>현금흐름취합!BE12</f>
        <v>0</v>
      </c>
      <c r="BT12" s="19">
        <f>현금흐름취합!BF12</f>
        <v>0</v>
      </c>
      <c r="BU12" s="19">
        <f>현금흐름취합!BG12</f>
        <v>0</v>
      </c>
      <c r="BV12" s="19">
        <f>현금흐름취합!BH12</f>
        <v>0</v>
      </c>
      <c r="BW12" s="19">
        <f>현금흐름취합!BI12</f>
        <v>0</v>
      </c>
      <c r="BX12" s="19">
        <f>현금흐름취합!BJ12</f>
        <v>0</v>
      </c>
      <c r="BY12" s="19">
        <f>현금흐름취합!BK12</f>
        <v>0</v>
      </c>
      <c r="BZ12" s="19">
        <f>현금흐름취합!BL12</f>
        <v>0</v>
      </c>
      <c r="CA12" s="19">
        <f>현금흐름취합!BM12</f>
        <v>0</v>
      </c>
      <c r="CB12" s="19">
        <f>현금흐름취합!BN12</f>
        <v>0</v>
      </c>
      <c r="CC12" s="19">
        <f>현금흐름취합!BO12</f>
        <v>0</v>
      </c>
      <c r="CD12" s="19">
        <f>현금흐름취합!BP12</f>
        <v>0</v>
      </c>
      <c r="CE12" s="19">
        <f>현금흐름취합!BQ12</f>
        <v>0</v>
      </c>
      <c r="CF12" s="19">
        <f>현금흐름취합!BR12</f>
        <v>0</v>
      </c>
      <c r="CG12" s="19">
        <f>현금흐름취합!BS12</f>
        <v>0</v>
      </c>
      <c r="CH12" s="19">
        <f>현금흐름취합!BT12</f>
        <v>0</v>
      </c>
      <c r="CI12" s="19">
        <f>현금흐름취합!BU12</f>
        <v>0</v>
      </c>
      <c r="CJ12" s="19">
        <f>현금흐름취합!BV12</f>
        <v>0</v>
      </c>
      <c r="CK12" s="19">
        <f>현금흐름취합!BW12</f>
        <v>0</v>
      </c>
      <c r="CL12" s="19">
        <f>현금흐름취합!BX12</f>
        <v>0</v>
      </c>
      <c r="CM12" s="19">
        <f>현금흐름취합!BY12</f>
        <v>0</v>
      </c>
      <c r="CN12" s="19">
        <f>현금흐름취합!BZ12</f>
        <v>0</v>
      </c>
      <c r="CO12" s="19">
        <f>현금흐름취합!CA12</f>
        <v>0</v>
      </c>
      <c r="CP12" s="19">
        <f>현금흐름취합!CB12</f>
        <v>0</v>
      </c>
      <c r="CQ12" s="19">
        <f>현금흐름취합!CC12</f>
        <v>0</v>
      </c>
      <c r="CR12" s="19">
        <f>현금흐름취합!CD12</f>
        <v>0</v>
      </c>
      <c r="CS12" s="19">
        <f>현금흐름취합!CE12</f>
        <v>0</v>
      </c>
      <c r="CT12" s="19">
        <f>현금흐름취합!CF12</f>
        <v>0</v>
      </c>
      <c r="CU12" s="19">
        <f>현금흐름취합!CG12</f>
        <v>0</v>
      </c>
      <c r="CV12" s="19">
        <f>현금흐름취합!CH12</f>
        <v>0</v>
      </c>
      <c r="CW12" s="19">
        <f>현금흐름취합!CI12</f>
        <v>0</v>
      </c>
      <c r="CX12" s="19">
        <f>현금흐름취합!CJ12</f>
        <v>0</v>
      </c>
      <c r="CY12" s="19">
        <f>현금흐름취합!CK12</f>
        <v>0</v>
      </c>
      <c r="CZ12" s="19">
        <f>현금흐름취합!CL12</f>
        <v>0</v>
      </c>
      <c r="DA12" s="19">
        <f>현금흐름취합!CM12</f>
        <v>0</v>
      </c>
      <c r="DB12" s="19">
        <f>현금흐름취합!CN12</f>
        <v>0</v>
      </c>
      <c r="DC12" s="19">
        <f>현금흐름취합!CO12</f>
        <v>0</v>
      </c>
      <c r="DD12" s="19">
        <f>현금흐름취합!CP12</f>
        <v>0</v>
      </c>
      <c r="DE12" s="19">
        <f>현금흐름취합!CQ12</f>
        <v>0</v>
      </c>
      <c r="DF12" s="19">
        <f>현금흐름취합!CR12</f>
        <v>0</v>
      </c>
      <c r="DG12" s="19">
        <f>현금흐름취합!CS12</f>
        <v>0</v>
      </c>
      <c r="DH12" s="19">
        <f>현금흐름취합!CT12</f>
        <v>0</v>
      </c>
      <c r="DI12" s="19">
        <f>현금흐름취합!CU12</f>
        <v>0</v>
      </c>
      <c r="DJ12" s="19">
        <f>현금흐름취합!CV12</f>
        <v>0</v>
      </c>
      <c r="DK12" s="19">
        <f>현금흐름취합!CW12</f>
        <v>0</v>
      </c>
      <c r="DL12" s="19">
        <f>현금흐름취합!CX12</f>
        <v>0</v>
      </c>
      <c r="DM12" s="19">
        <f>현금흐름취합!CY12</f>
        <v>0</v>
      </c>
      <c r="DN12" s="19">
        <f>현금흐름취합!CZ12</f>
        <v>0</v>
      </c>
      <c r="DO12" s="19">
        <f>현금흐름취합!DA12</f>
        <v>0</v>
      </c>
      <c r="DP12" s="19">
        <f>현금흐름취합!DB12</f>
        <v>0</v>
      </c>
      <c r="DQ12" s="19">
        <f>현금흐름취합!DC12</f>
        <v>0</v>
      </c>
      <c r="DR12" s="19">
        <f>현금흐름취합!DD12</f>
        <v>0</v>
      </c>
      <c r="DS12" s="19">
        <f>현금흐름취합!DE12</f>
        <v>0</v>
      </c>
      <c r="DT12" s="19">
        <f>현금흐름취합!DF12</f>
        <v>0</v>
      </c>
      <c r="DU12" s="19">
        <f>현금흐름취합!DG12</f>
        <v>0</v>
      </c>
      <c r="DV12" s="19">
        <f>현금흐름취합!DH12</f>
        <v>0</v>
      </c>
      <c r="DW12" s="19">
        <f>현금흐름취합!DI12</f>
        <v>0</v>
      </c>
      <c r="DX12" s="19">
        <f>현금흐름취합!DJ12</f>
        <v>0</v>
      </c>
      <c r="DY12" s="19">
        <f>현금흐름취합!DK12</f>
        <v>0</v>
      </c>
      <c r="DZ12" s="19">
        <f>현금흐름취합!DL12</f>
        <v>0</v>
      </c>
      <c r="EA12" s="19">
        <f>현금흐름취합!DM12</f>
        <v>0</v>
      </c>
      <c r="EB12" s="19">
        <f>현금흐름취합!DN12</f>
        <v>0</v>
      </c>
      <c r="EC12" s="19">
        <f>현금흐름취합!DO12</f>
        <v>0</v>
      </c>
      <c r="ED12" s="19">
        <f>현금흐름취합!DP12</f>
        <v>0</v>
      </c>
      <c r="EE12" s="19">
        <f>현금흐름취합!DQ12</f>
        <v>0</v>
      </c>
      <c r="EF12" s="19">
        <f>현금흐름취합!DR12</f>
        <v>0</v>
      </c>
      <c r="EG12" s="19">
        <f>현금흐름취합!DS12</f>
        <v>0</v>
      </c>
      <c r="EH12" s="19">
        <f>현금흐름취합!DT12</f>
        <v>0</v>
      </c>
      <c r="EI12" s="19">
        <f>현금흐름취합!DU12</f>
        <v>0</v>
      </c>
      <c r="EJ12" s="19">
        <f>현금흐름취합!DV12</f>
        <v>0</v>
      </c>
      <c r="EK12" s="19">
        <f>현금흐름취합!DW12</f>
        <v>0</v>
      </c>
      <c r="EL12" s="19">
        <f>현금흐름취합!DX12</f>
        <v>0</v>
      </c>
      <c r="EM12" s="19">
        <f>현금흐름취합!DY12</f>
        <v>0</v>
      </c>
      <c r="EN12" s="19">
        <f>현금흐름취합!DZ12</f>
        <v>0</v>
      </c>
      <c r="EO12" s="19">
        <f>현금흐름취합!EA12</f>
        <v>0</v>
      </c>
      <c r="EP12" s="19">
        <f>현금흐름취합!EB12</f>
        <v>0</v>
      </c>
      <c r="EQ12" s="19">
        <f>현금흐름취합!EC12</f>
        <v>0</v>
      </c>
      <c r="ER12" s="19">
        <f>현금흐름취합!ED12</f>
        <v>0</v>
      </c>
      <c r="ES12" s="19">
        <f>현금흐름취합!EE12</f>
        <v>0</v>
      </c>
    </row>
    <row r="13" spans="1:149" hidden="1">
      <c r="A13" s="7">
        <f>현금흐름취합!A13</f>
        <v>0</v>
      </c>
      <c r="B13" s="7">
        <f>현금흐름취합!B13</f>
        <v>0</v>
      </c>
      <c r="C13" s="7">
        <f>현금흐름취합!C13</f>
        <v>0</v>
      </c>
      <c r="D13" s="8">
        <f>현금흐름취합!D13</f>
        <v>0</v>
      </c>
      <c r="E13" s="37" t="str">
        <f t="shared" ref="E13" si="9">IF(R12&gt;R13,"역전현상","이상없음")</f>
        <v>이상없음</v>
      </c>
      <c r="F13" s="8">
        <f>현금흐름취합!E13</f>
        <v>0</v>
      </c>
      <c r="G13" s="37" t="str">
        <f t="shared" si="1"/>
        <v>pool 고치세요</v>
      </c>
      <c r="H13" s="9">
        <f>현금흐름취합!F13</f>
        <v>0</v>
      </c>
      <c r="I13" s="10">
        <f>현금흐름취합!G13</f>
        <v>0</v>
      </c>
      <c r="J13" s="39" t="e">
        <f t="shared" si="2"/>
        <v>#DIV/0!</v>
      </c>
      <c r="K13" s="11">
        <f>현금흐름취합!H13</f>
        <v>0</v>
      </c>
      <c r="L13" s="40" t="e">
        <f>VLOOKUP(A13,'Sheet A'!$E$11:$K$60,7,0)=K13</f>
        <v>#N/A</v>
      </c>
      <c r="M13" s="12">
        <f>현금흐름취합!I13</f>
        <v>0</v>
      </c>
      <c r="N13" s="40" t="str">
        <f t="shared" si="3"/>
        <v>검토요</v>
      </c>
      <c r="O13" s="13">
        <f>현금흐름취합!J13</f>
        <v>0</v>
      </c>
      <c r="P13" s="14">
        <f>현금흐름취합!K13</f>
        <v>0</v>
      </c>
      <c r="Q13" s="18">
        <f>현금흐름취합!L13</f>
        <v>0</v>
      </c>
      <c r="R13" s="15">
        <f>현금흐름취합!M13</f>
        <v>0</v>
      </c>
      <c r="S13" s="40" t="e">
        <f t="shared" si="4"/>
        <v>#NUM!</v>
      </c>
      <c r="T13" s="16">
        <f>현금흐름취합!N13</f>
        <v>0</v>
      </c>
      <c r="U13" s="40" t="b">
        <f t="shared" si="0"/>
        <v>1</v>
      </c>
      <c r="V13" s="46">
        <f>SUMIF(일반여신!$E$10:$E$35,검증!A13,일반여신!$O$10:$O$35)*0.985-SUMIF(가지급금!$E$10:$E$180,A13,가지급금!$K$10:$K$180)+SUMIF(가지급금!$E$10:$E$180,검증!A13,가지급금!$O$10:$O$180)*0.985</f>
        <v>0</v>
      </c>
      <c r="W13" s="47">
        <f t="shared" si="5"/>
        <v>0</v>
      </c>
      <c r="X13" s="48"/>
      <c r="Y13" s="49">
        <f>SUMIF('Sheet D'!$E$11:$E$60,A13,'Sheet D'!$P$11:$P$60)</f>
        <v>0</v>
      </c>
      <c r="Z13" s="48">
        <f>SUMIFS(일반여신!$M$10:$M$35,일반여신!$E$10:$E$35,A13,일반여신!$P$10:$P$35,"신옹보증서대위변제")</f>
        <v>0</v>
      </c>
      <c r="AA13" s="48">
        <f t="shared" si="6"/>
        <v>0</v>
      </c>
      <c r="AB13" s="50"/>
      <c r="AC13" s="19">
        <f>현금흐름취합!O13</f>
        <v>0</v>
      </c>
      <c r="AD13" s="19">
        <f>현금흐름취합!P13</f>
        <v>0</v>
      </c>
      <c r="AE13" s="19">
        <f>현금흐름취합!Q13</f>
        <v>0</v>
      </c>
      <c r="AF13" s="19">
        <f>현금흐름취합!R13</f>
        <v>0</v>
      </c>
      <c r="AG13" s="19">
        <f>현금흐름취합!S13</f>
        <v>0</v>
      </c>
      <c r="AH13" s="19">
        <f>현금흐름취합!T13</f>
        <v>0</v>
      </c>
      <c r="AI13" s="19">
        <f>현금흐름취합!U13</f>
        <v>0</v>
      </c>
      <c r="AJ13" s="19">
        <f>현금흐름취합!V13</f>
        <v>0</v>
      </c>
      <c r="AK13" s="19">
        <f>현금흐름취합!W13</f>
        <v>0</v>
      </c>
      <c r="AL13" s="19">
        <f>현금흐름취합!X13</f>
        <v>0</v>
      </c>
      <c r="AM13" s="19">
        <f>현금흐름취합!Y13</f>
        <v>0</v>
      </c>
      <c r="AN13" s="19">
        <f>현금흐름취합!Z13</f>
        <v>0</v>
      </c>
      <c r="AO13" s="19">
        <f>현금흐름취합!AA13</f>
        <v>0</v>
      </c>
      <c r="AP13" s="19">
        <f>현금흐름취합!AB13</f>
        <v>0</v>
      </c>
      <c r="AQ13" s="19">
        <f>현금흐름취합!AC13</f>
        <v>0</v>
      </c>
      <c r="AR13" s="19">
        <f>현금흐름취합!AD13</f>
        <v>0</v>
      </c>
      <c r="AS13" s="19">
        <f>현금흐름취합!AE13</f>
        <v>0</v>
      </c>
      <c r="AT13" s="19">
        <f>현금흐름취합!AF13</f>
        <v>0</v>
      </c>
      <c r="AU13" s="19">
        <f>현금흐름취합!AG13</f>
        <v>0</v>
      </c>
      <c r="AV13" s="19">
        <f>현금흐름취합!AH13</f>
        <v>0</v>
      </c>
      <c r="AW13" s="19">
        <f>현금흐름취합!AI13</f>
        <v>0</v>
      </c>
      <c r="AX13" s="19">
        <f>현금흐름취합!AJ13</f>
        <v>0</v>
      </c>
      <c r="AY13" s="19">
        <f>현금흐름취합!AK13</f>
        <v>0</v>
      </c>
      <c r="AZ13" s="19">
        <f>현금흐름취합!AL13</f>
        <v>0</v>
      </c>
      <c r="BA13" s="19">
        <f>현금흐름취합!AM13</f>
        <v>0</v>
      </c>
      <c r="BB13" s="19">
        <f>현금흐름취합!AN13</f>
        <v>0</v>
      </c>
      <c r="BC13" s="19">
        <f>현금흐름취합!AO13</f>
        <v>0</v>
      </c>
      <c r="BD13" s="19">
        <f>현금흐름취합!AP13</f>
        <v>0</v>
      </c>
      <c r="BE13" s="19">
        <f>현금흐름취합!AQ13</f>
        <v>0</v>
      </c>
      <c r="BF13" s="19">
        <f>현금흐름취합!AR13</f>
        <v>0</v>
      </c>
      <c r="BG13" s="19">
        <f>현금흐름취합!AS13</f>
        <v>0</v>
      </c>
      <c r="BH13" s="19">
        <f>현금흐름취합!AT13</f>
        <v>0</v>
      </c>
      <c r="BI13" s="19">
        <f>현금흐름취합!AU13</f>
        <v>0</v>
      </c>
      <c r="BJ13" s="19">
        <f>현금흐름취합!AV13</f>
        <v>0</v>
      </c>
      <c r="BK13" s="19">
        <f>현금흐름취합!AW13</f>
        <v>0</v>
      </c>
      <c r="BL13" s="19">
        <f>현금흐름취합!AX13</f>
        <v>0</v>
      </c>
      <c r="BM13" s="19">
        <f>현금흐름취합!AY13</f>
        <v>0</v>
      </c>
      <c r="BN13" s="19">
        <f>현금흐름취합!AZ13</f>
        <v>0</v>
      </c>
      <c r="BO13" s="19">
        <f>현금흐름취합!BA13</f>
        <v>0</v>
      </c>
      <c r="BP13" s="19">
        <f>현금흐름취합!BB13</f>
        <v>0</v>
      </c>
      <c r="BQ13" s="19">
        <f>현금흐름취합!BC13</f>
        <v>0</v>
      </c>
      <c r="BR13" s="19">
        <f>현금흐름취합!BD13</f>
        <v>0</v>
      </c>
      <c r="BS13" s="19">
        <f>현금흐름취합!BE13</f>
        <v>0</v>
      </c>
      <c r="BT13" s="19">
        <f>현금흐름취합!BF13</f>
        <v>0</v>
      </c>
      <c r="BU13" s="19">
        <f>현금흐름취합!BG13</f>
        <v>0</v>
      </c>
      <c r="BV13" s="19">
        <f>현금흐름취합!BH13</f>
        <v>0</v>
      </c>
      <c r="BW13" s="19">
        <f>현금흐름취합!BI13</f>
        <v>0</v>
      </c>
      <c r="BX13" s="19">
        <f>현금흐름취합!BJ13</f>
        <v>0</v>
      </c>
      <c r="BY13" s="19">
        <f>현금흐름취합!BK13</f>
        <v>0</v>
      </c>
      <c r="BZ13" s="19">
        <f>현금흐름취합!BL13</f>
        <v>0</v>
      </c>
      <c r="CA13" s="19">
        <f>현금흐름취합!BM13</f>
        <v>0</v>
      </c>
      <c r="CB13" s="19">
        <f>현금흐름취합!BN13</f>
        <v>0</v>
      </c>
      <c r="CC13" s="19">
        <f>현금흐름취합!BO13</f>
        <v>0</v>
      </c>
      <c r="CD13" s="19">
        <f>현금흐름취합!BP13</f>
        <v>0</v>
      </c>
      <c r="CE13" s="19">
        <f>현금흐름취합!BQ13</f>
        <v>0</v>
      </c>
      <c r="CF13" s="19">
        <f>현금흐름취합!BR13</f>
        <v>0</v>
      </c>
      <c r="CG13" s="19">
        <f>현금흐름취합!BS13</f>
        <v>0</v>
      </c>
      <c r="CH13" s="19">
        <f>현금흐름취합!BT13</f>
        <v>0</v>
      </c>
      <c r="CI13" s="19">
        <f>현금흐름취합!BU13</f>
        <v>0</v>
      </c>
      <c r="CJ13" s="19">
        <f>현금흐름취합!BV13</f>
        <v>0</v>
      </c>
      <c r="CK13" s="19">
        <f>현금흐름취합!BW13</f>
        <v>0</v>
      </c>
      <c r="CL13" s="19">
        <f>현금흐름취합!BX13</f>
        <v>0</v>
      </c>
      <c r="CM13" s="19">
        <f>현금흐름취합!BY13</f>
        <v>0</v>
      </c>
      <c r="CN13" s="19">
        <f>현금흐름취합!BZ13</f>
        <v>0</v>
      </c>
      <c r="CO13" s="19">
        <f>현금흐름취합!CA13</f>
        <v>0</v>
      </c>
      <c r="CP13" s="19">
        <f>현금흐름취합!CB13</f>
        <v>0</v>
      </c>
      <c r="CQ13" s="19">
        <f>현금흐름취합!CC13</f>
        <v>0</v>
      </c>
      <c r="CR13" s="19">
        <f>현금흐름취합!CD13</f>
        <v>0</v>
      </c>
      <c r="CS13" s="19">
        <f>현금흐름취합!CE13</f>
        <v>0</v>
      </c>
      <c r="CT13" s="19">
        <f>현금흐름취합!CF13</f>
        <v>0</v>
      </c>
      <c r="CU13" s="19">
        <f>현금흐름취합!CG13</f>
        <v>0</v>
      </c>
      <c r="CV13" s="19">
        <f>현금흐름취합!CH13</f>
        <v>0</v>
      </c>
      <c r="CW13" s="19">
        <f>현금흐름취합!CI13</f>
        <v>0</v>
      </c>
      <c r="CX13" s="19">
        <f>현금흐름취합!CJ13</f>
        <v>0</v>
      </c>
      <c r="CY13" s="19">
        <f>현금흐름취합!CK13</f>
        <v>0</v>
      </c>
      <c r="CZ13" s="19">
        <f>현금흐름취합!CL13</f>
        <v>0</v>
      </c>
      <c r="DA13" s="19">
        <f>현금흐름취합!CM13</f>
        <v>0</v>
      </c>
      <c r="DB13" s="19">
        <f>현금흐름취합!CN13</f>
        <v>0</v>
      </c>
      <c r="DC13" s="19">
        <f>현금흐름취합!CO13</f>
        <v>0</v>
      </c>
      <c r="DD13" s="19">
        <f>현금흐름취합!CP13</f>
        <v>0</v>
      </c>
      <c r="DE13" s="19">
        <f>현금흐름취합!CQ13</f>
        <v>0</v>
      </c>
      <c r="DF13" s="19">
        <f>현금흐름취합!CR13</f>
        <v>0</v>
      </c>
      <c r="DG13" s="19">
        <f>현금흐름취합!CS13</f>
        <v>0</v>
      </c>
      <c r="DH13" s="19">
        <f>현금흐름취합!CT13</f>
        <v>0</v>
      </c>
      <c r="DI13" s="19">
        <f>현금흐름취합!CU13</f>
        <v>0</v>
      </c>
      <c r="DJ13" s="19">
        <f>현금흐름취합!CV13</f>
        <v>0</v>
      </c>
      <c r="DK13" s="19">
        <f>현금흐름취합!CW13</f>
        <v>0</v>
      </c>
      <c r="DL13" s="19">
        <f>현금흐름취합!CX13</f>
        <v>0</v>
      </c>
      <c r="DM13" s="19">
        <f>현금흐름취합!CY13</f>
        <v>0</v>
      </c>
      <c r="DN13" s="19">
        <f>현금흐름취합!CZ13</f>
        <v>0</v>
      </c>
      <c r="DO13" s="19">
        <f>현금흐름취합!DA13</f>
        <v>0</v>
      </c>
      <c r="DP13" s="19">
        <f>현금흐름취합!DB13</f>
        <v>0</v>
      </c>
      <c r="DQ13" s="19">
        <f>현금흐름취합!DC13</f>
        <v>0</v>
      </c>
      <c r="DR13" s="19">
        <f>현금흐름취합!DD13</f>
        <v>0</v>
      </c>
      <c r="DS13" s="19">
        <f>현금흐름취합!DE13</f>
        <v>0</v>
      </c>
      <c r="DT13" s="19">
        <f>현금흐름취합!DF13</f>
        <v>0</v>
      </c>
      <c r="DU13" s="19">
        <f>현금흐름취합!DG13</f>
        <v>0</v>
      </c>
      <c r="DV13" s="19">
        <f>현금흐름취합!DH13</f>
        <v>0</v>
      </c>
      <c r="DW13" s="19">
        <f>현금흐름취합!DI13</f>
        <v>0</v>
      </c>
      <c r="DX13" s="19">
        <f>현금흐름취합!DJ13</f>
        <v>0</v>
      </c>
      <c r="DY13" s="19">
        <f>현금흐름취합!DK13</f>
        <v>0</v>
      </c>
      <c r="DZ13" s="19">
        <f>현금흐름취합!DL13</f>
        <v>0</v>
      </c>
      <c r="EA13" s="19">
        <f>현금흐름취합!DM13</f>
        <v>0</v>
      </c>
      <c r="EB13" s="19">
        <f>현금흐름취합!DN13</f>
        <v>0</v>
      </c>
      <c r="EC13" s="19">
        <f>현금흐름취합!DO13</f>
        <v>0</v>
      </c>
      <c r="ED13" s="19">
        <f>현금흐름취합!DP13</f>
        <v>0</v>
      </c>
      <c r="EE13" s="19">
        <f>현금흐름취합!DQ13</f>
        <v>0</v>
      </c>
      <c r="EF13" s="19">
        <f>현금흐름취합!DR13</f>
        <v>0</v>
      </c>
      <c r="EG13" s="19">
        <f>현금흐름취합!DS13</f>
        <v>0</v>
      </c>
      <c r="EH13" s="19">
        <f>현금흐름취합!DT13</f>
        <v>0</v>
      </c>
      <c r="EI13" s="19">
        <f>현금흐름취합!DU13</f>
        <v>0</v>
      </c>
      <c r="EJ13" s="19">
        <f>현금흐름취합!DV13</f>
        <v>0</v>
      </c>
      <c r="EK13" s="19">
        <f>현금흐름취합!DW13</f>
        <v>0</v>
      </c>
      <c r="EL13" s="19">
        <f>현금흐름취합!DX13</f>
        <v>0</v>
      </c>
      <c r="EM13" s="19">
        <f>현금흐름취합!DY13</f>
        <v>0</v>
      </c>
      <c r="EN13" s="19">
        <f>현금흐름취합!DZ13</f>
        <v>0</v>
      </c>
      <c r="EO13" s="19">
        <f>현금흐름취합!EA13</f>
        <v>0</v>
      </c>
      <c r="EP13" s="19">
        <f>현금흐름취합!EB13</f>
        <v>0</v>
      </c>
      <c r="EQ13" s="19">
        <f>현금흐름취합!EC13</f>
        <v>0</v>
      </c>
      <c r="ER13" s="19">
        <f>현금흐름취합!ED13</f>
        <v>0</v>
      </c>
      <c r="ES13" s="19">
        <f>현금흐름취합!EE13</f>
        <v>0</v>
      </c>
    </row>
    <row r="14" spans="1:149" hidden="1">
      <c r="A14" s="7">
        <f>현금흐름취합!A14</f>
        <v>0</v>
      </c>
      <c r="B14" s="7">
        <f>현금흐름취합!B14</f>
        <v>0</v>
      </c>
      <c r="C14" s="7">
        <f>현금흐름취합!C14</f>
        <v>0</v>
      </c>
      <c r="D14" s="8">
        <f>현금흐름취합!D14</f>
        <v>0</v>
      </c>
      <c r="E14" s="37"/>
      <c r="F14" s="8">
        <f>현금흐름취합!E14</f>
        <v>0</v>
      </c>
      <c r="G14" s="37" t="str">
        <f t="shared" si="1"/>
        <v>pool 고치세요</v>
      </c>
      <c r="H14" s="9">
        <f>현금흐름취합!F14</f>
        <v>0</v>
      </c>
      <c r="I14" s="10">
        <f>현금흐름취합!G14</f>
        <v>0</v>
      </c>
      <c r="J14" s="39" t="e">
        <f t="shared" si="2"/>
        <v>#DIV/0!</v>
      </c>
      <c r="K14" s="11">
        <f>현금흐름취합!H14</f>
        <v>0</v>
      </c>
      <c r="L14" s="40" t="e">
        <f>VLOOKUP(A14,'Sheet A'!$E$11:$K$60,7,0)=K14</f>
        <v>#N/A</v>
      </c>
      <c r="M14" s="12">
        <f>현금흐름취합!I14</f>
        <v>0</v>
      </c>
      <c r="N14" s="40" t="str">
        <f t="shared" si="3"/>
        <v>검토요</v>
      </c>
      <c r="O14" s="13">
        <f>현금흐름취합!J14</f>
        <v>0</v>
      </c>
      <c r="P14" s="14">
        <f>현금흐름취합!K14</f>
        <v>0</v>
      </c>
      <c r="Q14" s="18">
        <f>현금흐름취합!L14</f>
        <v>0</v>
      </c>
      <c r="R14" s="15">
        <f>현금흐름취합!M14</f>
        <v>0</v>
      </c>
      <c r="S14" s="40" t="e">
        <f t="shared" si="4"/>
        <v>#NUM!</v>
      </c>
      <c r="T14" s="16">
        <f>현금흐름취합!N14</f>
        <v>0</v>
      </c>
      <c r="U14" s="40" t="b">
        <f t="shared" si="0"/>
        <v>1</v>
      </c>
      <c r="V14" s="46">
        <f>SUMIF(일반여신!$E$10:$E$35,검증!A14,일반여신!$O$10:$O$35)*0.985-SUMIF(가지급금!$E$10:$E$180,A14,가지급금!$K$10:$K$180)+SUMIF(가지급금!$E$10:$E$180,검증!A14,가지급금!$O$10:$O$180)*0.985</f>
        <v>0</v>
      </c>
      <c r="W14" s="47">
        <f t="shared" si="5"/>
        <v>0</v>
      </c>
      <c r="X14" s="48"/>
      <c r="Y14" s="49">
        <f>SUMIF('Sheet D'!$E$11:$E$60,A14,'Sheet D'!$P$11:$P$60)</f>
        <v>0</v>
      </c>
      <c r="Z14" s="48">
        <f>SUMIFS(일반여신!$M$10:$M$35,일반여신!$E$10:$E$35,A14,일반여신!$P$10:$P$35,"신옹보증서대위변제")</f>
        <v>0</v>
      </c>
      <c r="AA14" s="48">
        <f t="shared" si="6"/>
        <v>0</v>
      </c>
      <c r="AB14" s="50"/>
      <c r="AC14" s="19">
        <f>현금흐름취합!O14</f>
        <v>0</v>
      </c>
      <c r="AD14" s="19">
        <f>현금흐름취합!P14</f>
        <v>0</v>
      </c>
      <c r="AE14" s="19">
        <f>현금흐름취합!Q14</f>
        <v>0</v>
      </c>
      <c r="AF14" s="19">
        <f>현금흐름취합!R14</f>
        <v>0</v>
      </c>
      <c r="AG14" s="19">
        <f>현금흐름취합!S14</f>
        <v>0</v>
      </c>
      <c r="AH14" s="19">
        <f>현금흐름취합!T14</f>
        <v>0</v>
      </c>
      <c r="AI14" s="19">
        <f>현금흐름취합!U14</f>
        <v>0</v>
      </c>
      <c r="AJ14" s="19">
        <f>현금흐름취합!V14</f>
        <v>0</v>
      </c>
      <c r="AK14" s="19">
        <f>현금흐름취합!W14</f>
        <v>0</v>
      </c>
      <c r="AL14" s="19">
        <f>현금흐름취합!X14</f>
        <v>0</v>
      </c>
      <c r="AM14" s="19">
        <f>현금흐름취합!Y14</f>
        <v>0</v>
      </c>
      <c r="AN14" s="19">
        <f>현금흐름취합!Z14</f>
        <v>0</v>
      </c>
      <c r="AO14" s="19">
        <f>현금흐름취합!AA14</f>
        <v>0</v>
      </c>
      <c r="AP14" s="19">
        <f>현금흐름취합!AB14</f>
        <v>0</v>
      </c>
      <c r="AQ14" s="19">
        <f>현금흐름취합!AC14</f>
        <v>0</v>
      </c>
      <c r="AR14" s="19">
        <f>현금흐름취합!AD14</f>
        <v>0</v>
      </c>
      <c r="AS14" s="19">
        <f>현금흐름취합!AE14</f>
        <v>0</v>
      </c>
      <c r="AT14" s="19">
        <f>현금흐름취합!AF14</f>
        <v>0</v>
      </c>
      <c r="AU14" s="19">
        <f>현금흐름취합!AG14</f>
        <v>0</v>
      </c>
      <c r="AV14" s="19">
        <f>현금흐름취합!AH14</f>
        <v>0</v>
      </c>
      <c r="AW14" s="19">
        <f>현금흐름취합!AI14</f>
        <v>0</v>
      </c>
      <c r="AX14" s="19">
        <f>현금흐름취합!AJ14</f>
        <v>0</v>
      </c>
      <c r="AY14" s="19">
        <f>현금흐름취합!AK14</f>
        <v>0</v>
      </c>
      <c r="AZ14" s="19">
        <f>현금흐름취합!AL14</f>
        <v>0</v>
      </c>
      <c r="BA14" s="19">
        <f>현금흐름취합!AM14</f>
        <v>0</v>
      </c>
      <c r="BB14" s="19">
        <f>현금흐름취합!AN14</f>
        <v>0</v>
      </c>
      <c r="BC14" s="19">
        <f>현금흐름취합!AO14</f>
        <v>0</v>
      </c>
      <c r="BD14" s="19">
        <f>현금흐름취합!AP14</f>
        <v>0</v>
      </c>
      <c r="BE14" s="19">
        <f>현금흐름취합!AQ14</f>
        <v>0</v>
      </c>
      <c r="BF14" s="19">
        <f>현금흐름취합!AR14</f>
        <v>0</v>
      </c>
      <c r="BG14" s="19">
        <f>현금흐름취합!AS14</f>
        <v>0</v>
      </c>
      <c r="BH14" s="19">
        <f>현금흐름취합!AT14</f>
        <v>0</v>
      </c>
      <c r="BI14" s="19">
        <f>현금흐름취합!AU14</f>
        <v>0</v>
      </c>
      <c r="BJ14" s="19">
        <f>현금흐름취합!AV14</f>
        <v>0</v>
      </c>
      <c r="BK14" s="19">
        <f>현금흐름취합!AW14</f>
        <v>0</v>
      </c>
      <c r="BL14" s="19">
        <f>현금흐름취합!AX14</f>
        <v>0</v>
      </c>
      <c r="BM14" s="19">
        <f>현금흐름취합!AY14</f>
        <v>0</v>
      </c>
      <c r="BN14" s="19">
        <f>현금흐름취합!AZ14</f>
        <v>0</v>
      </c>
      <c r="BO14" s="19">
        <f>현금흐름취합!BA14</f>
        <v>0</v>
      </c>
      <c r="BP14" s="19">
        <f>현금흐름취합!BB14</f>
        <v>0</v>
      </c>
      <c r="BQ14" s="19">
        <f>현금흐름취합!BC14</f>
        <v>0</v>
      </c>
      <c r="BR14" s="19">
        <f>현금흐름취합!BD14</f>
        <v>0</v>
      </c>
      <c r="BS14" s="19">
        <f>현금흐름취합!BE14</f>
        <v>0</v>
      </c>
      <c r="BT14" s="19">
        <f>현금흐름취합!BF14</f>
        <v>0</v>
      </c>
      <c r="BU14" s="19">
        <f>현금흐름취합!BG14</f>
        <v>0</v>
      </c>
      <c r="BV14" s="19">
        <f>현금흐름취합!BH14</f>
        <v>0</v>
      </c>
      <c r="BW14" s="19">
        <f>현금흐름취합!BI14</f>
        <v>0</v>
      </c>
      <c r="BX14" s="19">
        <f>현금흐름취합!BJ14</f>
        <v>0</v>
      </c>
      <c r="BY14" s="19">
        <f>현금흐름취합!BK14</f>
        <v>0</v>
      </c>
      <c r="BZ14" s="19">
        <f>현금흐름취합!BL14</f>
        <v>0</v>
      </c>
      <c r="CA14" s="19">
        <f>현금흐름취합!BM14</f>
        <v>0</v>
      </c>
      <c r="CB14" s="19">
        <f>현금흐름취합!BN14</f>
        <v>0</v>
      </c>
      <c r="CC14" s="19">
        <f>현금흐름취합!BO14</f>
        <v>0</v>
      </c>
      <c r="CD14" s="19">
        <f>현금흐름취합!BP14</f>
        <v>0</v>
      </c>
      <c r="CE14" s="19">
        <f>현금흐름취합!BQ14</f>
        <v>0</v>
      </c>
      <c r="CF14" s="19">
        <f>현금흐름취합!BR14</f>
        <v>0</v>
      </c>
      <c r="CG14" s="19">
        <f>현금흐름취합!BS14</f>
        <v>0</v>
      </c>
      <c r="CH14" s="19">
        <f>현금흐름취합!BT14</f>
        <v>0</v>
      </c>
      <c r="CI14" s="19">
        <f>현금흐름취합!BU14</f>
        <v>0</v>
      </c>
      <c r="CJ14" s="19">
        <f>현금흐름취합!BV14</f>
        <v>0</v>
      </c>
      <c r="CK14" s="19">
        <f>현금흐름취합!BW14</f>
        <v>0</v>
      </c>
      <c r="CL14" s="19">
        <f>현금흐름취합!BX14</f>
        <v>0</v>
      </c>
      <c r="CM14" s="19">
        <f>현금흐름취합!BY14</f>
        <v>0</v>
      </c>
      <c r="CN14" s="19">
        <f>현금흐름취합!BZ14</f>
        <v>0</v>
      </c>
      <c r="CO14" s="19">
        <f>현금흐름취합!CA14</f>
        <v>0</v>
      </c>
      <c r="CP14" s="19">
        <f>현금흐름취합!CB14</f>
        <v>0</v>
      </c>
      <c r="CQ14" s="19">
        <f>현금흐름취합!CC14</f>
        <v>0</v>
      </c>
      <c r="CR14" s="19">
        <f>현금흐름취합!CD14</f>
        <v>0</v>
      </c>
      <c r="CS14" s="19">
        <f>현금흐름취합!CE14</f>
        <v>0</v>
      </c>
      <c r="CT14" s="19">
        <f>현금흐름취합!CF14</f>
        <v>0</v>
      </c>
      <c r="CU14" s="19">
        <f>현금흐름취합!CG14</f>
        <v>0</v>
      </c>
      <c r="CV14" s="19">
        <f>현금흐름취합!CH14</f>
        <v>0</v>
      </c>
      <c r="CW14" s="19">
        <f>현금흐름취합!CI14</f>
        <v>0</v>
      </c>
      <c r="CX14" s="19">
        <f>현금흐름취합!CJ14</f>
        <v>0</v>
      </c>
      <c r="CY14" s="19">
        <f>현금흐름취합!CK14</f>
        <v>0</v>
      </c>
      <c r="CZ14" s="19">
        <f>현금흐름취합!CL14</f>
        <v>0</v>
      </c>
      <c r="DA14" s="19">
        <f>현금흐름취합!CM14</f>
        <v>0</v>
      </c>
      <c r="DB14" s="19">
        <f>현금흐름취합!CN14</f>
        <v>0</v>
      </c>
      <c r="DC14" s="19">
        <f>현금흐름취합!CO14</f>
        <v>0</v>
      </c>
      <c r="DD14" s="19">
        <f>현금흐름취합!CP14</f>
        <v>0</v>
      </c>
      <c r="DE14" s="19">
        <f>현금흐름취합!CQ14</f>
        <v>0</v>
      </c>
      <c r="DF14" s="19">
        <f>현금흐름취합!CR14</f>
        <v>0</v>
      </c>
      <c r="DG14" s="19">
        <f>현금흐름취합!CS14</f>
        <v>0</v>
      </c>
      <c r="DH14" s="19">
        <f>현금흐름취합!CT14</f>
        <v>0</v>
      </c>
      <c r="DI14" s="19">
        <f>현금흐름취합!CU14</f>
        <v>0</v>
      </c>
      <c r="DJ14" s="19">
        <f>현금흐름취합!CV14</f>
        <v>0</v>
      </c>
      <c r="DK14" s="19">
        <f>현금흐름취합!CW14</f>
        <v>0</v>
      </c>
      <c r="DL14" s="19">
        <f>현금흐름취합!CX14</f>
        <v>0</v>
      </c>
      <c r="DM14" s="19">
        <f>현금흐름취합!CY14</f>
        <v>0</v>
      </c>
      <c r="DN14" s="19">
        <f>현금흐름취합!CZ14</f>
        <v>0</v>
      </c>
      <c r="DO14" s="19">
        <f>현금흐름취합!DA14</f>
        <v>0</v>
      </c>
      <c r="DP14" s="19">
        <f>현금흐름취합!DB14</f>
        <v>0</v>
      </c>
      <c r="DQ14" s="19">
        <f>현금흐름취합!DC14</f>
        <v>0</v>
      </c>
      <c r="DR14" s="19">
        <f>현금흐름취합!DD14</f>
        <v>0</v>
      </c>
      <c r="DS14" s="19">
        <f>현금흐름취합!DE14</f>
        <v>0</v>
      </c>
      <c r="DT14" s="19">
        <f>현금흐름취합!DF14</f>
        <v>0</v>
      </c>
      <c r="DU14" s="19">
        <f>현금흐름취합!DG14</f>
        <v>0</v>
      </c>
      <c r="DV14" s="19">
        <f>현금흐름취합!DH14</f>
        <v>0</v>
      </c>
      <c r="DW14" s="19">
        <f>현금흐름취합!DI14</f>
        <v>0</v>
      </c>
      <c r="DX14" s="19">
        <f>현금흐름취합!DJ14</f>
        <v>0</v>
      </c>
      <c r="DY14" s="19">
        <f>현금흐름취합!DK14</f>
        <v>0</v>
      </c>
      <c r="DZ14" s="19">
        <f>현금흐름취합!DL14</f>
        <v>0</v>
      </c>
      <c r="EA14" s="19">
        <f>현금흐름취합!DM14</f>
        <v>0</v>
      </c>
      <c r="EB14" s="19">
        <f>현금흐름취합!DN14</f>
        <v>0</v>
      </c>
      <c r="EC14" s="19">
        <f>현금흐름취합!DO14</f>
        <v>0</v>
      </c>
      <c r="ED14" s="19">
        <f>현금흐름취합!DP14</f>
        <v>0</v>
      </c>
      <c r="EE14" s="19">
        <f>현금흐름취합!DQ14</f>
        <v>0</v>
      </c>
      <c r="EF14" s="19">
        <f>현금흐름취합!DR14</f>
        <v>0</v>
      </c>
      <c r="EG14" s="19">
        <f>현금흐름취합!DS14</f>
        <v>0</v>
      </c>
      <c r="EH14" s="19">
        <f>현금흐름취합!DT14</f>
        <v>0</v>
      </c>
      <c r="EI14" s="19">
        <f>현금흐름취합!DU14</f>
        <v>0</v>
      </c>
      <c r="EJ14" s="19">
        <f>현금흐름취합!DV14</f>
        <v>0</v>
      </c>
      <c r="EK14" s="19">
        <f>현금흐름취합!DW14</f>
        <v>0</v>
      </c>
      <c r="EL14" s="19">
        <f>현금흐름취합!DX14</f>
        <v>0</v>
      </c>
      <c r="EM14" s="19">
        <f>현금흐름취합!DY14</f>
        <v>0</v>
      </c>
      <c r="EN14" s="19">
        <f>현금흐름취합!DZ14</f>
        <v>0</v>
      </c>
      <c r="EO14" s="19">
        <f>현금흐름취합!EA14</f>
        <v>0</v>
      </c>
      <c r="EP14" s="19">
        <f>현금흐름취합!EB14</f>
        <v>0</v>
      </c>
      <c r="EQ14" s="19">
        <f>현금흐름취합!EC14</f>
        <v>0</v>
      </c>
      <c r="ER14" s="19">
        <f>현금흐름취합!ED14</f>
        <v>0</v>
      </c>
      <c r="ES14" s="19">
        <f>현금흐름취합!EE14</f>
        <v>0</v>
      </c>
    </row>
    <row r="15" spans="1:149" hidden="1">
      <c r="A15" s="7">
        <f>현금흐름취합!A15</f>
        <v>0</v>
      </c>
      <c r="B15" s="7">
        <f>현금흐름취합!B15</f>
        <v>0</v>
      </c>
      <c r="C15" s="7">
        <f>현금흐름취합!C15</f>
        <v>0</v>
      </c>
      <c r="D15" s="8">
        <f>현금흐름취합!D15</f>
        <v>0</v>
      </c>
      <c r="E15" s="37" t="str">
        <f t="shared" ref="E15" si="10">IF(R14&gt;R15,"역전현상","이상없음")</f>
        <v>이상없음</v>
      </c>
      <c r="F15" s="8">
        <f>현금흐름취합!E15</f>
        <v>0</v>
      </c>
      <c r="G15" s="37" t="str">
        <f t="shared" si="1"/>
        <v>pool 고치세요</v>
      </c>
      <c r="H15" s="9">
        <f>현금흐름취합!F15</f>
        <v>0</v>
      </c>
      <c r="I15" s="10">
        <f>현금흐름취합!G15</f>
        <v>0</v>
      </c>
      <c r="J15" s="39" t="e">
        <f t="shared" si="2"/>
        <v>#DIV/0!</v>
      </c>
      <c r="K15" s="11">
        <f>현금흐름취합!H15</f>
        <v>0</v>
      </c>
      <c r="L15" s="40" t="e">
        <f>VLOOKUP(A15,'Sheet A'!$E$11:$K$60,7,0)=K15</f>
        <v>#N/A</v>
      </c>
      <c r="M15" s="12">
        <f>현금흐름취합!I15</f>
        <v>0</v>
      </c>
      <c r="N15" s="40" t="str">
        <f t="shared" si="3"/>
        <v>검토요</v>
      </c>
      <c r="O15" s="13">
        <f>현금흐름취합!J15</f>
        <v>0</v>
      </c>
      <c r="P15" s="14">
        <f>현금흐름취합!K15</f>
        <v>0</v>
      </c>
      <c r="Q15" s="18">
        <f>현금흐름취합!L15</f>
        <v>0</v>
      </c>
      <c r="R15" s="15">
        <f>현금흐름취합!M15</f>
        <v>0</v>
      </c>
      <c r="S15" s="40" t="e">
        <f t="shared" si="4"/>
        <v>#NUM!</v>
      </c>
      <c r="T15" s="16">
        <f>현금흐름취합!N15</f>
        <v>0</v>
      </c>
      <c r="U15" s="40" t="b">
        <f t="shared" si="0"/>
        <v>1</v>
      </c>
      <c r="V15" s="46">
        <f>SUMIF(일반여신!$E$10:$E$35,검증!A15,일반여신!$O$10:$O$35)*0.985-SUMIF(가지급금!$E$10:$E$180,A15,가지급금!$K$10:$K$180)+SUMIF(가지급금!$E$10:$E$180,검증!A15,가지급금!$O$10:$O$180)*0.985</f>
        <v>0</v>
      </c>
      <c r="W15" s="47">
        <f t="shared" si="5"/>
        <v>0</v>
      </c>
      <c r="X15" s="48"/>
      <c r="Y15" s="49">
        <f>SUMIF('Sheet D'!$E$11:$E$60,A15,'Sheet D'!$P$11:$P$60)</f>
        <v>0</v>
      </c>
      <c r="Z15" s="48">
        <f>SUMIFS(일반여신!$M$10:$M$35,일반여신!$E$10:$E$35,A15,일반여신!$P$10:$P$35,"신옹보증서대위변제")</f>
        <v>0</v>
      </c>
      <c r="AA15" s="48">
        <f t="shared" si="6"/>
        <v>0</v>
      </c>
      <c r="AB15" s="50"/>
      <c r="AC15" s="19">
        <f>현금흐름취합!O15</f>
        <v>0</v>
      </c>
      <c r="AD15" s="19">
        <f>현금흐름취합!P15</f>
        <v>0</v>
      </c>
      <c r="AE15" s="19">
        <f>현금흐름취합!Q15</f>
        <v>0</v>
      </c>
      <c r="AF15" s="19">
        <f>현금흐름취합!R15</f>
        <v>0</v>
      </c>
      <c r="AG15" s="19">
        <f>현금흐름취합!S15</f>
        <v>0</v>
      </c>
      <c r="AH15" s="19">
        <f>현금흐름취합!T15</f>
        <v>0</v>
      </c>
      <c r="AI15" s="19">
        <f>현금흐름취합!U15</f>
        <v>0</v>
      </c>
      <c r="AJ15" s="19">
        <f>현금흐름취합!V15</f>
        <v>0</v>
      </c>
      <c r="AK15" s="19">
        <f>현금흐름취합!W15</f>
        <v>0</v>
      </c>
      <c r="AL15" s="19">
        <f>현금흐름취합!X15</f>
        <v>0</v>
      </c>
      <c r="AM15" s="19">
        <f>현금흐름취합!Y15</f>
        <v>0</v>
      </c>
      <c r="AN15" s="19">
        <f>현금흐름취합!Z15</f>
        <v>0</v>
      </c>
      <c r="AO15" s="19">
        <f>현금흐름취합!AA15</f>
        <v>0</v>
      </c>
      <c r="AP15" s="19">
        <f>현금흐름취합!AB15</f>
        <v>0</v>
      </c>
      <c r="AQ15" s="19">
        <f>현금흐름취합!AC15</f>
        <v>0</v>
      </c>
      <c r="AR15" s="19">
        <f>현금흐름취합!AD15</f>
        <v>0</v>
      </c>
      <c r="AS15" s="19">
        <f>현금흐름취합!AE15</f>
        <v>0</v>
      </c>
      <c r="AT15" s="19">
        <f>현금흐름취합!AF15</f>
        <v>0</v>
      </c>
      <c r="AU15" s="19">
        <f>현금흐름취합!AG15</f>
        <v>0</v>
      </c>
      <c r="AV15" s="19">
        <f>현금흐름취합!AH15</f>
        <v>0</v>
      </c>
      <c r="AW15" s="19">
        <f>현금흐름취합!AI15</f>
        <v>0</v>
      </c>
      <c r="AX15" s="19">
        <f>현금흐름취합!AJ15</f>
        <v>0</v>
      </c>
      <c r="AY15" s="19">
        <f>현금흐름취합!AK15</f>
        <v>0</v>
      </c>
      <c r="AZ15" s="19">
        <f>현금흐름취합!AL15</f>
        <v>0</v>
      </c>
      <c r="BA15" s="19">
        <f>현금흐름취합!AM15</f>
        <v>0</v>
      </c>
      <c r="BB15" s="19">
        <f>현금흐름취합!AN15</f>
        <v>0</v>
      </c>
      <c r="BC15" s="19">
        <f>현금흐름취합!AO15</f>
        <v>0</v>
      </c>
      <c r="BD15" s="19">
        <f>현금흐름취합!AP15</f>
        <v>0</v>
      </c>
      <c r="BE15" s="19">
        <f>현금흐름취합!AQ15</f>
        <v>0</v>
      </c>
      <c r="BF15" s="19">
        <f>현금흐름취합!AR15</f>
        <v>0</v>
      </c>
      <c r="BG15" s="19">
        <f>현금흐름취합!AS15</f>
        <v>0</v>
      </c>
      <c r="BH15" s="19">
        <f>현금흐름취합!AT15</f>
        <v>0</v>
      </c>
      <c r="BI15" s="19">
        <f>현금흐름취합!AU15</f>
        <v>0</v>
      </c>
      <c r="BJ15" s="19">
        <f>현금흐름취합!AV15</f>
        <v>0</v>
      </c>
      <c r="BK15" s="19">
        <f>현금흐름취합!AW15</f>
        <v>0</v>
      </c>
      <c r="BL15" s="19">
        <f>현금흐름취합!AX15</f>
        <v>0</v>
      </c>
      <c r="BM15" s="19">
        <f>현금흐름취합!AY15</f>
        <v>0</v>
      </c>
      <c r="BN15" s="19">
        <f>현금흐름취합!AZ15</f>
        <v>0</v>
      </c>
      <c r="BO15" s="19">
        <f>현금흐름취합!BA15</f>
        <v>0</v>
      </c>
      <c r="BP15" s="19">
        <f>현금흐름취합!BB15</f>
        <v>0</v>
      </c>
      <c r="BQ15" s="19">
        <f>현금흐름취합!BC15</f>
        <v>0</v>
      </c>
      <c r="BR15" s="19">
        <f>현금흐름취합!BD15</f>
        <v>0</v>
      </c>
      <c r="BS15" s="19">
        <f>현금흐름취합!BE15</f>
        <v>0</v>
      </c>
      <c r="BT15" s="19">
        <f>현금흐름취합!BF15</f>
        <v>0</v>
      </c>
      <c r="BU15" s="19">
        <f>현금흐름취합!BG15</f>
        <v>0</v>
      </c>
      <c r="BV15" s="19">
        <f>현금흐름취합!BH15</f>
        <v>0</v>
      </c>
      <c r="BW15" s="19">
        <f>현금흐름취합!BI15</f>
        <v>0</v>
      </c>
      <c r="BX15" s="19">
        <f>현금흐름취합!BJ15</f>
        <v>0</v>
      </c>
      <c r="BY15" s="19">
        <f>현금흐름취합!BK15</f>
        <v>0</v>
      </c>
      <c r="BZ15" s="19">
        <f>현금흐름취합!BL15</f>
        <v>0</v>
      </c>
      <c r="CA15" s="19">
        <f>현금흐름취합!BM15</f>
        <v>0</v>
      </c>
      <c r="CB15" s="19">
        <f>현금흐름취합!BN15</f>
        <v>0</v>
      </c>
      <c r="CC15" s="19">
        <f>현금흐름취합!BO15</f>
        <v>0</v>
      </c>
      <c r="CD15" s="19">
        <f>현금흐름취합!BP15</f>
        <v>0</v>
      </c>
      <c r="CE15" s="19">
        <f>현금흐름취합!BQ15</f>
        <v>0</v>
      </c>
      <c r="CF15" s="19">
        <f>현금흐름취합!BR15</f>
        <v>0</v>
      </c>
      <c r="CG15" s="19">
        <f>현금흐름취합!BS15</f>
        <v>0</v>
      </c>
      <c r="CH15" s="19">
        <f>현금흐름취합!BT15</f>
        <v>0</v>
      </c>
      <c r="CI15" s="19">
        <f>현금흐름취합!BU15</f>
        <v>0</v>
      </c>
      <c r="CJ15" s="19">
        <f>현금흐름취합!BV15</f>
        <v>0</v>
      </c>
      <c r="CK15" s="19">
        <f>현금흐름취합!BW15</f>
        <v>0</v>
      </c>
      <c r="CL15" s="19">
        <f>현금흐름취합!BX15</f>
        <v>0</v>
      </c>
      <c r="CM15" s="19">
        <f>현금흐름취합!BY15</f>
        <v>0</v>
      </c>
      <c r="CN15" s="19">
        <f>현금흐름취합!BZ15</f>
        <v>0</v>
      </c>
      <c r="CO15" s="19">
        <f>현금흐름취합!CA15</f>
        <v>0</v>
      </c>
      <c r="CP15" s="19">
        <f>현금흐름취합!CB15</f>
        <v>0</v>
      </c>
      <c r="CQ15" s="19">
        <f>현금흐름취합!CC15</f>
        <v>0</v>
      </c>
      <c r="CR15" s="19">
        <f>현금흐름취합!CD15</f>
        <v>0</v>
      </c>
      <c r="CS15" s="19">
        <f>현금흐름취합!CE15</f>
        <v>0</v>
      </c>
      <c r="CT15" s="19">
        <f>현금흐름취합!CF15</f>
        <v>0</v>
      </c>
      <c r="CU15" s="19">
        <f>현금흐름취합!CG15</f>
        <v>0</v>
      </c>
      <c r="CV15" s="19">
        <f>현금흐름취합!CH15</f>
        <v>0</v>
      </c>
      <c r="CW15" s="19">
        <f>현금흐름취합!CI15</f>
        <v>0</v>
      </c>
      <c r="CX15" s="19">
        <f>현금흐름취합!CJ15</f>
        <v>0</v>
      </c>
      <c r="CY15" s="19">
        <f>현금흐름취합!CK15</f>
        <v>0</v>
      </c>
      <c r="CZ15" s="19">
        <f>현금흐름취합!CL15</f>
        <v>0</v>
      </c>
      <c r="DA15" s="19">
        <f>현금흐름취합!CM15</f>
        <v>0</v>
      </c>
      <c r="DB15" s="19">
        <f>현금흐름취합!CN15</f>
        <v>0</v>
      </c>
      <c r="DC15" s="19">
        <f>현금흐름취합!CO15</f>
        <v>0</v>
      </c>
      <c r="DD15" s="19">
        <f>현금흐름취합!CP15</f>
        <v>0</v>
      </c>
      <c r="DE15" s="19">
        <f>현금흐름취합!CQ15</f>
        <v>0</v>
      </c>
      <c r="DF15" s="19">
        <f>현금흐름취합!CR15</f>
        <v>0</v>
      </c>
      <c r="DG15" s="19">
        <f>현금흐름취합!CS15</f>
        <v>0</v>
      </c>
      <c r="DH15" s="19">
        <f>현금흐름취합!CT15</f>
        <v>0</v>
      </c>
      <c r="DI15" s="19">
        <f>현금흐름취합!CU15</f>
        <v>0</v>
      </c>
      <c r="DJ15" s="19">
        <f>현금흐름취합!CV15</f>
        <v>0</v>
      </c>
      <c r="DK15" s="19">
        <f>현금흐름취합!CW15</f>
        <v>0</v>
      </c>
      <c r="DL15" s="19">
        <f>현금흐름취합!CX15</f>
        <v>0</v>
      </c>
      <c r="DM15" s="19">
        <f>현금흐름취합!CY15</f>
        <v>0</v>
      </c>
      <c r="DN15" s="19">
        <f>현금흐름취합!CZ15</f>
        <v>0</v>
      </c>
      <c r="DO15" s="19">
        <f>현금흐름취합!DA15</f>
        <v>0</v>
      </c>
      <c r="DP15" s="19">
        <f>현금흐름취합!DB15</f>
        <v>0</v>
      </c>
      <c r="DQ15" s="19">
        <f>현금흐름취합!DC15</f>
        <v>0</v>
      </c>
      <c r="DR15" s="19">
        <f>현금흐름취합!DD15</f>
        <v>0</v>
      </c>
      <c r="DS15" s="19">
        <f>현금흐름취합!DE15</f>
        <v>0</v>
      </c>
      <c r="DT15" s="19">
        <f>현금흐름취합!DF15</f>
        <v>0</v>
      </c>
      <c r="DU15" s="19">
        <f>현금흐름취합!DG15</f>
        <v>0</v>
      </c>
      <c r="DV15" s="19">
        <f>현금흐름취합!DH15</f>
        <v>0</v>
      </c>
      <c r="DW15" s="19">
        <f>현금흐름취합!DI15</f>
        <v>0</v>
      </c>
      <c r="DX15" s="19">
        <f>현금흐름취합!DJ15</f>
        <v>0</v>
      </c>
      <c r="DY15" s="19">
        <f>현금흐름취합!DK15</f>
        <v>0</v>
      </c>
      <c r="DZ15" s="19">
        <f>현금흐름취합!DL15</f>
        <v>0</v>
      </c>
      <c r="EA15" s="19">
        <f>현금흐름취합!DM15</f>
        <v>0</v>
      </c>
      <c r="EB15" s="19">
        <f>현금흐름취합!DN15</f>
        <v>0</v>
      </c>
      <c r="EC15" s="19">
        <f>현금흐름취합!DO15</f>
        <v>0</v>
      </c>
      <c r="ED15" s="19">
        <f>현금흐름취합!DP15</f>
        <v>0</v>
      </c>
      <c r="EE15" s="19">
        <f>현금흐름취합!DQ15</f>
        <v>0</v>
      </c>
      <c r="EF15" s="19">
        <f>현금흐름취합!DR15</f>
        <v>0</v>
      </c>
      <c r="EG15" s="19">
        <f>현금흐름취합!DS15</f>
        <v>0</v>
      </c>
      <c r="EH15" s="19">
        <f>현금흐름취합!DT15</f>
        <v>0</v>
      </c>
      <c r="EI15" s="19">
        <f>현금흐름취합!DU15</f>
        <v>0</v>
      </c>
      <c r="EJ15" s="19">
        <f>현금흐름취합!DV15</f>
        <v>0</v>
      </c>
      <c r="EK15" s="19">
        <f>현금흐름취합!DW15</f>
        <v>0</v>
      </c>
      <c r="EL15" s="19">
        <f>현금흐름취합!DX15</f>
        <v>0</v>
      </c>
      <c r="EM15" s="19">
        <f>현금흐름취합!DY15</f>
        <v>0</v>
      </c>
      <c r="EN15" s="19">
        <f>현금흐름취합!DZ15</f>
        <v>0</v>
      </c>
      <c r="EO15" s="19">
        <f>현금흐름취합!EA15</f>
        <v>0</v>
      </c>
      <c r="EP15" s="19">
        <f>현금흐름취합!EB15</f>
        <v>0</v>
      </c>
      <c r="EQ15" s="19">
        <f>현금흐름취합!EC15</f>
        <v>0</v>
      </c>
      <c r="ER15" s="19">
        <f>현금흐름취합!ED15</f>
        <v>0</v>
      </c>
      <c r="ES15" s="19">
        <f>현금흐름취합!EE15</f>
        <v>0</v>
      </c>
    </row>
    <row r="16" spans="1:149" hidden="1">
      <c r="A16" s="7">
        <f>현금흐름취합!A16</f>
        <v>0</v>
      </c>
      <c r="B16" s="7">
        <f>현금흐름취합!B16</f>
        <v>0</v>
      </c>
      <c r="C16" s="7">
        <f>현금흐름취합!C16</f>
        <v>0</v>
      </c>
      <c r="D16" s="8">
        <f>현금흐름취합!D16</f>
        <v>0</v>
      </c>
      <c r="E16" s="37"/>
      <c r="F16" s="8">
        <f>현금흐름취합!E16</f>
        <v>0</v>
      </c>
      <c r="G16" s="37" t="str">
        <f t="shared" si="1"/>
        <v>pool 고치세요</v>
      </c>
      <c r="H16" s="9">
        <f>현금흐름취합!F16</f>
        <v>0</v>
      </c>
      <c r="I16" s="10">
        <f>현금흐름취합!G16</f>
        <v>0</v>
      </c>
      <c r="J16" s="39" t="e">
        <f t="shared" si="2"/>
        <v>#DIV/0!</v>
      </c>
      <c r="K16" s="11">
        <f>현금흐름취합!H16</f>
        <v>0</v>
      </c>
      <c r="L16" s="40" t="e">
        <f>VLOOKUP(A16,'Sheet A'!$E$11:$K$60,7,0)=K16</f>
        <v>#N/A</v>
      </c>
      <c r="M16" s="12">
        <f>현금흐름취합!I16</f>
        <v>0</v>
      </c>
      <c r="N16" s="40" t="str">
        <f t="shared" si="3"/>
        <v>검토요</v>
      </c>
      <c r="O16" s="13">
        <f>현금흐름취합!J16</f>
        <v>0</v>
      </c>
      <c r="P16" s="14">
        <f>현금흐름취합!K16</f>
        <v>0</v>
      </c>
      <c r="Q16" s="18">
        <f>현금흐름취합!L16</f>
        <v>0</v>
      </c>
      <c r="R16" s="15">
        <f>현금흐름취합!M16</f>
        <v>0</v>
      </c>
      <c r="S16" s="40" t="e">
        <f t="shared" si="4"/>
        <v>#NUM!</v>
      </c>
      <c r="T16" s="16">
        <f>현금흐름취합!N16</f>
        <v>0</v>
      </c>
      <c r="U16" s="40" t="b">
        <f t="shared" si="0"/>
        <v>1</v>
      </c>
      <c r="V16" s="46">
        <f>SUMIF(일반여신!$E$10:$E$35,검증!A16,일반여신!$O$10:$O$35)*0.985-SUMIF(가지급금!$E$10:$E$180,A16,가지급금!$K$10:$K$180)+SUMIF(가지급금!$E$10:$E$180,검증!A16,가지급금!$O$10:$O$180)*0.985</f>
        <v>0</v>
      </c>
      <c r="W16" s="47">
        <f t="shared" si="5"/>
        <v>0</v>
      </c>
      <c r="X16" s="48"/>
      <c r="Y16" s="49">
        <f>SUMIF('Sheet D'!$E$11:$E$60,A16,'Sheet D'!$P$11:$P$60)</f>
        <v>0</v>
      </c>
      <c r="Z16" s="48">
        <f>SUMIFS(일반여신!$M$10:$M$35,일반여신!$E$10:$E$35,A16,일반여신!$P$10:$P$35,"신옹보증서대위변제")</f>
        <v>0</v>
      </c>
      <c r="AA16" s="48">
        <f t="shared" si="6"/>
        <v>0</v>
      </c>
      <c r="AB16" s="50"/>
      <c r="AC16" s="19">
        <f>현금흐름취합!O16</f>
        <v>0</v>
      </c>
      <c r="AD16" s="19">
        <f>현금흐름취합!P16</f>
        <v>0</v>
      </c>
      <c r="AE16" s="19">
        <f>현금흐름취합!Q16</f>
        <v>0</v>
      </c>
      <c r="AF16" s="19">
        <f>현금흐름취합!R16</f>
        <v>0</v>
      </c>
      <c r="AG16" s="19">
        <f>현금흐름취합!S16</f>
        <v>0</v>
      </c>
      <c r="AH16" s="19">
        <f>현금흐름취합!T16</f>
        <v>0</v>
      </c>
      <c r="AI16" s="19">
        <f>현금흐름취합!U16</f>
        <v>0</v>
      </c>
      <c r="AJ16" s="19">
        <f>현금흐름취합!V16</f>
        <v>0</v>
      </c>
      <c r="AK16" s="19">
        <f>현금흐름취합!W16</f>
        <v>0</v>
      </c>
      <c r="AL16" s="19">
        <f>현금흐름취합!X16</f>
        <v>0</v>
      </c>
      <c r="AM16" s="19">
        <f>현금흐름취합!Y16</f>
        <v>0</v>
      </c>
      <c r="AN16" s="19">
        <f>현금흐름취합!Z16</f>
        <v>0</v>
      </c>
      <c r="AO16" s="19">
        <f>현금흐름취합!AA16</f>
        <v>0</v>
      </c>
      <c r="AP16" s="19">
        <f>현금흐름취합!AB16</f>
        <v>0</v>
      </c>
      <c r="AQ16" s="19">
        <f>현금흐름취합!AC16</f>
        <v>0</v>
      </c>
      <c r="AR16" s="19">
        <f>현금흐름취합!AD16</f>
        <v>0</v>
      </c>
      <c r="AS16" s="19">
        <f>현금흐름취합!AE16</f>
        <v>0</v>
      </c>
      <c r="AT16" s="19">
        <f>현금흐름취합!AF16</f>
        <v>0</v>
      </c>
      <c r="AU16" s="19">
        <f>현금흐름취합!AG16</f>
        <v>0</v>
      </c>
      <c r="AV16" s="19">
        <f>현금흐름취합!AH16</f>
        <v>0</v>
      </c>
      <c r="AW16" s="19">
        <f>현금흐름취합!AI16</f>
        <v>0</v>
      </c>
      <c r="AX16" s="19">
        <f>현금흐름취합!AJ16</f>
        <v>0</v>
      </c>
      <c r="AY16" s="19">
        <f>현금흐름취합!AK16</f>
        <v>0</v>
      </c>
      <c r="AZ16" s="19">
        <f>현금흐름취합!AL16</f>
        <v>0</v>
      </c>
      <c r="BA16" s="19">
        <f>현금흐름취합!AM16</f>
        <v>0</v>
      </c>
      <c r="BB16" s="19">
        <f>현금흐름취합!AN16</f>
        <v>0</v>
      </c>
      <c r="BC16" s="19">
        <f>현금흐름취합!AO16</f>
        <v>0</v>
      </c>
      <c r="BD16" s="19">
        <f>현금흐름취합!AP16</f>
        <v>0</v>
      </c>
      <c r="BE16" s="19">
        <f>현금흐름취합!AQ16</f>
        <v>0</v>
      </c>
      <c r="BF16" s="19">
        <f>현금흐름취합!AR16</f>
        <v>0</v>
      </c>
      <c r="BG16" s="19">
        <f>현금흐름취합!AS16</f>
        <v>0</v>
      </c>
      <c r="BH16" s="19">
        <f>현금흐름취합!AT16</f>
        <v>0</v>
      </c>
      <c r="BI16" s="19">
        <f>현금흐름취합!AU16</f>
        <v>0</v>
      </c>
      <c r="BJ16" s="19">
        <f>현금흐름취합!AV16</f>
        <v>0</v>
      </c>
      <c r="BK16" s="19">
        <f>현금흐름취합!AW16</f>
        <v>0</v>
      </c>
      <c r="BL16" s="19">
        <f>현금흐름취합!AX16</f>
        <v>0</v>
      </c>
      <c r="BM16" s="19">
        <f>현금흐름취합!AY16</f>
        <v>0</v>
      </c>
      <c r="BN16" s="19">
        <f>현금흐름취합!AZ16</f>
        <v>0</v>
      </c>
      <c r="BO16" s="19">
        <f>현금흐름취합!BA16</f>
        <v>0</v>
      </c>
      <c r="BP16" s="19">
        <f>현금흐름취합!BB16</f>
        <v>0</v>
      </c>
      <c r="BQ16" s="19">
        <f>현금흐름취합!BC16</f>
        <v>0</v>
      </c>
      <c r="BR16" s="19">
        <f>현금흐름취합!BD16</f>
        <v>0</v>
      </c>
      <c r="BS16" s="19">
        <f>현금흐름취합!BE16</f>
        <v>0</v>
      </c>
      <c r="BT16" s="19">
        <f>현금흐름취합!BF16</f>
        <v>0</v>
      </c>
      <c r="BU16" s="19">
        <f>현금흐름취합!BG16</f>
        <v>0</v>
      </c>
      <c r="BV16" s="19">
        <f>현금흐름취합!BH16</f>
        <v>0</v>
      </c>
      <c r="BW16" s="19">
        <f>현금흐름취합!BI16</f>
        <v>0</v>
      </c>
      <c r="BX16" s="19">
        <f>현금흐름취합!BJ16</f>
        <v>0</v>
      </c>
      <c r="BY16" s="19">
        <f>현금흐름취합!BK16</f>
        <v>0</v>
      </c>
      <c r="BZ16" s="19">
        <f>현금흐름취합!BL16</f>
        <v>0</v>
      </c>
      <c r="CA16" s="19">
        <f>현금흐름취합!BM16</f>
        <v>0</v>
      </c>
      <c r="CB16" s="19">
        <f>현금흐름취합!BN16</f>
        <v>0</v>
      </c>
      <c r="CC16" s="19">
        <f>현금흐름취합!BO16</f>
        <v>0</v>
      </c>
      <c r="CD16" s="19">
        <f>현금흐름취합!BP16</f>
        <v>0</v>
      </c>
      <c r="CE16" s="19">
        <f>현금흐름취합!BQ16</f>
        <v>0</v>
      </c>
      <c r="CF16" s="19">
        <f>현금흐름취합!BR16</f>
        <v>0</v>
      </c>
      <c r="CG16" s="19">
        <f>현금흐름취합!BS16</f>
        <v>0</v>
      </c>
      <c r="CH16" s="19">
        <f>현금흐름취합!BT16</f>
        <v>0</v>
      </c>
      <c r="CI16" s="19">
        <f>현금흐름취합!BU16</f>
        <v>0</v>
      </c>
      <c r="CJ16" s="19">
        <f>현금흐름취합!BV16</f>
        <v>0</v>
      </c>
      <c r="CK16" s="19">
        <f>현금흐름취합!BW16</f>
        <v>0</v>
      </c>
      <c r="CL16" s="19">
        <f>현금흐름취합!BX16</f>
        <v>0</v>
      </c>
      <c r="CM16" s="19">
        <f>현금흐름취합!BY16</f>
        <v>0</v>
      </c>
      <c r="CN16" s="19">
        <f>현금흐름취합!BZ16</f>
        <v>0</v>
      </c>
      <c r="CO16" s="19">
        <f>현금흐름취합!CA16</f>
        <v>0</v>
      </c>
      <c r="CP16" s="19">
        <f>현금흐름취합!CB16</f>
        <v>0</v>
      </c>
      <c r="CQ16" s="19">
        <f>현금흐름취합!CC16</f>
        <v>0</v>
      </c>
      <c r="CR16" s="19">
        <f>현금흐름취합!CD16</f>
        <v>0</v>
      </c>
      <c r="CS16" s="19">
        <f>현금흐름취합!CE16</f>
        <v>0</v>
      </c>
      <c r="CT16" s="19">
        <f>현금흐름취합!CF16</f>
        <v>0</v>
      </c>
      <c r="CU16" s="19">
        <f>현금흐름취합!CG16</f>
        <v>0</v>
      </c>
      <c r="CV16" s="19">
        <f>현금흐름취합!CH16</f>
        <v>0</v>
      </c>
      <c r="CW16" s="19">
        <f>현금흐름취합!CI16</f>
        <v>0</v>
      </c>
      <c r="CX16" s="19">
        <f>현금흐름취합!CJ16</f>
        <v>0</v>
      </c>
      <c r="CY16" s="19">
        <f>현금흐름취합!CK16</f>
        <v>0</v>
      </c>
      <c r="CZ16" s="19">
        <f>현금흐름취합!CL16</f>
        <v>0</v>
      </c>
      <c r="DA16" s="19">
        <f>현금흐름취합!CM16</f>
        <v>0</v>
      </c>
      <c r="DB16" s="19">
        <f>현금흐름취합!CN16</f>
        <v>0</v>
      </c>
      <c r="DC16" s="19">
        <f>현금흐름취합!CO16</f>
        <v>0</v>
      </c>
      <c r="DD16" s="19">
        <f>현금흐름취합!CP16</f>
        <v>0</v>
      </c>
      <c r="DE16" s="19">
        <f>현금흐름취합!CQ16</f>
        <v>0</v>
      </c>
      <c r="DF16" s="19">
        <f>현금흐름취합!CR16</f>
        <v>0</v>
      </c>
      <c r="DG16" s="19">
        <f>현금흐름취합!CS16</f>
        <v>0</v>
      </c>
      <c r="DH16" s="19">
        <f>현금흐름취합!CT16</f>
        <v>0</v>
      </c>
      <c r="DI16" s="19">
        <f>현금흐름취합!CU16</f>
        <v>0</v>
      </c>
      <c r="DJ16" s="19">
        <f>현금흐름취합!CV16</f>
        <v>0</v>
      </c>
      <c r="DK16" s="19">
        <f>현금흐름취합!CW16</f>
        <v>0</v>
      </c>
      <c r="DL16" s="19">
        <f>현금흐름취합!CX16</f>
        <v>0</v>
      </c>
      <c r="DM16" s="19">
        <f>현금흐름취합!CY16</f>
        <v>0</v>
      </c>
      <c r="DN16" s="19">
        <f>현금흐름취합!CZ16</f>
        <v>0</v>
      </c>
      <c r="DO16" s="19">
        <f>현금흐름취합!DA16</f>
        <v>0</v>
      </c>
      <c r="DP16" s="19">
        <f>현금흐름취합!DB16</f>
        <v>0</v>
      </c>
      <c r="DQ16" s="19">
        <f>현금흐름취합!DC16</f>
        <v>0</v>
      </c>
      <c r="DR16" s="19">
        <f>현금흐름취합!DD16</f>
        <v>0</v>
      </c>
      <c r="DS16" s="19">
        <f>현금흐름취합!DE16</f>
        <v>0</v>
      </c>
      <c r="DT16" s="19">
        <f>현금흐름취합!DF16</f>
        <v>0</v>
      </c>
      <c r="DU16" s="19">
        <f>현금흐름취합!DG16</f>
        <v>0</v>
      </c>
      <c r="DV16" s="19">
        <f>현금흐름취합!DH16</f>
        <v>0</v>
      </c>
      <c r="DW16" s="19">
        <f>현금흐름취합!DI16</f>
        <v>0</v>
      </c>
      <c r="DX16" s="19">
        <f>현금흐름취합!DJ16</f>
        <v>0</v>
      </c>
      <c r="DY16" s="19">
        <f>현금흐름취합!DK16</f>
        <v>0</v>
      </c>
      <c r="DZ16" s="19">
        <f>현금흐름취합!DL16</f>
        <v>0</v>
      </c>
      <c r="EA16" s="19">
        <f>현금흐름취합!DM16</f>
        <v>0</v>
      </c>
      <c r="EB16" s="19">
        <f>현금흐름취합!DN16</f>
        <v>0</v>
      </c>
      <c r="EC16" s="19">
        <f>현금흐름취합!DO16</f>
        <v>0</v>
      </c>
      <c r="ED16" s="19">
        <f>현금흐름취합!DP16</f>
        <v>0</v>
      </c>
      <c r="EE16" s="19">
        <f>현금흐름취합!DQ16</f>
        <v>0</v>
      </c>
      <c r="EF16" s="19">
        <f>현금흐름취합!DR16</f>
        <v>0</v>
      </c>
      <c r="EG16" s="19">
        <f>현금흐름취합!DS16</f>
        <v>0</v>
      </c>
      <c r="EH16" s="19">
        <f>현금흐름취합!DT16</f>
        <v>0</v>
      </c>
      <c r="EI16" s="19">
        <f>현금흐름취합!DU16</f>
        <v>0</v>
      </c>
      <c r="EJ16" s="19">
        <f>현금흐름취합!DV16</f>
        <v>0</v>
      </c>
      <c r="EK16" s="19">
        <f>현금흐름취합!DW16</f>
        <v>0</v>
      </c>
      <c r="EL16" s="19">
        <f>현금흐름취합!DX16</f>
        <v>0</v>
      </c>
      <c r="EM16" s="19">
        <f>현금흐름취합!DY16</f>
        <v>0</v>
      </c>
      <c r="EN16" s="19">
        <f>현금흐름취합!DZ16</f>
        <v>0</v>
      </c>
      <c r="EO16" s="19">
        <f>현금흐름취합!EA16</f>
        <v>0</v>
      </c>
      <c r="EP16" s="19">
        <f>현금흐름취합!EB16</f>
        <v>0</v>
      </c>
      <c r="EQ16" s="19">
        <f>현금흐름취합!EC16</f>
        <v>0</v>
      </c>
      <c r="ER16" s="19">
        <f>현금흐름취합!ED16</f>
        <v>0</v>
      </c>
      <c r="ES16" s="19">
        <f>현금흐름취합!EE16</f>
        <v>0</v>
      </c>
    </row>
    <row r="17" spans="1:149" hidden="1">
      <c r="A17" s="7">
        <f>현금흐름취합!A17</f>
        <v>0</v>
      </c>
      <c r="B17" s="7">
        <f>현금흐름취합!B17</f>
        <v>0</v>
      </c>
      <c r="C17" s="7">
        <f>현금흐름취합!C17</f>
        <v>0</v>
      </c>
      <c r="D17" s="8">
        <f>현금흐름취합!D17</f>
        <v>0</v>
      </c>
      <c r="E17" s="37" t="str">
        <f t="shared" ref="E17" si="11">IF(R16&gt;R17,"역전현상","이상없음")</f>
        <v>이상없음</v>
      </c>
      <c r="F17" s="8">
        <f>현금흐름취합!E17</f>
        <v>0</v>
      </c>
      <c r="G17" s="37" t="str">
        <f t="shared" si="1"/>
        <v>pool 고치세요</v>
      </c>
      <c r="H17" s="9">
        <f>현금흐름취합!F17</f>
        <v>0</v>
      </c>
      <c r="I17" s="10">
        <f>현금흐름취합!G17</f>
        <v>0</v>
      </c>
      <c r="J17" s="39" t="e">
        <f t="shared" si="2"/>
        <v>#DIV/0!</v>
      </c>
      <c r="K17" s="11">
        <f>현금흐름취합!H17</f>
        <v>0</v>
      </c>
      <c r="L17" s="40" t="e">
        <f>VLOOKUP(A17,'Sheet A'!$E$11:$K$60,7,0)=K17</f>
        <v>#N/A</v>
      </c>
      <c r="M17" s="12">
        <f>현금흐름취합!I17</f>
        <v>0</v>
      </c>
      <c r="N17" s="40" t="str">
        <f t="shared" si="3"/>
        <v>검토요</v>
      </c>
      <c r="O17" s="13">
        <f>현금흐름취합!J17</f>
        <v>0</v>
      </c>
      <c r="P17" s="14">
        <f>현금흐름취합!K17</f>
        <v>0</v>
      </c>
      <c r="Q17" s="18">
        <f>현금흐름취합!L17</f>
        <v>0</v>
      </c>
      <c r="R17" s="15">
        <f>현금흐름취합!M17</f>
        <v>0</v>
      </c>
      <c r="S17" s="40" t="e">
        <f t="shared" si="4"/>
        <v>#NUM!</v>
      </c>
      <c r="T17" s="16">
        <f>현금흐름취합!N17</f>
        <v>0</v>
      </c>
      <c r="U17" s="40" t="b">
        <f t="shared" si="0"/>
        <v>1</v>
      </c>
      <c r="V17" s="46">
        <f>SUMIF(일반여신!$E$10:$E$35,검증!A17,일반여신!$O$10:$O$35)*0.985-SUMIF(가지급금!$E$10:$E$180,A17,가지급금!$K$10:$K$180)+SUMIF(가지급금!$E$10:$E$180,검증!A17,가지급금!$O$10:$O$180)*0.985</f>
        <v>0</v>
      </c>
      <c r="W17" s="47">
        <f t="shared" si="5"/>
        <v>0</v>
      </c>
      <c r="X17" s="48"/>
      <c r="Y17" s="49">
        <f>SUMIF('Sheet D'!$E$11:$E$60,A17,'Sheet D'!$P$11:$P$60)</f>
        <v>0</v>
      </c>
      <c r="Z17" s="48">
        <f>SUMIFS(일반여신!$M$10:$M$35,일반여신!$E$10:$E$35,A17,일반여신!$P$10:$P$35,"신옹보증서대위변제")</f>
        <v>0</v>
      </c>
      <c r="AA17" s="48">
        <f t="shared" si="6"/>
        <v>0</v>
      </c>
      <c r="AB17" s="50"/>
      <c r="AC17" s="19">
        <f>현금흐름취합!O17</f>
        <v>0</v>
      </c>
      <c r="AD17" s="19">
        <f>현금흐름취합!P17</f>
        <v>0</v>
      </c>
      <c r="AE17" s="19">
        <f>현금흐름취합!Q17</f>
        <v>0</v>
      </c>
      <c r="AF17" s="19">
        <f>현금흐름취합!R17</f>
        <v>0</v>
      </c>
      <c r="AG17" s="19">
        <f>현금흐름취합!S17</f>
        <v>0</v>
      </c>
      <c r="AH17" s="19">
        <f>현금흐름취합!T17</f>
        <v>0</v>
      </c>
      <c r="AI17" s="19">
        <f>현금흐름취합!U17</f>
        <v>0</v>
      </c>
      <c r="AJ17" s="19">
        <f>현금흐름취합!V17</f>
        <v>0</v>
      </c>
      <c r="AK17" s="19">
        <f>현금흐름취합!W17</f>
        <v>0</v>
      </c>
      <c r="AL17" s="19">
        <f>현금흐름취합!X17</f>
        <v>0</v>
      </c>
      <c r="AM17" s="19">
        <f>현금흐름취합!Y17</f>
        <v>0</v>
      </c>
      <c r="AN17" s="19">
        <f>현금흐름취합!Z17</f>
        <v>0</v>
      </c>
      <c r="AO17" s="19">
        <f>현금흐름취합!AA17</f>
        <v>0</v>
      </c>
      <c r="AP17" s="19">
        <f>현금흐름취합!AB17</f>
        <v>0</v>
      </c>
      <c r="AQ17" s="19">
        <f>현금흐름취합!AC17</f>
        <v>0</v>
      </c>
      <c r="AR17" s="19">
        <f>현금흐름취합!AD17</f>
        <v>0</v>
      </c>
      <c r="AS17" s="19">
        <f>현금흐름취합!AE17</f>
        <v>0</v>
      </c>
      <c r="AT17" s="19">
        <f>현금흐름취합!AF17</f>
        <v>0</v>
      </c>
      <c r="AU17" s="19">
        <f>현금흐름취합!AG17</f>
        <v>0</v>
      </c>
      <c r="AV17" s="19">
        <f>현금흐름취합!AH17</f>
        <v>0</v>
      </c>
      <c r="AW17" s="19">
        <f>현금흐름취합!AI17</f>
        <v>0</v>
      </c>
      <c r="AX17" s="19">
        <f>현금흐름취합!AJ17</f>
        <v>0</v>
      </c>
      <c r="AY17" s="19">
        <f>현금흐름취합!AK17</f>
        <v>0</v>
      </c>
      <c r="AZ17" s="19">
        <f>현금흐름취합!AL17</f>
        <v>0</v>
      </c>
      <c r="BA17" s="19">
        <f>현금흐름취합!AM17</f>
        <v>0</v>
      </c>
      <c r="BB17" s="19">
        <f>현금흐름취합!AN17</f>
        <v>0</v>
      </c>
      <c r="BC17" s="19">
        <f>현금흐름취합!AO17</f>
        <v>0</v>
      </c>
      <c r="BD17" s="19">
        <f>현금흐름취합!AP17</f>
        <v>0</v>
      </c>
      <c r="BE17" s="19">
        <f>현금흐름취합!AQ17</f>
        <v>0</v>
      </c>
      <c r="BF17" s="19">
        <f>현금흐름취합!AR17</f>
        <v>0</v>
      </c>
      <c r="BG17" s="19">
        <f>현금흐름취합!AS17</f>
        <v>0</v>
      </c>
      <c r="BH17" s="19">
        <f>현금흐름취합!AT17</f>
        <v>0</v>
      </c>
      <c r="BI17" s="19">
        <f>현금흐름취합!AU17</f>
        <v>0</v>
      </c>
      <c r="BJ17" s="19">
        <f>현금흐름취합!AV17</f>
        <v>0</v>
      </c>
      <c r="BK17" s="19">
        <f>현금흐름취합!AW17</f>
        <v>0</v>
      </c>
      <c r="BL17" s="19">
        <f>현금흐름취합!AX17</f>
        <v>0</v>
      </c>
      <c r="BM17" s="19">
        <f>현금흐름취합!AY17</f>
        <v>0</v>
      </c>
      <c r="BN17" s="19">
        <f>현금흐름취합!AZ17</f>
        <v>0</v>
      </c>
      <c r="BO17" s="19">
        <f>현금흐름취합!BA17</f>
        <v>0</v>
      </c>
      <c r="BP17" s="19">
        <f>현금흐름취합!BB17</f>
        <v>0</v>
      </c>
      <c r="BQ17" s="19">
        <f>현금흐름취합!BC17</f>
        <v>0</v>
      </c>
      <c r="BR17" s="19">
        <f>현금흐름취합!BD17</f>
        <v>0</v>
      </c>
      <c r="BS17" s="19">
        <f>현금흐름취합!BE17</f>
        <v>0</v>
      </c>
      <c r="BT17" s="19">
        <f>현금흐름취합!BF17</f>
        <v>0</v>
      </c>
      <c r="BU17" s="19">
        <f>현금흐름취합!BG17</f>
        <v>0</v>
      </c>
      <c r="BV17" s="19">
        <f>현금흐름취합!BH17</f>
        <v>0</v>
      </c>
      <c r="BW17" s="19">
        <f>현금흐름취합!BI17</f>
        <v>0</v>
      </c>
      <c r="BX17" s="19">
        <f>현금흐름취합!BJ17</f>
        <v>0</v>
      </c>
      <c r="BY17" s="19">
        <f>현금흐름취합!BK17</f>
        <v>0</v>
      </c>
      <c r="BZ17" s="19">
        <f>현금흐름취합!BL17</f>
        <v>0</v>
      </c>
      <c r="CA17" s="19">
        <f>현금흐름취합!BM17</f>
        <v>0</v>
      </c>
      <c r="CB17" s="19">
        <f>현금흐름취합!BN17</f>
        <v>0</v>
      </c>
      <c r="CC17" s="19">
        <f>현금흐름취합!BO17</f>
        <v>0</v>
      </c>
      <c r="CD17" s="19">
        <f>현금흐름취합!BP17</f>
        <v>0</v>
      </c>
      <c r="CE17" s="19">
        <f>현금흐름취합!BQ17</f>
        <v>0</v>
      </c>
      <c r="CF17" s="19">
        <f>현금흐름취합!BR17</f>
        <v>0</v>
      </c>
      <c r="CG17" s="19">
        <f>현금흐름취합!BS17</f>
        <v>0</v>
      </c>
      <c r="CH17" s="19">
        <f>현금흐름취합!BT17</f>
        <v>0</v>
      </c>
      <c r="CI17" s="19">
        <f>현금흐름취합!BU17</f>
        <v>0</v>
      </c>
      <c r="CJ17" s="19">
        <f>현금흐름취합!BV17</f>
        <v>0</v>
      </c>
      <c r="CK17" s="19">
        <f>현금흐름취합!BW17</f>
        <v>0</v>
      </c>
      <c r="CL17" s="19">
        <f>현금흐름취합!BX17</f>
        <v>0</v>
      </c>
      <c r="CM17" s="19">
        <f>현금흐름취합!BY17</f>
        <v>0</v>
      </c>
      <c r="CN17" s="19">
        <f>현금흐름취합!BZ17</f>
        <v>0</v>
      </c>
      <c r="CO17" s="19">
        <f>현금흐름취합!CA17</f>
        <v>0</v>
      </c>
      <c r="CP17" s="19">
        <f>현금흐름취합!CB17</f>
        <v>0</v>
      </c>
      <c r="CQ17" s="19">
        <f>현금흐름취합!CC17</f>
        <v>0</v>
      </c>
      <c r="CR17" s="19">
        <f>현금흐름취합!CD17</f>
        <v>0</v>
      </c>
      <c r="CS17" s="19">
        <f>현금흐름취합!CE17</f>
        <v>0</v>
      </c>
      <c r="CT17" s="19">
        <f>현금흐름취합!CF17</f>
        <v>0</v>
      </c>
      <c r="CU17" s="19">
        <f>현금흐름취합!CG17</f>
        <v>0</v>
      </c>
      <c r="CV17" s="19">
        <f>현금흐름취합!CH17</f>
        <v>0</v>
      </c>
      <c r="CW17" s="19">
        <f>현금흐름취합!CI17</f>
        <v>0</v>
      </c>
      <c r="CX17" s="19">
        <f>현금흐름취합!CJ17</f>
        <v>0</v>
      </c>
      <c r="CY17" s="19">
        <f>현금흐름취합!CK17</f>
        <v>0</v>
      </c>
      <c r="CZ17" s="19">
        <f>현금흐름취합!CL17</f>
        <v>0</v>
      </c>
      <c r="DA17" s="19">
        <f>현금흐름취합!CM17</f>
        <v>0</v>
      </c>
      <c r="DB17" s="19">
        <f>현금흐름취합!CN17</f>
        <v>0</v>
      </c>
      <c r="DC17" s="19">
        <f>현금흐름취합!CO17</f>
        <v>0</v>
      </c>
      <c r="DD17" s="19">
        <f>현금흐름취합!CP17</f>
        <v>0</v>
      </c>
      <c r="DE17" s="19">
        <f>현금흐름취합!CQ17</f>
        <v>0</v>
      </c>
      <c r="DF17" s="19">
        <f>현금흐름취합!CR17</f>
        <v>0</v>
      </c>
      <c r="DG17" s="19">
        <f>현금흐름취합!CS17</f>
        <v>0</v>
      </c>
      <c r="DH17" s="19">
        <f>현금흐름취합!CT17</f>
        <v>0</v>
      </c>
      <c r="DI17" s="19">
        <f>현금흐름취합!CU17</f>
        <v>0</v>
      </c>
      <c r="DJ17" s="19">
        <f>현금흐름취합!CV17</f>
        <v>0</v>
      </c>
      <c r="DK17" s="19">
        <f>현금흐름취합!CW17</f>
        <v>0</v>
      </c>
      <c r="DL17" s="19">
        <f>현금흐름취합!CX17</f>
        <v>0</v>
      </c>
      <c r="DM17" s="19">
        <f>현금흐름취합!CY17</f>
        <v>0</v>
      </c>
      <c r="DN17" s="19">
        <f>현금흐름취합!CZ17</f>
        <v>0</v>
      </c>
      <c r="DO17" s="19">
        <f>현금흐름취합!DA17</f>
        <v>0</v>
      </c>
      <c r="DP17" s="19">
        <f>현금흐름취합!DB17</f>
        <v>0</v>
      </c>
      <c r="DQ17" s="19">
        <f>현금흐름취합!DC17</f>
        <v>0</v>
      </c>
      <c r="DR17" s="19">
        <f>현금흐름취합!DD17</f>
        <v>0</v>
      </c>
      <c r="DS17" s="19">
        <f>현금흐름취합!DE17</f>
        <v>0</v>
      </c>
      <c r="DT17" s="19">
        <f>현금흐름취합!DF17</f>
        <v>0</v>
      </c>
      <c r="DU17" s="19">
        <f>현금흐름취합!DG17</f>
        <v>0</v>
      </c>
      <c r="DV17" s="19">
        <f>현금흐름취합!DH17</f>
        <v>0</v>
      </c>
      <c r="DW17" s="19">
        <f>현금흐름취합!DI17</f>
        <v>0</v>
      </c>
      <c r="DX17" s="19">
        <f>현금흐름취합!DJ17</f>
        <v>0</v>
      </c>
      <c r="DY17" s="19">
        <f>현금흐름취합!DK17</f>
        <v>0</v>
      </c>
      <c r="DZ17" s="19">
        <f>현금흐름취합!DL17</f>
        <v>0</v>
      </c>
      <c r="EA17" s="19">
        <f>현금흐름취합!DM17</f>
        <v>0</v>
      </c>
      <c r="EB17" s="19">
        <f>현금흐름취합!DN17</f>
        <v>0</v>
      </c>
      <c r="EC17" s="19">
        <f>현금흐름취합!DO17</f>
        <v>0</v>
      </c>
      <c r="ED17" s="19">
        <f>현금흐름취합!DP17</f>
        <v>0</v>
      </c>
      <c r="EE17" s="19">
        <f>현금흐름취합!DQ17</f>
        <v>0</v>
      </c>
      <c r="EF17" s="19">
        <f>현금흐름취합!DR17</f>
        <v>0</v>
      </c>
      <c r="EG17" s="19">
        <f>현금흐름취합!DS17</f>
        <v>0</v>
      </c>
      <c r="EH17" s="19">
        <f>현금흐름취합!DT17</f>
        <v>0</v>
      </c>
      <c r="EI17" s="19">
        <f>현금흐름취합!DU17</f>
        <v>0</v>
      </c>
      <c r="EJ17" s="19">
        <f>현금흐름취합!DV17</f>
        <v>0</v>
      </c>
      <c r="EK17" s="19">
        <f>현금흐름취합!DW17</f>
        <v>0</v>
      </c>
      <c r="EL17" s="19">
        <f>현금흐름취합!DX17</f>
        <v>0</v>
      </c>
      <c r="EM17" s="19">
        <f>현금흐름취합!DY17</f>
        <v>0</v>
      </c>
      <c r="EN17" s="19">
        <f>현금흐름취합!DZ17</f>
        <v>0</v>
      </c>
      <c r="EO17" s="19">
        <f>현금흐름취합!EA17</f>
        <v>0</v>
      </c>
      <c r="EP17" s="19">
        <f>현금흐름취합!EB17</f>
        <v>0</v>
      </c>
      <c r="EQ17" s="19">
        <f>현금흐름취합!EC17</f>
        <v>0</v>
      </c>
      <c r="ER17" s="19">
        <f>현금흐름취합!ED17</f>
        <v>0</v>
      </c>
      <c r="ES17" s="19">
        <f>현금흐름취합!EE17</f>
        <v>0</v>
      </c>
    </row>
    <row r="18" spans="1:149" hidden="1">
      <c r="A18" s="7">
        <f>현금흐름취합!A18</f>
        <v>0</v>
      </c>
      <c r="B18" s="7">
        <f>현금흐름취합!B18</f>
        <v>0</v>
      </c>
      <c r="C18" s="7">
        <f>현금흐름취합!C18</f>
        <v>0</v>
      </c>
      <c r="D18" s="8">
        <f>현금흐름취합!D18</f>
        <v>0</v>
      </c>
      <c r="E18" s="37"/>
      <c r="F18" s="8">
        <f>현금흐름취합!E18</f>
        <v>0</v>
      </c>
      <c r="G18" s="37" t="str">
        <f t="shared" si="1"/>
        <v>pool 고치세요</v>
      </c>
      <c r="H18" s="9">
        <f>현금흐름취합!F18</f>
        <v>0</v>
      </c>
      <c r="I18" s="10">
        <f>현금흐름취합!G18</f>
        <v>0</v>
      </c>
      <c r="J18" s="39" t="e">
        <f t="shared" si="2"/>
        <v>#DIV/0!</v>
      </c>
      <c r="K18" s="11">
        <f>현금흐름취합!H18</f>
        <v>0</v>
      </c>
      <c r="L18" s="40" t="e">
        <f>VLOOKUP(A18,'Sheet A'!$E$11:$K$60,7,0)=K18</f>
        <v>#N/A</v>
      </c>
      <c r="M18" s="12">
        <f>현금흐름취합!I18</f>
        <v>0</v>
      </c>
      <c r="N18" s="40" t="str">
        <f t="shared" si="3"/>
        <v>검토요</v>
      </c>
      <c r="O18" s="13">
        <f>현금흐름취합!J18</f>
        <v>0</v>
      </c>
      <c r="P18" s="14">
        <f>현금흐름취합!K18</f>
        <v>0</v>
      </c>
      <c r="Q18" s="18">
        <f>현금흐름취합!L18</f>
        <v>0</v>
      </c>
      <c r="R18" s="15">
        <f>현금흐름취합!M18</f>
        <v>0</v>
      </c>
      <c r="S18" s="40" t="e">
        <f t="shared" si="4"/>
        <v>#NUM!</v>
      </c>
      <c r="T18" s="16">
        <f>현금흐름취합!N18</f>
        <v>0</v>
      </c>
      <c r="U18" s="40" t="b">
        <f t="shared" si="0"/>
        <v>1</v>
      </c>
      <c r="V18" s="46">
        <f>SUMIF(일반여신!$E$10:$E$35,검증!A18,일반여신!$O$10:$O$35)*0.985-SUMIF(가지급금!$E$10:$E$180,A18,가지급금!$K$10:$K$180)+SUMIF(가지급금!$E$10:$E$180,검증!A18,가지급금!$O$10:$O$180)*0.985</f>
        <v>0</v>
      </c>
      <c r="W18" s="47">
        <f t="shared" si="5"/>
        <v>0</v>
      </c>
      <c r="X18" s="48"/>
      <c r="Y18" s="49">
        <f>SUMIF('Sheet D'!$E$11:$E$60,A18,'Sheet D'!$P$11:$P$60)</f>
        <v>0</v>
      </c>
      <c r="Z18" s="48">
        <f>SUMIFS(일반여신!$M$10:$M$35,일반여신!$E$10:$E$35,A18,일반여신!$P$10:$P$35,"신옹보증서대위변제")</f>
        <v>0</v>
      </c>
      <c r="AA18" s="48">
        <f t="shared" si="6"/>
        <v>0</v>
      </c>
      <c r="AB18" s="50"/>
      <c r="AC18" s="19">
        <f>현금흐름취합!O18</f>
        <v>0</v>
      </c>
      <c r="AD18" s="19">
        <f>현금흐름취합!P18</f>
        <v>0</v>
      </c>
      <c r="AE18" s="19">
        <f>현금흐름취합!Q18</f>
        <v>0</v>
      </c>
      <c r="AF18" s="19">
        <f>현금흐름취합!R18</f>
        <v>0</v>
      </c>
      <c r="AG18" s="19">
        <f>현금흐름취합!S18</f>
        <v>0</v>
      </c>
      <c r="AH18" s="19">
        <f>현금흐름취합!T18</f>
        <v>0</v>
      </c>
      <c r="AI18" s="19">
        <f>현금흐름취합!U18</f>
        <v>0</v>
      </c>
      <c r="AJ18" s="19">
        <f>현금흐름취합!V18</f>
        <v>0</v>
      </c>
      <c r="AK18" s="19">
        <f>현금흐름취합!W18</f>
        <v>0</v>
      </c>
      <c r="AL18" s="19">
        <f>현금흐름취합!X18</f>
        <v>0</v>
      </c>
      <c r="AM18" s="19">
        <f>현금흐름취합!Y18</f>
        <v>0</v>
      </c>
      <c r="AN18" s="19">
        <f>현금흐름취합!Z18</f>
        <v>0</v>
      </c>
      <c r="AO18" s="19">
        <f>현금흐름취합!AA18</f>
        <v>0</v>
      </c>
      <c r="AP18" s="19">
        <f>현금흐름취합!AB18</f>
        <v>0</v>
      </c>
      <c r="AQ18" s="19">
        <f>현금흐름취합!AC18</f>
        <v>0</v>
      </c>
      <c r="AR18" s="19">
        <f>현금흐름취합!AD18</f>
        <v>0</v>
      </c>
      <c r="AS18" s="19">
        <f>현금흐름취합!AE18</f>
        <v>0</v>
      </c>
      <c r="AT18" s="19">
        <f>현금흐름취합!AF18</f>
        <v>0</v>
      </c>
      <c r="AU18" s="19">
        <f>현금흐름취합!AG18</f>
        <v>0</v>
      </c>
      <c r="AV18" s="19">
        <f>현금흐름취합!AH18</f>
        <v>0</v>
      </c>
      <c r="AW18" s="19">
        <f>현금흐름취합!AI18</f>
        <v>0</v>
      </c>
      <c r="AX18" s="19">
        <f>현금흐름취합!AJ18</f>
        <v>0</v>
      </c>
      <c r="AY18" s="19">
        <f>현금흐름취합!AK18</f>
        <v>0</v>
      </c>
      <c r="AZ18" s="19">
        <f>현금흐름취합!AL18</f>
        <v>0</v>
      </c>
      <c r="BA18" s="19">
        <f>현금흐름취합!AM18</f>
        <v>0</v>
      </c>
      <c r="BB18" s="19">
        <f>현금흐름취합!AN18</f>
        <v>0</v>
      </c>
      <c r="BC18" s="19">
        <f>현금흐름취합!AO18</f>
        <v>0</v>
      </c>
      <c r="BD18" s="19">
        <f>현금흐름취합!AP18</f>
        <v>0</v>
      </c>
      <c r="BE18" s="19">
        <f>현금흐름취합!AQ18</f>
        <v>0</v>
      </c>
      <c r="BF18" s="19">
        <f>현금흐름취합!AR18</f>
        <v>0</v>
      </c>
      <c r="BG18" s="19">
        <f>현금흐름취합!AS18</f>
        <v>0</v>
      </c>
      <c r="BH18" s="19">
        <f>현금흐름취합!AT18</f>
        <v>0</v>
      </c>
      <c r="BI18" s="19">
        <f>현금흐름취합!AU18</f>
        <v>0</v>
      </c>
      <c r="BJ18" s="19">
        <f>현금흐름취합!AV18</f>
        <v>0</v>
      </c>
      <c r="BK18" s="19">
        <f>현금흐름취합!AW18</f>
        <v>0</v>
      </c>
      <c r="BL18" s="19">
        <f>현금흐름취합!AX18</f>
        <v>0</v>
      </c>
      <c r="BM18" s="19">
        <f>현금흐름취합!AY18</f>
        <v>0</v>
      </c>
      <c r="BN18" s="19">
        <f>현금흐름취합!AZ18</f>
        <v>0</v>
      </c>
      <c r="BO18" s="19">
        <f>현금흐름취합!BA18</f>
        <v>0</v>
      </c>
      <c r="BP18" s="19">
        <f>현금흐름취합!BB18</f>
        <v>0</v>
      </c>
      <c r="BQ18" s="19">
        <f>현금흐름취합!BC18</f>
        <v>0</v>
      </c>
      <c r="BR18" s="19">
        <f>현금흐름취합!BD18</f>
        <v>0</v>
      </c>
      <c r="BS18" s="19">
        <f>현금흐름취합!BE18</f>
        <v>0</v>
      </c>
      <c r="BT18" s="19">
        <f>현금흐름취합!BF18</f>
        <v>0</v>
      </c>
      <c r="BU18" s="19">
        <f>현금흐름취합!BG18</f>
        <v>0</v>
      </c>
      <c r="BV18" s="19">
        <f>현금흐름취합!BH18</f>
        <v>0</v>
      </c>
      <c r="BW18" s="19">
        <f>현금흐름취합!BI18</f>
        <v>0</v>
      </c>
      <c r="BX18" s="19">
        <f>현금흐름취합!BJ18</f>
        <v>0</v>
      </c>
      <c r="BY18" s="19">
        <f>현금흐름취합!BK18</f>
        <v>0</v>
      </c>
      <c r="BZ18" s="19">
        <f>현금흐름취합!BL18</f>
        <v>0</v>
      </c>
      <c r="CA18" s="19">
        <f>현금흐름취합!BM18</f>
        <v>0</v>
      </c>
      <c r="CB18" s="19">
        <f>현금흐름취합!BN18</f>
        <v>0</v>
      </c>
      <c r="CC18" s="19">
        <f>현금흐름취합!BO18</f>
        <v>0</v>
      </c>
      <c r="CD18" s="19">
        <f>현금흐름취합!BP18</f>
        <v>0</v>
      </c>
      <c r="CE18" s="19">
        <f>현금흐름취합!BQ18</f>
        <v>0</v>
      </c>
      <c r="CF18" s="19">
        <f>현금흐름취합!BR18</f>
        <v>0</v>
      </c>
      <c r="CG18" s="19">
        <f>현금흐름취합!BS18</f>
        <v>0</v>
      </c>
      <c r="CH18" s="19">
        <f>현금흐름취합!BT18</f>
        <v>0</v>
      </c>
      <c r="CI18" s="19">
        <f>현금흐름취합!BU18</f>
        <v>0</v>
      </c>
      <c r="CJ18" s="19">
        <f>현금흐름취합!BV18</f>
        <v>0</v>
      </c>
      <c r="CK18" s="19">
        <f>현금흐름취합!BW18</f>
        <v>0</v>
      </c>
      <c r="CL18" s="19">
        <f>현금흐름취합!BX18</f>
        <v>0</v>
      </c>
      <c r="CM18" s="19">
        <f>현금흐름취합!BY18</f>
        <v>0</v>
      </c>
      <c r="CN18" s="19">
        <f>현금흐름취합!BZ18</f>
        <v>0</v>
      </c>
      <c r="CO18" s="19">
        <f>현금흐름취합!CA18</f>
        <v>0</v>
      </c>
      <c r="CP18" s="19">
        <f>현금흐름취합!CB18</f>
        <v>0</v>
      </c>
      <c r="CQ18" s="19">
        <f>현금흐름취합!CC18</f>
        <v>0</v>
      </c>
      <c r="CR18" s="19">
        <f>현금흐름취합!CD18</f>
        <v>0</v>
      </c>
      <c r="CS18" s="19">
        <f>현금흐름취합!CE18</f>
        <v>0</v>
      </c>
      <c r="CT18" s="19">
        <f>현금흐름취합!CF18</f>
        <v>0</v>
      </c>
      <c r="CU18" s="19">
        <f>현금흐름취합!CG18</f>
        <v>0</v>
      </c>
      <c r="CV18" s="19">
        <f>현금흐름취합!CH18</f>
        <v>0</v>
      </c>
      <c r="CW18" s="19">
        <f>현금흐름취합!CI18</f>
        <v>0</v>
      </c>
      <c r="CX18" s="19">
        <f>현금흐름취합!CJ18</f>
        <v>0</v>
      </c>
      <c r="CY18" s="19">
        <f>현금흐름취합!CK18</f>
        <v>0</v>
      </c>
      <c r="CZ18" s="19">
        <f>현금흐름취합!CL18</f>
        <v>0</v>
      </c>
      <c r="DA18" s="19">
        <f>현금흐름취합!CM18</f>
        <v>0</v>
      </c>
      <c r="DB18" s="19">
        <f>현금흐름취합!CN18</f>
        <v>0</v>
      </c>
      <c r="DC18" s="19">
        <f>현금흐름취합!CO18</f>
        <v>0</v>
      </c>
      <c r="DD18" s="19">
        <f>현금흐름취합!CP18</f>
        <v>0</v>
      </c>
      <c r="DE18" s="19">
        <f>현금흐름취합!CQ18</f>
        <v>0</v>
      </c>
      <c r="DF18" s="19">
        <f>현금흐름취합!CR18</f>
        <v>0</v>
      </c>
      <c r="DG18" s="19">
        <f>현금흐름취합!CS18</f>
        <v>0</v>
      </c>
      <c r="DH18" s="19">
        <f>현금흐름취합!CT18</f>
        <v>0</v>
      </c>
      <c r="DI18" s="19">
        <f>현금흐름취합!CU18</f>
        <v>0</v>
      </c>
      <c r="DJ18" s="19">
        <f>현금흐름취합!CV18</f>
        <v>0</v>
      </c>
      <c r="DK18" s="19">
        <f>현금흐름취합!CW18</f>
        <v>0</v>
      </c>
      <c r="DL18" s="19">
        <f>현금흐름취합!CX18</f>
        <v>0</v>
      </c>
      <c r="DM18" s="19">
        <f>현금흐름취합!CY18</f>
        <v>0</v>
      </c>
      <c r="DN18" s="19">
        <f>현금흐름취합!CZ18</f>
        <v>0</v>
      </c>
      <c r="DO18" s="19">
        <f>현금흐름취합!DA18</f>
        <v>0</v>
      </c>
      <c r="DP18" s="19">
        <f>현금흐름취합!DB18</f>
        <v>0</v>
      </c>
      <c r="DQ18" s="19">
        <f>현금흐름취합!DC18</f>
        <v>0</v>
      </c>
      <c r="DR18" s="19">
        <f>현금흐름취합!DD18</f>
        <v>0</v>
      </c>
      <c r="DS18" s="19">
        <f>현금흐름취합!DE18</f>
        <v>0</v>
      </c>
      <c r="DT18" s="19">
        <f>현금흐름취합!DF18</f>
        <v>0</v>
      </c>
      <c r="DU18" s="19">
        <f>현금흐름취합!DG18</f>
        <v>0</v>
      </c>
      <c r="DV18" s="19">
        <f>현금흐름취합!DH18</f>
        <v>0</v>
      </c>
      <c r="DW18" s="19">
        <f>현금흐름취합!DI18</f>
        <v>0</v>
      </c>
      <c r="DX18" s="19">
        <f>현금흐름취합!DJ18</f>
        <v>0</v>
      </c>
      <c r="DY18" s="19">
        <f>현금흐름취합!DK18</f>
        <v>0</v>
      </c>
      <c r="DZ18" s="19">
        <f>현금흐름취합!DL18</f>
        <v>0</v>
      </c>
      <c r="EA18" s="19">
        <f>현금흐름취합!DM18</f>
        <v>0</v>
      </c>
      <c r="EB18" s="19">
        <f>현금흐름취합!DN18</f>
        <v>0</v>
      </c>
      <c r="EC18" s="19">
        <f>현금흐름취합!DO18</f>
        <v>0</v>
      </c>
      <c r="ED18" s="19">
        <f>현금흐름취합!DP18</f>
        <v>0</v>
      </c>
      <c r="EE18" s="19">
        <f>현금흐름취합!DQ18</f>
        <v>0</v>
      </c>
      <c r="EF18" s="19">
        <f>현금흐름취합!DR18</f>
        <v>0</v>
      </c>
      <c r="EG18" s="19">
        <f>현금흐름취합!DS18</f>
        <v>0</v>
      </c>
      <c r="EH18" s="19">
        <f>현금흐름취합!DT18</f>
        <v>0</v>
      </c>
      <c r="EI18" s="19">
        <f>현금흐름취합!DU18</f>
        <v>0</v>
      </c>
      <c r="EJ18" s="19">
        <f>현금흐름취합!DV18</f>
        <v>0</v>
      </c>
      <c r="EK18" s="19">
        <f>현금흐름취합!DW18</f>
        <v>0</v>
      </c>
      <c r="EL18" s="19">
        <f>현금흐름취합!DX18</f>
        <v>0</v>
      </c>
      <c r="EM18" s="19">
        <f>현금흐름취합!DY18</f>
        <v>0</v>
      </c>
      <c r="EN18" s="19">
        <f>현금흐름취합!DZ18</f>
        <v>0</v>
      </c>
      <c r="EO18" s="19">
        <f>현금흐름취합!EA18</f>
        <v>0</v>
      </c>
      <c r="EP18" s="19">
        <f>현금흐름취합!EB18</f>
        <v>0</v>
      </c>
      <c r="EQ18" s="19">
        <f>현금흐름취합!EC18</f>
        <v>0</v>
      </c>
      <c r="ER18" s="19">
        <f>현금흐름취합!ED18</f>
        <v>0</v>
      </c>
      <c r="ES18" s="19">
        <f>현금흐름취합!EE18</f>
        <v>0</v>
      </c>
    </row>
    <row r="19" spans="1:149" hidden="1">
      <c r="A19" s="7">
        <f>현금흐름취합!A19</f>
        <v>0</v>
      </c>
      <c r="B19" s="7">
        <f>현금흐름취합!B19</f>
        <v>0</v>
      </c>
      <c r="C19" s="7">
        <f>현금흐름취합!C19</f>
        <v>0</v>
      </c>
      <c r="D19" s="8">
        <f>현금흐름취합!D19</f>
        <v>0</v>
      </c>
      <c r="E19" s="37" t="str">
        <f t="shared" ref="E19" si="12">IF(R18&gt;R19,"역전현상","이상없음")</f>
        <v>이상없음</v>
      </c>
      <c r="F19" s="8">
        <f>현금흐름취합!E19</f>
        <v>0</v>
      </c>
      <c r="G19" s="37" t="str">
        <f t="shared" si="1"/>
        <v>pool 고치세요</v>
      </c>
      <c r="H19" s="9">
        <f>현금흐름취합!F19</f>
        <v>0</v>
      </c>
      <c r="I19" s="10">
        <f>현금흐름취합!G19</f>
        <v>0</v>
      </c>
      <c r="J19" s="39" t="e">
        <f t="shared" si="2"/>
        <v>#DIV/0!</v>
      </c>
      <c r="K19" s="11">
        <f>현금흐름취합!H19</f>
        <v>0</v>
      </c>
      <c r="L19" s="40" t="e">
        <f>VLOOKUP(A19,'Sheet A'!$E$11:$K$60,7,0)=K19</f>
        <v>#N/A</v>
      </c>
      <c r="M19" s="12">
        <f>현금흐름취합!I19</f>
        <v>0</v>
      </c>
      <c r="N19" s="40" t="str">
        <f t="shared" si="3"/>
        <v>검토요</v>
      </c>
      <c r="O19" s="13">
        <f>현금흐름취합!J19</f>
        <v>0</v>
      </c>
      <c r="P19" s="14">
        <f>현금흐름취합!K19</f>
        <v>0</v>
      </c>
      <c r="Q19" s="18">
        <f>현금흐름취합!L19</f>
        <v>0</v>
      </c>
      <c r="R19" s="15">
        <f>현금흐름취합!M19</f>
        <v>0</v>
      </c>
      <c r="S19" s="40" t="e">
        <f t="shared" si="4"/>
        <v>#NUM!</v>
      </c>
      <c r="T19" s="16">
        <f>현금흐름취합!N19</f>
        <v>0</v>
      </c>
      <c r="U19" s="40" t="b">
        <f t="shared" si="0"/>
        <v>1</v>
      </c>
      <c r="V19" s="46">
        <f>SUMIF(일반여신!$E$10:$E$35,검증!A19,일반여신!$O$10:$O$35)*0.985-SUMIF(가지급금!$E$10:$E$180,A19,가지급금!$K$10:$K$180)+SUMIF(가지급금!$E$10:$E$180,검증!A19,가지급금!$O$10:$O$180)*0.985</f>
        <v>0</v>
      </c>
      <c r="W19" s="47">
        <f t="shared" si="5"/>
        <v>0</v>
      </c>
      <c r="X19" s="48"/>
      <c r="Y19" s="49">
        <f>SUMIF('Sheet D'!$E$11:$E$60,A19,'Sheet D'!$P$11:$P$60)</f>
        <v>0</v>
      </c>
      <c r="Z19" s="48">
        <f>SUMIFS(일반여신!$M$10:$M$35,일반여신!$E$10:$E$35,A19,일반여신!$P$10:$P$35,"신옹보증서대위변제")</f>
        <v>0</v>
      </c>
      <c r="AA19" s="48">
        <f t="shared" si="6"/>
        <v>0</v>
      </c>
      <c r="AB19" s="50"/>
      <c r="AC19" s="19">
        <f>현금흐름취합!O19</f>
        <v>0</v>
      </c>
      <c r="AD19" s="19">
        <f>현금흐름취합!P19</f>
        <v>0</v>
      </c>
      <c r="AE19" s="19">
        <f>현금흐름취합!Q19</f>
        <v>0</v>
      </c>
      <c r="AF19" s="19">
        <f>현금흐름취합!R19</f>
        <v>0</v>
      </c>
      <c r="AG19" s="19">
        <f>현금흐름취합!S19</f>
        <v>0</v>
      </c>
      <c r="AH19" s="19">
        <f>현금흐름취합!T19</f>
        <v>0</v>
      </c>
      <c r="AI19" s="19">
        <f>현금흐름취합!U19</f>
        <v>0</v>
      </c>
      <c r="AJ19" s="19">
        <f>현금흐름취합!V19</f>
        <v>0</v>
      </c>
      <c r="AK19" s="19">
        <f>현금흐름취합!W19</f>
        <v>0</v>
      </c>
      <c r="AL19" s="19">
        <f>현금흐름취합!X19</f>
        <v>0</v>
      </c>
      <c r="AM19" s="19">
        <f>현금흐름취합!Y19</f>
        <v>0</v>
      </c>
      <c r="AN19" s="19">
        <f>현금흐름취합!Z19</f>
        <v>0</v>
      </c>
      <c r="AO19" s="19">
        <f>현금흐름취합!AA19</f>
        <v>0</v>
      </c>
      <c r="AP19" s="19">
        <f>현금흐름취합!AB19</f>
        <v>0</v>
      </c>
      <c r="AQ19" s="19">
        <f>현금흐름취합!AC19</f>
        <v>0</v>
      </c>
      <c r="AR19" s="19">
        <f>현금흐름취합!AD19</f>
        <v>0</v>
      </c>
      <c r="AS19" s="19">
        <f>현금흐름취합!AE19</f>
        <v>0</v>
      </c>
      <c r="AT19" s="19">
        <f>현금흐름취합!AF19</f>
        <v>0</v>
      </c>
      <c r="AU19" s="19">
        <f>현금흐름취합!AG19</f>
        <v>0</v>
      </c>
      <c r="AV19" s="19">
        <f>현금흐름취합!AH19</f>
        <v>0</v>
      </c>
      <c r="AW19" s="19">
        <f>현금흐름취합!AI19</f>
        <v>0</v>
      </c>
      <c r="AX19" s="19">
        <f>현금흐름취합!AJ19</f>
        <v>0</v>
      </c>
      <c r="AY19" s="19">
        <f>현금흐름취합!AK19</f>
        <v>0</v>
      </c>
      <c r="AZ19" s="19">
        <f>현금흐름취합!AL19</f>
        <v>0</v>
      </c>
      <c r="BA19" s="19">
        <f>현금흐름취합!AM19</f>
        <v>0</v>
      </c>
      <c r="BB19" s="19">
        <f>현금흐름취합!AN19</f>
        <v>0</v>
      </c>
      <c r="BC19" s="19">
        <f>현금흐름취합!AO19</f>
        <v>0</v>
      </c>
      <c r="BD19" s="19">
        <f>현금흐름취합!AP19</f>
        <v>0</v>
      </c>
      <c r="BE19" s="19">
        <f>현금흐름취합!AQ19</f>
        <v>0</v>
      </c>
      <c r="BF19" s="19">
        <f>현금흐름취합!AR19</f>
        <v>0</v>
      </c>
      <c r="BG19" s="19">
        <f>현금흐름취합!AS19</f>
        <v>0</v>
      </c>
      <c r="BH19" s="19">
        <f>현금흐름취합!AT19</f>
        <v>0</v>
      </c>
      <c r="BI19" s="19">
        <f>현금흐름취합!AU19</f>
        <v>0</v>
      </c>
      <c r="BJ19" s="19">
        <f>현금흐름취합!AV19</f>
        <v>0</v>
      </c>
      <c r="BK19" s="19">
        <f>현금흐름취합!AW19</f>
        <v>0</v>
      </c>
      <c r="BL19" s="19">
        <f>현금흐름취합!AX19</f>
        <v>0</v>
      </c>
      <c r="BM19" s="19">
        <f>현금흐름취합!AY19</f>
        <v>0</v>
      </c>
      <c r="BN19" s="19">
        <f>현금흐름취합!AZ19</f>
        <v>0</v>
      </c>
      <c r="BO19" s="19">
        <f>현금흐름취합!BA19</f>
        <v>0</v>
      </c>
      <c r="BP19" s="19">
        <f>현금흐름취합!BB19</f>
        <v>0</v>
      </c>
      <c r="BQ19" s="19">
        <f>현금흐름취합!BC19</f>
        <v>0</v>
      </c>
      <c r="BR19" s="19">
        <f>현금흐름취합!BD19</f>
        <v>0</v>
      </c>
      <c r="BS19" s="19">
        <f>현금흐름취합!BE19</f>
        <v>0</v>
      </c>
      <c r="BT19" s="19">
        <f>현금흐름취합!BF19</f>
        <v>0</v>
      </c>
      <c r="BU19" s="19">
        <f>현금흐름취합!BG19</f>
        <v>0</v>
      </c>
      <c r="BV19" s="19">
        <f>현금흐름취합!BH19</f>
        <v>0</v>
      </c>
      <c r="BW19" s="19">
        <f>현금흐름취합!BI19</f>
        <v>0</v>
      </c>
      <c r="BX19" s="19">
        <f>현금흐름취합!BJ19</f>
        <v>0</v>
      </c>
      <c r="BY19" s="19">
        <f>현금흐름취합!BK19</f>
        <v>0</v>
      </c>
      <c r="BZ19" s="19">
        <f>현금흐름취합!BL19</f>
        <v>0</v>
      </c>
      <c r="CA19" s="19">
        <f>현금흐름취합!BM19</f>
        <v>0</v>
      </c>
      <c r="CB19" s="19">
        <f>현금흐름취합!BN19</f>
        <v>0</v>
      </c>
      <c r="CC19" s="19">
        <f>현금흐름취합!BO19</f>
        <v>0</v>
      </c>
      <c r="CD19" s="19">
        <f>현금흐름취합!BP19</f>
        <v>0</v>
      </c>
      <c r="CE19" s="19">
        <f>현금흐름취합!BQ19</f>
        <v>0</v>
      </c>
      <c r="CF19" s="19">
        <f>현금흐름취합!BR19</f>
        <v>0</v>
      </c>
      <c r="CG19" s="19">
        <f>현금흐름취합!BS19</f>
        <v>0</v>
      </c>
      <c r="CH19" s="19">
        <f>현금흐름취합!BT19</f>
        <v>0</v>
      </c>
      <c r="CI19" s="19">
        <f>현금흐름취합!BU19</f>
        <v>0</v>
      </c>
      <c r="CJ19" s="19">
        <f>현금흐름취합!BV19</f>
        <v>0</v>
      </c>
      <c r="CK19" s="19">
        <f>현금흐름취합!BW19</f>
        <v>0</v>
      </c>
      <c r="CL19" s="19">
        <f>현금흐름취합!BX19</f>
        <v>0</v>
      </c>
      <c r="CM19" s="19">
        <f>현금흐름취합!BY19</f>
        <v>0</v>
      </c>
      <c r="CN19" s="19">
        <f>현금흐름취합!BZ19</f>
        <v>0</v>
      </c>
      <c r="CO19" s="19">
        <f>현금흐름취합!CA19</f>
        <v>0</v>
      </c>
      <c r="CP19" s="19">
        <f>현금흐름취합!CB19</f>
        <v>0</v>
      </c>
      <c r="CQ19" s="19">
        <f>현금흐름취합!CC19</f>
        <v>0</v>
      </c>
      <c r="CR19" s="19">
        <f>현금흐름취합!CD19</f>
        <v>0</v>
      </c>
      <c r="CS19" s="19">
        <f>현금흐름취합!CE19</f>
        <v>0</v>
      </c>
      <c r="CT19" s="19">
        <f>현금흐름취합!CF19</f>
        <v>0</v>
      </c>
      <c r="CU19" s="19">
        <f>현금흐름취합!CG19</f>
        <v>0</v>
      </c>
      <c r="CV19" s="19">
        <f>현금흐름취합!CH19</f>
        <v>0</v>
      </c>
      <c r="CW19" s="19">
        <f>현금흐름취합!CI19</f>
        <v>0</v>
      </c>
      <c r="CX19" s="19">
        <f>현금흐름취합!CJ19</f>
        <v>0</v>
      </c>
      <c r="CY19" s="19">
        <f>현금흐름취합!CK19</f>
        <v>0</v>
      </c>
      <c r="CZ19" s="19">
        <f>현금흐름취합!CL19</f>
        <v>0</v>
      </c>
      <c r="DA19" s="19">
        <f>현금흐름취합!CM19</f>
        <v>0</v>
      </c>
      <c r="DB19" s="19">
        <f>현금흐름취합!CN19</f>
        <v>0</v>
      </c>
      <c r="DC19" s="19">
        <f>현금흐름취합!CO19</f>
        <v>0</v>
      </c>
      <c r="DD19" s="19">
        <f>현금흐름취합!CP19</f>
        <v>0</v>
      </c>
      <c r="DE19" s="19">
        <f>현금흐름취합!CQ19</f>
        <v>0</v>
      </c>
      <c r="DF19" s="19">
        <f>현금흐름취합!CR19</f>
        <v>0</v>
      </c>
      <c r="DG19" s="19">
        <f>현금흐름취합!CS19</f>
        <v>0</v>
      </c>
      <c r="DH19" s="19">
        <f>현금흐름취합!CT19</f>
        <v>0</v>
      </c>
      <c r="DI19" s="19">
        <f>현금흐름취합!CU19</f>
        <v>0</v>
      </c>
      <c r="DJ19" s="19">
        <f>현금흐름취합!CV19</f>
        <v>0</v>
      </c>
      <c r="DK19" s="19">
        <f>현금흐름취합!CW19</f>
        <v>0</v>
      </c>
      <c r="DL19" s="19">
        <f>현금흐름취합!CX19</f>
        <v>0</v>
      </c>
      <c r="DM19" s="19">
        <f>현금흐름취합!CY19</f>
        <v>0</v>
      </c>
      <c r="DN19" s="19">
        <f>현금흐름취합!CZ19</f>
        <v>0</v>
      </c>
      <c r="DO19" s="19">
        <f>현금흐름취합!DA19</f>
        <v>0</v>
      </c>
      <c r="DP19" s="19">
        <f>현금흐름취합!DB19</f>
        <v>0</v>
      </c>
      <c r="DQ19" s="19">
        <f>현금흐름취합!DC19</f>
        <v>0</v>
      </c>
      <c r="DR19" s="19">
        <f>현금흐름취합!DD19</f>
        <v>0</v>
      </c>
      <c r="DS19" s="19">
        <f>현금흐름취합!DE19</f>
        <v>0</v>
      </c>
      <c r="DT19" s="19">
        <f>현금흐름취합!DF19</f>
        <v>0</v>
      </c>
      <c r="DU19" s="19">
        <f>현금흐름취합!DG19</f>
        <v>0</v>
      </c>
      <c r="DV19" s="19">
        <f>현금흐름취합!DH19</f>
        <v>0</v>
      </c>
      <c r="DW19" s="19">
        <f>현금흐름취합!DI19</f>
        <v>0</v>
      </c>
      <c r="DX19" s="19">
        <f>현금흐름취합!DJ19</f>
        <v>0</v>
      </c>
      <c r="DY19" s="19">
        <f>현금흐름취합!DK19</f>
        <v>0</v>
      </c>
      <c r="DZ19" s="19">
        <f>현금흐름취합!DL19</f>
        <v>0</v>
      </c>
      <c r="EA19" s="19">
        <f>현금흐름취합!DM19</f>
        <v>0</v>
      </c>
      <c r="EB19" s="19">
        <f>현금흐름취합!DN19</f>
        <v>0</v>
      </c>
      <c r="EC19" s="19">
        <f>현금흐름취합!DO19</f>
        <v>0</v>
      </c>
      <c r="ED19" s="19">
        <f>현금흐름취합!DP19</f>
        <v>0</v>
      </c>
      <c r="EE19" s="19">
        <f>현금흐름취합!DQ19</f>
        <v>0</v>
      </c>
      <c r="EF19" s="19">
        <f>현금흐름취합!DR19</f>
        <v>0</v>
      </c>
      <c r="EG19" s="19">
        <f>현금흐름취합!DS19</f>
        <v>0</v>
      </c>
      <c r="EH19" s="19">
        <f>현금흐름취합!DT19</f>
        <v>0</v>
      </c>
      <c r="EI19" s="19">
        <f>현금흐름취합!DU19</f>
        <v>0</v>
      </c>
      <c r="EJ19" s="19">
        <f>현금흐름취합!DV19</f>
        <v>0</v>
      </c>
      <c r="EK19" s="19">
        <f>현금흐름취합!DW19</f>
        <v>0</v>
      </c>
      <c r="EL19" s="19">
        <f>현금흐름취합!DX19</f>
        <v>0</v>
      </c>
      <c r="EM19" s="19">
        <f>현금흐름취합!DY19</f>
        <v>0</v>
      </c>
      <c r="EN19" s="19">
        <f>현금흐름취합!DZ19</f>
        <v>0</v>
      </c>
      <c r="EO19" s="19">
        <f>현금흐름취합!EA19</f>
        <v>0</v>
      </c>
      <c r="EP19" s="19">
        <f>현금흐름취합!EB19</f>
        <v>0</v>
      </c>
      <c r="EQ19" s="19">
        <f>현금흐름취합!EC19</f>
        <v>0</v>
      </c>
      <c r="ER19" s="19">
        <f>현금흐름취합!ED19</f>
        <v>0</v>
      </c>
      <c r="ES19" s="19">
        <f>현금흐름취합!EE19</f>
        <v>0</v>
      </c>
    </row>
    <row r="20" spans="1:149" hidden="1">
      <c r="A20" s="7">
        <f>현금흐름취합!A20</f>
        <v>0</v>
      </c>
      <c r="B20" s="7">
        <f>현금흐름취합!B20</f>
        <v>0</v>
      </c>
      <c r="C20" s="7">
        <f>현금흐름취합!C20</f>
        <v>0</v>
      </c>
      <c r="D20" s="8">
        <f>현금흐름취합!D20</f>
        <v>0</v>
      </c>
      <c r="E20" s="37"/>
      <c r="F20" s="8">
        <f>현금흐름취합!E20</f>
        <v>0</v>
      </c>
      <c r="G20" s="37" t="str">
        <f t="shared" si="1"/>
        <v>pool 고치세요</v>
      </c>
      <c r="H20" s="9">
        <f>현금흐름취합!F20</f>
        <v>0</v>
      </c>
      <c r="I20" s="10">
        <f>현금흐름취합!G20</f>
        <v>0</v>
      </c>
      <c r="J20" s="39" t="e">
        <f t="shared" si="2"/>
        <v>#DIV/0!</v>
      </c>
      <c r="K20" s="11">
        <f>현금흐름취합!H20</f>
        <v>0</v>
      </c>
      <c r="L20" s="40" t="e">
        <f>VLOOKUP(A20,'Sheet A'!$E$11:$K$60,7,0)=K20</f>
        <v>#N/A</v>
      </c>
      <c r="M20" s="12">
        <f>현금흐름취합!I20</f>
        <v>0</v>
      </c>
      <c r="N20" s="40" t="str">
        <f t="shared" si="3"/>
        <v>검토요</v>
      </c>
      <c r="O20" s="13">
        <f>현금흐름취합!J20</f>
        <v>0</v>
      </c>
      <c r="P20" s="14">
        <f>현금흐름취합!K20</f>
        <v>0</v>
      </c>
      <c r="Q20" s="18">
        <f>현금흐름취합!L20</f>
        <v>0</v>
      </c>
      <c r="R20" s="15">
        <f>현금흐름취합!M20</f>
        <v>0</v>
      </c>
      <c r="S20" s="40" t="e">
        <f t="shared" si="4"/>
        <v>#NUM!</v>
      </c>
      <c r="T20" s="16">
        <f>현금흐름취합!N20</f>
        <v>0</v>
      </c>
      <c r="U20" s="40" t="b">
        <f t="shared" si="0"/>
        <v>1</v>
      </c>
      <c r="V20" s="46">
        <f>SUMIF(일반여신!$E$10:$E$35,검증!A20,일반여신!$O$10:$O$35)*0.985-SUMIF(가지급금!$E$10:$E$180,A20,가지급금!$K$10:$K$180)+SUMIF(가지급금!$E$10:$E$180,검증!A20,가지급금!$O$10:$O$180)*0.985</f>
        <v>0</v>
      </c>
      <c r="W20" s="47">
        <f t="shared" ref="W20:W39" si="13">V20-AC20</f>
        <v>0</v>
      </c>
      <c r="X20" s="48"/>
      <c r="Y20" s="49">
        <f>SUMIF('Sheet D'!$E$11:$E$60,A20,'Sheet D'!$P$11:$P$60)</f>
        <v>0</v>
      </c>
      <c r="Z20" s="48">
        <f>SUMIFS(일반여신!$M$10:$M$35,일반여신!$E$10:$E$35,A20,일반여신!$P$10:$P$35,"신옹보증서대위변제")</f>
        <v>0</v>
      </c>
      <c r="AA20" s="48">
        <f t="shared" si="6"/>
        <v>0</v>
      </c>
      <c r="AB20" s="50"/>
      <c r="AC20" s="19">
        <f>현금흐름취합!O20</f>
        <v>0</v>
      </c>
      <c r="AD20" s="19">
        <f>현금흐름취합!P20</f>
        <v>0</v>
      </c>
      <c r="AE20" s="19">
        <f>현금흐름취합!Q20</f>
        <v>0</v>
      </c>
      <c r="AF20" s="19">
        <f>현금흐름취합!R20</f>
        <v>0</v>
      </c>
      <c r="AG20" s="19">
        <f>현금흐름취합!S20</f>
        <v>0</v>
      </c>
      <c r="AH20" s="19">
        <f>현금흐름취합!T20</f>
        <v>0</v>
      </c>
      <c r="AI20" s="19">
        <f>현금흐름취합!U20</f>
        <v>0</v>
      </c>
      <c r="AJ20" s="19">
        <f>현금흐름취합!V20</f>
        <v>0</v>
      </c>
      <c r="AK20" s="19">
        <f>현금흐름취합!W20</f>
        <v>0</v>
      </c>
      <c r="AL20" s="19">
        <f>현금흐름취합!X20</f>
        <v>0</v>
      </c>
      <c r="AM20" s="19">
        <f>현금흐름취합!Y20</f>
        <v>0</v>
      </c>
      <c r="AN20" s="19">
        <f>현금흐름취합!Z20</f>
        <v>0</v>
      </c>
      <c r="AO20" s="19">
        <f>현금흐름취합!AA20</f>
        <v>0</v>
      </c>
      <c r="AP20" s="19">
        <f>현금흐름취합!AB20</f>
        <v>0</v>
      </c>
      <c r="AQ20" s="19">
        <f>현금흐름취합!AC20</f>
        <v>0</v>
      </c>
      <c r="AR20" s="19">
        <f>현금흐름취합!AD20</f>
        <v>0</v>
      </c>
      <c r="AS20" s="19">
        <f>현금흐름취합!AE20</f>
        <v>0</v>
      </c>
      <c r="AT20" s="19">
        <f>현금흐름취합!AF20</f>
        <v>0</v>
      </c>
      <c r="AU20" s="19">
        <f>현금흐름취합!AG20</f>
        <v>0</v>
      </c>
      <c r="AV20" s="19">
        <f>현금흐름취합!AH20</f>
        <v>0</v>
      </c>
      <c r="AW20" s="19">
        <f>현금흐름취합!AI20</f>
        <v>0</v>
      </c>
      <c r="AX20" s="19">
        <f>현금흐름취합!AJ20</f>
        <v>0</v>
      </c>
      <c r="AY20" s="19">
        <f>현금흐름취합!AK20</f>
        <v>0</v>
      </c>
      <c r="AZ20" s="19">
        <f>현금흐름취합!AL20</f>
        <v>0</v>
      </c>
      <c r="BA20" s="19">
        <f>현금흐름취합!AM20</f>
        <v>0</v>
      </c>
      <c r="BB20" s="19">
        <f>현금흐름취합!AN20</f>
        <v>0</v>
      </c>
      <c r="BC20" s="19">
        <f>현금흐름취합!AO20</f>
        <v>0</v>
      </c>
      <c r="BD20" s="19">
        <f>현금흐름취합!AP20</f>
        <v>0</v>
      </c>
      <c r="BE20" s="19">
        <f>현금흐름취합!AQ20</f>
        <v>0</v>
      </c>
      <c r="BF20" s="19">
        <f>현금흐름취합!AR20</f>
        <v>0</v>
      </c>
      <c r="BG20" s="19">
        <f>현금흐름취합!AS20</f>
        <v>0</v>
      </c>
      <c r="BH20" s="19">
        <f>현금흐름취합!AT20</f>
        <v>0</v>
      </c>
      <c r="BI20" s="19">
        <f>현금흐름취합!AU20</f>
        <v>0</v>
      </c>
      <c r="BJ20" s="19">
        <f>현금흐름취합!AV20</f>
        <v>0</v>
      </c>
      <c r="BK20" s="19">
        <f>현금흐름취합!AW20</f>
        <v>0</v>
      </c>
      <c r="BL20" s="19">
        <f>현금흐름취합!AX20</f>
        <v>0</v>
      </c>
      <c r="BM20" s="19">
        <f>현금흐름취합!AY20</f>
        <v>0</v>
      </c>
      <c r="BN20" s="19">
        <f>현금흐름취합!AZ20</f>
        <v>0</v>
      </c>
      <c r="BO20" s="19">
        <f>현금흐름취합!BA20</f>
        <v>0</v>
      </c>
      <c r="BP20" s="19">
        <f>현금흐름취합!BB20</f>
        <v>0</v>
      </c>
      <c r="BQ20" s="19">
        <f>현금흐름취합!BC20</f>
        <v>0</v>
      </c>
      <c r="BR20" s="19">
        <f>현금흐름취합!BD20</f>
        <v>0</v>
      </c>
      <c r="BS20" s="19">
        <f>현금흐름취합!BE20</f>
        <v>0</v>
      </c>
      <c r="BT20" s="19">
        <f>현금흐름취합!BF20</f>
        <v>0</v>
      </c>
      <c r="BU20" s="19">
        <f>현금흐름취합!BG20</f>
        <v>0</v>
      </c>
      <c r="BV20" s="19">
        <f>현금흐름취합!BH20</f>
        <v>0</v>
      </c>
      <c r="BW20" s="19">
        <f>현금흐름취합!BI20</f>
        <v>0</v>
      </c>
      <c r="BX20" s="19">
        <f>현금흐름취합!BJ20</f>
        <v>0</v>
      </c>
      <c r="BY20" s="19">
        <f>현금흐름취합!BK20</f>
        <v>0</v>
      </c>
      <c r="BZ20" s="19">
        <f>현금흐름취합!BL20</f>
        <v>0</v>
      </c>
      <c r="CA20" s="19">
        <f>현금흐름취합!BM20</f>
        <v>0</v>
      </c>
      <c r="CB20" s="19">
        <f>현금흐름취합!BN20</f>
        <v>0</v>
      </c>
      <c r="CC20" s="19">
        <f>현금흐름취합!BO20</f>
        <v>0</v>
      </c>
      <c r="CD20" s="19">
        <f>현금흐름취합!BP20</f>
        <v>0</v>
      </c>
      <c r="CE20" s="19">
        <f>현금흐름취합!BQ20</f>
        <v>0</v>
      </c>
      <c r="CF20" s="19">
        <f>현금흐름취합!BR20</f>
        <v>0</v>
      </c>
      <c r="CG20" s="19">
        <f>현금흐름취합!BS20</f>
        <v>0</v>
      </c>
      <c r="CH20" s="19">
        <f>현금흐름취합!BT20</f>
        <v>0</v>
      </c>
      <c r="CI20" s="19">
        <f>현금흐름취합!BU20</f>
        <v>0</v>
      </c>
      <c r="CJ20" s="19">
        <f>현금흐름취합!BV20</f>
        <v>0</v>
      </c>
      <c r="CK20" s="19">
        <f>현금흐름취합!BW20</f>
        <v>0</v>
      </c>
      <c r="CL20" s="19">
        <f>현금흐름취합!BX20</f>
        <v>0</v>
      </c>
      <c r="CM20" s="19">
        <f>현금흐름취합!BY20</f>
        <v>0</v>
      </c>
      <c r="CN20" s="19">
        <f>현금흐름취합!BZ20</f>
        <v>0</v>
      </c>
      <c r="CO20" s="19">
        <f>현금흐름취합!CA20</f>
        <v>0</v>
      </c>
      <c r="CP20" s="19">
        <f>현금흐름취합!CB20</f>
        <v>0</v>
      </c>
      <c r="CQ20" s="19">
        <f>현금흐름취합!CC20</f>
        <v>0</v>
      </c>
      <c r="CR20" s="19">
        <f>현금흐름취합!CD20</f>
        <v>0</v>
      </c>
      <c r="CS20" s="19">
        <f>현금흐름취합!CE20</f>
        <v>0</v>
      </c>
      <c r="CT20" s="19">
        <f>현금흐름취합!CF20</f>
        <v>0</v>
      </c>
      <c r="CU20" s="19">
        <f>현금흐름취합!CG20</f>
        <v>0</v>
      </c>
      <c r="CV20" s="19">
        <f>현금흐름취합!CH20</f>
        <v>0</v>
      </c>
      <c r="CW20" s="19">
        <f>현금흐름취합!CI20</f>
        <v>0</v>
      </c>
      <c r="CX20" s="19">
        <f>현금흐름취합!CJ20</f>
        <v>0</v>
      </c>
      <c r="CY20" s="19">
        <f>현금흐름취합!CK20</f>
        <v>0</v>
      </c>
      <c r="CZ20" s="19">
        <f>현금흐름취합!CL20</f>
        <v>0</v>
      </c>
      <c r="DA20" s="19">
        <f>현금흐름취합!CM20</f>
        <v>0</v>
      </c>
      <c r="DB20" s="19">
        <f>현금흐름취합!CN20</f>
        <v>0</v>
      </c>
      <c r="DC20" s="19">
        <f>현금흐름취합!CO20</f>
        <v>0</v>
      </c>
      <c r="DD20" s="19">
        <f>현금흐름취합!CP20</f>
        <v>0</v>
      </c>
      <c r="DE20" s="19">
        <f>현금흐름취합!CQ20</f>
        <v>0</v>
      </c>
      <c r="DF20" s="19">
        <f>현금흐름취합!CR20</f>
        <v>0</v>
      </c>
      <c r="DG20" s="19">
        <f>현금흐름취합!CS20</f>
        <v>0</v>
      </c>
      <c r="DH20" s="19">
        <f>현금흐름취합!CT20</f>
        <v>0</v>
      </c>
      <c r="DI20" s="19">
        <f>현금흐름취합!CU20</f>
        <v>0</v>
      </c>
      <c r="DJ20" s="19">
        <f>현금흐름취합!CV20</f>
        <v>0</v>
      </c>
      <c r="DK20" s="19">
        <f>현금흐름취합!CW20</f>
        <v>0</v>
      </c>
      <c r="DL20" s="19">
        <f>현금흐름취합!CX20</f>
        <v>0</v>
      </c>
      <c r="DM20" s="19">
        <f>현금흐름취합!CY20</f>
        <v>0</v>
      </c>
      <c r="DN20" s="19">
        <f>현금흐름취합!CZ20</f>
        <v>0</v>
      </c>
      <c r="DO20" s="19">
        <f>현금흐름취합!DA20</f>
        <v>0</v>
      </c>
      <c r="DP20" s="19">
        <f>현금흐름취합!DB20</f>
        <v>0</v>
      </c>
      <c r="DQ20" s="19">
        <f>현금흐름취합!DC20</f>
        <v>0</v>
      </c>
      <c r="DR20" s="19">
        <f>현금흐름취합!DD20</f>
        <v>0</v>
      </c>
      <c r="DS20" s="19">
        <f>현금흐름취합!DE20</f>
        <v>0</v>
      </c>
      <c r="DT20" s="19">
        <f>현금흐름취합!DF20</f>
        <v>0</v>
      </c>
      <c r="DU20" s="19">
        <f>현금흐름취합!DG20</f>
        <v>0</v>
      </c>
      <c r="DV20" s="19">
        <f>현금흐름취합!DH20</f>
        <v>0</v>
      </c>
      <c r="DW20" s="19">
        <f>현금흐름취합!DI20</f>
        <v>0</v>
      </c>
      <c r="DX20" s="19">
        <f>현금흐름취합!DJ20</f>
        <v>0</v>
      </c>
      <c r="DY20" s="19">
        <f>현금흐름취합!DK20</f>
        <v>0</v>
      </c>
      <c r="DZ20" s="19">
        <f>현금흐름취합!DL20</f>
        <v>0</v>
      </c>
      <c r="EA20" s="19">
        <f>현금흐름취합!DM20</f>
        <v>0</v>
      </c>
      <c r="EB20" s="19">
        <f>현금흐름취합!DN20</f>
        <v>0</v>
      </c>
      <c r="EC20" s="19">
        <f>현금흐름취합!DO20</f>
        <v>0</v>
      </c>
      <c r="ED20" s="19">
        <f>현금흐름취합!DP20</f>
        <v>0</v>
      </c>
      <c r="EE20" s="19">
        <f>현금흐름취합!DQ20</f>
        <v>0</v>
      </c>
      <c r="EF20" s="19">
        <f>현금흐름취합!DR20</f>
        <v>0</v>
      </c>
      <c r="EG20" s="19">
        <f>현금흐름취합!DS20</f>
        <v>0</v>
      </c>
      <c r="EH20" s="19">
        <f>현금흐름취합!DT20</f>
        <v>0</v>
      </c>
      <c r="EI20" s="19">
        <f>현금흐름취합!DU20</f>
        <v>0</v>
      </c>
      <c r="EJ20" s="19">
        <f>현금흐름취합!DV20</f>
        <v>0</v>
      </c>
      <c r="EK20" s="19">
        <f>현금흐름취합!DW20</f>
        <v>0</v>
      </c>
      <c r="EL20" s="19">
        <f>현금흐름취합!DX20</f>
        <v>0</v>
      </c>
      <c r="EM20" s="19">
        <f>현금흐름취합!DY20</f>
        <v>0</v>
      </c>
      <c r="EN20" s="19">
        <f>현금흐름취합!DZ20</f>
        <v>0</v>
      </c>
      <c r="EO20" s="19">
        <f>현금흐름취합!EA20</f>
        <v>0</v>
      </c>
      <c r="EP20" s="19">
        <f>현금흐름취합!EB20</f>
        <v>0</v>
      </c>
      <c r="EQ20" s="19">
        <f>현금흐름취합!EC20</f>
        <v>0</v>
      </c>
      <c r="ER20" s="19">
        <f>현금흐름취합!ED20</f>
        <v>0</v>
      </c>
      <c r="ES20" s="19">
        <f>현금흐름취합!EE20</f>
        <v>0</v>
      </c>
    </row>
    <row r="21" spans="1:149" hidden="1">
      <c r="A21" s="7">
        <f>현금흐름취합!A21</f>
        <v>0</v>
      </c>
      <c r="B21" s="7">
        <f>현금흐름취합!B21</f>
        <v>0</v>
      </c>
      <c r="C21" s="7">
        <f>현금흐름취합!C21</f>
        <v>0</v>
      </c>
      <c r="D21" s="8">
        <f>현금흐름취합!D21</f>
        <v>0</v>
      </c>
      <c r="E21" s="37" t="str">
        <f t="shared" ref="E21" si="14">IF(R20&gt;R21,"역전현상","이상없음")</f>
        <v>이상없음</v>
      </c>
      <c r="F21" s="8">
        <f>현금흐름취합!E21</f>
        <v>0</v>
      </c>
      <c r="G21" s="37" t="str">
        <f t="shared" si="1"/>
        <v>pool 고치세요</v>
      </c>
      <c r="H21" s="9">
        <f>현금흐름취합!F21</f>
        <v>0</v>
      </c>
      <c r="I21" s="10">
        <f>현금흐름취합!G21</f>
        <v>0</v>
      </c>
      <c r="J21" s="39" t="e">
        <f t="shared" si="2"/>
        <v>#DIV/0!</v>
      </c>
      <c r="K21" s="11">
        <f>현금흐름취합!H21</f>
        <v>0</v>
      </c>
      <c r="L21" s="40" t="e">
        <f>VLOOKUP(A21,'Sheet A'!$E$11:$K$60,7,0)=K21</f>
        <v>#N/A</v>
      </c>
      <c r="M21" s="12">
        <f>현금흐름취합!I21</f>
        <v>0</v>
      </c>
      <c r="N21" s="40" t="str">
        <f t="shared" si="3"/>
        <v>검토요</v>
      </c>
      <c r="O21" s="13">
        <f>현금흐름취합!J21</f>
        <v>0</v>
      </c>
      <c r="P21" s="14">
        <f>현금흐름취합!K21</f>
        <v>0</v>
      </c>
      <c r="Q21" s="18">
        <f>현금흐름취합!L21</f>
        <v>0</v>
      </c>
      <c r="R21" s="15">
        <f>현금흐름취합!M21</f>
        <v>0</v>
      </c>
      <c r="S21" s="40" t="e">
        <f t="shared" si="4"/>
        <v>#NUM!</v>
      </c>
      <c r="T21" s="16">
        <f>현금흐름취합!N21</f>
        <v>0</v>
      </c>
      <c r="U21" s="40" t="b">
        <f t="shared" si="0"/>
        <v>1</v>
      </c>
      <c r="V21" s="46">
        <f>SUMIF(일반여신!$E$10:$E$35,검증!A21,일반여신!$O$10:$O$35)*0.985-SUMIF(가지급금!$E$10:$E$180,A21,가지급금!$K$10:$K$180)+SUMIF(가지급금!$E$10:$E$180,검증!A21,가지급금!$O$10:$O$180)*0.985</f>
        <v>0</v>
      </c>
      <c r="W21" s="47">
        <f t="shared" si="13"/>
        <v>0</v>
      </c>
      <c r="X21" s="48"/>
      <c r="Y21" s="49">
        <f>SUMIF('Sheet D'!$E$11:$E$60,A21,'Sheet D'!$P$11:$P$60)</f>
        <v>0</v>
      </c>
      <c r="Z21" s="48">
        <f>SUMIFS(일반여신!$M$10:$M$35,일반여신!$E$10:$E$35,A21,일반여신!$P$10:$P$35,"신옹보증서대위변제")</f>
        <v>0</v>
      </c>
      <c r="AA21" s="48">
        <f t="shared" si="6"/>
        <v>0</v>
      </c>
      <c r="AB21" s="50"/>
      <c r="AC21" s="19">
        <f>현금흐름취합!O21</f>
        <v>0</v>
      </c>
      <c r="AD21" s="19">
        <f>현금흐름취합!P21</f>
        <v>0</v>
      </c>
      <c r="AE21" s="19">
        <f>현금흐름취합!Q21</f>
        <v>0</v>
      </c>
      <c r="AF21" s="19">
        <f>현금흐름취합!R21</f>
        <v>0</v>
      </c>
      <c r="AG21" s="19">
        <f>현금흐름취합!S21</f>
        <v>0</v>
      </c>
      <c r="AH21" s="19">
        <f>현금흐름취합!T21</f>
        <v>0</v>
      </c>
      <c r="AI21" s="19">
        <f>현금흐름취합!U21</f>
        <v>0</v>
      </c>
      <c r="AJ21" s="19">
        <f>현금흐름취합!V21</f>
        <v>0</v>
      </c>
      <c r="AK21" s="19">
        <f>현금흐름취합!W21</f>
        <v>0</v>
      </c>
      <c r="AL21" s="19">
        <f>현금흐름취합!X21</f>
        <v>0</v>
      </c>
      <c r="AM21" s="19">
        <f>현금흐름취합!Y21</f>
        <v>0</v>
      </c>
      <c r="AN21" s="19">
        <f>현금흐름취합!Z21</f>
        <v>0</v>
      </c>
      <c r="AO21" s="19">
        <f>현금흐름취합!AA21</f>
        <v>0</v>
      </c>
      <c r="AP21" s="19">
        <f>현금흐름취합!AB21</f>
        <v>0</v>
      </c>
      <c r="AQ21" s="19">
        <f>현금흐름취합!AC21</f>
        <v>0</v>
      </c>
      <c r="AR21" s="19">
        <f>현금흐름취합!AD21</f>
        <v>0</v>
      </c>
      <c r="AS21" s="19">
        <f>현금흐름취합!AE21</f>
        <v>0</v>
      </c>
      <c r="AT21" s="19">
        <f>현금흐름취합!AF21</f>
        <v>0</v>
      </c>
      <c r="AU21" s="19">
        <f>현금흐름취합!AG21</f>
        <v>0</v>
      </c>
      <c r="AV21" s="19">
        <f>현금흐름취합!AH21</f>
        <v>0</v>
      </c>
      <c r="AW21" s="19">
        <f>현금흐름취합!AI21</f>
        <v>0</v>
      </c>
      <c r="AX21" s="19">
        <f>현금흐름취합!AJ21</f>
        <v>0</v>
      </c>
      <c r="AY21" s="19">
        <f>현금흐름취합!AK21</f>
        <v>0</v>
      </c>
      <c r="AZ21" s="19">
        <f>현금흐름취합!AL21</f>
        <v>0</v>
      </c>
      <c r="BA21" s="19">
        <f>현금흐름취합!AM21</f>
        <v>0</v>
      </c>
      <c r="BB21" s="19">
        <f>현금흐름취합!AN21</f>
        <v>0</v>
      </c>
      <c r="BC21" s="19">
        <f>현금흐름취합!AO21</f>
        <v>0</v>
      </c>
      <c r="BD21" s="19">
        <f>현금흐름취합!AP21</f>
        <v>0</v>
      </c>
      <c r="BE21" s="19">
        <f>현금흐름취합!AQ21</f>
        <v>0</v>
      </c>
      <c r="BF21" s="19">
        <f>현금흐름취합!AR21</f>
        <v>0</v>
      </c>
      <c r="BG21" s="19">
        <f>현금흐름취합!AS21</f>
        <v>0</v>
      </c>
      <c r="BH21" s="19">
        <f>현금흐름취합!AT21</f>
        <v>0</v>
      </c>
      <c r="BI21" s="19">
        <f>현금흐름취합!AU21</f>
        <v>0</v>
      </c>
      <c r="BJ21" s="19">
        <f>현금흐름취합!AV21</f>
        <v>0</v>
      </c>
      <c r="BK21" s="19">
        <f>현금흐름취합!AW21</f>
        <v>0</v>
      </c>
      <c r="BL21" s="19">
        <f>현금흐름취합!AX21</f>
        <v>0</v>
      </c>
      <c r="BM21" s="19">
        <f>현금흐름취합!AY21</f>
        <v>0</v>
      </c>
      <c r="BN21" s="19">
        <f>현금흐름취합!AZ21</f>
        <v>0</v>
      </c>
      <c r="BO21" s="19">
        <f>현금흐름취합!BA21</f>
        <v>0</v>
      </c>
      <c r="BP21" s="19">
        <f>현금흐름취합!BB21</f>
        <v>0</v>
      </c>
      <c r="BQ21" s="19">
        <f>현금흐름취합!BC21</f>
        <v>0</v>
      </c>
      <c r="BR21" s="19">
        <f>현금흐름취합!BD21</f>
        <v>0</v>
      </c>
      <c r="BS21" s="19">
        <f>현금흐름취합!BE21</f>
        <v>0</v>
      </c>
      <c r="BT21" s="19">
        <f>현금흐름취합!BF21</f>
        <v>0</v>
      </c>
      <c r="BU21" s="19">
        <f>현금흐름취합!BG21</f>
        <v>0</v>
      </c>
      <c r="BV21" s="19">
        <f>현금흐름취합!BH21</f>
        <v>0</v>
      </c>
      <c r="BW21" s="19">
        <f>현금흐름취합!BI21</f>
        <v>0</v>
      </c>
      <c r="BX21" s="19">
        <f>현금흐름취합!BJ21</f>
        <v>0</v>
      </c>
      <c r="BY21" s="19">
        <f>현금흐름취합!BK21</f>
        <v>0</v>
      </c>
      <c r="BZ21" s="19">
        <f>현금흐름취합!BL21</f>
        <v>0</v>
      </c>
      <c r="CA21" s="19">
        <f>현금흐름취합!BM21</f>
        <v>0</v>
      </c>
      <c r="CB21" s="19">
        <f>현금흐름취합!BN21</f>
        <v>0</v>
      </c>
      <c r="CC21" s="19">
        <f>현금흐름취합!BO21</f>
        <v>0</v>
      </c>
      <c r="CD21" s="19">
        <f>현금흐름취합!BP21</f>
        <v>0</v>
      </c>
      <c r="CE21" s="19">
        <f>현금흐름취합!BQ21</f>
        <v>0</v>
      </c>
      <c r="CF21" s="19">
        <f>현금흐름취합!BR21</f>
        <v>0</v>
      </c>
      <c r="CG21" s="19">
        <f>현금흐름취합!BS21</f>
        <v>0</v>
      </c>
      <c r="CH21" s="19">
        <f>현금흐름취합!BT21</f>
        <v>0</v>
      </c>
      <c r="CI21" s="19">
        <f>현금흐름취합!BU21</f>
        <v>0</v>
      </c>
      <c r="CJ21" s="19">
        <f>현금흐름취합!BV21</f>
        <v>0</v>
      </c>
      <c r="CK21" s="19">
        <f>현금흐름취합!BW21</f>
        <v>0</v>
      </c>
      <c r="CL21" s="19">
        <f>현금흐름취합!BX21</f>
        <v>0</v>
      </c>
      <c r="CM21" s="19">
        <f>현금흐름취합!BY21</f>
        <v>0</v>
      </c>
      <c r="CN21" s="19">
        <f>현금흐름취합!BZ21</f>
        <v>0</v>
      </c>
      <c r="CO21" s="19">
        <f>현금흐름취합!CA21</f>
        <v>0</v>
      </c>
      <c r="CP21" s="19">
        <f>현금흐름취합!CB21</f>
        <v>0</v>
      </c>
      <c r="CQ21" s="19">
        <f>현금흐름취합!CC21</f>
        <v>0</v>
      </c>
      <c r="CR21" s="19">
        <f>현금흐름취합!CD21</f>
        <v>0</v>
      </c>
      <c r="CS21" s="19">
        <f>현금흐름취합!CE21</f>
        <v>0</v>
      </c>
      <c r="CT21" s="19">
        <f>현금흐름취합!CF21</f>
        <v>0</v>
      </c>
      <c r="CU21" s="19">
        <f>현금흐름취합!CG21</f>
        <v>0</v>
      </c>
      <c r="CV21" s="19">
        <f>현금흐름취합!CH21</f>
        <v>0</v>
      </c>
      <c r="CW21" s="19">
        <f>현금흐름취합!CI21</f>
        <v>0</v>
      </c>
      <c r="CX21" s="19">
        <f>현금흐름취합!CJ21</f>
        <v>0</v>
      </c>
      <c r="CY21" s="19">
        <f>현금흐름취합!CK21</f>
        <v>0</v>
      </c>
      <c r="CZ21" s="19">
        <f>현금흐름취합!CL21</f>
        <v>0</v>
      </c>
      <c r="DA21" s="19">
        <f>현금흐름취합!CM21</f>
        <v>0</v>
      </c>
      <c r="DB21" s="19">
        <f>현금흐름취합!CN21</f>
        <v>0</v>
      </c>
      <c r="DC21" s="19">
        <f>현금흐름취합!CO21</f>
        <v>0</v>
      </c>
      <c r="DD21" s="19">
        <f>현금흐름취합!CP21</f>
        <v>0</v>
      </c>
      <c r="DE21" s="19">
        <f>현금흐름취합!CQ21</f>
        <v>0</v>
      </c>
      <c r="DF21" s="19">
        <f>현금흐름취합!CR21</f>
        <v>0</v>
      </c>
      <c r="DG21" s="19">
        <f>현금흐름취합!CS21</f>
        <v>0</v>
      </c>
      <c r="DH21" s="19">
        <f>현금흐름취합!CT21</f>
        <v>0</v>
      </c>
      <c r="DI21" s="19">
        <f>현금흐름취합!CU21</f>
        <v>0</v>
      </c>
      <c r="DJ21" s="19">
        <f>현금흐름취합!CV21</f>
        <v>0</v>
      </c>
      <c r="DK21" s="19">
        <f>현금흐름취합!CW21</f>
        <v>0</v>
      </c>
      <c r="DL21" s="19">
        <f>현금흐름취합!CX21</f>
        <v>0</v>
      </c>
      <c r="DM21" s="19">
        <f>현금흐름취합!CY21</f>
        <v>0</v>
      </c>
      <c r="DN21" s="19">
        <f>현금흐름취합!CZ21</f>
        <v>0</v>
      </c>
      <c r="DO21" s="19">
        <f>현금흐름취합!DA21</f>
        <v>0</v>
      </c>
      <c r="DP21" s="19">
        <f>현금흐름취합!DB21</f>
        <v>0</v>
      </c>
      <c r="DQ21" s="19">
        <f>현금흐름취합!DC21</f>
        <v>0</v>
      </c>
      <c r="DR21" s="19">
        <f>현금흐름취합!DD21</f>
        <v>0</v>
      </c>
      <c r="DS21" s="19">
        <f>현금흐름취합!DE21</f>
        <v>0</v>
      </c>
      <c r="DT21" s="19">
        <f>현금흐름취합!DF21</f>
        <v>0</v>
      </c>
      <c r="DU21" s="19">
        <f>현금흐름취합!DG21</f>
        <v>0</v>
      </c>
      <c r="DV21" s="19">
        <f>현금흐름취합!DH21</f>
        <v>0</v>
      </c>
      <c r="DW21" s="19">
        <f>현금흐름취합!DI21</f>
        <v>0</v>
      </c>
      <c r="DX21" s="19">
        <f>현금흐름취합!DJ21</f>
        <v>0</v>
      </c>
      <c r="DY21" s="19">
        <f>현금흐름취합!DK21</f>
        <v>0</v>
      </c>
      <c r="DZ21" s="19">
        <f>현금흐름취합!DL21</f>
        <v>0</v>
      </c>
      <c r="EA21" s="19">
        <f>현금흐름취합!DM21</f>
        <v>0</v>
      </c>
      <c r="EB21" s="19">
        <f>현금흐름취합!DN21</f>
        <v>0</v>
      </c>
      <c r="EC21" s="19">
        <f>현금흐름취합!DO21</f>
        <v>0</v>
      </c>
      <c r="ED21" s="19">
        <f>현금흐름취합!DP21</f>
        <v>0</v>
      </c>
      <c r="EE21" s="19">
        <f>현금흐름취합!DQ21</f>
        <v>0</v>
      </c>
      <c r="EF21" s="19">
        <f>현금흐름취합!DR21</f>
        <v>0</v>
      </c>
      <c r="EG21" s="19">
        <f>현금흐름취합!DS21</f>
        <v>0</v>
      </c>
      <c r="EH21" s="19">
        <f>현금흐름취합!DT21</f>
        <v>0</v>
      </c>
      <c r="EI21" s="19">
        <f>현금흐름취합!DU21</f>
        <v>0</v>
      </c>
      <c r="EJ21" s="19">
        <f>현금흐름취합!DV21</f>
        <v>0</v>
      </c>
      <c r="EK21" s="19">
        <f>현금흐름취합!DW21</f>
        <v>0</v>
      </c>
      <c r="EL21" s="19">
        <f>현금흐름취합!DX21</f>
        <v>0</v>
      </c>
      <c r="EM21" s="19">
        <f>현금흐름취합!DY21</f>
        <v>0</v>
      </c>
      <c r="EN21" s="19">
        <f>현금흐름취합!DZ21</f>
        <v>0</v>
      </c>
      <c r="EO21" s="19">
        <f>현금흐름취합!EA21</f>
        <v>0</v>
      </c>
      <c r="EP21" s="19">
        <f>현금흐름취합!EB21</f>
        <v>0</v>
      </c>
      <c r="EQ21" s="19">
        <f>현금흐름취합!EC21</f>
        <v>0</v>
      </c>
      <c r="ER21" s="19">
        <f>현금흐름취합!ED21</f>
        <v>0</v>
      </c>
      <c r="ES21" s="19">
        <f>현금흐름취합!EE21</f>
        <v>0</v>
      </c>
    </row>
    <row r="22" spans="1:149" hidden="1">
      <c r="A22" s="7">
        <f>현금흐름취합!A22</f>
        <v>0</v>
      </c>
      <c r="B22" s="7">
        <f>현금흐름취합!B22</f>
        <v>0</v>
      </c>
      <c r="C22" s="7">
        <f>현금흐름취합!C22</f>
        <v>0</v>
      </c>
      <c r="D22" s="8">
        <f>현금흐름취합!D22</f>
        <v>0</v>
      </c>
      <c r="E22" s="37"/>
      <c r="F22" s="8">
        <f>현금흐름취합!E22</f>
        <v>0</v>
      </c>
      <c r="G22" s="37" t="str">
        <f t="shared" si="1"/>
        <v>pool 고치세요</v>
      </c>
      <c r="H22" s="9">
        <f>현금흐름취합!F22</f>
        <v>0</v>
      </c>
      <c r="I22" s="10">
        <f>현금흐름취합!G22</f>
        <v>0</v>
      </c>
      <c r="J22" s="39" t="e">
        <f t="shared" si="2"/>
        <v>#DIV/0!</v>
      </c>
      <c r="K22" s="11">
        <f>현금흐름취합!H22</f>
        <v>0</v>
      </c>
      <c r="L22" s="40" t="e">
        <f>VLOOKUP(A22,'Sheet A'!$E$11:$K$60,7,0)=K22</f>
        <v>#N/A</v>
      </c>
      <c r="M22" s="12">
        <f>현금흐름취합!I22</f>
        <v>0</v>
      </c>
      <c r="N22" s="40" t="str">
        <f t="shared" si="3"/>
        <v>검토요</v>
      </c>
      <c r="O22" s="13">
        <f>현금흐름취합!J22</f>
        <v>0</v>
      </c>
      <c r="P22" s="14">
        <f>현금흐름취합!K22</f>
        <v>0</v>
      </c>
      <c r="Q22" s="18">
        <f>현금흐름취합!L22</f>
        <v>0</v>
      </c>
      <c r="R22" s="15">
        <f>현금흐름취합!M22</f>
        <v>0</v>
      </c>
      <c r="S22" s="40" t="e">
        <f t="shared" si="4"/>
        <v>#NUM!</v>
      </c>
      <c r="T22" s="16">
        <f>현금흐름취합!N22</f>
        <v>0</v>
      </c>
      <c r="U22" s="40" t="b">
        <f t="shared" si="0"/>
        <v>1</v>
      </c>
      <c r="V22" s="46">
        <f>SUMIF(일반여신!$E$10:$E$35,검증!A22,일반여신!$O$10:$O$35)*0.985-SUMIF(가지급금!$E$10:$E$180,A22,가지급금!$K$10:$K$180)+SUMIF(가지급금!$E$10:$E$180,검증!A22,가지급금!$O$10:$O$180)*0.985</f>
        <v>0</v>
      </c>
      <c r="W22" s="47">
        <f t="shared" si="13"/>
        <v>0</v>
      </c>
      <c r="X22" s="48"/>
      <c r="Y22" s="49">
        <f>SUMIF('Sheet D'!$E$11:$E$60,A22,'Sheet D'!$P$11:$P$60)</f>
        <v>0</v>
      </c>
      <c r="Z22" s="48">
        <f>SUMIFS(일반여신!$M$10:$M$35,일반여신!$E$10:$E$35,A22,일반여신!$P$10:$P$35,"신옹보증서대위변제")</f>
        <v>0</v>
      </c>
      <c r="AA22" s="48">
        <f t="shared" si="6"/>
        <v>0</v>
      </c>
      <c r="AB22" s="50"/>
      <c r="AC22" s="19">
        <f>현금흐름취합!O22</f>
        <v>0</v>
      </c>
      <c r="AD22" s="19">
        <f>현금흐름취합!P22</f>
        <v>0</v>
      </c>
      <c r="AE22" s="19">
        <f>현금흐름취합!Q22</f>
        <v>0</v>
      </c>
      <c r="AF22" s="19">
        <f>현금흐름취합!R22</f>
        <v>0</v>
      </c>
      <c r="AG22" s="19">
        <f>현금흐름취합!S22</f>
        <v>0</v>
      </c>
      <c r="AH22" s="19">
        <f>현금흐름취합!T22</f>
        <v>0</v>
      </c>
      <c r="AI22" s="19">
        <f>현금흐름취합!U22</f>
        <v>0</v>
      </c>
      <c r="AJ22" s="19">
        <f>현금흐름취합!V22</f>
        <v>0</v>
      </c>
      <c r="AK22" s="19">
        <f>현금흐름취합!W22</f>
        <v>0</v>
      </c>
      <c r="AL22" s="19">
        <f>현금흐름취합!X22</f>
        <v>0</v>
      </c>
      <c r="AM22" s="19">
        <f>현금흐름취합!Y22</f>
        <v>0</v>
      </c>
      <c r="AN22" s="19">
        <f>현금흐름취합!Z22</f>
        <v>0</v>
      </c>
      <c r="AO22" s="19">
        <f>현금흐름취합!AA22</f>
        <v>0</v>
      </c>
      <c r="AP22" s="19">
        <f>현금흐름취합!AB22</f>
        <v>0</v>
      </c>
      <c r="AQ22" s="19">
        <f>현금흐름취합!AC22</f>
        <v>0</v>
      </c>
      <c r="AR22" s="19">
        <f>현금흐름취합!AD22</f>
        <v>0</v>
      </c>
      <c r="AS22" s="19">
        <f>현금흐름취합!AE22</f>
        <v>0</v>
      </c>
      <c r="AT22" s="19">
        <f>현금흐름취합!AF22</f>
        <v>0</v>
      </c>
      <c r="AU22" s="19">
        <f>현금흐름취합!AG22</f>
        <v>0</v>
      </c>
      <c r="AV22" s="19">
        <f>현금흐름취합!AH22</f>
        <v>0</v>
      </c>
      <c r="AW22" s="19">
        <f>현금흐름취합!AI22</f>
        <v>0</v>
      </c>
      <c r="AX22" s="19">
        <f>현금흐름취합!AJ22</f>
        <v>0</v>
      </c>
      <c r="AY22" s="19">
        <f>현금흐름취합!AK22</f>
        <v>0</v>
      </c>
      <c r="AZ22" s="19">
        <f>현금흐름취합!AL22</f>
        <v>0</v>
      </c>
      <c r="BA22" s="19">
        <f>현금흐름취합!AM22</f>
        <v>0</v>
      </c>
      <c r="BB22" s="19">
        <f>현금흐름취합!AN22</f>
        <v>0</v>
      </c>
      <c r="BC22" s="19">
        <f>현금흐름취합!AO22</f>
        <v>0</v>
      </c>
      <c r="BD22" s="19">
        <f>현금흐름취합!AP22</f>
        <v>0</v>
      </c>
      <c r="BE22" s="19">
        <f>현금흐름취합!AQ22</f>
        <v>0</v>
      </c>
      <c r="BF22" s="19">
        <f>현금흐름취합!AR22</f>
        <v>0</v>
      </c>
      <c r="BG22" s="19">
        <f>현금흐름취합!AS22</f>
        <v>0</v>
      </c>
      <c r="BH22" s="19">
        <f>현금흐름취합!AT22</f>
        <v>0</v>
      </c>
      <c r="BI22" s="19">
        <f>현금흐름취합!AU22</f>
        <v>0</v>
      </c>
      <c r="BJ22" s="19">
        <f>현금흐름취합!AV22</f>
        <v>0</v>
      </c>
      <c r="BK22" s="19">
        <f>현금흐름취합!AW22</f>
        <v>0</v>
      </c>
      <c r="BL22" s="19">
        <f>현금흐름취합!AX22</f>
        <v>0</v>
      </c>
      <c r="BM22" s="19">
        <f>현금흐름취합!AY22</f>
        <v>0</v>
      </c>
      <c r="BN22" s="19">
        <f>현금흐름취합!AZ22</f>
        <v>0</v>
      </c>
      <c r="BO22" s="19">
        <f>현금흐름취합!BA22</f>
        <v>0</v>
      </c>
      <c r="BP22" s="19">
        <f>현금흐름취합!BB22</f>
        <v>0</v>
      </c>
      <c r="BQ22" s="19">
        <f>현금흐름취합!BC22</f>
        <v>0</v>
      </c>
      <c r="BR22" s="19">
        <f>현금흐름취합!BD22</f>
        <v>0</v>
      </c>
      <c r="BS22" s="19">
        <f>현금흐름취합!BE22</f>
        <v>0</v>
      </c>
      <c r="BT22" s="19">
        <f>현금흐름취합!BF22</f>
        <v>0</v>
      </c>
      <c r="BU22" s="19">
        <f>현금흐름취합!BG22</f>
        <v>0</v>
      </c>
      <c r="BV22" s="19">
        <f>현금흐름취합!BH22</f>
        <v>0</v>
      </c>
      <c r="BW22" s="19">
        <f>현금흐름취합!BI22</f>
        <v>0</v>
      </c>
      <c r="BX22" s="19">
        <f>현금흐름취합!BJ22</f>
        <v>0</v>
      </c>
      <c r="BY22" s="19">
        <f>현금흐름취합!BK22</f>
        <v>0</v>
      </c>
      <c r="BZ22" s="19">
        <f>현금흐름취합!BL22</f>
        <v>0</v>
      </c>
      <c r="CA22" s="19">
        <f>현금흐름취합!BM22</f>
        <v>0</v>
      </c>
      <c r="CB22" s="19">
        <f>현금흐름취합!BN22</f>
        <v>0</v>
      </c>
      <c r="CC22" s="19">
        <f>현금흐름취합!BO22</f>
        <v>0</v>
      </c>
      <c r="CD22" s="19">
        <f>현금흐름취합!BP22</f>
        <v>0</v>
      </c>
      <c r="CE22" s="19">
        <f>현금흐름취합!BQ22</f>
        <v>0</v>
      </c>
      <c r="CF22" s="19">
        <f>현금흐름취합!BR22</f>
        <v>0</v>
      </c>
      <c r="CG22" s="19">
        <f>현금흐름취합!BS22</f>
        <v>0</v>
      </c>
      <c r="CH22" s="19">
        <f>현금흐름취합!BT22</f>
        <v>0</v>
      </c>
      <c r="CI22" s="19">
        <f>현금흐름취합!BU22</f>
        <v>0</v>
      </c>
      <c r="CJ22" s="19">
        <f>현금흐름취합!BV22</f>
        <v>0</v>
      </c>
      <c r="CK22" s="19">
        <f>현금흐름취합!BW22</f>
        <v>0</v>
      </c>
      <c r="CL22" s="19">
        <f>현금흐름취합!BX22</f>
        <v>0</v>
      </c>
      <c r="CM22" s="19">
        <f>현금흐름취합!BY22</f>
        <v>0</v>
      </c>
      <c r="CN22" s="19">
        <f>현금흐름취합!BZ22</f>
        <v>0</v>
      </c>
      <c r="CO22" s="19">
        <f>현금흐름취합!CA22</f>
        <v>0</v>
      </c>
      <c r="CP22" s="19">
        <f>현금흐름취합!CB22</f>
        <v>0</v>
      </c>
      <c r="CQ22" s="19">
        <f>현금흐름취합!CC22</f>
        <v>0</v>
      </c>
      <c r="CR22" s="19">
        <f>현금흐름취합!CD22</f>
        <v>0</v>
      </c>
      <c r="CS22" s="19">
        <f>현금흐름취합!CE22</f>
        <v>0</v>
      </c>
      <c r="CT22" s="19">
        <f>현금흐름취합!CF22</f>
        <v>0</v>
      </c>
      <c r="CU22" s="19">
        <f>현금흐름취합!CG22</f>
        <v>0</v>
      </c>
      <c r="CV22" s="19">
        <f>현금흐름취합!CH22</f>
        <v>0</v>
      </c>
      <c r="CW22" s="19">
        <f>현금흐름취합!CI22</f>
        <v>0</v>
      </c>
      <c r="CX22" s="19">
        <f>현금흐름취합!CJ22</f>
        <v>0</v>
      </c>
      <c r="CY22" s="19">
        <f>현금흐름취합!CK22</f>
        <v>0</v>
      </c>
      <c r="CZ22" s="19">
        <f>현금흐름취합!CL22</f>
        <v>0</v>
      </c>
      <c r="DA22" s="19">
        <f>현금흐름취합!CM22</f>
        <v>0</v>
      </c>
      <c r="DB22" s="19">
        <f>현금흐름취합!CN22</f>
        <v>0</v>
      </c>
      <c r="DC22" s="19">
        <f>현금흐름취합!CO22</f>
        <v>0</v>
      </c>
      <c r="DD22" s="19">
        <f>현금흐름취합!CP22</f>
        <v>0</v>
      </c>
      <c r="DE22" s="19">
        <f>현금흐름취합!CQ22</f>
        <v>0</v>
      </c>
      <c r="DF22" s="19">
        <f>현금흐름취합!CR22</f>
        <v>0</v>
      </c>
      <c r="DG22" s="19">
        <f>현금흐름취합!CS22</f>
        <v>0</v>
      </c>
      <c r="DH22" s="19">
        <f>현금흐름취합!CT22</f>
        <v>0</v>
      </c>
      <c r="DI22" s="19">
        <f>현금흐름취합!CU22</f>
        <v>0</v>
      </c>
      <c r="DJ22" s="19">
        <f>현금흐름취합!CV22</f>
        <v>0</v>
      </c>
      <c r="DK22" s="19">
        <f>현금흐름취합!CW22</f>
        <v>0</v>
      </c>
      <c r="DL22" s="19">
        <f>현금흐름취합!CX22</f>
        <v>0</v>
      </c>
      <c r="DM22" s="19">
        <f>현금흐름취합!CY22</f>
        <v>0</v>
      </c>
      <c r="DN22" s="19">
        <f>현금흐름취합!CZ22</f>
        <v>0</v>
      </c>
      <c r="DO22" s="19">
        <f>현금흐름취합!DA22</f>
        <v>0</v>
      </c>
      <c r="DP22" s="19">
        <f>현금흐름취합!DB22</f>
        <v>0</v>
      </c>
      <c r="DQ22" s="19">
        <f>현금흐름취합!DC22</f>
        <v>0</v>
      </c>
      <c r="DR22" s="19">
        <f>현금흐름취합!DD22</f>
        <v>0</v>
      </c>
      <c r="DS22" s="19">
        <f>현금흐름취합!DE22</f>
        <v>0</v>
      </c>
      <c r="DT22" s="19">
        <f>현금흐름취합!DF22</f>
        <v>0</v>
      </c>
      <c r="DU22" s="19">
        <f>현금흐름취합!DG22</f>
        <v>0</v>
      </c>
      <c r="DV22" s="19">
        <f>현금흐름취합!DH22</f>
        <v>0</v>
      </c>
      <c r="DW22" s="19">
        <f>현금흐름취합!DI22</f>
        <v>0</v>
      </c>
      <c r="DX22" s="19">
        <f>현금흐름취합!DJ22</f>
        <v>0</v>
      </c>
      <c r="DY22" s="19">
        <f>현금흐름취합!DK22</f>
        <v>0</v>
      </c>
      <c r="DZ22" s="19">
        <f>현금흐름취합!DL22</f>
        <v>0</v>
      </c>
      <c r="EA22" s="19">
        <f>현금흐름취합!DM22</f>
        <v>0</v>
      </c>
      <c r="EB22" s="19">
        <f>현금흐름취합!DN22</f>
        <v>0</v>
      </c>
      <c r="EC22" s="19">
        <f>현금흐름취합!DO22</f>
        <v>0</v>
      </c>
      <c r="ED22" s="19">
        <f>현금흐름취합!DP22</f>
        <v>0</v>
      </c>
      <c r="EE22" s="19">
        <f>현금흐름취합!DQ22</f>
        <v>0</v>
      </c>
      <c r="EF22" s="19">
        <f>현금흐름취합!DR22</f>
        <v>0</v>
      </c>
      <c r="EG22" s="19">
        <f>현금흐름취합!DS22</f>
        <v>0</v>
      </c>
      <c r="EH22" s="19">
        <f>현금흐름취합!DT22</f>
        <v>0</v>
      </c>
      <c r="EI22" s="19">
        <f>현금흐름취합!DU22</f>
        <v>0</v>
      </c>
      <c r="EJ22" s="19">
        <f>현금흐름취합!DV22</f>
        <v>0</v>
      </c>
      <c r="EK22" s="19">
        <f>현금흐름취합!DW22</f>
        <v>0</v>
      </c>
      <c r="EL22" s="19">
        <f>현금흐름취합!DX22</f>
        <v>0</v>
      </c>
      <c r="EM22" s="19">
        <f>현금흐름취합!DY22</f>
        <v>0</v>
      </c>
      <c r="EN22" s="19">
        <f>현금흐름취합!DZ22</f>
        <v>0</v>
      </c>
      <c r="EO22" s="19">
        <f>현금흐름취합!EA22</f>
        <v>0</v>
      </c>
      <c r="EP22" s="19">
        <f>현금흐름취합!EB22</f>
        <v>0</v>
      </c>
      <c r="EQ22" s="19">
        <f>현금흐름취합!EC22</f>
        <v>0</v>
      </c>
      <c r="ER22" s="19">
        <f>현금흐름취합!ED22</f>
        <v>0</v>
      </c>
      <c r="ES22" s="19">
        <f>현금흐름취합!EE22</f>
        <v>0</v>
      </c>
    </row>
    <row r="23" spans="1:149" hidden="1">
      <c r="A23" s="7">
        <f>현금흐름취합!A23</f>
        <v>0</v>
      </c>
      <c r="B23" s="7">
        <f>현금흐름취합!B23</f>
        <v>0</v>
      </c>
      <c r="C23" s="7">
        <f>현금흐름취합!C23</f>
        <v>0</v>
      </c>
      <c r="D23" s="8">
        <f>현금흐름취합!D23</f>
        <v>0</v>
      </c>
      <c r="E23" s="37" t="str">
        <f t="shared" ref="E23" si="15">IF(R22&gt;R23,"역전현상","이상없음")</f>
        <v>이상없음</v>
      </c>
      <c r="F23" s="8">
        <f>현금흐름취합!E23</f>
        <v>0</v>
      </c>
      <c r="G23" s="37" t="str">
        <f t="shared" si="1"/>
        <v>pool 고치세요</v>
      </c>
      <c r="H23" s="9">
        <f>현금흐름취합!F23</f>
        <v>0</v>
      </c>
      <c r="I23" s="10">
        <f>현금흐름취합!G23</f>
        <v>0</v>
      </c>
      <c r="J23" s="39" t="e">
        <f t="shared" si="2"/>
        <v>#DIV/0!</v>
      </c>
      <c r="K23" s="11">
        <f>현금흐름취합!H23</f>
        <v>0</v>
      </c>
      <c r="L23" s="40" t="e">
        <f>VLOOKUP(A23,'Sheet A'!$E$11:$K$60,7,0)=K23</f>
        <v>#N/A</v>
      </c>
      <c r="M23" s="12">
        <f>현금흐름취합!I23</f>
        <v>0</v>
      </c>
      <c r="N23" s="40" t="str">
        <f t="shared" si="3"/>
        <v>검토요</v>
      </c>
      <c r="O23" s="13">
        <f>현금흐름취합!J23</f>
        <v>0</v>
      </c>
      <c r="P23" s="14">
        <f>현금흐름취합!K23</f>
        <v>0</v>
      </c>
      <c r="Q23" s="18">
        <f>현금흐름취합!L23</f>
        <v>0</v>
      </c>
      <c r="R23" s="15">
        <f>현금흐름취합!M23</f>
        <v>0</v>
      </c>
      <c r="S23" s="40" t="e">
        <f t="shared" si="4"/>
        <v>#NUM!</v>
      </c>
      <c r="T23" s="16">
        <f>현금흐름취합!N23</f>
        <v>0</v>
      </c>
      <c r="U23" s="40" t="b">
        <f t="shared" si="0"/>
        <v>1</v>
      </c>
      <c r="V23" s="46">
        <f>SUMIF(일반여신!$E$10:$E$35,검증!A23,일반여신!$O$10:$O$35)*0.985-SUMIF(가지급금!$E$10:$E$180,A23,가지급금!$K$10:$K$180)+SUMIF(가지급금!$E$10:$E$180,검증!A23,가지급금!$O$10:$O$180)*0.985</f>
        <v>0</v>
      </c>
      <c r="W23" s="47">
        <f t="shared" si="13"/>
        <v>0</v>
      </c>
      <c r="X23" s="48"/>
      <c r="Y23" s="49">
        <f>SUMIF('Sheet D'!$E$11:$E$60,A23,'Sheet D'!$P$11:$P$60)</f>
        <v>0</v>
      </c>
      <c r="Z23" s="48">
        <f>SUMIFS(일반여신!$M$10:$M$35,일반여신!$E$10:$E$35,A23,일반여신!$P$10:$P$35,"신옹보증서대위변제")</f>
        <v>0</v>
      </c>
      <c r="AA23" s="48">
        <f t="shared" si="6"/>
        <v>0</v>
      </c>
      <c r="AB23" s="50"/>
      <c r="AC23" s="19">
        <f>현금흐름취합!O23</f>
        <v>0</v>
      </c>
      <c r="AD23" s="19">
        <f>현금흐름취합!P23</f>
        <v>0</v>
      </c>
      <c r="AE23" s="19">
        <f>현금흐름취합!Q23</f>
        <v>0</v>
      </c>
      <c r="AF23" s="19">
        <f>현금흐름취합!R23</f>
        <v>0</v>
      </c>
      <c r="AG23" s="19">
        <f>현금흐름취합!S23</f>
        <v>0</v>
      </c>
      <c r="AH23" s="19">
        <f>현금흐름취합!T23</f>
        <v>0</v>
      </c>
      <c r="AI23" s="19">
        <f>현금흐름취합!U23</f>
        <v>0</v>
      </c>
      <c r="AJ23" s="19">
        <f>현금흐름취합!V23</f>
        <v>0</v>
      </c>
      <c r="AK23" s="19">
        <f>현금흐름취합!W23</f>
        <v>0</v>
      </c>
      <c r="AL23" s="19">
        <f>현금흐름취합!X23</f>
        <v>0</v>
      </c>
      <c r="AM23" s="19">
        <f>현금흐름취합!Y23</f>
        <v>0</v>
      </c>
      <c r="AN23" s="19">
        <f>현금흐름취합!Z23</f>
        <v>0</v>
      </c>
      <c r="AO23" s="19">
        <f>현금흐름취합!AA23</f>
        <v>0</v>
      </c>
      <c r="AP23" s="19">
        <f>현금흐름취합!AB23</f>
        <v>0</v>
      </c>
      <c r="AQ23" s="19">
        <f>현금흐름취합!AC23</f>
        <v>0</v>
      </c>
      <c r="AR23" s="19">
        <f>현금흐름취합!AD23</f>
        <v>0</v>
      </c>
      <c r="AS23" s="19">
        <f>현금흐름취합!AE23</f>
        <v>0</v>
      </c>
      <c r="AT23" s="19">
        <f>현금흐름취합!AF23</f>
        <v>0</v>
      </c>
      <c r="AU23" s="19">
        <f>현금흐름취합!AG23</f>
        <v>0</v>
      </c>
      <c r="AV23" s="19">
        <f>현금흐름취합!AH23</f>
        <v>0</v>
      </c>
      <c r="AW23" s="19">
        <f>현금흐름취합!AI23</f>
        <v>0</v>
      </c>
      <c r="AX23" s="19">
        <f>현금흐름취합!AJ23</f>
        <v>0</v>
      </c>
      <c r="AY23" s="19">
        <f>현금흐름취합!AK23</f>
        <v>0</v>
      </c>
      <c r="AZ23" s="19">
        <f>현금흐름취합!AL23</f>
        <v>0</v>
      </c>
      <c r="BA23" s="19">
        <f>현금흐름취합!AM23</f>
        <v>0</v>
      </c>
      <c r="BB23" s="19">
        <f>현금흐름취합!AN23</f>
        <v>0</v>
      </c>
      <c r="BC23" s="19">
        <f>현금흐름취합!AO23</f>
        <v>0</v>
      </c>
      <c r="BD23" s="19">
        <f>현금흐름취합!AP23</f>
        <v>0</v>
      </c>
      <c r="BE23" s="19">
        <f>현금흐름취합!AQ23</f>
        <v>0</v>
      </c>
      <c r="BF23" s="19">
        <f>현금흐름취합!AR23</f>
        <v>0</v>
      </c>
      <c r="BG23" s="19">
        <f>현금흐름취합!AS23</f>
        <v>0</v>
      </c>
      <c r="BH23" s="19">
        <f>현금흐름취합!AT23</f>
        <v>0</v>
      </c>
      <c r="BI23" s="19">
        <f>현금흐름취합!AU23</f>
        <v>0</v>
      </c>
      <c r="BJ23" s="19">
        <f>현금흐름취합!AV23</f>
        <v>0</v>
      </c>
      <c r="BK23" s="19">
        <f>현금흐름취합!AW23</f>
        <v>0</v>
      </c>
      <c r="BL23" s="19">
        <f>현금흐름취합!AX23</f>
        <v>0</v>
      </c>
      <c r="BM23" s="19">
        <f>현금흐름취합!AY23</f>
        <v>0</v>
      </c>
      <c r="BN23" s="19">
        <f>현금흐름취합!AZ23</f>
        <v>0</v>
      </c>
      <c r="BO23" s="19">
        <f>현금흐름취합!BA23</f>
        <v>0</v>
      </c>
      <c r="BP23" s="19">
        <f>현금흐름취합!BB23</f>
        <v>0</v>
      </c>
      <c r="BQ23" s="19">
        <f>현금흐름취합!BC23</f>
        <v>0</v>
      </c>
      <c r="BR23" s="19">
        <f>현금흐름취합!BD23</f>
        <v>0</v>
      </c>
      <c r="BS23" s="19">
        <f>현금흐름취합!BE23</f>
        <v>0</v>
      </c>
      <c r="BT23" s="19">
        <f>현금흐름취합!BF23</f>
        <v>0</v>
      </c>
      <c r="BU23" s="19">
        <f>현금흐름취합!BG23</f>
        <v>0</v>
      </c>
      <c r="BV23" s="19">
        <f>현금흐름취합!BH23</f>
        <v>0</v>
      </c>
      <c r="BW23" s="19">
        <f>현금흐름취합!BI23</f>
        <v>0</v>
      </c>
      <c r="BX23" s="19">
        <f>현금흐름취합!BJ23</f>
        <v>0</v>
      </c>
      <c r="BY23" s="19">
        <f>현금흐름취합!BK23</f>
        <v>0</v>
      </c>
      <c r="BZ23" s="19">
        <f>현금흐름취합!BL23</f>
        <v>0</v>
      </c>
      <c r="CA23" s="19">
        <f>현금흐름취합!BM23</f>
        <v>0</v>
      </c>
      <c r="CB23" s="19">
        <f>현금흐름취합!BN23</f>
        <v>0</v>
      </c>
      <c r="CC23" s="19">
        <f>현금흐름취합!BO23</f>
        <v>0</v>
      </c>
      <c r="CD23" s="19">
        <f>현금흐름취합!BP23</f>
        <v>0</v>
      </c>
      <c r="CE23" s="19">
        <f>현금흐름취합!BQ23</f>
        <v>0</v>
      </c>
      <c r="CF23" s="19">
        <f>현금흐름취합!BR23</f>
        <v>0</v>
      </c>
      <c r="CG23" s="19">
        <f>현금흐름취합!BS23</f>
        <v>0</v>
      </c>
      <c r="CH23" s="19">
        <f>현금흐름취합!BT23</f>
        <v>0</v>
      </c>
      <c r="CI23" s="19">
        <f>현금흐름취합!BU23</f>
        <v>0</v>
      </c>
      <c r="CJ23" s="19">
        <f>현금흐름취합!BV23</f>
        <v>0</v>
      </c>
      <c r="CK23" s="19">
        <f>현금흐름취합!BW23</f>
        <v>0</v>
      </c>
      <c r="CL23" s="19">
        <f>현금흐름취합!BX23</f>
        <v>0</v>
      </c>
      <c r="CM23" s="19">
        <f>현금흐름취합!BY23</f>
        <v>0</v>
      </c>
      <c r="CN23" s="19">
        <f>현금흐름취합!BZ23</f>
        <v>0</v>
      </c>
      <c r="CO23" s="19">
        <f>현금흐름취합!CA23</f>
        <v>0</v>
      </c>
      <c r="CP23" s="19">
        <f>현금흐름취합!CB23</f>
        <v>0</v>
      </c>
      <c r="CQ23" s="19">
        <f>현금흐름취합!CC23</f>
        <v>0</v>
      </c>
      <c r="CR23" s="19">
        <f>현금흐름취합!CD23</f>
        <v>0</v>
      </c>
      <c r="CS23" s="19">
        <f>현금흐름취합!CE23</f>
        <v>0</v>
      </c>
      <c r="CT23" s="19">
        <f>현금흐름취합!CF23</f>
        <v>0</v>
      </c>
      <c r="CU23" s="19">
        <f>현금흐름취합!CG23</f>
        <v>0</v>
      </c>
      <c r="CV23" s="19">
        <f>현금흐름취합!CH23</f>
        <v>0</v>
      </c>
      <c r="CW23" s="19">
        <f>현금흐름취합!CI23</f>
        <v>0</v>
      </c>
      <c r="CX23" s="19">
        <f>현금흐름취합!CJ23</f>
        <v>0</v>
      </c>
      <c r="CY23" s="19">
        <f>현금흐름취합!CK23</f>
        <v>0</v>
      </c>
      <c r="CZ23" s="19">
        <f>현금흐름취합!CL23</f>
        <v>0</v>
      </c>
      <c r="DA23" s="19">
        <f>현금흐름취합!CM23</f>
        <v>0</v>
      </c>
      <c r="DB23" s="19">
        <f>현금흐름취합!CN23</f>
        <v>0</v>
      </c>
      <c r="DC23" s="19">
        <f>현금흐름취합!CO23</f>
        <v>0</v>
      </c>
      <c r="DD23" s="19">
        <f>현금흐름취합!CP23</f>
        <v>0</v>
      </c>
      <c r="DE23" s="19">
        <f>현금흐름취합!CQ23</f>
        <v>0</v>
      </c>
      <c r="DF23" s="19">
        <f>현금흐름취합!CR23</f>
        <v>0</v>
      </c>
      <c r="DG23" s="19">
        <f>현금흐름취합!CS23</f>
        <v>0</v>
      </c>
      <c r="DH23" s="19">
        <f>현금흐름취합!CT23</f>
        <v>0</v>
      </c>
      <c r="DI23" s="19">
        <f>현금흐름취합!CU23</f>
        <v>0</v>
      </c>
      <c r="DJ23" s="19">
        <f>현금흐름취합!CV23</f>
        <v>0</v>
      </c>
      <c r="DK23" s="19">
        <f>현금흐름취합!CW23</f>
        <v>0</v>
      </c>
      <c r="DL23" s="19">
        <f>현금흐름취합!CX23</f>
        <v>0</v>
      </c>
      <c r="DM23" s="19">
        <f>현금흐름취합!CY23</f>
        <v>0</v>
      </c>
      <c r="DN23" s="19">
        <f>현금흐름취합!CZ23</f>
        <v>0</v>
      </c>
      <c r="DO23" s="19">
        <f>현금흐름취합!DA23</f>
        <v>0</v>
      </c>
      <c r="DP23" s="19">
        <f>현금흐름취합!DB23</f>
        <v>0</v>
      </c>
      <c r="DQ23" s="19">
        <f>현금흐름취합!DC23</f>
        <v>0</v>
      </c>
      <c r="DR23" s="19">
        <f>현금흐름취합!DD23</f>
        <v>0</v>
      </c>
      <c r="DS23" s="19">
        <f>현금흐름취합!DE23</f>
        <v>0</v>
      </c>
      <c r="DT23" s="19">
        <f>현금흐름취합!DF23</f>
        <v>0</v>
      </c>
      <c r="DU23" s="19">
        <f>현금흐름취합!DG23</f>
        <v>0</v>
      </c>
      <c r="DV23" s="19">
        <f>현금흐름취합!DH23</f>
        <v>0</v>
      </c>
      <c r="DW23" s="19">
        <f>현금흐름취합!DI23</f>
        <v>0</v>
      </c>
      <c r="DX23" s="19">
        <f>현금흐름취합!DJ23</f>
        <v>0</v>
      </c>
      <c r="DY23" s="19">
        <f>현금흐름취합!DK23</f>
        <v>0</v>
      </c>
      <c r="DZ23" s="19">
        <f>현금흐름취합!DL23</f>
        <v>0</v>
      </c>
      <c r="EA23" s="19">
        <f>현금흐름취합!DM23</f>
        <v>0</v>
      </c>
      <c r="EB23" s="19">
        <f>현금흐름취합!DN23</f>
        <v>0</v>
      </c>
      <c r="EC23" s="19">
        <f>현금흐름취합!DO23</f>
        <v>0</v>
      </c>
      <c r="ED23" s="19">
        <f>현금흐름취합!DP23</f>
        <v>0</v>
      </c>
      <c r="EE23" s="19">
        <f>현금흐름취합!DQ23</f>
        <v>0</v>
      </c>
      <c r="EF23" s="19">
        <f>현금흐름취합!DR23</f>
        <v>0</v>
      </c>
      <c r="EG23" s="19">
        <f>현금흐름취합!DS23</f>
        <v>0</v>
      </c>
      <c r="EH23" s="19">
        <f>현금흐름취합!DT23</f>
        <v>0</v>
      </c>
      <c r="EI23" s="19">
        <f>현금흐름취합!DU23</f>
        <v>0</v>
      </c>
      <c r="EJ23" s="19">
        <f>현금흐름취합!DV23</f>
        <v>0</v>
      </c>
      <c r="EK23" s="19">
        <f>현금흐름취합!DW23</f>
        <v>0</v>
      </c>
      <c r="EL23" s="19">
        <f>현금흐름취합!DX23</f>
        <v>0</v>
      </c>
      <c r="EM23" s="19">
        <f>현금흐름취합!DY23</f>
        <v>0</v>
      </c>
      <c r="EN23" s="19">
        <f>현금흐름취합!DZ23</f>
        <v>0</v>
      </c>
      <c r="EO23" s="19">
        <f>현금흐름취합!EA23</f>
        <v>0</v>
      </c>
      <c r="EP23" s="19">
        <f>현금흐름취합!EB23</f>
        <v>0</v>
      </c>
      <c r="EQ23" s="19">
        <f>현금흐름취합!EC23</f>
        <v>0</v>
      </c>
      <c r="ER23" s="19">
        <f>현금흐름취합!ED23</f>
        <v>0</v>
      </c>
      <c r="ES23" s="19">
        <f>현금흐름취합!EE23</f>
        <v>0</v>
      </c>
    </row>
    <row r="24" spans="1:149" hidden="1">
      <c r="A24" s="7">
        <f>현금흐름취합!A24</f>
        <v>0</v>
      </c>
      <c r="B24" s="7">
        <f>현금흐름취합!B24</f>
        <v>0</v>
      </c>
      <c r="C24" s="7">
        <f>현금흐름취합!C24</f>
        <v>0</v>
      </c>
      <c r="D24" s="8">
        <f>현금흐름취합!D24</f>
        <v>0</v>
      </c>
      <c r="E24" s="37"/>
      <c r="F24" s="8">
        <f>현금흐름취합!E24</f>
        <v>0</v>
      </c>
      <c r="G24" s="37" t="str">
        <f t="shared" si="1"/>
        <v>pool 고치세요</v>
      </c>
      <c r="H24" s="9">
        <f>현금흐름취합!F24</f>
        <v>0</v>
      </c>
      <c r="I24" s="10">
        <f>현금흐름취합!G24</f>
        <v>0</v>
      </c>
      <c r="J24" s="39" t="e">
        <f t="shared" si="2"/>
        <v>#DIV/0!</v>
      </c>
      <c r="K24" s="11">
        <f>현금흐름취합!H24</f>
        <v>0</v>
      </c>
      <c r="L24" s="40" t="e">
        <f>VLOOKUP(A24,'Sheet A'!$E$11:$K$60,7,0)=K24</f>
        <v>#N/A</v>
      </c>
      <c r="M24" s="12">
        <f>현금흐름취합!I24</f>
        <v>0</v>
      </c>
      <c r="N24" s="40" t="str">
        <f t="shared" si="3"/>
        <v>검토요</v>
      </c>
      <c r="O24" s="13">
        <f>현금흐름취합!J24</f>
        <v>0</v>
      </c>
      <c r="P24" s="14">
        <f>현금흐름취합!K24</f>
        <v>0</v>
      </c>
      <c r="Q24" s="18">
        <f>현금흐름취합!L24</f>
        <v>0</v>
      </c>
      <c r="R24" s="15">
        <f>현금흐름취합!M24</f>
        <v>0</v>
      </c>
      <c r="S24" s="40" t="e">
        <f t="shared" si="4"/>
        <v>#NUM!</v>
      </c>
      <c r="T24" s="16">
        <f>현금흐름취합!N24</f>
        <v>0</v>
      </c>
      <c r="U24" s="40" t="b">
        <f t="shared" si="0"/>
        <v>1</v>
      </c>
      <c r="V24" s="46">
        <f>SUMIF(일반여신!$E$10:$E$35,검증!A24,일반여신!$O$10:$O$35)*0.985-SUMIF(가지급금!$E$10:$E$180,A24,가지급금!$K$10:$K$180)+SUMIF(가지급금!$E$10:$E$180,검증!A24,가지급금!$O$10:$O$180)*0.985</f>
        <v>0</v>
      </c>
      <c r="W24" s="47">
        <f t="shared" si="13"/>
        <v>0</v>
      </c>
      <c r="X24" s="48"/>
      <c r="Y24" s="49">
        <f>SUMIF('Sheet D'!$E$11:$E$60,A24,'Sheet D'!$P$11:$P$60)</f>
        <v>0</v>
      </c>
      <c r="Z24" s="48">
        <f>SUMIFS(일반여신!$M$10:$M$35,일반여신!$E$10:$E$35,A24,일반여신!$P$10:$P$35,"신옹보증서대위변제")</f>
        <v>0</v>
      </c>
      <c r="AA24" s="48">
        <f t="shared" si="6"/>
        <v>0</v>
      </c>
      <c r="AB24" s="50"/>
      <c r="AC24" s="19">
        <f>현금흐름취합!O24</f>
        <v>0</v>
      </c>
      <c r="AD24" s="19">
        <f>현금흐름취합!P24</f>
        <v>0</v>
      </c>
      <c r="AE24" s="19">
        <f>현금흐름취합!Q24</f>
        <v>0</v>
      </c>
      <c r="AF24" s="19">
        <f>현금흐름취합!R24</f>
        <v>0</v>
      </c>
      <c r="AG24" s="19">
        <f>현금흐름취합!S24</f>
        <v>0</v>
      </c>
      <c r="AH24" s="19">
        <f>현금흐름취합!T24</f>
        <v>0</v>
      </c>
      <c r="AI24" s="19">
        <f>현금흐름취합!U24</f>
        <v>0</v>
      </c>
      <c r="AJ24" s="19">
        <f>현금흐름취합!V24</f>
        <v>0</v>
      </c>
      <c r="AK24" s="19">
        <f>현금흐름취합!W24</f>
        <v>0</v>
      </c>
      <c r="AL24" s="19">
        <f>현금흐름취합!X24</f>
        <v>0</v>
      </c>
      <c r="AM24" s="19">
        <f>현금흐름취합!Y24</f>
        <v>0</v>
      </c>
      <c r="AN24" s="19">
        <f>현금흐름취합!Z24</f>
        <v>0</v>
      </c>
      <c r="AO24" s="19">
        <f>현금흐름취합!AA24</f>
        <v>0</v>
      </c>
      <c r="AP24" s="19">
        <f>현금흐름취합!AB24</f>
        <v>0</v>
      </c>
      <c r="AQ24" s="19">
        <f>현금흐름취합!AC24</f>
        <v>0</v>
      </c>
      <c r="AR24" s="19">
        <f>현금흐름취합!AD24</f>
        <v>0</v>
      </c>
      <c r="AS24" s="19">
        <f>현금흐름취합!AE24</f>
        <v>0</v>
      </c>
      <c r="AT24" s="19">
        <f>현금흐름취합!AF24</f>
        <v>0</v>
      </c>
      <c r="AU24" s="19">
        <f>현금흐름취합!AG24</f>
        <v>0</v>
      </c>
      <c r="AV24" s="19">
        <f>현금흐름취합!AH24</f>
        <v>0</v>
      </c>
      <c r="AW24" s="19">
        <f>현금흐름취합!AI24</f>
        <v>0</v>
      </c>
      <c r="AX24" s="19">
        <f>현금흐름취합!AJ24</f>
        <v>0</v>
      </c>
      <c r="AY24" s="19">
        <f>현금흐름취합!AK24</f>
        <v>0</v>
      </c>
      <c r="AZ24" s="19">
        <f>현금흐름취합!AL24</f>
        <v>0</v>
      </c>
      <c r="BA24" s="19">
        <f>현금흐름취합!AM24</f>
        <v>0</v>
      </c>
      <c r="BB24" s="19">
        <f>현금흐름취합!AN24</f>
        <v>0</v>
      </c>
      <c r="BC24" s="19">
        <f>현금흐름취합!AO24</f>
        <v>0</v>
      </c>
      <c r="BD24" s="19">
        <f>현금흐름취합!AP24</f>
        <v>0</v>
      </c>
      <c r="BE24" s="19">
        <f>현금흐름취합!AQ24</f>
        <v>0</v>
      </c>
      <c r="BF24" s="19">
        <f>현금흐름취합!AR24</f>
        <v>0</v>
      </c>
      <c r="BG24" s="19">
        <f>현금흐름취합!AS24</f>
        <v>0</v>
      </c>
      <c r="BH24" s="19">
        <f>현금흐름취합!AT24</f>
        <v>0</v>
      </c>
      <c r="BI24" s="19">
        <f>현금흐름취합!AU24</f>
        <v>0</v>
      </c>
      <c r="BJ24" s="19">
        <f>현금흐름취합!AV24</f>
        <v>0</v>
      </c>
      <c r="BK24" s="19">
        <f>현금흐름취합!AW24</f>
        <v>0</v>
      </c>
      <c r="BL24" s="19">
        <f>현금흐름취합!AX24</f>
        <v>0</v>
      </c>
      <c r="BM24" s="19">
        <f>현금흐름취합!AY24</f>
        <v>0</v>
      </c>
      <c r="BN24" s="19">
        <f>현금흐름취합!AZ24</f>
        <v>0</v>
      </c>
      <c r="BO24" s="19">
        <f>현금흐름취합!BA24</f>
        <v>0</v>
      </c>
      <c r="BP24" s="19">
        <f>현금흐름취합!BB24</f>
        <v>0</v>
      </c>
      <c r="BQ24" s="19">
        <f>현금흐름취합!BC24</f>
        <v>0</v>
      </c>
      <c r="BR24" s="19">
        <f>현금흐름취합!BD24</f>
        <v>0</v>
      </c>
      <c r="BS24" s="19">
        <f>현금흐름취합!BE24</f>
        <v>0</v>
      </c>
      <c r="BT24" s="19">
        <f>현금흐름취합!BF24</f>
        <v>0</v>
      </c>
      <c r="BU24" s="19">
        <f>현금흐름취합!BG24</f>
        <v>0</v>
      </c>
      <c r="BV24" s="19">
        <f>현금흐름취합!BH24</f>
        <v>0</v>
      </c>
      <c r="BW24" s="19">
        <f>현금흐름취합!BI24</f>
        <v>0</v>
      </c>
      <c r="BX24" s="19">
        <f>현금흐름취합!BJ24</f>
        <v>0</v>
      </c>
      <c r="BY24" s="19">
        <f>현금흐름취합!BK24</f>
        <v>0</v>
      </c>
      <c r="BZ24" s="19">
        <f>현금흐름취합!BL24</f>
        <v>0</v>
      </c>
      <c r="CA24" s="19">
        <f>현금흐름취합!BM24</f>
        <v>0</v>
      </c>
      <c r="CB24" s="19">
        <f>현금흐름취합!BN24</f>
        <v>0</v>
      </c>
      <c r="CC24" s="19">
        <f>현금흐름취합!BO24</f>
        <v>0</v>
      </c>
      <c r="CD24" s="19">
        <f>현금흐름취합!BP24</f>
        <v>0</v>
      </c>
      <c r="CE24" s="19">
        <f>현금흐름취합!BQ24</f>
        <v>0</v>
      </c>
      <c r="CF24" s="19">
        <f>현금흐름취합!BR24</f>
        <v>0</v>
      </c>
      <c r="CG24" s="19">
        <f>현금흐름취합!BS24</f>
        <v>0</v>
      </c>
      <c r="CH24" s="19">
        <f>현금흐름취합!BT24</f>
        <v>0</v>
      </c>
      <c r="CI24" s="19">
        <f>현금흐름취합!BU24</f>
        <v>0</v>
      </c>
      <c r="CJ24" s="19">
        <f>현금흐름취합!BV24</f>
        <v>0</v>
      </c>
      <c r="CK24" s="19">
        <f>현금흐름취합!BW24</f>
        <v>0</v>
      </c>
      <c r="CL24" s="19">
        <f>현금흐름취합!BX24</f>
        <v>0</v>
      </c>
      <c r="CM24" s="19">
        <f>현금흐름취합!BY24</f>
        <v>0</v>
      </c>
      <c r="CN24" s="19">
        <f>현금흐름취합!BZ24</f>
        <v>0</v>
      </c>
      <c r="CO24" s="19">
        <f>현금흐름취합!CA24</f>
        <v>0</v>
      </c>
      <c r="CP24" s="19">
        <f>현금흐름취합!CB24</f>
        <v>0</v>
      </c>
      <c r="CQ24" s="19">
        <f>현금흐름취합!CC24</f>
        <v>0</v>
      </c>
      <c r="CR24" s="19">
        <f>현금흐름취합!CD24</f>
        <v>0</v>
      </c>
      <c r="CS24" s="19">
        <f>현금흐름취합!CE24</f>
        <v>0</v>
      </c>
      <c r="CT24" s="19">
        <f>현금흐름취합!CF24</f>
        <v>0</v>
      </c>
      <c r="CU24" s="19">
        <f>현금흐름취합!CG24</f>
        <v>0</v>
      </c>
      <c r="CV24" s="19">
        <f>현금흐름취합!CH24</f>
        <v>0</v>
      </c>
      <c r="CW24" s="19">
        <f>현금흐름취합!CI24</f>
        <v>0</v>
      </c>
      <c r="CX24" s="19">
        <f>현금흐름취합!CJ24</f>
        <v>0</v>
      </c>
      <c r="CY24" s="19">
        <f>현금흐름취합!CK24</f>
        <v>0</v>
      </c>
      <c r="CZ24" s="19">
        <f>현금흐름취합!CL24</f>
        <v>0</v>
      </c>
      <c r="DA24" s="19">
        <f>현금흐름취합!CM24</f>
        <v>0</v>
      </c>
      <c r="DB24" s="19">
        <f>현금흐름취합!CN24</f>
        <v>0</v>
      </c>
      <c r="DC24" s="19">
        <f>현금흐름취합!CO24</f>
        <v>0</v>
      </c>
      <c r="DD24" s="19">
        <f>현금흐름취합!CP24</f>
        <v>0</v>
      </c>
      <c r="DE24" s="19">
        <f>현금흐름취합!CQ24</f>
        <v>0</v>
      </c>
      <c r="DF24" s="19">
        <f>현금흐름취합!CR24</f>
        <v>0</v>
      </c>
      <c r="DG24" s="19">
        <f>현금흐름취합!CS24</f>
        <v>0</v>
      </c>
      <c r="DH24" s="19">
        <f>현금흐름취합!CT24</f>
        <v>0</v>
      </c>
      <c r="DI24" s="19">
        <f>현금흐름취합!CU24</f>
        <v>0</v>
      </c>
      <c r="DJ24" s="19">
        <f>현금흐름취합!CV24</f>
        <v>0</v>
      </c>
      <c r="DK24" s="19">
        <f>현금흐름취합!CW24</f>
        <v>0</v>
      </c>
      <c r="DL24" s="19">
        <f>현금흐름취합!CX24</f>
        <v>0</v>
      </c>
      <c r="DM24" s="19">
        <f>현금흐름취합!CY24</f>
        <v>0</v>
      </c>
      <c r="DN24" s="19">
        <f>현금흐름취합!CZ24</f>
        <v>0</v>
      </c>
      <c r="DO24" s="19">
        <f>현금흐름취합!DA24</f>
        <v>0</v>
      </c>
      <c r="DP24" s="19">
        <f>현금흐름취합!DB24</f>
        <v>0</v>
      </c>
      <c r="DQ24" s="19">
        <f>현금흐름취합!DC24</f>
        <v>0</v>
      </c>
      <c r="DR24" s="19">
        <f>현금흐름취합!DD24</f>
        <v>0</v>
      </c>
      <c r="DS24" s="19">
        <f>현금흐름취합!DE24</f>
        <v>0</v>
      </c>
      <c r="DT24" s="19">
        <f>현금흐름취합!DF24</f>
        <v>0</v>
      </c>
      <c r="DU24" s="19">
        <f>현금흐름취합!DG24</f>
        <v>0</v>
      </c>
      <c r="DV24" s="19">
        <f>현금흐름취합!DH24</f>
        <v>0</v>
      </c>
      <c r="DW24" s="19">
        <f>현금흐름취합!DI24</f>
        <v>0</v>
      </c>
      <c r="DX24" s="19">
        <f>현금흐름취합!DJ24</f>
        <v>0</v>
      </c>
      <c r="DY24" s="19">
        <f>현금흐름취합!DK24</f>
        <v>0</v>
      </c>
      <c r="DZ24" s="19">
        <f>현금흐름취합!DL24</f>
        <v>0</v>
      </c>
      <c r="EA24" s="19">
        <f>현금흐름취합!DM24</f>
        <v>0</v>
      </c>
      <c r="EB24" s="19">
        <f>현금흐름취합!DN24</f>
        <v>0</v>
      </c>
      <c r="EC24" s="19">
        <f>현금흐름취합!DO24</f>
        <v>0</v>
      </c>
      <c r="ED24" s="19">
        <f>현금흐름취합!DP24</f>
        <v>0</v>
      </c>
      <c r="EE24" s="19">
        <f>현금흐름취합!DQ24</f>
        <v>0</v>
      </c>
      <c r="EF24" s="19">
        <f>현금흐름취합!DR24</f>
        <v>0</v>
      </c>
      <c r="EG24" s="19">
        <f>현금흐름취합!DS24</f>
        <v>0</v>
      </c>
      <c r="EH24" s="19">
        <f>현금흐름취합!DT24</f>
        <v>0</v>
      </c>
      <c r="EI24" s="19">
        <f>현금흐름취합!DU24</f>
        <v>0</v>
      </c>
      <c r="EJ24" s="19">
        <f>현금흐름취합!DV24</f>
        <v>0</v>
      </c>
      <c r="EK24" s="19">
        <f>현금흐름취합!DW24</f>
        <v>0</v>
      </c>
      <c r="EL24" s="19">
        <f>현금흐름취합!DX24</f>
        <v>0</v>
      </c>
      <c r="EM24" s="19">
        <f>현금흐름취합!DY24</f>
        <v>0</v>
      </c>
      <c r="EN24" s="19">
        <f>현금흐름취합!DZ24</f>
        <v>0</v>
      </c>
      <c r="EO24" s="19">
        <f>현금흐름취합!EA24</f>
        <v>0</v>
      </c>
      <c r="EP24" s="19">
        <f>현금흐름취합!EB24</f>
        <v>0</v>
      </c>
      <c r="EQ24" s="19">
        <f>현금흐름취합!EC24</f>
        <v>0</v>
      </c>
      <c r="ER24" s="19">
        <f>현금흐름취합!ED24</f>
        <v>0</v>
      </c>
      <c r="ES24" s="19">
        <f>현금흐름취합!EE24</f>
        <v>0</v>
      </c>
    </row>
    <row r="25" spans="1:149" hidden="1">
      <c r="A25" s="7">
        <f>현금흐름취합!A25</f>
        <v>0</v>
      </c>
      <c r="B25" s="7">
        <f>현금흐름취합!B25</f>
        <v>0</v>
      </c>
      <c r="C25" s="7">
        <f>현금흐름취합!C25</f>
        <v>0</v>
      </c>
      <c r="D25" s="8">
        <f>현금흐름취합!D25</f>
        <v>0</v>
      </c>
      <c r="E25" s="37" t="str">
        <f t="shared" ref="E25" si="16">IF(R24&gt;R25,"역전현상","이상없음")</f>
        <v>이상없음</v>
      </c>
      <c r="F25" s="8">
        <f>현금흐름취합!E25</f>
        <v>0</v>
      </c>
      <c r="G25" s="37" t="str">
        <f t="shared" si="1"/>
        <v>pool 고치세요</v>
      </c>
      <c r="H25" s="9">
        <f>현금흐름취합!F25</f>
        <v>0</v>
      </c>
      <c r="I25" s="10">
        <f>현금흐름취합!G25</f>
        <v>0</v>
      </c>
      <c r="J25" s="39" t="e">
        <f t="shared" si="2"/>
        <v>#DIV/0!</v>
      </c>
      <c r="K25" s="11">
        <f>현금흐름취합!H25</f>
        <v>0</v>
      </c>
      <c r="L25" s="40" t="e">
        <f>VLOOKUP(A25,'Sheet A'!$E$11:$K$60,7,0)=K25</f>
        <v>#N/A</v>
      </c>
      <c r="M25" s="12">
        <f>현금흐름취합!I25</f>
        <v>0</v>
      </c>
      <c r="N25" s="40" t="str">
        <f t="shared" si="3"/>
        <v>검토요</v>
      </c>
      <c r="O25" s="13">
        <f>현금흐름취합!J25</f>
        <v>0</v>
      </c>
      <c r="P25" s="14">
        <f>현금흐름취합!K25</f>
        <v>0</v>
      </c>
      <c r="Q25" s="18">
        <f>현금흐름취합!L25</f>
        <v>0</v>
      </c>
      <c r="R25" s="15">
        <f>현금흐름취합!M25</f>
        <v>0</v>
      </c>
      <c r="S25" s="40" t="e">
        <f t="shared" si="4"/>
        <v>#NUM!</v>
      </c>
      <c r="T25" s="16">
        <f>현금흐름취합!N25</f>
        <v>0</v>
      </c>
      <c r="U25" s="40" t="b">
        <f t="shared" si="0"/>
        <v>1</v>
      </c>
      <c r="V25" s="46">
        <f>SUMIF(일반여신!$E$10:$E$35,검증!A25,일반여신!$O$10:$O$35)*0.985-SUMIF(가지급금!$E$10:$E$180,A25,가지급금!$K$10:$K$180)+SUMIF(가지급금!$E$10:$E$180,검증!A25,가지급금!$O$10:$O$180)*0.985</f>
        <v>0</v>
      </c>
      <c r="W25" s="47">
        <f t="shared" si="13"/>
        <v>0</v>
      </c>
      <c r="X25" s="48"/>
      <c r="Y25" s="49">
        <f>SUMIF('Sheet D'!$E$11:$E$60,A25,'Sheet D'!$P$11:$P$60)</f>
        <v>0</v>
      </c>
      <c r="Z25" s="48">
        <f>SUMIFS(일반여신!$M$10:$M$35,일반여신!$E$10:$E$35,A25,일반여신!$P$10:$P$35,"신옹보증서대위변제")</f>
        <v>0</v>
      </c>
      <c r="AA25" s="48">
        <f t="shared" si="6"/>
        <v>0</v>
      </c>
      <c r="AB25" s="50"/>
      <c r="AC25" s="19">
        <f>현금흐름취합!O25</f>
        <v>0</v>
      </c>
      <c r="AD25" s="19">
        <f>현금흐름취합!P25</f>
        <v>0</v>
      </c>
      <c r="AE25" s="19">
        <f>현금흐름취합!Q25</f>
        <v>0</v>
      </c>
      <c r="AF25" s="19">
        <f>현금흐름취합!R25</f>
        <v>0</v>
      </c>
      <c r="AG25" s="19">
        <f>현금흐름취합!S25</f>
        <v>0</v>
      </c>
      <c r="AH25" s="19">
        <f>현금흐름취합!T25</f>
        <v>0</v>
      </c>
      <c r="AI25" s="19">
        <f>현금흐름취합!U25</f>
        <v>0</v>
      </c>
      <c r="AJ25" s="19">
        <f>현금흐름취합!V25</f>
        <v>0</v>
      </c>
      <c r="AK25" s="19">
        <f>현금흐름취합!W25</f>
        <v>0</v>
      </c>
      <c r="AL25" s="19">
        <f>현금흐름취합!X25</f>
        <v>0</v>
      </c>
      <c r="AM25" s="19">
        <f>현금흐름취합!Y25</f>
        <v>0</v>
      </c>
      <c r="AN25" s="19">
        <f>현금흐름취합!Z25</f>
        <v>0</v>
      </c>
      <c r="AO25" s="19">
        <f>현금흐름취합!AA25</f>
        <v>0</v>
      </c>
      <c r="AP25" s="19">
        <f>현금흐름취합!AB25</f>
        <v>0</v>
      </c>
      <c r="AQ25" s="19">
        <f>현금흐름취합!AC25</f>
        <v>0</v>
      </c>
      <c r="AR25" s="19">
        <f>현금흐름취합!AD25</f>
        <v>0</v>
      </c>
      <c r="AS25" s="19">
        <f>현금흐름취합!AE25</f>
        <v>0</v>
      </c>
      <c r="AT25" s="19">
        <f>현금흐름취합!AF25</f>
        <v>0</v>
      </c>
      <c r="AU25" s="19">
        <f>현금흐름취합!AG25</f>
        <v>0</v>
      </c>
      <c r="AV25" s="19">
        <f>현금흐름취합!AH25</f>
        <v>0</v>
      </c>
      <c r="AW25" s="19">
        <f>현금흐름취합!AI25</f>
        <v>0</v>
      </c>
      <c r="AX25" s="19">
        <f>현금흐름취합!AJ25</f>
        <v>0</v>
      </c>
      <c r="AY25" s="19">
        <f>현금흐름취합!AK25</f>
        <v>0</v>
      </c>
      <c r="AZ25" s="19">
        <f>현금흐름취합!AL25</f>
        <v>0</v>
      </c>
      <c r="BA25" s="19">
        <f>현금흐름취합!AM25</f>
        <v>0</v>
      </c>
      <c r="BB25" s="19">
        <f>현금흐름취합!AN25</f>
        <v>0</v>
      </c>
      <c r="BC25" s="19">
        <f>현금흐름취합!AO25</f>
        <v>0</v>
      </c>
      <c r="BD25" s="19">
        <f>현금흐름취합!AP25</f>
        <v>0</v>
      </c>
      <c r="BE25" s="19">
        <f>현금흐름취합!AQ25</f>
        <v>0</v>
      </c>
      <c r="BF25" s="19">
        <f>현금흐름취합!AR25</f>
        <v>0</v>
      </c>
      <c r="BG25" s="19">
        <f>현금흐름취합!AS25</f>
        <v>0</v>
      </c>
      <c r="BH25" s="19">
        <f>현금흐름취합!AT25</f>
        <v>0</v>
      </c>
      <c r="BI25" s="19">
        <f>현금흐름취합!AU25</f>
        <v>0</v>
      </c>
      <c r="BJ25" s="19">
        <f>현금흐름취합!AV25</f>
        <v>0</v>
      </c>
      <c r="BK25" s="19">
        <f>현금흐름취합!AW25</f>
        <v>0</v>
      </c>
      <c r="BL25" s="19">
        <f>현금흐름취합!AX25</f>
        <v>0</v>
      </c>
      <c r="BM25" s="19">
        <f>현금흐름취합!AY25</f>
        <v>0</v>
      </c>
      <c r="BN25" s="19">
        <f>현금흐름취합!AZ25</f>
        <v>0</v>
      </c>
      <c r="BO25" s="19">
        <f>현금흐름취합!BA25</f>
        <v>0</v>
      </c>
      <c r="BP25" s="19">
        <f>현금흐름취합!BB25</f>
        <v>0</v>
      </c>
      <c r="BQ25" s="19">
        <f>현금흐름취합!BC25</f>
        <v>0</v>
      </c>
      <c r="BR25" s="19">
        <f>현금흐름취합!BD25</f>
        <v>0</v>
      </c>
      <c r="BS25" s="19">
        <f>현금흐름취합!BE25</f>
        <v>0</v>
      </c>
      <c r="BT25" s="19">
        <f>현금흐름취합!BF25</f>
        <v>0</v>
      </c>
      <c r="BU25" s="19">
        <f>현금흐름취합!BG25</f>
        <v>0</v>
      </c>
      <c r="BV25" s="19">
        <f>현금흐름취합!BH25</f>
        <v>0</v>
      </c>
      <c r="BW25" s="19">
        <f>현금흐름취합!BI25</f>
        <v>0</v>
      </c>
      <c r="BX25" s="19">
        <f>현금흐름취합!BJ25</f>
        <v>0</v>
      </c>
      <c r="BY25" s="19">
        <f>현금흐름취합!BK25</f>
        <v>0</v>
      </c>
      <c r="BZ25" s="19">
        <f>현금흐름취합!BL25</f>
        <v>0</v>
      </c>
      <c r="CA25" s="19">
        <f>현금흐름취합!BM25</f>
        <v>0</v>
      </c>
      <c r="CB25" s="19">
        <f>현금흐름취합!BN25</f>
        <v>0</v>
      </c>
      <c r="CC25" s="19">
        <f>현금흐름취합!BO25</f>
        <v>0</v>
      </c>
      <c r="CD25" s="19">
        <f>현금흐름취합!BP25</f>
        <v>0</v>
      </c>
      <c r="CE25" s="19">
        <f>현금흐름취합!BQ25</f>
        <v>0</v>
      </c>
      <c r="CF25" s="19">
        <f>현금흐름취합!BR25</f>
        <v>0</v>
      </c>
      <c r="CG25" s="19">
        <f>현금흐름취합!BS25</f>
        <v>0</v>
      </c>
      <c r="CH25" s="19">
        <f>현금흐름취합!BT25</f>
        <v>0</v>
      </c>
      <c r="CI25" s="19">
        <f>현금흐름취합!BU25</f>
        <v>0</v>
      </c>
      <c r="CJ25" s="19">
        <f>현금흐름취합!BV25</f>
        <v>0</v>
      </c>
      <c r="CK25" s="19">
        <f>현금흐름취합!BW25</f>
        <v>0</v>
      </c>
      <c r="CL25" s="19">
        <f>현금흐름취합!BX25</f>
        <v>0</v>
      </c>
      <c r="CM25" s="19">
        <f>현금흐름취합!BY25</f>
        <v>0</v>
      </c>
      <c r="CN25" s="19">
        <f>현금흐름취합!BZ25</f>
        <v>0</v>
      </c>
      <c r="CO25" s="19">
        <f>현금흐름취합!CA25</f>
        <v>0</v>
      </c>
      <c r="CP25" s="19">
        <f>현금흐름취합!CB25</f>
        <v>0</v>
      </c>
      <c r="CQ25" s="19">
        <f>현금흐름취합!CC25</f>
        <v>0</v>
      </c>
      <c r="CR25" s="19">
        <f>현금흐름취합!CD25</f>
        <v>0</v>
      </c>
      <c r="CS25" s="19">
        <f>현금흐름취합!CE25</f>
        <v>0</v>
      </c>
      <c r="CT25" s="19">
        <f>현금흐름취합!CF25</f>
        <v>0</v>
      </c>
      <c r="CU25" s="19">
        <f>현금흐름취합!CG25</f>
        <v>0</v>
      </c>
      <c r="CV25" s="19">
        <f>현금흐름취합!CH25</f>
        <v>0</v>
      </c>
      <c r="CW25" s="19">
        <f>현금흐름취합!CI25</f>
        <v>0</v>
      </c>
      <c r="CX25" s="19">
        <f>현금흐름취합!CJ25</f>
        <v>0</v>
      </c>
      <c r="CY25" s="19">
        <f>현금흐름취합!CK25</f>
        <v>0</v>
      </c>
      <c r="CZ25" s="19">
        <f>현금흐름취합!CL25</f>
        <v>0</v>
      </c>
      <c r="DA25" s="19">
        <f>현금흐름취합!CM25</f>
        <v>0</v>
      </c>
      <c r="DB25" s="19">
        <f>현금흐름취합!CN25</f>
        <v>0</v>
      </c>
      <c r="DC25" s="19">
        <f>현금흐름취합!CO25</f>
        <v>0</v>
      </c>
      <c r="DD25" s="19">
        <f>현금흐름취합!CP25</f>
        <v>0</v>
      </c>
      <c r="DE25" s="19">
        <f>현금흐름취합!CQ25</f>
        <v>0</v>
      </c>
      <c r="DF25" s="19">
        <f>현금흐름취합!CR25</f>
        <v>0</v>
      </c>
      <c r="DG25" s="19">
        <f>현금흐름취합!CS25</f>
        <v>0</v>
      </c>
      <c r="DH25" s="19">
        <f>현금흐름취합!CT25</f>
        <v>0</v>
      </c>
      <c r="DI25" s="19">
        <f>현금흐름취합!CU25</f>
        <v>0</v>
      </c>
      <c r="DJ25" s="19">
        <f>현금흐름취합!CV25</f>
        <v>0</v>
      </c>
      <c r="DK25" s="19">
        <f>현금흐름취합!CW25</f>
        <v>0</v>
      </c>
      <c r="DL25" s="19">
        <f>현금흐름취합!CX25</f>
        <v>0</v>
      </c>
      <c r="DM25" s="19">
        <f>현금흐름취합!CY25</f>
        <v>0</v>
      </c>
      <c r="DN25" s="19">
        <f>현금흐름취합!CZ25</f>
        <v>0</v>
      </c>
      <c r="DO25" s="19">
        <f>현금흐름취합!DA25</f>
        <v>0</v>
      </c>
      <c r="DP25" s="19">
        <f>현금흐름취합!DB25</f>
        <v>0</v>
      </c>
      <c r="DQ25" s="19">
        <f>현금흐름취합!DC25</f>
        <v>0</v>
      </c>
      <c r="DR25" s="19">
        <f>현금흐름취합!DD25</f>
        <v>0</v>
      </c>
      <c r="DS25" s="19">
        <f>현금흐름취합!DE25</f>
        <v>0</v>
      </c>
      <c r="DT25" s="19">
        <f>현금흐름취합!DF25</f>
        <v>0</v>
      </c>
      <c r="DU25" s="19">
        <f>현금흐름취합!DG25</f>
        <v>0</v>
      </c>
      <c r="DV25" s="19">
        <f>현금흐름취합!DH25</f>
        <v>0</v>
      </c>
      <c r="DW25" s="19">
        <f>현금흐름취합!DI25</f>
        <v>0</v>
      </c>
      <c r="DX25" s="19">
        <f>현금흐름취합!DJ25</f>
        <v>0</v>
      </c>
      <c r="DY25" s="19">
        <f>현금흐름취합!DK25</f>
        <v>0</v>
      </c>
      <c r="DZ25" s="19">
        <f>현금흐름취합!DL25</f>
        <v>0</v>
      </c>
      <c r="EA25" s="19">
        <f>현금흐름취합!DM25</f>
        <v>0</v>
      </c>
      <c r="EB25" s="19">
        <f>현금흐름취합!DN25</f>
        <v>0</v>
      </c>
      <c r="EC25" s="19">
        <f>현금흐름취합!DO25</f>
        <v>0</v>
      </c>
      <c r="ED25" s="19">
        <f>현금흐름취합!DP25</f>
        <v>0</v>
      </c>
      <c r="EE25" s="19">
        <f>현금흐름취합!DQ25</f>
        <v>0</v>
      </c>
      <c r="EF25" s="19">
        <f>현금흐름취합!DR25</f>
        <v>0</v>
      </c>
      <c r="EG25" s="19">
        <f>현금흐름취합!DS25</f>
        <v>0</v>
      </c>
      <c r="EH25" s="19">
        <f>현금흐름취합!DT25</f>
        <v>0</v>
      </c>
      <c r="EI25" s="19">
        <f>현금흐름취합!DU25</f>
        <v>0</v>
      </c>
      <c r="EJ25" s="19">
        <f>현금흐름취합!DV25</f>
        <v>0</v>
      </c>
      <c r="EK25" s="19">
        <f>현금흐름취합!DW25</f>
        <v>0</v>
      </c>
      <c r="EL25" s="19">
        <f>현금흐름취합!DX25</f>
        <v>0</v>
      </c>
      <c r="EM25" s="19">
        <f>현금흐름취합!DY25</f>
        <v>0</v>
      </c>
      <c r="EN25" s="19">
        <f>현금흐름취합!DZ25</f>
        <v>0</v>
      </c>
      <c r="EO25" s="19">
        <f>현금흐름취합!EA25</f>
        <v>0</v>
      </c>
      <c r="EP25" s="19">
        <f>현금흐름취합!EB25</f>
        <v>0</v>
      </c>
      <c r="EQ25" s="19">
        <f>현금흐름취합!EC25</f>
        <v>0</v>
      </c>
      <c r="ER25" s="19">
        <f>현금흐름취합!ED25</f>
        <v>0</v>
      </c>
      <c r="ES25" s="19">
        <f>현금흐름취합!EE25</f>
        <v>0</v>
      </c>
    </row>
    <row r="26" spans="1:149" hidden="1">
      <c r="A26" s="7">
        <f>현금흐름취합!A26</f>
        <v>0</v>
      </c>
      <c r="B26" s="7">
        <f>현금흐름취합!B26</f>
        <v>0</v>
      </c>
      <c r="C26" s="7">
        <f>현금흐름취합!C26</f>
        <v>0</v>
      </c>
      <c r="D26" s="8">
        <f>현금흐름취합!D26</f>
        <v>0</v>
      </c>
      <c r="E26" s="37"/>
      <c r="F26" s="8">
        <f>현금흐름취합!E26</f>
        <v>0</v>
      </c>
      <c r="G26" s="37" t="str">
        <f t="shared" si="1"/>
        <v>pool 고치세요</v>
      </c>
      <c r="H26" s="9">
        <f>현금흐름취합!F26</f>
        <v>0</v>
      </c>
      <c r="I26" s="10">
        <f>현금흐름취합!G26</f>
        <v>0</v>
      </c>
      <c r="J26" s="39" t="e">
        <f t="shared" si="2"/>
        <v>#DIV/0!</v>
      </c>
      <c r="K26" s="11">
        <f>현금흐름취합!H26</f>
        <v>0</v>
      </c>
      <c r="L26" s="40" t="e">
        <f>VLOOKUP(A26,'Sheet A'!$E$11:$K$60,7,0)=K26</f>
        <v>#N/A</v>
      </c>
      <c r="M26" s="12">
        <f>현금흐름취합!I26</f>
        <v>0</v>
      </c>
      <c r="N26" s="40" t="str">
        <f t="shared" si="3"/>
        <v>검토요</v>
      </c>
      <c r="O26" s="13">
        <f>현금흐름취합!J26</f>
        <v>0</v>
      </c>
      <c r="P26" s="14">
        <f>현금흐름취합!K26</f>
        <v>0</v>
      </c>
      <c r="Q26" s="18">
        <f>현금흐름취합!L26</f>
        <v>0</v>
      </c>
      <c r="R26" s="15">
        <f>현금흐름취합!M26</f>
        <v>0</v>
      </c>
      <c r="S26" s="40" t="e">
        <f t="shared" si="4"/>
        <v>#NUM!</v>
      </c>
      <c r="T26" s="16">
        <f>현금흐름취합!N26</f>
        <v>0</v>
      </c>
      <c r="U26" s="40" t="b">
        <f t="shared" si="0"/>
        <v>1</v>
      </c>
      <c r="V26" s="46">
        <f>SUMIF(일반여신!$E$10:$E$35,검증!A26,일반여신!$O$10:$O$35)*0.985-SUMIF(가지급금!$E$10:$E$180,A26,가지급금!$K$10:$K$180)+SUMIF(가지급금!$E$10:$E$180,검증!A26,가지급금!$O$10:$O$180)*0.985</f>
        <v>0</v>
      </c>
      <c r="W26" s="47">
        <f t="shared" si="13"/>
        <v>0</v>
      </c>
      <c r="X26" s="48"/>
      <c r="Y26" s="49">
        <f>SUMIF('Sheet D'!$E$11:$E$60,A26,'Sheet D'!$P$11:$P$60)</f>
        <v>0</v>
      </c>
      <c r="Z26" s="48">
        <f>SUMIFS(일반여신!$M$10:$M$35,일반여신!$E$10:$E$35,A26,일반여신!$P$10:$P$35,"신옹보증서대위변제")</f>
        <v>0</v>
      </c>
      <c r="AA26" s="48">
        <f t="shared" si="6"/>
        <v>0</v>
      </c>
      <c r="AB26" s="50"/>
      <c r="AC26" s="19">
        <f>현금흐름취합!O26</f>
        <v>0</v>
      </c>
      <c r="AD26" s="19">
        <f>현금흐름취합!P26</f>
        <v>0</v>
      </c>
      <c r="AE26" s="19">
        <f>현금흐름취합!Q26</f>
        <v>0</v>
      </c>
      <c r="AF26" s="19">
        <f>현금흐름취합!R26</f>
        <v>0</v>
      </c>
      <c r="AG26" s="19">
        <f>현금흐름취합!S26</f>
        <v>0</v>
      </c>
      <c r="AH26" s="19">
        <f>현금흐름취합!T26</f>
        <v>0</v>
      </c>
      <c r="AI26" s="19">
        <f>현금흐름취합!U26</f>
        <v>0</v>
      </c>
      <c r="AJ26" s="19">
        <f>현금흐름취합!V26</f>
        <v>0</v>
      </c>
      <c r="AK26" s="19">
        <f>현금흐름취합!W26</f>
        <v>0</v>
      </c>
      <c r="AL26" s="19">
        <f>현금흐름취합!X26</f>
        <v>0</v>
      </c>
      <c r="AM26" s="19">
        <f>현금흐름취합!Y26</f>
        <v>0</v>
      </c>
      <c r="AN26" s="19">
        <f>현금흐름취합!Z26</f>
        <v>0</v>
      </c>
      <c r="AO26" s="19">
        <f>현금흐름취합!AA26</f>
        <v>0</v>
      </c>
      <c r="AP26" s="19">
        <f>현금흐름취합!AB26</f>
        <v>0</v>
      </c>
      <c r="AQ26" s="19">
        <f>현금흐름취합!AC26</f>
        <v>0</v>
      </c>
      <c r="AR26" s="19">
        <f>현금흐름취합!AD26</f>
        <v>0</v>
      </c>
      <c r="AS26" s="19">
        <f>현금흐름취합!AE26</f>
        <v>0</v>
      </c>
      <c r="AT26" s="19">
        <f>현금흐름취합!AF26</f>
        <v>0</v>
      </c>
      <c r="AU26" s="19">
        <f>현금흐름취합!AG26</f>
        <v>0</v>
      </c>
      <c r="AV26" s="19">
        <f>현금흐름취합!AH26</f>
        <v>0</v>
      </c>
      <c r="AW26" s="19">
        <f>현금흐름취합!AI26</f>
        <v>0</v>
      </c>
      <c r="AX26" s="19">
        <f>현금흐름취합!AJ26</f>
        <v>0</v>
      </c>
      <c r="AY26" s="19">
        <f>현금흐름취합!AK26</f>
        <v>0</v>
      </c>
      <c r="AZ26" s="19">
        <f>현금흐름취합!AL26</f>
        <v>0</v>
      </c>
      <c r="BA26" s="19">
        <f>현금흐름취합!AM26</f>
        <v>0</v>
      </c>
      <c r="BB26" s="19">
        <f>현금흐름취합!AN26</f>
        <v>0</v>
      </c>
      <c r="BC26" s="19">
        <f>현금흐름취합!AO26</f>
        <v>0</v>
      </c>
      <c r="BD26" s="19">
        <f>현금흐름취합!AP26</f>
        <v>0</v>
      </c>
      <c r="BE26" s="19">
        <f>현금흐름취합!AQ26</f>
        <v>0</v>
      </c>
      <c r="BF26" s="19">
        <f>현금흐름취합!AR26</f>
        <v>0</v>
      </c>
      <c r="BG26" s="19">
        <f>현금흐름취합!AS26</f>
        <v>0</v>
      </c>
      <c r="BH26" s="19">
        <f>현금흐름취합!AT26</f>
        <v>0</v>
      </c>
      <c r="BI26" s="19">
        <f>현금흐름취합!AU26</f>
        <v>0</v>
      </c>
      <c r="BJ26" s="19">
        <f>현금흐름취합!AV26</f>
        <v>0</v>
      </c>
      <c r="BK26" s="19">
        <f>현금흐름취합!AW26</f>
        <v>0</v>
      </c>
      <c r="BL26" s="19">
        <f>현금흐름취합!AX26</f>
        <v>0</v>
      </c>
      <c r="BM26" s="19">
        <f>현금흐름취합!AY26</f>
        <v>0</v>
      </c>
      <c r="BN26" s="19">
        <f>현금흐름취합!AZ26</f>
        <v>0</v>
      </c>
      <c r="BO26" s="19">
        <f>현금흐름취합!BA26</f>
        <v>0</v>
      </c>
      <c r="BP26" s="19">
        <f>현금흐름취합!BB26</f>
        <v>0</v>
      </c>
      <c r="BQ26" s="19">
        <f>현금흐름취합!BC26</f>
        <v>0</v>
      </c>
      <c r="BR26" s="19">
        <f>현금흐름취합!BD26</f>
        <v>0</v>
      </c>
      <c r="BS26" s="19">
        <f>현금흐름취합!BE26</f>
        <v>0</v>
      </c>
      <c r="BT26" s="19">
        <f>현금흐름취합!BF26</f>
        <v>0</v>
      </c>
      <c r="BU26" s="19">
        <f>현금흐름취합!BG26</f>
        <v>0</v>
      </c>
      <c r="BV26" s="19">
        <f>현금흐름취합!BH26</f>
        <v>0</v>
      </c>
      <c r="BW26" s="19">
        <f>현금흐름취합!BI26</f>
        <v>0</v>
      </c>
      <c r="BX26" s="19">
        <f>현금흐름취합!BJ26</f>
        <v>0</v>
      </c>
      <c r="BY26" s="19">
        <f>현금흐름취합!BK26</f>
        <v>0</v>
      </c>
      <c r="BZ26" s="19">
        <f>현금흐름취합!BL26</f>
        <v>0</v>
      </c>
      <c r="CA26" s="19">
        <f>현금흐름취합!BM26</f>
        <v>0</v>
      </c>
      <c r="CB26" s="19">
        <f>현금흐름취합!BN26</f>
        <v>0</v>
      </c>
      <c r="CC26" s="19">
        <f>현금흐름취합!BO26</f>
        <v>0</v>
      </c>
      <c r="CD26" s="19">
        <f>현금흐름취합!BP26</f>
        <v>0</v>
      </c>
      <c r="CE26" s="19">
        <f>현금흐름취합!BQ26</f>
        <v>0</v>
      </c>
      <c r="CF26" s="19">
        <f>현금흐름취합!BR26</f>
        <v>0</v>
      </c>
      <c r="CG26" s="19">
        <f>현금흐름취합!BS26</f>
        <v>0</v>
      </c>
      <c r="CH26" s="19">
        <f>현금흐름취합!BT26</f>
        <v>0</v>
      </c>
      <c r="CI26" s="19">
        <f>현금흐름취합!BU26</f>
        <v>0</v>
      </c>
      <c r="CJ26" s="19">
        <f>현금흐름취합!BV26</f>
        <v>0</v>
      </c>
      <c r="CK26" s="19">
        <f>현금흐름취합!BW26</f>
        <v>0</v>
      </c>
      <c r="CL26" s="19">
        <f>현금흐름취합!BX26</f>
        <v>0</v>
      </c>
      <c r="CM26" s="19">
        <f>현금흐름취합!BY26</f>
        <v>0</v>
      </c>
      <c r="CN26" s="19">
        <f>현금흐름취합!BZ26</f>
        <v>0</v>
      </c>
      <c r="CO26" s="19">
        <f>현금흐름취합!CA26</f>
        <v>0</v>
      </c>
      <c r="CP26" s="19">
        <f>현금흐름취합!CB26</f>
        <v>0</v>
      </c>
      <c r="CQ26" s="19">
        <f>현금흐름취합!CC26</f>
        <v>0</v>
      </c>
      <c r="CR26" s="19">
        <f>현금흐름취합!CD26</f>
        <v>0</v>
      </c>
      <c r="CS26" s="19">
        <f>현금흐름취합!CE26</f>
        <v>0</v>
      </c>
      <c r="CT26" s="19">
        <f>현금흐름취합!CF26</f>
        <v>0</v>
      </c>
      <c r="CU26" s="19">
        <f>현금흐름취합!CG26</f>
        <v>0</v>
      </c>
      <c r="CV26" s="19">
        <f>현금흐름취합!CH26</f>
        <v>0</v>
      </c>
      <c r="CW26" s="19">
        <f>현금흐름취합!CI26</f>
        <v>0</v>
      </c>
      <c r="CX26" s="19">
        <f>현금흐름취합!CJ26</f>
        <v>0</v>
      </c>
      <c r="CY26" s="19">
        <f>현금흐름취합!CK26</f>
        <v>0</v>
      </c>
      <c r="CZ26" s="19">
        <f>현금흐름취합!CL26</f>
        <v>0</v>
      </c>
      <c r="DA26" s="19">
        <f>현금흐름취합!CM26</f>
        <v>0</v>
      </c>
      <c r="DB26" s="19">
        <f>현금흐름취합!CN26</f>
        <v>0</v>
      </c>
      <c r="DC26" s="19">
        <f>현금흐름취합!CO26</f>
        <v>0</v>
      </c>
      <c r="DD26" s="19">
        <f>현금흐름취합!CP26</f>
        <v>0</v>
      </c>
      <c r="DE26" s="19">
        <f>현금흐름취합!CQ26</f>
        <v>0</v>
      </c>
      <c r="DF26" s="19">
        <f>현금흐름취합!CR26</f>
        <v>0</v>
      </c>
      <c r="DG26" s="19">
        <f>현금흐름취합!CS26</f>
        <v>0</v>
      </c>
      <c r="DH26" s="19">
        <f>현금흐름취합!CT26</f>
        <v>0</v>
      </c>
      <c r="DI26" s="19">
        <f>현금흐름취합!CU26</f>
        <v>0</v>
      </c>
      <c r="DJ26" s="19">
        <f>현금흐름취합!CV26</f>
        <v>0</v>
      </c>
      <c r="DK26" s="19">
        <f>현금흐름취합!CW26</f>
        <v>0</v>
      </c>
      <c r="DL26" s="19">
        <f>현금흐름취합!CX26</f>
        <v>0</v>
      </c>
      <c r="DM26" s="19">
        <f>현금흐름취합!CY26</f>
        <v>0</v>
      </c>
      <c r="DN26" s="19">
        <f>현금흐름취합!CZ26</f>
        <v>0</v>
      </c>
      <c r="DO26" s="19">
        <f>현금흐름취합!DA26</f>
        <v>0</v>
      </c>
      <c r="DP26" s="19">
        <f>현금흐름취합!DB26</f>
        <v>0</v>
      </c>
      <c r="DQ26" s="19">
        <f>현금흐름취합!DC26</f>
        <v>0</v>
      </c>
      <c r="DR26" s="19">
        <f>현금흐름취합!DD26</f>
        <v>0</v>
      </c>
      <c r="DS26" s="19">
        <f>현금흐름취합!DE26</f>
        <v>0</v>
      </c>
      <c r="DT26" s="19">
        <f>현금흐름취합!DF26</f>
        <v>0</v>
      </c>
      <c r="DU26" s="19">
        <f>현금흐름취합!DG26</f>
        <v>0</v>
      </c>
      <c r="DV26" s="19">
        <f>현금흐름취합!DH26</f>
        <v>0</v>
      </c>
      <c r="DW26" s="19">
        <f>현금흐름취합!DI26</f>
        <v>0</v>
      </c>
      <c r="DX26" s="19">
        <f>현금흐름취합!DJ26</f>
        <v>0</v>
      </c>
      <c r="DY26" s="19">
        <f>현금흐름취합!DK26</f>
        <v>0</v>
      </c>
      <c r="DZ26" s="19">
        <f>현금흐름취합!DL26</f>
        <v>0</v>
      </c>
      <c r="EA26" s="19">
        <f>현금흐름취합!DM26</f>
        <v>0</v>
      </c>
      <c r="EB26" s="19">
        <f>현금흐름취합!DN26</f>
        <v>0</v>
      </c>
      <c r="EC26" s="19">
        <f>현금흐름취합!DO26</f>
        <v>0</v>
      </c>
      <c r="ED26" s="19">
        <f>현금흐름취합!DP26</f>
        <v>0</v>
      </c>
      <c r="EE26" s="19">
        <f>현금흐름취합!DQ26</f>
        <v>0</v>
      </c>
      <c r="EF26" s="19">
        <f>현금흐름취합!DR26</f>
        <v>0</v>
      </c>
      <c r="EG26" s="19">
        <f>현금흐름취합!DS26</f>
        <v>0</v>
      </c>
      <c r="EH26" s="19">
        <f>현금흐름취합!DT26</f>
        <v>0</v>
      </c>
      <c r="EI26" s="19">
        <f>현금흐름취합!DU26</f>
        <v>0</v>
      </c>
      <c r="EJ26" s="19">
        <f>현금흐름취합!DV26</f>
        <v>0</v>
      </c>
      <c r="EK26" s="19">
        <f>현금흐름취합!DW26</f>
        <v>0</v>
      </c>
      <c r="EL26" s="19">
        <f>현금흐름취합!DX26</f>
        <v>0</v>
      </c>
      <c r="EM26" s="19">
        <f>현금흐름취합!DY26</f>
        <v>0</v>
      </c>
      <c r="EN26" s="19">
        <f>현금흐름취합!DZ26</f>
        <v>0</v>
      </c>
      <c r="EO26" s="19">
        <f>현금흐름취합!EA26</f>
        <v>0</v>
      </c>
      <c r="EP26" s="19">
        <f>현금흐름취합!EB26</f>
        <v>0</v>
      </c>
      <c r="EQ26" s="19">
        <f>현금흐름취합!EC26</f>
        <v>0</v>
      </c>
      <c r="ER26" s="19">
        <f>현금흐름취합!ED26</f>
        <v>0</v>
      </c>
      <c r="ES26" s="19">
        <f>현금흐름취합!EE26</f>
        <v>0</v>
      </c>
    </row>
    <row r="27" spans="1:149" hidden="1">
      <c r="A27" s="7">
        <f>현금흐름취합!A27</f>
        <v>0</v>
      </c>
      <c r="B27" s="7">
        <f>현금흐름취합!B27</f>
        <v>0</v>
      </c>
      <c r="C27" s="7">
        <f>현금흐름취합!C27</f>
        <v>0</v>
      </c>
      <c r="D27" s="8">
        <f>현금흐름취합!D27</f>
        <v>0</v>
      </c>
      <c r="E27" s="37" t="str">
        <f t="shared" ref="E27" si="17">IF(R26&gt;R27,"역전현상","이상없음")</f>
        <v>이상없음</v>
      </c>
      <c r="F27" s="8">
        <f>현금흐름취합!E27</f>
        <v>0</v>
      </c>
      <c r="G27" s="37" t="str">
        <f t="shared" si="1"/>
        <v>pool 고치세요</v>
      </c>
      <c r="H27" s="9">
        <f>현금흐름취합!F27</f>
        <v>0</v>
      </c>
      <c r="I27" s="10">
        <f>현금흐름취합!G27</f>
        <v>0</v>
      </c>
      <c r="J27" s="39" t="e">
        <f t="shared" si="2"/>
        <v>#DIV/0!</v>
      </c>
      <c r="K27" s="11">
        <f>현금흐름취합!H27</f>
        <v>0</v>
      </c>
      <c r="L27" s="40" t="e">
        <f>VLOOKUP(A27,'Sheet A'!$E$11:$K$60,7,0)=K27</f>
        <v>#N/A</v>
      </c>
      <c r="M27" s="12">
        <f>현금흐름취합!I27</f>
        <v>0</v>
      </c>
      <c r="N27" s="40" t="str">
        <f t="shared" si="3"/>
        <v>검토요</v>
      </c>
      <c r="O27" s="13">
        <f>현금흐름취합!J27</f>
        <v>0</v>
      </c>
      <c r="P27" s="14">
        <f>현금흐름취합!K27</f>
        <v>0</v>
      </c>
      <c r="Q27" s="18">
        <f>현금흐름취합!L27</f>
        <v>0</v>
      </c>
      <c r="R27" s="15">
        <f>현금흐름취합!M27</f>
        <v>0</v>
      </c>
      <c r="S27" s="40" t="e">
        <f t="shared" si="4"/>
        <v>#NUM!</v>
      </c>
      <c r="T27" s="16">
        <f>현금흐름취합!N27</f>
        <v>0</v>
      </c>
      <c r="U27" s="40" t="b">
        <f t="shared" si="0"/>
        <v>1</v>
      </c>
      <c r="V27" s="46">
        <f>SUMIF(일반여신!$E$10:$E$35,검증!A27,일반여신!$O$10:$O$35)*0.985-SUMIF(가지급금!$E$10:$E$180,A27,가지급금!$K$10:$K$180)+SUMIF(가지급금!$E$10:$E$180,검증!A27,가지급금!$O$10:$O$180)*0.985</f>
        <v>0</v>
      </c>
      <c r="W27" s="47">
        <f t="shared" si="13"/>
        <v>0</v>
      </c>
      <c r="X27" s="48"/>
      <c r="Y27" s="49">
        <f>SUMIF('Sheet D'!$E$11:$E$60,A27,'Sheet D'!$P$11:$P$60)</f>
        <v>0</v>
      </c>
      <c r="Z27" s="48">
        <f>SUMIFS(일반여신!$M$10:$M$35,일반여신!$E$10:$E$35,A27,일반여신!$P$10:$P$35,"신옹보증서대위변제")</f>
        <v>0</v>
      </c>
      <c r="AA27" s="48">
        <f t="shared" si="6"/>
        <v>0</v>
      </c>
      <c r="AB27" s="50"/>
      <c r="AC27" s="19">
        <f>현금흐름취합!O27</f>
        <v>0</v>
      </c>
      <c r="AD27" s="19">
        <f>현금흐름취합!P27</f>
        <v>0</v>
      </c>
      <c r="AE27" s="19">
        <f>현금흐름취합!Q27</f>
        <v>0</v>
      </c>
      <c r="AF27" s="19">
        <f>현금흐름취합!R27</f>
        <v>0</v>
      </c>
      <c r="AG27" s="19">
        <f>현금흐름취합!S27</f>
        <v>0</v>
      </c>
      <c r="AH27" s="19">
        <f>현금흐름취합!T27</f>
        <v>0</v>
      </c>
      <c r="AI27" s="19">
        <f>현금흐름취합!U27</f>
        <v>0</v>
      </c>
      <c r="AJ27" s="19">
        <f>현금흐름취합!V27</f>
        <v>0</v>
      </c>
      <c r="AK27" s="19">
        <f>현금흐름취합!W27</f>
        <v>0</v>
      </c>
      <c r="AL27" s="19">
        <f>현금흐름취합!X27</f>
        <v>0</v>
      </c>
      <c r="AM27" s="19">
        <f>현금흐름취합!Y27</f>
        <v>0</v>
      </c>
      <c r="AN27" s="19">
        <f>현금흐름취합!Z27</f>
        <v>0</v>
      </c>
      <c r="AO27" s="19">
        <f>현금흐름취합!AA27</f>
        <v>0</v>
      </c>
      <c r="AP27" s="19">
        <f>현금흐름취합!AB27</f>
        <v>0</v>
      </c>
      <c r="AQ27" s="19">
        <f>현금흐름취합!AC27</f>
        <v>0</v>
      </c>
      <c r="AR27" s="19">
        <f>현금흐름취합!AD27</f>
        <v>0</v>
      </c>
      <c r="AS27" s="19">
        <f>현금흐름취합!AE27</f>
        <v>0</v>
      </c>
      <c r="AT27" s="19">
        <f>현금흐름취합!AF27</f>
        <v>0</v>
      </c>
      <c r="AU27" s="19">
        <f>현금흐름취합!AG27</f>
        <v>0</v>
      </c>
      <c r="AV27" s="19">
        <f>현금흐름취합!AH27</f>
        <v>0</v>
      </c>
      <c r="AW27" s="19">
        <f>현금흐름취합!AI27</f>
        <v>0</v>
      </c>
      <c r="AX27" s="19">
        <f>현금흐름취합!AJ27</f>
        <v>0</v>
      </c>
      <c r="AY27" s="19">
        <f>현금흐름취합!AK27</f>
        <v>0</v>
      </c>
      <c r="AZ27" s="19">
        <f>현금흐름취합!AL27</f>
        <v>0</v>
      </c>
      <c r="BA27" s="19">
        <f>현금흐름취합!AM27</f>
        <v>0</v>
      </c>
      <c r="BB27" s="19">
        <f>현금흐름취합!AN27</f>
        <v>0</v>
      </c>
      <c r="BC27" s="19">
        <f>현금흐름취합!AO27</f>
        <v>0</v>
      </c>
      <c r="BD27" s="19">
        <f>현금흐름취합!AP27</f>
        <v>0</v>
      </c>
      <c r="BE27" s="19">
        <f>현금흐름취합!AQ27</f>
        <v>0</v>
      </c>
      <c r="BF27" s="19">
        <f>현금흐름취합!AR27</f>
        <v>0</v>
      </c>
      <c r="BG27" s="19">
        <f>현금흐름취합!AS27</f>
        <v>0</v>
      </c>
      <c r="BH27" s="19">
        <f>현금흐름취합!AT27</f>
        <v>0</v>
      </c>
      <c r="BI27" s="19">
        <f>현금흐름취합!AU27</f>
        <v>0</v>
      </c>
      <c r="BJ27" s="19">
        <f>현금흐름취합!AV27</f>
        <v>0</v>
      </c>
      <c r="BK27" s="19">
        <f>현금흐름취합!AW27</f>
        <v>0</v>
      </c>
      <c r="BL27" s="19">
        <f>현금흐름취합!AX27</f>
        <v>0</v>
      </c>
      <c r="BM27" s="19">
        <f>현금흐름취합!AY27</f>
        <v>0</v>
      </c>
      <c r="BN27" s="19">
        <f>현금흐름취합!AZ27</f>
        <v>0</v>
      </c>
      <c r="BO27" s="19">
        <f>현금흐름취합!BA27</f>
        <v>0</v>
      </c>
      <c r="BP27" s="19">
        <f>현금흐름취합!BB27</f>
        <v>0</v>
      </c>
      <c r="BQ27" s="19">
        <f>현금흐름취합!BC27</f>
        <v>0</v>
      </c>
      <c r="BR27" s="19">
        <f>현금흐름취합!BD27</f>
        <v>0</v>
      </c>
      <c r="BS27" s="19">
        <f>현금흐름취합!BE27</f>
        <v>0</v>
      </c>
      <c r="BT27" s="19">
        <f>현금흐름취합!BF27</f>
        <v>0</v>
      </c>
      <c r="BU27" s="19">
        <f>현금흐름취합!BG27</f>
        <v>0</v>
      </c>
      <c r="BV27" s="19">
        <f>현금흐름취합!BH27</f>
        <v>0</v>
      </c>
      <c r="BW27" s="19">
        <f>현금흐름취합!BI27</f>
        <v>0</v>
      </c>
      <c r="BX27" s="19">
        <f>현금흐름취합!BJ27</f>
        <v>0</v>
      </c>
      <c r="BY27" s="19">
        <f>현금흐름취합!BK27</f>
        <v>0</v>
      </c>
      <c r="BZ27" s="19">
        <f>현금흐름취합!BL27</f>
        <v>0</v>
      </c>
      <c r="CA27" s="19">
        <f>현금흐름취합!BM27</f>
        <v>0</v>
      </c>
      <c r="CB27" s="19">
        <f>현금흐름취합!BN27</f>
        <v>0</v>
      </c>
      <c r="CC27" s="19">
        <f>현금흐름취합!BO27</f>
        <v>0</v>
      </c>
      <c r="CD27" s="19">
        <f>현금흐름취합!BP27</f>
        <v>0</v>
      </c>
      <c r="CE27" s="19">
        <f>현금흐름취합!BQ27</f>
        <v>0</v>
      </c>
      <c r="CF27" s="19">
        <f>현금흐름취합!BR27</f>
        <v>0</v>
      </c>
      <c r="CG27" s="19">
        <f>현금흐름취합!BS27</f>
        <v>0</v>
      </c>
      <c r="CH27" s="19">
        <f>현금흐름취합!BT27</f>
        <v>0</v>
      </c>
      <c r="CI27" s="19">
        <f>현금흐름취합!BU27</f>
        <v>0</v>
      </c>
      <c r="CJ27" s="19">
        <f>현금흐름취합!BV27</f>
        <v>0</v>
      </c>
      <c r="CK27" s="19">
        <f>현금흐름취합!BW27</f>
        <v>0</v>
      </c>
      <c r="CL27" s="19">
        <f>현금흐름취합!BX27</f>
        <v>0</v>
      </c>
      <c r="CM27" s="19">
        <f>현금흐름취합!BY27</f>
        <v>0</v>
      </c>
      <c r="CN27" s="19">
        <f>현금흐름취합!BZ27</f>
        <v>0</v>
      </c>
      <c r="CO27" s="19">
        <f>현금흐름취합!CA27</f>
        <v>0</v>
      </c>
      <c r="CP27" s="19">
        <f>현금흐름취합!CB27</f>
        <v>0</v>
      </c>
      <c r="CQ27" s="19">
        <f>현금흐름취합!CC27</f>
        <v>0</v>
      </c>
      <c r="CR27" s="19">
        <f>현금흐름취합!CD27</f>
        <v>0</v>
      </c>
      <c r="CS27" s="19">
        <f>현금흐름취합!CE27</f>
        <v>0</v>
      </c>
      <c r="CT27" s="19">
        <f>현금흐름취합!CF27</f>
        <v>0</v>
      </c>
      <c r="CU27" s="19">
        <f>현금흐름취합!CG27</f>
        <v>0</v>
      </c>
      <c r="CV27" s="19">
        <f>현금흐름취합!CH27</f>
        <v>0</v>
      </c>
      <c r="CW27" s="19">
        <f>현금흐름취합!CI27</f>
        <v>0</v>
      </c>
      <c r="CX27" s="19">
        <f>현금흐름취합!CJ27</f>
        <v>0</v>
      </c>
      <c r="CY27" s="19">
        <f>현금흐름취합!CK27</f>
        <v>0</v>
      </c>
      <c r="CZ27" s="19">
        <f>현금흐름취합!CL27</f>
        <v>0</v>
      </c>
      <c r="DA27" s="19">
        <f>현금흐름취합!CM27</f>
        <v>0</v>
      </c>
      <c r="DB27" s="19">
        <f>현금흐름취합!CN27</f>
        <v>0</v>
      </c>
      <c r="DC27" s="19">
        <f>현금흐름취합!CO27</f>
        <v>0</v>
      </c>
      <c r="DD27" s="19">
        <f>현금흐름취합!CP27</f>
        <v>0</v>
      </c>
      <c r="DE27" s="19">
        <f>현금흐름취합!CQ27</f>
        <v>0</v>
      </c>
      <c r="DF27" s="19">
        <f>현금흐름취합!CR27</f>
        <v>0</v>
      </c>
      <c r="DG27" s="19">
        <f>현금흐름취합!CS27</f>
        <v>0</v>
      </c>
      <c r="DH27" s="19">
        <f>현금흐름취합!CT27</f>
        <v>0</v>
      </c>
      <c r="DI27" s="19">
        <f>현금흐름취합!CU27</f>
        <v>0</v>
      </c>
      <c r="DJ27" s="19">
        <f>현금흐름취합!CV27</f>
        <v>0</v>
      </c>
      <c r="DK27" s="19">
        <f>현금흐름취합!CW27</f>
        <v>0</v>
      </c>
      <c r="DL27" s="19">
        <f>현금흐름취합!CX27</f>
        <v>0</v>
      </c>
      <c r="DM27" s="19">
        <f>현금흐름취합!CY27</f>
        <v>0</v>
      </c>
      <c r="DN27" s="19">
        <f>현금흐름취합!CZ27</f>
        <v>0</v>
      </c>
      <c r="DO27" s="19">
        <f>현금흐름취합!DA27</f>
        <v>0</v>
      </c>
      <c r="DP27" s="19">
        <f>현금흐름취합!DB27</f>
        <v>0</v>
      </c>
      <c r="DQ27" s="19">
        <f>현금흐름취합!DC27</f>
        <v>0</v>
      </c>
      <c r="DR27" s="19">
        <f>현금흐름취합!DD27</f>
        <v>0</v>
      </c>
      <c r="DS27" s="19">
        <f>현금흐름취합!DE27</f>
        <v>0</v>
      </c>
      <c r="DT27" s="19">
        <f>현금흐름취합!DF27</f>
        <v>0</v>
      </c>
      <c r="DU27" s="19">
        <f>현금흐름취합!DG27</f>
        <v>0</v>
      </c>
      <c r="DV27" s="19">
        <f>현금흐름취합!DH27</f>
        <v>0</v>
      </c>
      <c r="DW27" s="19">
        <f>현금흐름취합!DI27</f>
        <v>0</v>
      </c>
      <c r="DX27" s="19">
        <f>현금흐름취합!DJ27</f>
        <v>0</v>
      </c>
      <c r="DY27" s="19">
        <f>현금흐름취합!DK27</f>
        <v>0</v>
      </c>
      <c r="DZ27" s="19">
        <f>현금흐름취합!DL27</f>
        <v>0</v>
      </c>
      <c r="EA27" s="19">
        <f>현금흐름취합!DM27</f>
        <v>0</v>
      </c>
      <c r="EB27" s="19">
        <f>현금흐름취합!DN27</f>
        <v>0</v>
      </c>
      <c r="EC27" s="19">
        <f>현금흐름취합!DO27</f>
        <v>0</v>
      </c>
      <c r="ED27" s="19">
        <f>현금흐름취합!DP27</f>
        <v>0</v>
      </c>
      <c r="EE27" s="19">
        <f>현금흐름취합!DQ27</f>
        <v>0</v>
      </c>
      <c r="EF27" s="19">
        <f>현금흐름취합!DR27</f>
        <v>0</v>
      </c>
      <c r="EG27" s="19">
        <f>현금흐름취합!DS27</f>
        <v>0</v>
      </c>
      <c r="EH27" s="19">
        <f>현금흐름취합!DT27</f>
        <v>0</v>
      </c>
      <c r="EI27" s="19">
        <f>현금흐름취합!DU27</f>
        <v>0</v>
      </c>
      <c r="EJ27" s="19">
        <f>현금흐름취합!DV27</f>
        <v>0</v>
      </c>
      <c r="EK27" s="19">
        <f>현금흐름취합!DW27</f>
        <v>0</v>
      </c>
      <c r="EL27" s="19">
        <f>현금흐름취합!DX27</f>
        <v>0</v>
      </c>
      <c r="EM27" s="19">
        <f>현금흐름취합!DY27</f>
        <v>0</v>
      </c>
      <c r="EN27" s="19">
        <f>현금흐름취합!DZ27</f>
        <v>0</v>
      </c>
      <c r="EO27" s="19">
        <f>현금흐름취합!EA27</f>
        <v>0</v>
      </c>
      <c r="EP27" s="19">
        <f>현금흐름취합!EB27</f>
        <v>0</v>
      </c>
      <c r="EQ27" s="19">
        <f>현금흐름취합!EC27</f>
        <v>0</v>
      </c>
      <c r="ER27" s="19">
        <f>현금흐름취합!ED27</f>
        <v>0</v>
      </c>
      <c r="ES27" s="19">
        <f>현금흐름취합!EE27</f>
        <v>0</v>
      </c>
    </row>
    <row r="28" spans="1:149" hidden="1">
      <c r="A28" s="7">
        <f>현금흐름취합!A28</f>
        <v>0</v>
      </c>
      <c r="B28" s="7">
        <f>현금흐름취합!B28</f>
        <v>0</v>
      </c>
      <c r="C28" s="7">
        <f>현금흐름취합!C28</f>
        <v>0</v>
      </c>
      <c r="D28" s="8">
        <f>현금흐름취합!D28</f>
        <v>0</v>
      </c>
      <c r="E28" s="37"/>
      <c r="F28" s="8">
        <f>현금흐름취합!E28</f>
        <v>0</v>
      </c>
      <c r="G28" s="37" t="str">
        <f t="shared" si="1"/>
        <v>pool 고치세요</v>
      </c>
      <c r="H28" s="9">
        <f>현금흐름취합!F28</f>
        <v>0</v>
      </c>
      <c r="I28" s="10">
        <f>현금흐름취합!G28</f>
        <v>0</v>
      </c>
      <c r="J28" s="39" t="e">
        <f t="shared" si="2"/>
        <v>#DIV/0!</v>
      </c>
      <c r="K28" s="11">
        <f>현금흐름취합!H28</f>
        <v>0</v>
      </c>
      <c r="L28" s="40" t="e">
        <f>VLOOKUP(A28,'Sheet A'!$E$11:$K$60,7,0)=K28</f>
        <v>#N/A</v>
      </c>
      <c r="M28" s="12">
        <f>현금흐름취합!I28</f>
        <v>0</v>
      </c>
      <c r="N28" s="40" t="str">
        <f t="shared" si="3"/>
        <v>검토요</v>
      </c>
      <c r="O28" s="13">
        <f>현금흐름취합!J28</f>
        <v>0</v>
      </c>
      <c r="P28" s="14">
        <f>현금흐름취합!K28</f>
        <v>0</v>
      </c>
      <c r="Q28" s="18">
        <f>현금흐름취합!L28</f>
        <v>0</v>
      </c>
      <c r="R28" s="15">
        <f>현금흐름취합!M28</f>
        <v>0</v>
      </c>
      <c r="S28" s="40" t="e">
        <f t="shared" si="4"/>
        <v>#NUM!</v>
      </c>
      <c r="T28" s="16">
        <f>현금흐름취합!N28</f>
        <v>0</v>
      </c>
      <c r="U28" s="40" t="b">
        <f t="shared" si="0"/>
        <v>1</v>
      </c>
      <c r="V28" s="46">
        <f>SUMIF(일반여신!$E$10:$E$35,검증!A28,일반여신!$O$10:$O$35)*0.985-SUMIF(가지급금!$E$10:$E$180,A28,가지급금!$K$10:$K$180)+SUMIF(가지급금!$E$10:$E$180,검증!A28,가지급금!$O$10:$O$180)*0.985</f>
        <v>0</v>
      </c>
      <c r="W28" s="47">
        <f t="shared" si="13"/>
        <v>0</v>
      </c>
      <c r="X28" s="48"/>
      <c r="Y28" s="49">
        <f>SUMIF('Sheet D'!$E$11:$E$60,A28,'Sheet D'!$P$11:$P$60)</f>
        <v>0</v>
      </c>
      <c r="Z28" s="48">
        <f>SUMIFS(일반여신!$M$10:$M$35,일반여신!$E$10:$E$35,A28,일반여신!$P$10:$P$35,"신옹보증서대위변제")</f>
        <v>0</v>
      </c>
      <c r="AA28" s="48">
        <f t="shared" si="6"/>
        <v>0</v>
      </c>
      <c r="AB28" s="50"/>
      <c r="AC28" s="19">
        <f>현금흐름취합!O28</f>
        <v>0</v>
      </c>
      <c r="AD28" s="19">
        <f>현금흐름취합!P28</f>
        <v>0</v>
      </c>
      <c r="AE28" s="19">
        <f>현금흐름취합!Q28</f>
        <v>0</v>
      </c>
      <c r="AF28" s="19">
        <f>현금흐름취합!R28</f>
        <v>0</v>
      </c>
      <c r="AG28" s="19">
        <f>현금흐름취합!S28</f>
        <v>0</v>
      </c>
      <c r="AH28" s="19">
        <f>현금흐름취합!T28</f>
        <v>0</v>
      </c>
      <c r="AI28" s="19">
        <f>현금흐름취합!U28</f>
        <v>0</v>
      </c>
      <c r="AJ28" s="19">
        <f>현금흐름취합!V28</f>
        <v>0</v>
      </c>
      <c r="AK28" s="19">
        <f>현금흐름취합!W28</f>
        <v>0</v>
      </c>
      <c r="AL28" s="19">
        <f>현금흐름취합!X28</f>
        <v>0</v>
      </c>
      <c r="AM28" s="19">
        <f>현금흐름취합!Y28</f>
        <v>0</v>
      </c>
      <c r="AN28" s="19">
        <f>현금흐름취합!Z28</f>
        <v>0</v>
      </c>
      <c r="AO28" s="19">
        <f>현금흐름취합!AA28</f>
        <v>0</v>
      </c>
      <c r="AP28" s="19">
        <f>현금흐름취합!AB28</f>
        <v>0</v>
      </c>
      <c r="AQ28" s="19">
        <f>현금흐름취합!AC28</f>
        <v>0</v>
      </c>
      <c r="AR28" s="19">
        <f>현금흐름취합!AD28</f>
        <v>0</v>
      </c>
      <c r="AS28" s="19">
        <f>현금흐름취합!AE28</f>
        <v>0</v>
      </c>
      <c r="AT28" s="19">
        <f>현금흐름취합!AF28</f>
        <v>0</v>
      </c>
      <c r="AU28" s="19">
        <f>현금흐름취합!AG28</f>
        <v>0</v>
      </c>
      <c r="AV28" s="19">
        <f>현금흐름취합!AH28</f>
        <v>0</v>
      </c>
      <c r="AW28" s="19">
        <f>현금흐름취합!AI28</f>
        <v>0</v>
      </c>
      <c r="AX28" s="19">
        <f>현금흐름취합!AJ28</f>
        <v>0</v>
      </c>
      <c r="AY28" s="19">
        <f>현금흐름취합!AK28</f>
        <v>0</v>
      </c>
      <c r="AZ28" s="19">
        <f>현금흐름취합!AL28</f>
        <v>0</v>
      </c>
      <c r="BA28" s="19">
        <f>현금흐름취합!AM28</f>
        <v>0</v>
      </c>
      <c r="BB28" s="19">
        <f>현금흐름취합!AN28</f>
        <v>0</v>
      </c>
      <c r="BC28" s="19">
        <f>현금흐름취합!AO28</f>
        <v>0</v>
      </c>
      <c r="BD28" s="19">
        <f>현금흐름취합!AP28</f>
        <v>0</v>
      </c>
      <c r="BE28" s="19">
        <f>현금흐름취합!AQ28</f>
        <v>0</v>
      </c>
      <c r="BF28" s="19">
        <f>현금흐름취합!AR28</f>
        <v>0</v>
      </c>
      <c r="BG28" s="19">
        <f>현금흐름취합!AS28</f>
        <v>0</v>
      </c>
      <c r="BH28" s="19">
        <f>현금흐름취합!AT28</f>
        <v>0</v>
      </c>
      <c r="BI28" s="19">
        <f>현금흐름취합!AU28</f>
        <v>0</v>
      </c>
      <c r="BJ28" s="19">
        <f>현금흐름취합!AV28</f>
        <v>0</v>
      </c>
      <c r="BK28" s="19">
        <f>현금흐름취합!AW28</f>
        <v>0</v>
      </c>
      <c r="BL28" s="19">
        <f>현금흐름취합!AX28</f>
        <v>0</v>
      </c>
      <c r="BM28" s="19">
        <f>현금흐름취합!AY28</f>
        <v>0</v>
      </c>
      <c r="BN28" s="19">
        <f>현금흐름취합!AZ28</f>
        <v>0</v>
      </c>
      <c r="BO28" s="19">
        <f>현금흐름취합!BA28</f>
        <v>0</v>
      </c>
      <c r="BP28" s="19">
        <f>현금흐름취합!BB28</f>
        <v>0</v>
      </c>
      <c r="BQ28" s="19">
        <f>현금흐름취합!BC28</f>
        <v>0</v>
      </c>
      <c r="BR28" s="19">
        <f>현금흐름취합!BD28</f>
        <v>0</v>
      </c>
      <c r="BS28" s="19">
        <f>현금흐름취합!BE28</f>
        <v>0</v>
      </c>
      <c r="BT28" s="19">
        <f>현금흐름취합!BF28</f>
        <v>0</v>
      </c>
      <c r="BU28" s="19">
        <f>현금흐름취합!BG28</f>
        <v>0</v>
      </c>
      <c r="BV28" s="19">
        <f>현금흐름취합!BH28</f>
        <v>0</v>
      </c>
      <c r="BW28" s="19">
        <f>현금흐름취합!BI28</f>
        <v>0</v>
      </c>
      <c r="BX28" s="19">
        <f>현금흐름취합!BJ28</f>
        <v>0</v>
      </c>
      <c r="BY28" s="19">
        <f>현금흐름취합!BK28</f>
        <v>0</v>
      </c>
      <c r="BZ28" s="19">
        <f>현금흐름취합!BL28</f>
        <v>0</v>
      </c>
      <c r="CA28" s="19">
        <f>현금흐름취합!BM28</f>
        <v>0</v>
      </c>
      <c r="CB28" s="19">
        <f>현금흐름취합!BN28</f>
        <v>0</v>
      </c>
      <c r="CC28" s="19">
        <f>현금흐름취합!BO28</f>
        <v>0</v>
      </c>
      <c r="CD28" s="19">
        <f>현금흐름취합!BP28</f>
        <v>0</v>
      </c>
      <c r="CE28" s="19">
        <f>현금흐름취합!BQ28</f>
        <v>0</v>
      </c>
      <c r="CF28" s="19">
        <f>현금흐름취합!BR28</f>
        <v>0</v>
      </c>
      <c r="CG28" s="19">
        <f>현금흐름취합!BS28</f>
        <v>0</v>
      </c>
      <c r="CH28" s="19">
        <f>현금흐름취합!BT28</f>
        <v>0</v>
      </c>
      <c r="CI28" s="19">
        <f>현금흐름취합!BU28</f>
        <v>0</v>
      </c>
      <c r="CJ28" s="19">
        <f>현금흐름취합!BV28</f>
        <v>0</v>
      </c>
      <c r="CK28" s="19">
        <f>현금흐름취합!BW28</f>
        <v>0</v>
      </c>
      <c r="CL28" s="19">
        <f>현금흐름취합!BX28</f>
        <v>0</v>
      </c>
      <c r="CM28" s="19">
        <f>현금흐름취합!BY28</f>
        <v>0</v>
      </c>
      <c r="CN28" s="19">
        <f>현금흐름취합!BZ28</f>
        <v>0</v>
      </c>
      <c r="CO28" s="19">
        <f>현금흐름취합!CA28</f>
        <v>0</v>
      </c>
      <c r="CP28" s="19">
        <f>현금흐름취합!CB28</f>
        <v>0</v>
      </c>
      <c r="CQ28" s="19">
        <f>현금흐름취합!CC28</f>
        <v>0</v>
      </c>
      <c r="CR28" s="19">
        <f>현금흐름취합!CD28</f>
        <v>0</v>
      </c>
      <c r="CS28" s="19">
        <f>현금흐름취합!CE28</f>
        <v>0</v>
      </c>
      <c r="CT28" s="19">
        <f>현금흐름취합!CF28</f>
        <v>0</v>
      </c>
      <c r="CU28" s="19">
        <f>현금흐름취합!CG28</f>
        <v>0</v>
      </c>
      <c r="CV28" s="19">
        <f>현금흐름취합!CH28</f>
        <v>0</v>
      </c>
      <c r="CW28" s="19">
        <f>현금흐름취합!CI28</f>
        <v>0</v>
      </c>
      <c r="CX28" s="19">
        <f>현금흐름취합!CJ28</f>
        <v>0</v>
      </c>
      <c r="CY28" s="19">
        <f>현금흐름취합!CK28</f>
        <v>0</v>
      </c>
      <c r="CZ28" s="19">
        <f>현금흐름취합!CL28</f>
        <v>0</v>
      </c>
      <c r="DA28" s="19">
        <f>현금흐름취합!CM28</f>
        <v>0</v>
      </c>
      <c r="DB28" s="19">
        <f>현금흐름취합!CN28</f>
        <v>0</v>
      </c>
      <c r="DC28" s="19">
        <f>현금흐름취합!CO28</f>
        <v>0</v>
      </c>
      <c r="DD28" s="19">
        <f>현금흐름취합!CP28</f>
        <v>0</v>
      </c>
      <c r="DE28" s="19">
        <f>현금흐름취합!CQ28</f>
        <v>0</v>
      </c>
      <c r="DF28" s="19">
        <f>현금흐름취합!CR28</f>
        <v>0</v>
      </c>
      <c r="DG28" s="19">
        <f>현금흐름취합!CS28</f>
        <v>0</v>
      </c>
      <c r="DH28" s="19">
        <f>현금흐름취합!CT28</f>
        <v>0</v>
      </c>
      <c r="DI28" s="19">
        <f>현금흐름취합!CU28</f>
        <v>0</v>
      </c>
      <c r="DJ28" s="19">
        <f>현금흐름취합!CV28</f>
        <v>0</v>
      </c>
      <c r="DK28" s="19">
        <f>현금흐름취합!CW28</f>
        <v>0</v>
      </c>
      <c r="DL28" s="19">
        <f>현금흐름취합!CX28</f>
        <v>0</v>
      </c>
      <c r="DM28" s="19">
        <f>현금흐름취합!CY28</f>
        <v>0</v>
      </c>
      <c r="DN28" s="19">
        <f>현금흐름취합!CZ28</f>
        <v>0</v>
      </c>
      <c r="DO28" s="19">
        <f>현금흐름취합!DA28</f>
        <v>0</v>
      </c>
      <c r="DP28" s="19">
        <f>현금흐름취합!DB28</f>
        <v>0</v>
      </c>
      <c r="DQ28" s="19">
        <f>현금흐름취합!DC28</f>
        <v>0</v>
      </c>
      <c r="DR28" s="19">
        <f>현금흐름취합!DD28</f>
        <v>0</v>
      </c>
      <c r="DS28" s="19">
        <f>현금흐름취합!DE28</f>
        <v>0</v>
      </c>
      <c r="DT28" s="19">
        <f>현금흐름취합!DF28</f>
        <v>0</v>
      </c>
      <c r="DU28" s="19">
        <f>현금흐름취합!DG28</f>
        <v>0</v>
      </c>
      <c r="DV28" s="19">
        <f>현금흐름취합!DH28</f>
        <v>0</v>
      </c>
      <c r="DW28" s="19">
        <f>현금흐름취합!DI28</f>
        <v>0</v>
      </c>
      <c r="DX28" s="19">
        <f>현금흐름취합!DJ28</f>
        <v>0</v>
      </c>
      <c r="DY28" s="19">
        <f>현금흐름취합!DK28</f>
        <v>0</v>
      </c>
      <c r="DZ28" s="19">
        <f>현금흐름취합!DL28</f>
        <v>0</v>
      </c>
      <c r="EA28" s="19">
        <f>현금흐름취합!DM28</f>
        <v>0</v>
      </c>
      <c r="EB28" s="19">
        <f>현금흐름취합!DN28</f>
        <v>0</v>
      </c>
      <c r="EC28" s="19">
        <f>현금흐름취합!DO28</f>
        <v>0</v>
      </c>
      <c r="ED28" s="19">
        <f>현금흐름취합!DP28</f>
        <v>0</v>
      </c>
      <c r="EE28" s="19">
        <f>현금흐름취합!DQ28</f>
        <v>0</v>
      </c>
      <c r="EF28" s="19">
        <f>현금흐름취합!DR28</f>
        <v>0</v>
      </c>
      <c r="EG28" s="19">
        <f>현금흐름취합!DS28</f>
        <v>0</v>
      </c>
      <c r="EH28" s="19">
        <f>현금흐름취합!DT28</f>
        <v>0</v>
      </c>
      <c r="EI28" s="19">
        <f>현금흐름취합!DU28</f>
        <v>0</v>
      </c>
      <c r="EJ28" s="19">
        <f>현금흐름취합!DV28</f>
        <v>0</v>
      </c>
      <c r="EK28" s="19">
        <f>현금흐름취합!DW28</f>
        <v>0</v>
      </c>
      <c r="EL28" s="19">
        <f>현금흐름취합!DX28</f>
        <v>0</v>
      </c>
      <c r="EM28" s="19">
        <f>현금흐름취합!DY28</f>
        <v>0</v>
      </c>
      <c r="EN28" s="19">
        <f>현금흐름취합!DZ28</f>
        <v>0</v>
      </c>
      <c r="EO28" s="19">
        <f>현금흐름취합!EA28</f>
        <v>0</v>
      </c>
      <c r="EP28" s="19">
        <f>현금흐름취합!EB28</f>
        <v>0</v>
      </c>
      <c r="EQ28" s="19">
        <f>현금흐름취합!EC28</f>
        <v>0</v>
      </c>
      <c r="ER28" s="19">
        <f>현금흐름취합!ED28</f>
        <v>0</v>
      </c>
      <c r="ES28" s="19">
        <f>현금흐름취합!EE28</f>
        <v>0</v>
      </c>
    </row>
    <row r="29" spans="1:149" hidden="1">
      <c r="A29" s="7">
        <f>현금흐름취합!A29</f>
        <v>0</v>
      </c>
      <c r="B29" s="7">
        <f>현금흐름취합!B29</f>
        <v>0</v>
      </c>
      <c r="C29" s="7">
        <f>현금흐름취합!C29</f>
        <v>0</v>
      </c>
      <c r="D29" s="8">
        <f>현금흐름취합!D29</f>
        <v>0</v>
      </c>
      <c r="E29" s="37" t="str">
        <f t="shared" ref="E29" si="18">IF(R28&gt;R29,"역전현상","이상없음")</f>
        <v>이상없음</v>
      </c>
      <c r="F29" s="8">
        <f>현금흐름취합!E29</f>
        <v>0</v>
      </c>
      <c r="G29" s="37" t="str">
        <f t="shared" si="1"/>
        <v>pool 고치세요</v>
      </c>
      <c r="H29" s="9">
        <f>현금흐름취합!F29</f>
        <v>0</v>
      </c>
      <c r="I29" s="10">
        <f>현금흐름취합!G29</f>
        <v>0</v>
      </c>
      <c r="J29" s="39" t="e">
        <f t="shared" si="2"/>
        <v>#DIV/0!</v>
      </c>
      <c r="K29" s="11">
        <f>현금흐름취합!H29</f>
        <v>0</v>
      </c>
      <c r="L29" s="40" t="e">
        <f>VLOOKUP(A29,'Sheet A'!$E$11:$K$60,7,0)=K29</f>
        <v>#N/A</v>
      </c>
      <c r="M29" s="12">
        <f>현금흐름취합!I29</f>
        <v>0</v>
      </c>
      <c r="N29" s="40" t="str">
        <f t="shared" si="3"/>
        <v>검토요</v>
      </c>
      <c r="O29" s="13">
        <f>현금흐름취합!J29</f>
        <v>0</v>
      </c>
      <c r="P29" s="14">
        <f>현금흐름취합!K29</f>
        <v>0</v>
      </c>
      <c r="Q29" s="18">
        <f>현금흐름취합!L29</f>
        <v>0</v>
      </c>
      <c r="R29" s="15">
        <f>현금흐름취합!M29</f>
        <v>0</v>
      </c>
      <c r="S29" s="40" t="e">
        <f t="shared" si="4"/>
        <v>#NUM!</v>
      </c>
      <c r="T29" s="16">
        <f>현금흐름취합!N29</f>
        <v>0</v>
      </c>
      <c r="U29" s="40" t="b">
        <f t="shared" si="0"/>
        <v>1</v>
      </c>
      <c r="V29" s="46">
        <f>SUMIF(일반여신!$E$10:$E$35,검증!A29,일반여신!$O$10:$O$35)*0.985-SUMIF(가지급금!$E$10:$E$180,A29,가지급금!$K$10:$K$180)+SUMIF(가지급금!$E$10:$E$180,검증!A29,가지급금!$O$10:$O$180)*0.985</f>
        <v>0</v>
      </c>
      <c r="W29" s="47">
        <f t="shared" si="13"/>
        <v>0</v>
      </c>
      <c r="X29" s="48"/>
      <c r="Y29" s="49">
        <f>SUMIF('Sheet D'!$E$11:$E$60,A29,'Sheet D'!$P$11:$P$60)</f>
        <v>0</v>
      </c>
      <c r="Z29" s="48">
        <f>SUMIFS(일반여신!$M$10:$M$35,일반여신!$E$10:$E$35,A29,일반여신!$P$10:$P$35,"신옹보증서대위변제")</f>
        <v>0</v>
      </c>
      <c r="AA29" s="48">
        <f t="shared" si="6"/>
        <v>0</v>
      </c>
      <c r="AB29" s="50"/>
      <c r="AC29" s="19">
        <f>현금흐름취합!O29</f>
        <v>0</v>
      </c>
      <c r="AD29" s="19">
        <f>현금흐름취합!P29</f>
        <v>0</v>
      </c>
      <c r="AE29" s="19">
        <f>현금흐름취합!Q29</f>
        <v>0</v>
      </c>
      <c r="AF29" s="19">
        <f>현금흐름취합!R29</f>
        <v>0</v>
      </c>
      <c r="AG29" s="19">
        <f>현금흐름취합!S29</f>
        <v>0</v>
      </c>
      <c r="AH29" s="19">
        <f>현금흐름취합!T29</f>
        <v>0</v>
      </c>
      <c r="AI29" s="19">
        <f>현금흐름취합!U29</f>
        <v>0</v>
      </c>
      <c r="AJ29" s="19">
        <f>현금흐름취합!V29</f>
        <v>0</v>
      </c>
      <c r="AK29" s="19">
        <f>현금흐름취합!W29</f>
        <v>0</v>
      </c>
      <c r="AL29" s="19">
        <f>현금흐름취합!X29</f>
        <v>0</v>
      </c>
      <c r="AM29" s="19">
        <f>현금흐름취합!Y29</f>
        <v>0</v>
      </c>
      <c r="AN29" s="19">
        <f>현금흐름취합!Z29</f>
        <v>0</v>
      </c>
      <c r="AO29" s="19">
        <f>현금흐름취합!AA29</f>
        <v>0</v>
      </c>
      <c r="AP29" s="19">
        <f>현금흐름취합!AB29</f>
        <v>0</v>
      </c>
      <c r="AQ29" s="19">
        <f>현금흐름취합!AC29</f>
        <v>0</v>
      </c>
      <c r="AR29" s="19">
        <f>현금흐름취합!AD29</f>
        <v>0</v>
      </c>
      <c r="AS29" s="19">
        <f>현금흐름취합!AE29</f>
        <v>0</v>
      </c>
      <c r="AT29" s="19">
        <f>현금흐름취합!AF29</f>
        <v>0</v>
      </c>
      <c r="AU29" s="19">
        <f>현금흐름취합!AG29</f>
        <v>0</v>
      </c>
      <c r="AV29" s="19">
        <f>현금흐름취합!AH29</f>
        <v>0</v>
      </c>
      <c r="AW29" s="19">
        <f>현금흐름취합!AI29</f>
        <v>0</v>
      </c>
      <c r="AX29" s="19">
        <f>현금흐름취합!AJ29</f>
        <v>0</v>
      </c>
      <c r="AY29" s="19">
        <f>현금흐름취합!AK29</f>
        <v>0</v>
      </c>
      <c r="AZ29" s="19">
        <f>현금흐름취합!AL29</f>
        <v>0</v>
      </c>
      <c r="BA29" s="19">
        <f>현금흐름취합!AM29</f>
        <v>0</v>
      </c>
      <c r="BB29" s="19">
        <f>현금흐름취합!AN29</f>
        <v>0</v>
      </c>
      <c r="BC29" s="19">
        <f>현금흐름취합!AO29</f>
        <v>0</v>
      </c>
      <c r="BD29" s="19">
        <f>현금흐름취합!AP29</f>
        <v>0</v>
      </c>
      <c r="BE29" s="19">
        <f>현금흐름취합!AQ29</f>
        <v>0</v>
      </c>
      <c r="BF29" s="19">
        <f>현금흐름취합!AR29</f>
        <v>0</v>
      </c>
      <c r="BG29" s="19">
        <f>현금흐름취합!AS29</f>
        <v>0</v>
      </c>
      <c r="BH29" s="19">
        <f>현금흐름취합!AT29</f>
        <v>0</v>
      </c>
      <c r="BI29" s="19">
        <f>현금흐름취합!AU29</f>
        <v>0</v>
      </c>
      <c r="BJ29" s="19">
        <f>현금흐름취합!AV29</f>
        <v>0</v>
      </c>
      <c r="BK29" s="19">
        <f>현금흐름취합!AW29</f>
        <v>0</v>
      </c>
      <c r="BL29" s="19">
        <f>현금흐름취합!AX29</f>
        <v>0</v>
      </c>
      <c r="BM29" s="19">
        <f>현금흐름취합!AY29</f>
        <v>0</v>
      </c>
      <c r="BN29" s="19">
        <f>현금흐름취합!AZ29</f>
        <v>0</v>
      </c>
      <c r="BO29" s="19">
        <f>현금흐름취합!BA29</f>
        <v>0</v>
      </c>
      <c r="BP29" s="19">
        <f>현금흐름취합!BB29</f>
        <v>0</v>
      </c>
      <c r="BQ29" s="19">
        <f>현금흐름취합!BC29</f>
        <v>0</v>
      </c>
      <c r="BR29" s="19">
        <f>현금흐름취합!BD29</f>
        <v>0</v>
      </c>
      <c r="BS29" s="19">
        <f>현금흐름취합!BE29</f>
        <v>0</v>
      </c>
      <c r="BT29" s="19">
        <f>현금흐름취합!BF29</f>
        <v>0</v>
      </c>
      <c r="BU29" s="19">
        <f>현금흐름취합!BG29</f>
        <v>0</v>
      </c>
      <c r="BV29" s="19">
        <f>현금흐름취합!BH29</f>
        <v>0</v>
      </c>
      <c r="BW29" s="19">
        <f>현금흐름취합!BI29</f>
        <v>0</v>
      </c>
      <c r="BX29" s="19">
        <f>현금흐름취합!BJ29</f>
        <v>0</v>
      </c>
      <c r="BY29" s="19">
        <f>현금흐름취합!BK29</f>
        <v>0</v>
      </c>
      <c r="BZ29" s="19">
        <f>현금흐름취합!BL29</f>
        <v>0</v>
      </c>
      <c r="CA29" s="19">
        <f>현금흐름취합!BM29</f>
        <v>0</v>
      </c>
      <c r="CB29" s="19">
        <f>현금흐름취합!BN29</f>
        <v>0</v>
      </c>
      <c r="CC29" s="19">
        <f>현금흐름취합!BO29</f>
        <v>0</v>
      </c>
      <c r="CD29" s="19">
        <f>현금흐름취합!BP29</f>
        <v>0</v>
      </c>
      <c r="CE29" s="19">
        <f>현금흐름취합!BQ29</f>
        <v>0</v>
      </c>
      <c r="CF29" s="19">
        <f>현금흐름취합!BR29</f>
        <v>0</v>
      </c>
      <c r="CG29" s="19">
        <f>현금흐름취합!BS29</f>
        <v>0</v>
      </c>
      <c r="CH29" s="19">
        <f>현금흐름취합!BT29</f>
        <v>0</v>
      </c>
      <c r="CI29" s="19">
        <f>현금흐름취합!BU29</f>
        <v>0</v>
      </c>
      <c r="CJ29" s="19">
        <f>현금흐름취합!BV29</f>
        <v>0</v>
      </c>
      <c r="CK29" s="19">
        <f>현금흐름취합!BW29</f>
        <v>0</v>
      </c>
      <c r="CL29" s="19">
        <f>현금흐름취합!BX29</f>
        <v>0</v>
      </c>
      <c r="CM29" s="19">
        <f>현금흐름취합!BY29</f>
        <v>0</v>
      </c>
      <c r="CN29" s="19">
        <f>현금흐름취합!BZ29</f>
        <v>0</v>
      </c>
      <c r="CO29" s="19">
        <f>현금흐름취합!CA29</f>
        <v>0</v>
      </c>
      <c r="CP29" s="19">
        <f>현금흐름취합!CB29</f>
        <v>0</v>
      </c>
      <c r="CQ29" s="19">
        <f>현금흐름취합!CC29</f>
        <v>0</v>
      </c>
      <c r="CR29" s="19">
        <f>현금흐름취합!CD29</f>
        <v>0</v>
      </c>
      <c r="CS29" s="19">
        <f>현금흐름취합!CE29</f>
        <v>0</v>
      </c>
      <c r="CT29" s="19">
        <f>현금흐름취합!CF29</f>
        <v>0</v>
      </c>
      <c r="CU29" s="19">
        <f>현금흐름취합!CG29</f>
        <v>0</v>
      </c>
      <c r="CV29" s="19">
        <f>현금흐름취합!CH29</f>
        <v>0</v>
      </c>
      <c r="CW29" s="19">
        <f>현금흐름취합!CI29</f>
        <v>0</v>
      </c>
      <c r="CX29" s="19">
        <f>현금흐름취합!CJ29</f>
        <v>0</v>
      </c>
      <c r="CY29" s="19">
        <f>현금흐름취합!CK29</f>
        <v>0</v>
      </c>
      <c r="CZ29" s="19">
        <f>현금흐름취합!CL29</f>
        <v>0</v>
      </c>
      <c r="DA29" s="19">
        <f>현금흐름취합!CM29</f>
        <v>0</v>
      </c>
      <c r="DB29" s="19">
        <f>현금흐름취합!CN29</f>
        <v>0</v>
      </c>
      <c r="DC29" s="19">
        <f>현금흐름취합!CO29</f>
        <v>0</v>
      </c>
      <c r="DD29" s="19">
        <f>현금흐름취합!CP29</f>
        <v>0</v>
      </c>
      <c r="DE29" s="19">
        <f>현금흐름취합!CQ29</f>
        <v>0</v>
      </c>
      <c r="DF29" s="19">
        <f>현금흐름취합!CR29</f>
        <v>0</v>
      </c>
      <c r="DG29" s="19">
        <f>현금흐름취합!CS29</f>
        <v>0</v>
      </c>
      <c r="DH29" s="19">
        <f>현금흐름취합!CT29</f>
        <v>0</v>
      </c>
      <c r="DI29" s="19">
        <f>현금흐름취합!CU29</f>
        <v>0</v>
      </c>
      <c r="DJ29" s="19">
        <f>현금흐름취합!CV29</f>
        <v>0</v>
      </c>
      <c r="DK29" s="19">
        <f>현금흐름취합!CW29</f>
        <v>0</v>
      </c>
      <c r="DL29" s="19">
        <f>현금흐름취합!CX29</f>
        <v>0</v>
      </c>
      <c r="DM29" s="19">
        <f>현금흐름취합!CY29</f>
        <v>0</v>
      </c>
      <c r="DN29" s="19">
        <f>현금흐름취합!CZ29</f>
        <v>0</v>
      </c>
      <c r="DO29" s="19">
        <f>현금흐름취합!DA29</f>
        <v>0</v>
      </c>
      <c r="DP29" s="19">
        <f>현금흐름취합!DB29</f>
        <v>0</v>
      </c>
      <c r="DQ29" s="19">
        <f>현금흐름취합!DC29</f>
        <v>0</v>
      </c>
      <c r="DR29" s="19">
        <f>현금흐름취합!DD29</f>
        <v>0</v>
      </c>
      <c r="DS29" s="19">
        <f>현금흐름취합!DE29</f>
        <v>0</v>
      </c>
      <c r="DT29" s="19">
        <f>현금흐름취합!DF29</f>
        <v>0</v>
      </c>
      <c r="DU29" s="19">
        <f>현금흐름취합!DG29</f>
        <v>0</v>
      </c>
      <c r="DV29" s="19">
        <f>현금흐름취합!DH29</f>
        <v>0</v>
      </c>
      <c r="DW29" s="19">
        <f>현금흐름취합!DI29</f>
        <v>0</v>
      </c>
      <c r="DX29" s="19">
        <f>현금흐름취합!DJ29</f>
        <v>0</v>
      </c>
      <c r="DY29" s="19">
        <f>현금흐름취합!DK29</f>
        <v>0</v>
      </c>
      <c r="DZ29" s="19">
        <f>현금흐름취합!DL29</f>
        <v>0</v>
      </c>
      <c r="EA29" s="19">
        <f>현금흐름취합!DM29</f>
        <v>0</v>
      </c>
      <c r="EB29" s="19">
        <f>현금흐름취합!DN29</f>
        <v>0</v>
      </c>
      <c r="EC29" s="19">
        <f>현금흐름취합!DO29</f>
        <v>0</v>
      </c>
      <c r="ED29" s="19">
        <f>현금흐름취합!DP29</f>
        <v>0</v>
      </c>
      <c r="EE29" s="19">
        <f>현금흐름취합!DQ29</f>
        <v>0</v>
      </c>
      <c r="EF29" s="19">
        <f>현금흐름취합!DR29</f>
        <v>0</v>
      </c>
      <c r="EG29" s="19">
        <f>현금흐름취합!DS29</f>
        <v>0</v>
      </c>
      <c r="EH29" s="19">
        <f>현금흐름취합!DT29</f>
        <v>0</v>
      </c>
      <c r="EI29" s="19">
        <f>현금흐름취합!DU29</f>
        <v>0</v>
      </c>
      <c r="EJ29" s="19">
        <f>현금흐름취합!DV29</f>
        <v>0</v>
      </c>
      <c r="EK29" s="19">
        <f>현금흐름취합!DW29</f>
        <v>0</v>
      </c>
      <c r="EL29" s="19">
        <f>현금흐름취합!DX29</f>
        <v>0</v>
      </c>
      <c r="EM29" s="19">
        <f>현금흐름취합!DY29</f>
        <v>0</v>
      </c>
      <c r="EN29" s="19">
        <f>현금흐름취합!DZ29</f>
        <v>0</v>
      </c>
      <c r="EO29" s="19">
        <f>현금흐름취합!EA29</f>
        <v>0</v>
      </c>
      <c r="EP29" s="19">
        <f>현금흐름취합!EB29</f>
        <v>0</v>
      </c>
      <c r="EQ29" s="19">
        <f>현금흐름취합!EC29</f>
        <v>0</v>
      </c>
      <c r="ER29" s="19">
        <f>현금흐름취합!ED29</f>
        <v>0</v>
      </c>
      <c r="ES29" s="19">
        <f>현금흐름취합!EE29</f>
        <v>0</v>
      </c>
    </row>
    <row r="30" spans="1:149" hidden="1">
      <c r="A30" s="7">
        <f>현금흐름취합!A30</f>
        <v>0</v>
      </c>
      <c r="B30" s="7">
        <f>현금흐름취합!B30</f>
        <v>0</v>
      </c>
      <c r="C30" s="7">
        <f>현금흐름취합!C30</f>
        <v>0</v>
      </c>
      <c r="D30" s="8">
        <f>현금흐름취합!D30</f>
        <v>0</v>
      </c>
      <c r="E30" s="37"/>
      <c r="F30" s="8">
        <f>현금흐름취합!E30</f>
        <v>0</v>
      </c>
      <c r="G30" s="37" t="str">
        <f t="shared" si="1"/>
        <v>pool 고치세요</v>
      </c>
      <c r="H30" s="9">
        <f>현금흐름취합!F30</f>
        <v>0</v>
      </c>
      <c r="I30" s="10">
        <f>현금흐름취합!G30</f>
        <v>0</v>
      </c>
      <c r="J30" s="39" t="e">
        <f t="shared" si="2"/>
        <v>#DIV/0!</v>
      </c>
      <c r="K30" s="11">
        <f>현금흐름취합!H30</f>
        <v>0</v>
      </c>
      <c r="L30" s="40" t="e">
        <f>VLOOKUP(A30,'Sheet A'!$E$11:$K$60,7,0)=K30</f>
        <v>#N/A</v>
      </c>
      <c r="M30" s="12">
        <f>현금흐름취합!I30</f>
        <v>0</v>
      </c>
      <c r="N30" s="40" t="str">
        <f t="shared" si="3"/>
        <v>검토요</v>
      </c>
      <c r="O30" s="13">
        <f>현금흐름취합!J30</f>
        <v>0</v>
      </c>
      <c r="P30" s="14">
        <f>현금흐름취합!K30</f>
        <v>0</v>
      </c>
      <c r="Q30" s="18">
        <f>현금흐름취합!L30</f>
        <v>0</v>
      </c>
      <c r="R30" s="15">
        <f>현금흐름취합!M30</f>
        <v>0</v>
      </c>
      <c r="S30" s="40" t="e">
        <f t="shared" si="4"/>
        <v>#NUM!</v>
      </c>
      <c r="T30" s="16">
        <f>현금흐름취합!N30</f>
        <v>0</v>
      </c>
      <c r="U30" s="40" t="b">
        <f t="shared" si="0"/>
        <v>1</v>
      </c>
      <c r="V30" s="46">
        <f>SUMIF(일반여신!$E$10:$E$35,검증!A30,일반여신!$O$10:$O$35)*0.985-SUMIF(가지급금!$E$10:$E$180,A30,가지급금!$K$10:$K$180)+SUMIF(가지급금!$E$10:$E$180,검증!A30,가지급금!$O$10:$O$180)*0.985</f>
        <v>0</v>
      </c>
      <c r="W30" s="47">
        <f t="shared" si="13"/>
        <v>0</v>
      </c>
      <c r="X30" s="48"/>
      <c r="Y30" s="49">
        <f>SUMIF('Sheet D'!$E$11:$E$60,A30,'Sheet D'!$P$11:$P$60)</f>
        <v>0</v>
      </c>
      <c r="Z30" s="48">
        <f>SUMIFS(일반여신!$M$10:$M$35,일반여신!$E$10:$E$35,A30,일반여신!$P$10:$P$35,"신옹보증서대위변제")</f>
        <v>0</v>
      </c>
      <c r="AA30" s="48">
        <f t="shared" si="6"/>
        <v>0</v>
      </c>
      <c r="AB30" s="50"/>
      <c r="AC30" s="19">
        <f>현금흐름취합!O30</f>
        <v>0</v>
      </c>
      <c r="AD30" s="19">
        <f>현금흐름취합!P30</f>
        <v>0</v>
      </c>
      <c r="AE30" s="19">
        <f>현금흐름취합!Q30</f>
        <v>0</v>
      </c>
      <c r="AF30" s="19">
        <f>현금흐름취합!R30</f>
        <v>0</v>
      </c>
      <c r="AG30" s="19">
        <f>현금흐름취합!S30</f>
        <v>0</v>
      </c>
      <c r="AH30" s="19">
        <f>현금흐름취합!T30</f>
        <v>0</v>
      </c>
      <c r="AI30" s="19">
        <f>현금흐름취합!U30</f>
        <v>0</v>
      </c>
      <c r="AJ30" s="19">
        <f>현금흐름취합!V30</f>
        <v>0</v>
      </c>
      <c r="AK30" s="19">
        <f>현금흐름취합!W30</f>
        <v>0</v>
      </c>
      <c r="AL30" s="19">
        <f>현금흐름취합!X30</f>
        <v>0</v>
      </c>
      <c r="AM30" s="19">
        <f>현금흐름취합!Y30</f>
        <v>0</v>
      </c>
      <c r="AN30" s="19">
        <f>현금흐름취합!Z30</f>
        <v>0</v>
      </c>
      <c r="AO30" s="19">
        <f>현금흐름취합!AA30</f>
        <v>0</v>
      </c>
      <c r="AP30" s="19">
        <f>현금흐름취합!AB30</f>
        <v>0</v>
      </c>
      <c r="AQ30" s="19">
        <f>현금흐름취합!AC30</f>
        <v>0</v>
      </c>
      <c r="AR30" s="19">
        <f>현금흐름취합!AD30</f>
        <v>0</v>
      </c>
      <c r="AS30" s="19">
        <f>현금흐름취합!AE30</f>
        <v>0</v>
      </c>
      <c r="AT30" s="19">
        <f>현금흐름취합!AF30</f>
        <v>0</v>
      </c>
      <c r="AU30" s="19">
        <f>현금흐름취합!AG30</f>
        <v>0</v>
      </c>
      <c r="AV30" s="19">
        <f>현금흐름취합!AH30</f>
        <v>0</v>
      </c>
      <c r="AW30" s="19">
        <f>현금흐름취합!AI30</f>
        <v>0</v>
      </c>
      <c r="AX30" s="19">
        <f>현금흐름취합!AJ30</f>
        <v>0</v>
      </c>
      <c r="AY30" s="19">
        <f>현금흐름취합!AK30</f>
        <v>0</v>
      </c>
      <c r="AZ30" s="19">
        <f>현금흐름취합!AL30</f>
        <v>0</v>
      </c>
      <c r="BA30" s="19">
        <f>현금흐름취합!AM30</f>
        <v>0</v>
      </c>
      <c r="BB30" s="19">
        <f>현금흐름취합!AN30</f>
        <v>0</v>
      </c>
      <c r="BC30" s="19">
        <f>현금흐름취합!AO30</f>
        <v>0</v>
      </c>
      <c r="BD30" s="19">
        <f>현금흐름취합!AP30</f>
        <v>0</v>
      </c>
      <c r="BE30" s="19">
        <f>현금흐름취합!AQ30</f>
        <v>0</v>
      </c>
      <c r="BF30" s="19">
        <f>현금흐름취합!AR30</f>
        <v>0</v>
      </c>
      <c r="BG30" s="19">
        <f>현금흐름취합!AS30</f>
        <v>0</v>
      </c>
      <c r="BH30" s="19">
        <f>현금흐름취합!AT30</f>
        <v>0</v>
      </c>
      <c r="BI30" s="19">
        <f>현금흐름취합!AU30</f>
        <v>0</v>
      </c>
      <c r="BJ30" s="19">
        <f>현금흐름취합!AV30</f>
        <v>0</v>
      </c>
      <c r="BK30" s="19">
        <f>현금흐름취합!AW30</f>
        <v>0</v>
      </c>
      <c r="BL30" s="19">
        <f>현금흐름취합!AX30</f>
        <v>0</v>
      </c>
      <c r="BM30" s="19">
        <f>현금흐름취합!AY30</f>
        <v>0</v>
      </c>
      <c r="BN30" s="19">
        <f>현금흐름취합!AZ30</f>
        <v>0</v>
      </c>
      <c r="BO30" s="19">
        <f>현금흐름취합!BA30</f>
        <v>0</v>
      </c>
      <c r="BP30" s="19">
        <f>현금흐름취합!BB30</f>
        <v>0</v>
      </c>
      <c r="BQ30" s="19">
        <f>현금흐름취합!BC30</f>
        <v>0</v>
      </c>
      <c r="BR30" s="19">
        <f>현금흐름취합!BD30</f>
        <v>0</v>
      </c>
      <c r="BS30" s="19">
        <f>현금흐름취합!BE30</f>
        <v>0</v>
      </c>
      <c r="BT30" s="19">
        <f>현금흐름취합!BF30</f>
        <v>0</v>
      </c>
      <c r="BU30" s="19">
        <f>현금흐름취합!BG30</f>
        <v>0</v>
      </c>
      <c r="BV30" s="19">
        <f>현금흐름취합!BH30</f>
        <v>0</v>
      </c>
      <c r="BW30" s="19">
        <f>현금흐름취합!BI30</f>
        <v>0</v>
      </c>
      <c r="BX30" s="19">
        <f>현금흐름취합!BJ30</f>
        <v>0</v>
      </c>
      <c r="BY30" s="19">
        <f>현금흐름취합!BK30</f>
        <v>0</v>
      </c>
      <c r="BZ30" s="19">
        <f>현금흐름취합!BL30</f>
        <v>0</v>
      </c>
      <c r="CA30" s="19">
        <f>현금흐름취합!BM30</f>
        <v>0</v>
      </c>
      <c r="CB30" s="19">
        <f>현금흐름취합!BN30</f>
        <v>0</v>
      </c>
      <c r="CC30" s="19">
        <f>현금흐름취합!BO30</f>
        <v>0</v>
      </c>
      <c r="CD30" s="19">
        <f>현금흐름취합!BP30</f>
        <v>0</v>
      </c>
      <c r="CE30" s="19">
        <f>현금흐름취합!BQ30</f>
        <v>0</v>
      </c>
      <c r="CF30" s="19">
        <f>현금흐름취합!BR30</f>
        <v>0</v>
      </c>
      <c r="CG30" s="19">
        <f>현금흐름취합!BS30</f>
        <v>0</v>
      </c>
      <c r="CH30" s="19">
        <f>현금흐름취합!BT30</f>
        <v>0</v>
      </c>
      <c r="CI30" s="19">
        <f>현금흐름취합!BU30</f>
        <v>0</v>
      </c>
      <c r="CJ30" s="19">
        <f>현금흐름취합!BV30</f>
        <v>0</v>
      </c>
      <c r="CK30" s="19">
        <f>현금흐름취합!BW30</f>
        <v>0</v>
      </c>
      <c r="CL30" s="19">
        <f>현금흐름취합!BX30</f>
        <v>0</v>
      </c>
      <c r="CM30" s="19">
        <f>현금흐름취합!BY30</f>
        <v>0</v>
      </c>
      <c r="CN30" s="19">
        <f>현금흐름취합!BZ30</f>
        <v>0</v>
      </c>
      <c r="CO30" s="19">
        <f>현금흐름취합!CA30</f>
        <v>0</v>
      </c>
      <c r="CP30" s="19">
        <f>현금흐름취합!CB30</f>
        <v>0</v>
      </c>
      <c r="CQ30" s="19">
        <f>현금흐름취합!CC30</f>
        <v>0</v>
      </c>
      <c r="CR30" s="19">
        <f>현금흐름취합!CD30</f>
        <v>0</v>
      </c>
      <c r="CS30" s="19">
        <f>현금흐름취합!CE30</f>
        <v>0</v>
      </c>
      <c r="CT30" s="19">
        <f>현금흐름취합!CF30</f>
        <v>0</v>
      </c>
      <c r="CU30" s="19">
        <f>현금흐름취합!CG30</f>
        <v>0</v>
      </c>
      <c r="CV30" s="19">
        <f>현금흐름취합!CH30</f>
        <v>0</v>
      </c>
      <c r="CW30" s="19">
        <f>현금흐름취합!CI30</f>
        <v>0</v>
      </c>
      <c r="CX30" s="19">
        <f>현금흐름취합!CJ30</f>
        <v>0</v>
      </c>
      <c r="CY30" s="19">
        <f>현금흐름취합!CK30</f>
        <v>0</v>
      </c>
      <c r="CZ30" s="19">
        <f>현금흐름취합!CL30</f>
        <v>0</v>
      </c>
      <c r="DA30" s="19">
        <f>현금흐름취합!CM30</f>
        <v>0</v>
      </c>
      <c r="DB30" s="19">
        <f>현금흐름취합!CN30</f>
        <v>0</v>
      </c>
      <c r="DC30" s="19">
        <f>현금흐름취합!CO30</f>
        <v>0</v>
      </c>
      <c r="DD30" s="19">
        <f>현금흐름취합!CP30</f>
        <v>0</v>
      </c>
      <c r="DE30" s="19">
        <f>현금흐름취합!CQ30</f>
        <v>0</v>
      </c>
      <c r="DF30" s="19">
        <f>현금흐름취합!CR30</f>
        <v>0</v>
      </c>
      <c r="DG30" s="19">
        <f>현금흐름취합!CS30</f>
        <v>0</v>
      </c>
      <c r="DH30" s="19">
        <f>현금흐름취합!CT30</f>
        <v>0</v>
      </c>
      <c r="DI30" s="19">
        <f>현금흐름취합!CU30</f>
        <v>0</v>
      </c>
      <c r="DJ30" s="19">
        <f>현금흐름취합!CV30</f>
        <v>0</v>
      </c>
      <c r="DK30" s="19">
        <f>현금흐름취합!CW30</f>
        <v>0</v>
      </c>
      <c r="DL30" s="19">
        <f>현금흐름취합!CX30</f>
        <v>0</v>
      </c>
      <c r="DM30" s="19">
        <f>현금흐름취합!CY30</f>
        <v>0</v>
      </c>
      <c r="DN30" s="19">
        <f>현금흐름취합!CZ30</f>
        <v>0</v>
      </c>
      <c r="DO30" s="19">
        <f>현금흐름취합!DA30</f>
        <v>0</v>
      </c>
      <c r="DP30" s="19">
        <f>현금흐름취합!DB30</f>
        <v>0</v>
      </c>
      <c r="DQ30" s="19">
        <f>현금흐름취합!DC30</f>
        <v>0</v>
      </c>
      <c r="DR30" s="19">
        <f>현금흐름취합!DD30</f>
        <v>0</v>
      </c>
      <c r="DS30" s="19">
        <f>현금흐름취합!DE30</f>
        <v>0</v>
      </c>
      <c r="DT30" s="19">
        <f>현금흐름취합!DF30</f>
        <v>0</v>
      </c>
      <c r="DU30" s="19">
        <f>현금흐름취합!DG30</f>
        <v>0</v>
      </c>
      <c r="DV30" s="19">
        <f>현금흐름취합!DH30</f>
        <v>0</v>
      </c>
      <c r="DW30" s="19">
        <f>현금흐름취합!DI30</f>
        <v>0</v>
      </c>
      <c r="DX30" s="19">
        <f>현금흐름취합!DJ30</f>
        <v>0</v>
      </c>
      <c r="DY30" s="19">
        <f>현금흐름취합!DK30</f>
        <v>0</v>
      </c>
      <c r="DZ30" s="19">
        <f>현금흐름취합!DL30</f>
        <v>0</v>
      </c>
      <c r="EA30" s="19">
        <f>현금흐름취합!DM30</f>
        <v>0</v>
      </c>
      <c r="EB30" s="19">
        <f>현금흐름취합!DN30</f>
        <v>0</v>
      </c>
      <c r="EC30" s="19">
        <f>현금흐름취합!DO30</f>
        <v>0</v>
      </c>
      <c r="ED30" s="19">
        <f>현금흐름취합!DP30</f>
        <v>0</v>
      </c>
      <c r="EE30" s="19">
        <f>현금흐름취합!DQ30</f>
        <v>0</v>
      </c>
      <c r="EF30" s="19">
        <f>현금흐름취합!DR30</f>
        <v>0</v>
      </c>
      <c r="EG30" s="19">
        <f>현금흐름취합!DS30</f>
        <v>0</v>
      </c>
      <c r="EH30" s="19">
        <f>현금흐름취합!DT30</f>
        <v>0</v>
      </c>
      <c r="EI30" s="19">
        <f>현금흐름취합!DU30</f>
        <v>0</v>
      </c>
      <c r="EJ30" s="19">
        <f>현금흐름취합!DV30</f>
        <v>0</v>
      </c>
      <c r="EK30" s="19">
        <f>현금흐름취합!DW30</f>
        <v>0</v>
      </c>
      <c r="EL30" s="19">
        <f>현금흐름취합!DX30</f>
        <v>0</v>
      </c>
      <c r="EM30" s="19">
        <f>현금흐름취합!DY30</f>
        <v>0</v>
      </c>
      <c r="EN30" s="19">
        <f>현금흐름취합!DZ30</f>
        <v>0</v>
      </c>
      <c r="EO30" s="19">
        <f>현금흐름취합!EA30</f>
        <v>0</v>
      </c>
      <c r="EP30" s="19">
        <f>현금흐름취합!EB30</f>
        <v>0</v>
      </c>
      <c r="EQ30" s="19">
        <f>현금흐름취합!EC30</f>
        <v>0</v>
      </c>
      <c r="ER30" s="19">
        <f>현금흐름취합!ED30</f>
        <v>0</v>
      </c>
      <c r="ES30" s="19">
        <f>현금흐름취합!EE30</f>
        <v>0</v>
      </c>
    </row>
    <row r="31" spans="1:149" hidden="1">
      <c r="A31" s="7">
        <f>현금흐름취합!A31</f>
        <v>0</v>
      </c>
      <c r="B31" s="7">
        <f>현금흐름취합!B31</f>
        <v>0</v>
      </c>
      <c r="C31" s="7">
        <f>현금흐름취합!C31</f>
        <v>0</v>
      </c>
      <c r="D31" s="8">
        <f>현금흐름취합!D31</f>
        <v>0</v>
      </c>
      <c r="E31" s="37" t="str">
        <f t="shared" ref="E31" si="19">IF(R30&gt;R31,"역전현상","이상없음")</f>
        <v>이상없음</v>
      </c>
      <c r="F31" s="8">
        <f>현금흐름취합!E31</f>
        <v>0</v>
      </c>
      <c r="G31" s="37" t="str">
        <f t="shared" si="1"/>
        <v>pool 고치세요</v>
      </c>
      <c r="H31" s="9">
        <f>현금흐름취합!F31</f>
        <v>0</v>
      </c>
      <c r="I31" s="10">
        <f>현금흐름취합!G31</f>
        <v>0</v>
      </c>
      <c r="J31" s="39" t="e">
        <f t="shared" si="2"/>
        <v>#DIV/0!</v>
      </c>
      <c r="K31" s="11">
        <f>현금흐름취합!H31</f>
        <v>0</v>
      </c>
      <c r="L31" s="40" t="e">
        <f>VLOOKUP(A31,'Sheet A'!$E$11:$K$60,7,0)=K31</f>
        <v>#N/A</v>
      </c>
      <c r="M31" s="12">
        <f>현금흐름취합!I31</f>
        <v>0</v>
      </c>
      <c r="N31" s="40" t="str">
        <f t="shared" si="3"/>
        <v>검토요</v>
      </c>
      <c r="O31" s="13">
        <f>현금흐름취합!J31</f>
        <v>0</v>
      </c>
      <c r="P31" s="14">
        <f>현금흐름취합!K31</f>
        <v>0</v>
      </c>
      <c r="Q31" s="18">
        <f>현금흐름취합!L31</f>
        <v>0</v>
      </c>
      <c r="R31" s="15">
        <f>현금흐름취합!M31</f>
        <v>0</v>
      </c>
      <c r="S31" s="40" t="e">
        <f t="shared" si="4"/>
        <v>#NUM!</v>
      </c>
      <c r="T31" s="16">
        <f>현금흐름취합!N31</f>
        <v>0</v>
      </c>
      <c r="U31" s="40" t="b">
        <f t="shared" si="0"/>
        <v>1</v>
      </c>
      <c r="V31" s="46">
        <f>SUMIF(일반여신!$E$10:$E$35,검증!A31,일반여신!$O$10:$O$35)*0.985-SUMIF(가지급금!$E$10:$E$180,A31,가지급금!$K$10:$K$180)+SUMIF(가지급금!$E$10:$E$180,검증!A31,가지급금!$O$10:$O$180)*0.985</f>
        <v>0</v>
      </c>
      <c r="W31" s="47">
        <f t="shared" si="13"/>
        <v>0</v>
      </c>
      <c r="X31" s="48"/>
      <c r="Y31" s="49">
        <f>SUMIF('Sheet D'!$E$11:$E$60,A31,'Sheet D'!$P$11:$P$60)</f>
        <v>0</v>
      </c>
      <c r="Z31" s="48">
        <f>SUMIFS(일반여신!$M$10:$M$35,일반여신!$E$10:$E$35,A31,일반여신!$P$10:$P$35,"신옹보증서대위변제")</f>
        <v>0</v>
      </c>
      <c r="AA31" s="48">
        <f t="shared" si="6"/>
        <v>0</v>
      </c>
      <c r="AB31" s="50"/>
      <c r="AC31" s="19">
        <f>현금흐름취합!O31</f>
        <v>0</v>
      </c>
      <c r="AD31" s="19">
        <f>현금흐름취합!P31</f>
        <v>0</v>
      </c>
      <c r="AE31" s="19">
        <f>현금흐름취합!Q31</f>
        <v>0</v>
      </c>
      <c r="AF31" s="19">
        <f>현금흐름취합!R31</f>
        <v>0</v>
      </c>
      <c r="AG31" s="19">
        <f>현금흐름취합!S31</f>
        <v>0</v>
      </c>
      <c r="AH31" s="19">
        <f>현금흐름취합!T31</f>
        <v>0</v>
      </c>
      <c r="AI31" s="19">
        <f>현금흐름취합!U31</f>
        <v>0</v>
      </c>
      <c r="AJ31" s="19">
        <f>현금흐름취합!V31</f>
        <v>0</v>
      </c>
      <c r="AK31" s="19">
        <f>현금흐름취합!W31</f>
        <v>0</v>
      </c>
      <c r="AL31" s="19">
        <f>현금흐름취합!X31</f>
        <v>0</v>
      </c>
      <c r="AM31" s="19">
        <f>현금흐름취합!Y31</f>
        <v>0</v>
      </c>
      <c r="AN31" s="19">
        <f>현금흐름취합!Z31</f>
        <v>0</v>
      </c>
      <c r="AO31" s="19">
        <f>현금흐름취합!AA31</f>
        <v>0</v>
      </c>
      <c r="AP31" s="19">
        <f>현금흐름취합!AB31</f>
        <v>0</v>
      </c>
      <c r="AQ31" s="19">
        <f>현금흐름취합!AC31</f>
        <v>0</v>
      </c>
      <c r="AR31" s="19">
        <f>현금흐름취합!AD31</f>
        <v>0</v>
      </c>
      <c r="AS31" s="19">
        <f>현금흐름취합!AE31</f>
        <v>0</v>
      </c>
      <c r="AT31" s="19">
        <f>현금흐름취합!AF31</f>
        <v>0</v>
      </c>
      <c r="AU31" s="19">
        <f>현금흐름취합!AG31</f>
        <v>0</v>
      </c>
      <c r="AV31" s="19">
        <f>현금흐름취합!AH31</f>
        <v>0</v>
      </c>
      <c r="AW31" s="19">
        <f>현금흐름취합!AI31</f>
        <v>0</v>
      </c>
      <c r="AX31" s="19">
        <f>현금흐름취합!AJ31</f>
        <v>0</v>
      </c>
      <c r="AY31" s="19">
        <f>현금흐름취합!AK31</f>
        <v>0</v>
      </c>
      <c r="AZ31" s="19">
        <f>현금흐름취합!AL31</f>
        <v>0</v>
      </c>
      <c r="BA31" s="19">
        <f>현금흐름취합!AM31</f>
        <v>0</v>
      </c>
      <c r="BB31" s="19">
        <f>현금흐름취합!AN31</f>
        <v>0</v>
      </c>
      <c r="BC31" s="19">
        <f>현금흐름취합!AO31</f>
        <v>0</v>
      </c>
      <c r="BD31" s="19">
        <f>현금흐름취합!AP31</f>
        <v>0</v>
      </c>
      <c r="BE31" s="19">
        <f>현금흐름취합!AQ31</f>
        <v>0</v>
      </c>
      <c r="BF31" s="19">
        <f>현금흐름취합!AR31</f>
        <v>0</v>
      </c>
      <c r="BG31" s="19">
        <f>현금흐름취합!AS31</f>
        <v>0</v>
      </c>
      <c r="BH31" s="19">
        <f>현금흐름취합!AT31</f>
        <v>0</v>
      </c>
      <c r="BI31" s="19">
        <f>현금흐름취합!AU31</f>
        <v>0</v>
      </c>
      <c r="BJ31" s="19">
        <f>현금흐름취합!AV31</f>
        <v>0</v>
      </c>
      <c r="BK31" s="19">
        <f>현금흐름취합!AW31</f>
        <v>0</v>
      </c>
      <c r="BL31" s="19">
        <f>현금흐름취합!AX31</f>
        <v>0</v>
      </c>
      <c r="BM31" s="19">
        <f>현금흐름취합!AY31</f>
        <v>0</v>
      </c>
      <c r="BN31" s="19">
        <f>현금흐름취합!AZ31</f>
        <v>0</v>
      </c>
      <c r="BO31" s="19">
        <f>현금흐름취합!BA31</f>
        <v>0</v>
      </c>
      <c r="BP31" s="19">
        <f>현금흐름취합!BB31</f>
        <v>0</v>
      </c>
      <c r="BQ31" s="19">
        <f>현금흐름취합!BC31</f>
        <v>0</v>
      </c>
      <c r="BR31" s="19">
        <f>현금흐름취합!BD31</f>
        <v>0</v>
      </c>
      <c r="BS31" s="19">
        <f>현금흐름취합!BE31</f>
        <v>0</v>
      </c>
      <c r="BT31" s="19">
        <f>현금흐름취합!BF31</f>
        <v>0</v>
      </c>
      <c r="BU31" s="19">
        <f>현금흐름취합!BG31</f>
        <v>0</v>
      </c>
      <c r="BV31" s="19">
        <f>현금흐름취합!BH31</f>
        <v>0</v>
      </c>
      <c r="BW31" s="19">
        <f>현금흐름취합!BI31</f>
        <v>0</v>
      </c>
      <c r="BX31" s="19">
        <f>현금흐름취합!BJ31</f>
        <v>0</v>
      </c>
      <c r="BY31" s="19">
        <f>현금흐름취합!BK31</f>
        <v>0</v>
      </c>
      <c r="BZ31" s="19">
        <f>현금흐름취합!BL31</f>
        <v>0</v>
      </c>
      <c r="CA31" s="19">
        <f>현금흐름취합!BM31</f>
        <v>0</v>
      </c>
      <c r="CB31" s="19">
        <f>현금흐름취합!BN31</f>
        <v>0</v>
      </c>
      <c r="CC31" s="19">
        <f>현금흐름취합!BO31</f>
        <v>0</v>
      </c>
      <c r="CD31" s="19">
        <f>현금흐름취합!BP31</f>
        <v>0</v>
      </c>
      <c r="CE31" s="19">
        <f>현금흐름취합!BQ31</f>
        <v>0</v>
      </c>
      <c r="CF31" s="19">
        <f>현금흐름취합!BR31</f>
        <v>0</v>
      </c>
      <c r="CG31" s="19">
        <f>현금흐름취합!BS31</f>
        <v>0</v>
      </c>
      <c r="CH31" s="19">
        <f>현금흐름취합!BT31</f>
        <v>0</v>
      </c>
      <c r="CI31" s="19">
        <f>현금흐름취합!BU31</f>
        <v>0</v>
      </c>
      <c r="CJ31" s="19">
        <f>현금흐름취합!BV31</f>
        <v>0</v>
      </c>
      <c r="CK31" s="19">
        <f>현금흐름취합!BW31</f>
        <v>0</v>
      </c>
      <c r="CL31" s="19">
        <f>현금흐름취합!BX31</f>
        <v>0</v>
      </c>
      <c r="CM31" s="19">
        <f>현금흐름취합!BY31</f>
        <v>0</v>
      </c>
      <c r="CN31" s="19">
        <f>현금흐름취합!BZ31</f>
        <v>0</v>
      </c>
      <c r="CO31" s="19">
        <f>현금흐름취합!CA31</f>
        <v>0</v>
      </c>
      <c r="CP31" s="19">
        <f>현금흐름취합!CB31</f>
        <v>0</v>
      </c>
      <c r="CQ31" s="19">
        <f>현금흐름취합!CC31</f>
        <v>0</v>
      </c>
      <c r="CR31" s="19">
        <f>현금흐름취합!CD31</f>
        <v>0</v>
      </c>
      <c r="CS31" s="19">
        <f>현금흐름취합!CE31</f>
        <v>0</v>
      </c>
      <c r="CT31" s="19">
        <f>현금흐름취합!CF31</f>
        <v>0</v>
      </c>
      <c r="CU31" s="19">
        <f>현금흐름취합!CG31</f>
        <v>0</v>
      </c>
      <c r="CV31" s="19">
        <f>현금흐름취합!CH31</f>
        <v>0</v>
      </c>
      <c r="CW31" s="19">
        <f>현금흐름취합!CI31</f>
        <v>0</v>
      </c>
      <c r="CX31" s="19">
        <f>현금흐름취합!CJ31</f>
        <v>0</v>
      </c>
      <c r="CY31" s="19">
        <f>현금흐름취합!CK31</f>
        <v>0</v>
      </c>
      <c r="CZ31" s="19">
        <f>현금흐름취합!CL31</f>
        <v>0</v>
      </c>
      <c r="DA31" s="19">
        <f>현금흐름취합!CM31</f>
        <v>0</v>
      </c>
      <c r="DB31" s="19">
        <f>현금흐름취합!CN31</f>
        <v>0</v>
      </c>
      <c r="DC31" s="19">
        <f>현금흐름취합!CO31</f>
        <v>0</v>
      </c>
      <c r="DD31" s="19">
        <f>현금흐름취합!CP31</f>
        <v>0</v>
      </c>
      <c r="DE31" s="19">
        <f>현금흐름취합!CQ31</f>
        <v>0</v>
      </c>
      <c r="DF31" s="19">
        <f>현금흐름취합!CR31</f>
        <v>0</v>
      </c>
      <c r="DG31" s="19">
        <f>현금흐름취합!CS31</f>
        <v>0</v>
      </c>
      <c r="DH31" s="19">
        <f>현금흐름취합!CT31</f>
        <v>0</v>
      </c>
      <c r="DI31" s="19">
        <f>현금흐름취합!CU31</f>
        <v>0</v>
      </c>
      <c r="DJ31" s="19">
        <f>현금흐름취합!CV31</f>
        <v>0</v>
      </c>
      <c r="DK31" s="19">
        <f>현금흐름취합!CW31</f>
        <v>0</v>
      </c>
      <c r="DL31" s="19">
        <f>현금흐름취합!CX31</f>
        <v>0</v>
      </c>
      <c r="DM31" s="19">
        <f>현금흐름취합!CY31</f>
        <v>0</v>
      </c>
      <c r="DN31" s="19">
        <f>현금흐름취합!CZ31</f>
        <v>0</v>
      </c>
      <c r="DO31" s="19">
        <f>현금흐름취합!DA31</f>
        <v>0</v>
      </c>
      <c r="DP31" s="19">
        <f>현금흐름취합!DB31</f>
        <v>0</v>
      </c>
      <c r="DQ31" s="19">
        <f>현금흐름취합!DC31</f>
        <v>0</v>
      </c>
      <c r="DR31" s="19">
        <f>현금흐름취합!DD31</f>
        <v>0</v>
      </c>
      <c r="DS31" s="19">
        <f>현금흐름취합!DE31</f>
        <v>0</v>
      </c>
      <c r="DT31" s="19">
        <f>현금흐름취합!DF31</f>
        <v>0</v>
      </c>
      <c r="DU31" s="19">
        <f>현금흐름취합!DG31</f>
        <v>0</v>
      </c>
      <c r="DV31" s="19">
        <f>현금흐름취합!DH31</f>
        <v>0</v>
      </c>
      <c r="DW31" s="19">
        <f>현금흐름취합!DI31</f>
        <v>0</v>
      </c>
      <c r="DX31" s="19">
        <f>현금흐름취합!DJ31</f>
        <v>0</v>
      </c>
      <c r="DY31" s="19">
        <f>현금흐름취합!DK31</f>
        <v>0</v>
      </c>
      <c r="DZ31" s="19">
        <f>현금흐름취합!DL31</f>
        <v>0</v>
      </c>
      <c r="EA31" s="19">
        <f>현금흐름취합!DM31</f>
        <v>0</v>
      </c>
      <c r="EB31" s="19">
        <f>현금흐름취합!DN31</f>
        <v>0</v>
      </c>
      <c r="EC31" s="19">
        <f>현금흐름취합!DO31</f>
        <v>0</v>
      </c>
      <c r="ED31" s="19">
        <f>현금흐름취합!DP31</f>
        <v>0</v>
      </c>
      <c r="EE31" s="19">
        <f>현금흐름취합!DQ31</f>
        <v>0</v>
      </c>
      <c r="EF31" s="19">
        <f>현금흐름취합!DR31</f>
        <v>0</v>
      </c>
      <c r="EG31" s="19">
        <f>현금흐름취합!DS31</f>
        <v>0</v>
      </c>
      <c r="EH31" s="19">
        <f>현금흐름취합!DT31</f>
        <v>0</v>
      </c>
      <c r="EI31" s="19">
        <f>현금흐름취합!DU31</f>
        <v>0</v>
      </c>
      <c r="EJ31" s="19">
        <f>현금흐름취합!DV31</f>
        <v>0</v>
      </c>
      <c r="EK31" s="19">
        <f>현금흐름취합!DW31</f>
        <v>0</v>
      </c>
      <c r="EL31" s="19">
        <f>현금흐름취합!DX31</f>
        <v>0</v>
      </c>
      <c r="EM31" s="19">
        <f>현금흐름취합!DY31</f>
        <v>0</v>
      </c>
      <c r="EN31" s="19">
        <f>현금흐름취합!DZ31</f>
        <v>0</v>
      </c>
      <c r="EO31" s="19">
        <f>현금흐름취합!EA31</f>
        <v>0</v>
      </c>
      <c r="EP31" s="19">
        <f>현금흐름취합!EB31</f>
        <v>0</v>
      </c>
      <c r="EQ31" s="19">
        <f>현금흐름취합!EC31</f>
        <v>0</v>
      </c>
      <c r="ER31" s="19">
        <f>현금흐름취합!ED31</f>
        <v>0</v>
      </c>
      <c r="ES31" s="19">
        <f>현금흐름취합!EE31</f>
        <v>0</v>
      </c>
    </row>
    <row r="32" spans="1:149" hidden="1">
      <c r="A32" s="7">
        <f>현금흐름취합!A32</f>
        <v>0</v>
      </c>
      <c r="B32" s="7">
        <f>현금흐름취합!B32</f>
        <v>0</v>
      </c>
      <c r="C32" s="7">
        <f>현금흐름취합!C32</f>
        <v>0</v>
      </c>
      <c r="D32" s="8">
        <f>현금흐름취합!D32</f>
        <v>0</v>
      </c>
      <c r="E32" s="37"/>
      <c r="F32" s="8">
        <f>현금흐름취합!E32</f>
        <v>0</v>
      </c>
      <c r="G32" s="37" t="str">
        <f t="shared" si="1"/>
        <v>pool 고치세요</v>
      </c>
      <c r="H32" s="9">
        <f>현금흐름취합!F32</f>
        <v>0</v>
      </c>
      <c r="I32" s="10">
        <f>현금흐름취합!G32</f>
        <v>0</v>
      </c>
      <c r="J32" s="39" t="e">
        <f t="shared" si="2"/>
        <v>#DIV/0!</v>
      </c>
      <c r="K32" s="11">
        <f>현금흐름취합!H32</f>
        <v>0</v>
      </c>
      <c r="L32" s="40" t="e">
        <f>VLOOKUP(A32,'Sheet A'!$E$11:$K$60,7,0)=K32</f>
        <v>#N/A</v>
      </c>
      <c r="M32" s="12">
        <f>현금흐름취합!I32</f>
        <v>0</v>
      </c>
      <c r="N32" s="40" t="str">
        <f t="shared" si="3"/>
        <v>검토요</v>
      </c>
      <c r="O32" s="13">
        <f>현금흐름취합!J32</f>
        <v>0</v>
      </c>
      <c r="P32" s="14">
        <f>현금흐름취합!K32</f>
        <v>0</v>
      </c>
      <c r="Q32" s="18">
        <f>현금흐름취합!L32</f>
        <v>0</v>
      </c>
      <c r="R32" s="15">
        <f>현금흐름취합!M32</f>
        <v>0</v>
      </c>
      <c r="S32" s="40" t="e">
        <f t="shared" si="4"/>
        <v>#NUM!</v>
      </c>
      <c r="T32" s="16">
        <f>현금흐름취합!N32</f>
        <v>0</v>
      </c>
      <c r="U32" s="40" t="b">
        <f t="shared" si="0"/>
        <v>1</v>
      </c>
      <c r="V32" s="46">
        <f>SUMIF(일반여신!$E$10:$E$35,검증!A32,일반여신!$O$10:$O$35)*0.985-SUMIF(가지급금!$E$10:$E$180,A32,가지급금!$K$10:$K$180)+SUMIF(가지급금!$E$10:$E$180,검증!A32,가지급금!$O$10:$O$180)*0.985</f>
        <v>0</v>
      </c>
      <c r="W32" s="47">
        <f t="shared" si="13"/>
        <v>0</v>
      </c>
      <c r="X32" s="48"/>
      <c r="Y32" s="49">
        <f>SUMIF('Sheet D'!$E$11:$E$60,A32,'Sheet D'!$P$11:$P$60)</f>
        <v>0</v>
      </c>
      <c r="Z32" s="48">
        <f>SUMIFS(일반여신!$M$10:$M$35,일반여신!$E$10:$E$35,A32,일반여신!$P$10:$P$35,"신옹보증서대위변제")</f>
        <v>0</v>
      </c>
      <c r="AA32" s="48">
        <f t="shared" si="6"/>
        <v>0</v>
      </c>
      <c r="AB32" s="50"/>
      <c r="AC32" s="19">
        <f>현금흐름취합!O32</f>
        <v>0</v>
      </c>
      <c r="AD32" s="19">
        <f>현금흐름취합!P32</f>
        <v>0</v>
      </c>
      <c r="AE32" s="19">
        <f>현금흐름취합!Q32</f>
        <v>0</v>
      </c>
      <c r="AF32" s="19">
        <f>현금흐름취합!R32</f>
        <v>0</v>
      </c>
      <c r="AG32" s="19">
        <f>현금흐름취합!S32</f>
        <v>0</v>
      </c>
      <c r="AH32" s="19">
        <f>현금흐름취합!T32</f>
        <v>0</v>
      </c>
      <c r="AI32" s="19">
        <f>현금흐름취합!U32</f>
        <v>0</v>
      </c>
      <c r="AJ32" s="19">
        <f>현금흐름취합!V32</f>
        <v>0</v>
      </c>
      <c r="AK32" s="19">
        <f>현금흐름취합!W32</f>
        <v>0</v>
      </c>
      <c r="AL32" s="19">
        <f>현금흐름취합!X32</f>
        <v>0</v>
      </c>
      <c r="AM32" s="19">
        <f>현금흐름취합!Y32</f>
        <v>0</v>
      </c>
      <c r="AN32" s="19">
        <f>현금흐름취합!Z32</f>
        <v>0</v>
      </c>
      <c r="AO32" s="19">
        <f>현금흐름취합!AA32</f>
        <v>0</v>
      </c>
      <c r="AP32" s="19">
        <f>현금흐름취합!AB32</f>
        <v>0</v>
      </c>
      <c r="AQ32" s="19">
        <f>현금흐름취합!AC32</f>
        <v>0</v>
      </c>
      <c r="AR32" s="19">
        <f>현금흐름취합!AD32</f>
        <v>0</v>
      </c>
      <c r="AS32" s="19">
        <f>현금흐름취합!AE32</f>
        <v>0</v>
      </c>
      <c r="AT32" s="19">
        <f>현금흐름취합!AF32</f>
        <v>0</v>
      </c>
      <c r="AU32" s="19">
        <f>현금흐름취합!AG32</f>
        <v>0</v>
      </c>
      <c r="AV32" s="19">
        <f>현금흐름취합!AH32</f>
        <v>0</v>
      </c>
      <c r="AW32" s="19">
        <f>현금흐름취합!AI32</f>
        <v>0</v>
      </c>
      <c r="AX32" s="19">
        <f>현금흐름취합!AJ32</f>
        <v>0</v>
      </c>
      <c r="AY32" s="19">
        <f>현금흐름취합!AK32</f>
        <v>0</v>
      </c>
      <c r="AZ32" s="19">
        <f>현금흐름취합!AL32</f>
        <v>0</v>
      </c>
      <c r="BA32" s="19">
        <f>현금흐름취합!AM32</f>
        <v>0</v>
      </c>
      <c r="BB32" s="19">
        <f>현금흐름취합!AN32</f>
        <v>0</v>
      </c>
      <c r="BC32" s="19">
        <f>현금흐름취합!AO32</f>
        <v>0</v>
      </c>
      <c r="BD32" s="19">
        <f>현금흐름취합!AP32</f>
        <v>0</v>
      </c>
      <c r="BE32" s="19">
        <f>현금흐름취합!AQ32</f>
        <v>0</v>
      </c>
      <c r="BF32" s="19">
        <f>현금흐름취합!AR32</f>
        <v>0</v>
      </c>
      <c r="BG32" s="19">
        <f>현금흐름취합!AS32</f>
        <v>0</v>
      </c>
      <c r="BH32" s="19">
        <f>현금흐름취합!AT32</f>
        <v>0</v>
      </c>
      <c r="BI32" s="19">
        <f>현금흐름취합!AU32</f>
        <v>0</v>
      </c>
      <c r="BJ32" s="19">
        <f>현금흐름취합!AV32</f>
        <v>0</v>
      </c>
      <c r="BK32" s="19">
        <f>현금흐름취합!AW32</f>
        <v>0</v>
      </c>
      <c r="BL32" s="19">
        <f>현금흐름취합!AX32</f>
        <v>0</v>
      </c>
      <c r="BM32" s="19">
        <f>현금흐름취합!AY32</f>
        <v>0</v>
      </c>
      <c r="BN32" s="19">
        <f>현금흐름취합!AZ32</f>
        <v>0</v>
      </c>
      <c r="BO32" s="19">
        <f>현금흐름취합!BA32</f>
        <v>0</v>
      </c>
      <c r="BP32" s="19">
        <f>현금흐름취합!BB32</f>
        <v>0</v>
      </c>
      <c r="BQ32" s="19">
        <f>현금흐름취합!BC32</f>
        <v>0</v>
      </c>
      <c r="BR32" s="19">
        <f>현금흐름취합!BD32</f>
        <v>0</v>
      </c>
      <c r="BS32" s="19">
        <f>현금흐름취합!BE32</f>
        <v>0</v>
      </c>
      <c r="BT32" s="19">
        <f>현금흐름취합!BF32</f>
        <v>0</v>
      </c>
      <c r="BU32" s="19">
        <f>현금흐름취합!BG32</f>
        <v>0</v>
      </c>
      <c r="BV32" s="19">
        <f>현금흐름취합!BH32</f>
        <v>0</v>
      </c>
      <c r="BW32" s="19">
        <f>현금흐름취합!BI32</f>
        <v>0</v>
      </c>
      <c r="BX32" s="19">
        <f>현금흐름취합!BJ32</f>
        <v>0</v>
      </c>
      <c r="BY32" s="19">
        <f>현금흐름취합!BK32</f>
        <v>0</v>
      </c>
      <c r="BZ32" s="19">
        <f>현금흐름취합!BL32</f>
        <v>0</v>
      </c>
      <c r="CA32" s="19">
        <f>현금흐름취합!BM32</f>
        <v>0</v>
      </c>
      <c r="CB32" s="19">
        <f>현금흐름취합!BN32</f>
        <v>0</v>
      </c>
      <c r="CC32" s="19">
        <f>현금흐름취합!BO32</f>
        <v>0</v>
      </c>
      <c r="CD32" s="19">
        <f>현금흐름취합!BP32</f>
        <v>0</v>
      </c>
      <c r="CE32" s="19">
        <f>현금흐름취합!BQ32</f>
        <v>0</v>
      </c>
      <c r="CF32" s="19">
        <f>현금흐름취합!BR32</f>
        <v>0</v>
      </c>
      <c r="CG32" s="19">
        <f>현금흐름취합!BS32</f>
        <v>0</v>
      </c>
      <c r="CH32" s="19">
        <f>현금흐름취합!BT32</f>
        <v>0</v>
      </c>
      <c r="CI32" s="19">
        <f>현금흐름취합!BU32</f>
        <v>0</v>
      </c>
      <c r="CJ32" s="19">
        <f>현금흐름취합!BV32</f>
        <v>0</v>
      </c>
      <c r="CK32" s="19">
        <f>현금흐름취합!BW32</f>
        <v>0</v>
      </c>
      <c r="CL32" s="19">
        <f>현금흐름취합!BX32</f>
        <v>0</v>
      </c>
      <c r="CM32" s="19">
        <f>현금흐름취합!BY32</f>
        <v>0</v>
      </c>
      <c r="CN32" s="19">
        <f>현금흐름취합!BZ32</f>
        <v>0</v>
      </c>
      <c r="CO32" s="19">
        <f>현금흐름취합!CA32</f>
        <v>0</v>
      </c>
      <c r="CP32" s="19">
        <f>현금흐름취합!CB32</f>
        <v>0</v>
      </c>
      <c r="CQ32" s="19">
        <f>현금흐름취합!CC32</f>
        <v>0</v>
      </c>
      <c r="CR32" s="19">
        <f>현금흐름취합!CD32</f>
        <v>0</v>
      </c>
      <c r="CS32" s="19">
        <f>현금흐름취합!CE32</f>
        <v>0</v>
      </c>
      <c r="CT32" s="19">
        <f>현금흐름취합!CF32</f>
        <v>0</v>
      </c>
      <c r="CU32" s="19">
        <f>현금흐름취합!CG32</f>
        <v>0</v>
      </c>
      <c r="CV32" s="19">
        <f>현금흐름취합!CH32</f>
        <v>0</v>
      </c>
      <c r="CW32" s="19">
        <f>현금흐름취합!CI32</f>
        <v>0</v>
      </c>
      <c r="CX32" s="19">
        <f>현금흐름취합!CJ32</f>
        <v>0</v>
      </c>
      <c r="CY32" s="19">
        <f>현금흐름취합!CK32</f>
        <v>0</v>
      </c>
      <c r="CZ32" s="19">
        <f>현금흐름취합!CL32</f>
        <v>0</v>
      </c>
      <c r="DA32" s="19">
        <f>현금흐름취합!CM32</f>
        <v>0</v>
      </c>
      <c r="DB32" s="19">
        <f>현금흐름취합!CN32</f>
        <v>0</v>
      </c>
      <c r="DC32" s="19">
        <f>현금흐름취합!CO32</f>
        <v>0</v>
      </c>
      <c r="DD32" s="19">
        <f>현금흐름취합!CP32</f>
        <v>0</v>
      </c>
      <c r="DE32" s="19">
        <f>현금흐름취합!CQ32</f>
        <v>0</v>
      </c>
      <c r="DF32" s="19">
        <f>현금흐름취합!CR32</f>
        <v>0</v>
      </c>
      <c r="DG32" s="19">
        <f>현금흐름취합!CS32</f>
        <v>0</v>
      </c>
      <c r="DH32" s="19">
        <f>현금흐름취합!CT32</f>
        <v>0</v>
      </c>
      <c r="DI32" s="19">
        <f>현금흐름취합!CU32</f>
        <v>0</v>
      </c>
      <c r="DJ32" s="19">
        <f>현금흐름취합!CV32</f>
        <v>0</v>
      </c>
      <c r="DK32" s="19">
        <f>현금흐름취합!CW32</f>
        <v>0</v>
      </c>
      <c r="DL32" s="19">
        <f>현금흐름취합!CX32</f>
        <v>0</v>
      </c>
      <c r="DM32" s="19">
        <f>현금흐름취합!CY32</f>
        <v>0</v>
      </c>
      <c r="DN32" s="19">
        <f>현금흐름취합!CZ32</f>
        <v>0</v>
      </c>
      <c r="DO32" s="19">
        <f>현금흐름취합!DA32</f>
        <v>0</v>
      </c>
      <c r="DP32" s="19">
        <f>현금흐름취합!DB32</f>
        <v>0</v>
      </c>
      <c r="DQ32" s="19">
        <f>현금흐름취합!DC32</f>
        <v>0</v>
      </c>
      <c r="DR32" s="19">
        <f>현금흐름취합!DD32</f>
        <v>0</v>
      </c>
      <c r="DS32" s="19">
        <f>현금흐름취합!DE32</f>
        <v>0</v>
      </c>
      <c r="DT32" s="19">
        <f>현금흐름취합!DF32</f>
        <v>0</v>
      </c>
      <c r="DU32" s="19">
        <f>현금흐름취합!DG32</f>
        <v>0</v>
      </c>
      <c r="DV32" s="19">
        <f>현금흐름취합!DH32</f>
        <v>0</v>
      </c>
      <c r="DW32" s="19">
        <f>현금흐름취합!DI32</f>
        <v>0</v>
      </c>
      <c r="DX32" s="19">
        <f>현금흐름취합!DJ32</f>
        <v>0</v>
      </c>
      <c r="DY32" s="19">
        <f>현금흐름취합!DK32</f>
        <v>0</v>
      </c>
      <c r="DZ32" s="19">
        <f>현금흐름취합!DL32</f>
        <v>0</v>
      </c>
      <c r="EA32" s="19">
        <f>현금흐름취합!DM32</f>
        <v>0</v>
      </c>
      <c r="EB32" s="19">
        <f>현금흐름취합!DN32</f>
        <v>0</v>
      </c>
      <c r="EC32" s="19">
        <f>현금흐름취합!DO32</f>
        <v>0</v>
      </c>
      <c r="ED32" s="19">
        <f>현금흐름취합!DP32</f>
        <v>0</v>
      </c>
      <c r="EE32" s="19">
        <f>현금흐름취합!DQ32</f>
        <v>0</v>
      </c>
      <c r="EF32" s="19">
        <f>현금흐름취합!DR32</f>
        <v>0</v>
      </c>
      <c r="EG32" s="19">
        <f>현금흐름취합!DS32</f>
        <v>0</v>
      </c>
      <c r="EH32" s="19">
        <f>현금흐름취합!DT32</f>
        <v>0</v>
      </c>
      <c r="EI32" s="19">
        <f>현금흐름취합!DU32</f>
        <v>0</v>
      </c>
      <c r="EJ32" s="19">
        <f>현금흐름취합!DV32</f>
        <v>0</v>
      </c>
      <c r="EK32" s="19">
        <f>현금흐름취합!DW32</f>
        <v>0</v>
      </c>
      <c r="EL32" s="19">
        <f>현금흐름취합!DX32</f>
        <v>0</v>
      </c>
      <c r="EM32" s="19">
        <f>현금흐름취합!DY32</f>
        <v>0</v>
      </c>
      <c r="EN32" s="19">
        <f>현금흐름취합!DZ32</f>
        <v>0</v>
      </c>
      <c r="EO32" s="19">
        <f>현금흐름취합!EA32</f>
        <v>0</v>
      </c>
      <c r="EP32" s="19">
        <f>현금흐름취합!EB32</f>
        <v>0</v>
      </c>
      <c r="EQ32" s="19">
        <f>현금흐름취합!EC32</f>
        <v>0</v>
      </c>
      <c r="ER32" s="19">
        <f>현금흐름취합!ED32</f>
        <v>0</v>
      </c>
      <c r="ES32" s="19">
        <f>현금흐름취합!EE32</f>
        <v>0</v>
      </c>
    </row>
    <row r="33" spans="1:149" hidden="1">
      <c r="A33" s="7">
        <f>현금흐름취합!A33</f>
        <v>0</v>
      </c>
      <c r="B33" s="7">
        <f>현금흐름취합!B33</f>
        <v>0</v>
      </c>
      <c r="C33" s="7">
        <f>현금흐름취합!C33</f>
        <v>0</v>
      </c>
      <c r="D33" s="8">
        <f>현금흐름취합!D33</f>
        <v>0</v>
      </c>
      <c r="E33" s="37" t="str">
        <f t="shared" ref="E33" si="20">IF(R32&gt;R33,"역전현상","이상없음")</f>
        <v>이상없음</v>
      </c>
      <c r="F33" s="8">
        <f>현금흐름취합!E33</f>
        <v>0</v>
      </c>
      <c r="G33" s="37" t="str">
        <f t="shared" si="1"/>
        <v>pool 고치세요</v>
      </c>
      <c r="H33" s="9">
        <f>현금흐름취합!F33</f>
        <v>0</v>
      </c>
      <c r="I33" s="10">
        <f>현금흐름취합!G33</f>
        <v>0</v>
      </c>
      <c r="J33" s="39" t="e">
        <f t="shared" si="2"/>
        <v>#DIV/0!</v>
      </c>
      <c r="K33" s="11">
        <f>현금흐름취합!H33</f>
        <v>0</v>
      </c>
      <c r="L33" s="40" t="e">
        <f>VLOOKUP(A33,'Sheet A'!$E$11:$K$60,7,0)=K33</f>
        <v>#N/A</v>
      </c>
      <c r="M33" s="12">
        <f>현금흐름취합!I33</f>
        <v>0</v>
      </c>
      <c r="N33" s="40" t="str">
        <f t="shared" si="3"/>
        <v>검토요</v>
      </c>
      <c r="O33" s="13">
        <f>현금흐름취합!J33</f>
        <v>0</v>
      </c>
      <c r="P33" s="14">
        <f>현금흐름취합!K33</f>
        <v>0</v>
      </c>
      <c r="Q33" s="18">
        <f>현금흐름취합!L33</f>
        <v>0</v>
      </c>
      <c r="R33" s="15">
        <f>현금흐름취합!M33</f>
        <v>0</v>
      </c>
      <c r="S33" s="40" t="e">
        <f t="shared" si="4"/>
        <v>#NUM!</v>
      </c>
      <c r="T33" s="16">
        <f>현금흐름취합!N33</f>
        <v>0</v>
      </c>
      <c r="U33" s="40" t="b">
        <f t="shared" si="0"/>
        <v>1</v>
      </c>
      <c r="V33" s="46">
        <f>SUMIF(일반여신!$E$10:$E$35,검증!A33,일반여신!$O$10:$O$35)*0.985-SUMIF(가지급금!$E$10:$E$180,A33,가지급금!$K$10:$K$180)+SUMIF(가지급금!$E$10:$E$180,검증!A33,가지급금!$O$10:$O$180)*0.985</f>
        <v>0</v>
      </c>
      <c r="W33" s="47">
        <f t="shared" si="13"/>
        <v>0</v>
      </c>
      <c r="X33" s="48"/>
      <c r="Y33" s="49">
        <f>SUMIF('Sheet D'!$E$11:$E$60,A33,'Sheet D'!$P$11:$P$60)</f>
        <v>0</v>
      </c>
      <c r="Z33" s="48">
        <f>SUMIFS(일반여신!$M$10:$M$35,일반여신!$E$10:$E$35,A33,일반여신!$P$10:$P$35,"신옹보증서대위변제")</f>
        <v>0</v>
      </c>
      <c r="AA33" s="48">
        <f t="shared" si="6"/>
        <v>0</v>
      </c>
      <c r="AB33" s="50"/>
      <c r="AC33" s="19">
        <f>현금흐름취합!O33</f>
        <v>0</v>
      </c>
      <c r="AD33" s="19">
        <f>현금흐름취합!P33</f>
        <v>0</v>
      </c>
      <c r="AE33" s="19">
        <f>현금흐름취합!Q33</f>
        <v>0</v>
      </c>
      <c r="AF33" s="19">
        <f>현금흐름취합!R33</f>
        <v>0</v>
      </c>
      <c r="AG33" s="19">
        <f>현금흐름취합!S33</f>
        <v>0</v>
      </c>
      <c r="AH33" s="19">
        <f>현금흐름취합!T33</f>
        <v>0</v>
      </c>
      <c r="AI33" s="19">
        <f>현금흐름취합!U33</f>
        <v>0</v>
      </c>
      <c r="AJ33" s="19">
        <f>현금흐름취합!V33</f>
        <v>0</v>
      </c>
      <c r="AK33" s="19">
        <f>현금흐름취합!W33</f>
        <v>0</v>
      </c>
      <c r="AL33" s="19">
        <f>현금흐름취합!X33</f>
        <v>0</v>
      </c>
      <c r="AM33" s="19">
        <f>현금흐름취합!Y33</f>
        <v>0</v>
      </c>
      <c r="AN33" s="19">
        <f>현금흐름취합!Z33</f>
        <v>0</v>
      </c>
      <c r="AO33" s="19">
        <f>현금흐름취합!AA33</f>
        <v>0</v>
      </c>
      <c r="AP33" s="19">
        <f>현금흐름취합!AB33</f>
        <v>0</v>
      </c>
      <c r="AQ33" s="19">
        <f>현금흐름취합!AC33</f>
        <v>0</v>
      </c>
      <c r="AR33" s="19">
        <f>현금흐름취합!AD33</f>
        <v>0</v>
      </c>
      <c r="AS33" s="19">
        <f>현금흐름취합!AE33</f>
        <v>0</v>
      </c>
      <c r="AT33" s="19">
        <f>현금흐름취합!AF33</f>
        <v>0</v>
      </c>
      <c r="AU33" s="19">
        <f>현금흐름취합!AG33</f>
        <v>0</v>
      </c>
      <c r="AV33" s="19">
        <f>현금흐름취합!AH33</f>
        <v>0</v>
      </c>
      <c r="AW33" s="19">
        <f>현금흐름취합!AI33</f>
        <v>0</v>
      </c>
      <c r="AX33" s="19">
        <f>현금흐름취합!AJ33</f>
        <v>0</v>
      </c>
      <c r="AY33" s="19">
        <f>현금흐름취합!AK33</f>
        <v>0</v>
      </c>
      <c r="AZ33" s="19">
        <f>현금흐름취합!AL33</f>
        <v>0</v>
      </c>
      <c r="BA33" s="19">
        <f>현금흐름취합!AM33</f>
        <v>0</v>
      </c>
      <c r="BB33" s="19">
        <f>현금흐름취합!AN33</f>
        <v>0</v>
      </c>
      <c r="BC33" s="19">
        <f>현금흐름취합!AO33</f>
        <v>0</v>
      </c>
      <c r="BD33" s="19">
        <f>현금흐름취합!AP33</f>
        <v>0</v>
      </c>
      <c r="BE33" s="19">
        <f>현금흐름취합!AQ33</f>
        <v>0</v>
      </c>
      <c r="BF33" s="19">
        <f>현금흐름취합!AR33</f>
        <v>0</v>
      </c>
      <c r="BG33" s="19">
        <f>현금흐름취합!AS33</f>
        <v>0</v>
      </c>
      <c r="BH33" s="19">
        <f>현금흐름취합!AT33</f>
        <v>0</v>
      </c>
      <c r="BI33" s="19">
        <f>현금흐름취합!AU33</f>
        <v>0</v>
      </c>
      <c r="BJ33" s="19">
        <f>현금흐름취합!AV33</f>
        <v>0</v>
      </c>
      <c r="BK33" s="19">
        <f>현금흐름취합!AW33</f>
        <v>0</v>
      </c>
      <c r="BL33" s="19">
        <f>현금흐름취합!AX33</f>
        <v>0</v>
      </c>
      <c r="BM33" s="19">
        <f>현금흐름취합!AY33</f>
        <v>0</v>
      </c>
      <c r="BN33" s="19">
        <f>현금흐름취합!AZ33</f>
        <v>0</v>
      </c>
      <c r="BO33" s="19">
        <f>현금흐름취합!BA33</f>
        <v>0</v>
      </c>
      <c r="BP33" s="19">
        <f>현금흐름취합!BB33</f>
        <v>0</v>
      </c>
      <c r="BQ33" s="19">
        <f>현금흐름취합!BC33</f>
        <v>0</v>
      </c>
      <c r="BR33" s="19">
        <f>현금흐름취합!BD33</f>
        <v>0</v>
      </c>
      <c r="BS33" s="19">
        <f>현금흐름취합!BE33</f>
        <v>0</v>
      </c>
      <c r="BT33" s="19">
        <f>현금흐름취합!BF33</f>
        <v>0</v>
      </c>
      <c r="BU33" s="19">
        <f>현금흐름취합!BG33</f>
        <v>0</v>
      </c>
      <c r="BV33" s="19">
        <f>현금흐름취합!BH33</f>
        <v>0</v>
      </c>
      <c r="BW33" s="19">
        <f>현금흐름취합!BI33</f>
        <v>0</v>
      </c>
      <c r="BX33" s="19">
        <f>현금흐름취합!BJ33</f>
        <v>0</v>
      </c>
      <c r="BY33" s="19">
        <f>현금흐름취합!BK33</f>
        <v>0</v>
      </c>
      <c r="BZ33" s="19">
        <f>현금흐름취합!BL33</f>
        <v>0</v>
      </c>
      <c r="CA33" s="19">
        <f>현금흐름취합!BM33</f>
        <v>0</v>
      </c>
      <c r="CB33" s="19">
        <f>현금흐름취합!BN33</f>
        <v>0</v>
      </c>
      <c r="CC33" s="19">
        <f>현금흐름취합!BO33</f>
        <v>0</v>
      </c>
      <c r="CD33" s="19">
        <f>현금흐름취합!BP33</f>
        <v>0</v>
      </c>
      <c r="CE33" s="19">
        <f>현금흐름취합!BQ33</f>
        <v>0</v>
      </c>
      <c r="CF33" s="19">
        <f>현금흐름취합!BR33</f>
        <v>0</v>
      </c>
      <c r="CG33" s="19">
        <f>현금흐름취합!BS33</f>
        <v>0</v>
      </c>
      <c r="CH33" s="19">
        <f>현금흐름취합!BT33</f>
        <v>0</v>
      </c>
      <c r="CI33" s="19">
        <f>현금흐름취합!BU33</f>
        <v>0</v>
      </c>
      <c r="CJ33" s="19">
        <f>현금흐름취합!BV33</f>
        <v>0</v>
      </c>
      <c r="CK33" s="19">
        <f>현금흐름취합!BW33</f>
        <v>0</v>
      </c>
      <c r="CL33" s="19">
        <f>현금흐름취합!BX33</f>
        <v>0</v>
      </c>
      <c r="CM33" s="19">
        <f>현금흐름취합!BY33</f>
        <v>0</v>
      </c>
      <c r="CN33" s="19">
        <f>현금흐름취합!BZ33</f>
        <v>0</v>
      </c>
      <c r="CO33" s="19">
        <f>현금흐름취합!CA33</f>
        <v>0</v>
      </c>
      <c r="CP33" s="19">
        <f>현금흐름취합!CB33</f>
        <v>0</v>
      </c>
      <c r="CQ33" s="19">
        <f>현금흐름취합!CC33</f>
        <v>0</v>
      </c>
      <c r="CR33" s="19">
        <f>현금흐름취합!CD33</f>
        <v>0</v>
      </c>
      <c r="CS33" s="19">
        <f>현금흐름취합!CE33</f>
        <v>0</v>
      </c>
      <c r="CT33" s="19">
        <f>현금흐름취합!CF33</f>
        <v>0</v>
      </c>
      <c r="CU33" s="19">
        <f>현금흐름취합!CG33</f>
        <v>0</v>
      </c>
      <c r="CV33" s="19">
        <f>현금흐름취합!CH33</f>
        <v>0</v>
      </c>
      <c r="CW33" s="19">
        <f>현금흐름취합!CI33</f>
        <v>0</v>
      </c>
      <c r="CX33" s="19">
        <f>현금흐름취합!CJ33</f>
        <v>0</v>
      </c>
      <c r="CY33" s="19">
        <f>현금흐름취합!CK33</f>
        <v>0</v>
      </c>
      <c r="CZ33" s="19">
        <f>현금흐름취합!CL33</f>
        <v>0</v>
      </c>
      <c r="DA33" s="19">
        <f>현금흐름취합!CM33</f>
        <v>0</v>
      </c>
      <c r="DB33" s="19">
        <f>현금흐름취합!CN33</f>
        <v>0</v>
      </c>
      <c r="DC33" s="19">
        <f>현금흐름취합!CO33</f>
        <v>0</v>
      </c>
      <c r="DD33" s="19">
        <f>현금흐름취합!CP33</f>
        <v>0</v>
      </c>
      <c r="DE33" s="19">
        <f>현금흐름취합!CQ33</f>
        <v>0</v>
      </c>
      <c r="DF33" s="19">
        <f>현금흐름취합!CR33</f>
        <v>0</v>
      </c>
      <c r="DG33" s="19">
        <f>현금흐름취합!CS33</f>
        <v>0</v>
      </c>
      <c r="DH33" s="19">
        <f>현금흐름취합!CT33</f>
        <v>0</v>
      </c>
      <c r="DI33" s="19">
        <f>현금흐름취합!CU33</f>
        <v>0</v>
      </c>
      <c r="DJ33" s="19">
        <f>현금흐름취합!CV33</f>
        <v>0</v>
      </c>
      <c r="DK33" s="19">
        <f>현금흐름취합!CW33</f>
        <v>0</v>
      </c>
      <c r="DL33" s="19">
        <f>현금흐름취합!CX33</f>
        <v>0</v>
      </c>
      <c r="DM33" s="19">
        <f>현금흐름취합!CY33</f>
        <v>0</v>
      </c>
      <c r="DN33" s="19">
        <f>현금흐름취합!CZ33</f>
        <v>0</v>
      </c>
      <c r="DO33" s="19">
        <f>현금흐름취합!DA33</f>
        <v>0</v>
      </c>
      <c r="DP33" s="19">
        <f>현금흐름취합!DB33</f>
        <v>0</v>
      </c>
      <c r="DQ33" s="19">
        <f>현금흐름취합!DC33</f>
        <v>0</v>
      </c>
      <c r="DR33" s="19">
        <f>현금흐름취합!DD33</f>
        <v>0</v>
      </c>
      <c r="DS33" s="19">
        <f>현금흐름취합!DE33</f>
        <v>0</v>
      </c>
      <c r="DT33" s="19">
        <f>현금흐름취합!DF33</f>
        <v>0</v>
      </c>
      <c r="DU33" s="19">
        <f>현금흐름취합!DG33</f>
        <v>0</v>
      </c>
      <c r="DV33" s="19">
        <f>현금흐름취합!DH33</f>
        <v>0</v>
      </c>
      <c r="DW33" s="19">
        <f>현금흐름취합!DI33</f>
        <v>0</v>
      </c>
      <c r="DX33" s="19">
        <f>현금흐름취합!DJ33</f>
        <v>0</v>
      </c>
      <c r="DY33" s="19">
        <f>현금흐름취합!DK33</f>
        <v>0</v>
      </c>
      <c r="DZ33" s="19">
        <f>현금흐름취합!DL33</f>
        <v>0</v>
      </c>
      <c r="EA33" s="19">
        <f>현금흐름취합!DM33</f>
        <v>0</v>
      </c>
      <c r="EB33" s="19">
        <f>현금흐름취합!DN33</f>
        <v>0</v>
      </c>
      <c r="EC33" s="19">
        <f>현금흐름취합!DO33</f>
        <v>0</v>
      </c>
      <c r="ED33" s="19">
        <f>현금흐름취합!DP33</f>
        <v>0</v>
      </c>
      <c r="EE33" s="19">
        <f>현금흐름취합!DQ33</f>
        <v>0</v>
      </c>
      <c r="EF33" s="19">
        <f>현금흐름취합!DR33</f>
        <v>0</v>
      </c>
      <c r="EG33" s="19">
        <f>현금흐름취합!DS33</f>
        <v>0</v>
      </c>
      <c r="EH33" s="19">
        <f>현금흐름취합!DT33</f>
        <v>0</v>
      </c>
      <c r="EI33" s="19">
        <f>현금흐름취합!DU33</f>
        <v>0</v>
      </c>
      <c r="EJ33" s="19">
        <f>현금흐름취합!DV33</f>
        <v>0</v>
      </c>
      <c r="EK33" s="19">
        <f>현금흐름취합!DW33</f>
        <v>0</v>
      </c>
      <c r="EL33" s="19">
        <f>현금흐름취합!DX33</f>
        <v>0</v>
      </c>
      <c r="EM33" s="19">
        <f>현금흐름취합!DY33</f>
        <v>0</v>
      </c>
      <c r="EN33" s="19">
        <f>현금흐름취합!DZ33</f>
        <v>0</v>
      </c>
      <c r="EO33" s="19">
        <f>현금흐름취합!EA33</f>
        <v>0</v>
      </c>
      <c r="EP33" s="19">
        <f>현금흐름취합!EB33</f>
        <v>0</v>
      </c>
      <c r="EQ33" s="19">
        <f>현금흐름취합!EC33</f>
        <v>0</v>
      </c>
      <c r="ER33" s="19">
        <f>현금흐름취합!ED33</f>
        <v>0</v>
      </c>
      <c r="ES33" s="19">
        <f>현금흐름취합!EE33</f>
        <v>0</v>
      </c>
    </row>
    <row r="34" spans="1:149" hidden="1">
      <c r="A34" s="7">
        <f>현금흐름취합!A34</f>
        <v>0</v>
      </c>
      <c r="B34" s="7">
        <f>현금흐름취합!B34</f>
        <v>0</v>
      </c>
      <c r="C34" s="7">
        <f>현금흐름취합!C34</f>
        <v>0</v>
      </c>
      <c r="D34" s="8">
        <f>현금흐름취합!D34</f>
        <v>0</v>
      </c>
      <c r="E34" s="37"/>
      <c r="F34" s="8">
        <f>현금흐름취합!E34</f>
        <v>0</v>
      </c>
      <c r="G34" s="37" t="str">
        <f t="shared" si="1"/>
        <v>pool 고치세요</v>
      </c>
      <c r="H34" s="9">
        <f>현금흐름취합!F34</f>
        <v>0</v>
      </c>
      <c r="I34" s="10">
        <f>현금흐름취합!G34</f>
        <v>0</v>
      </c>
      <c r="J34" s="39" t="e">
        <f t="shared" si="2"/>
        <v>#DIV/0!</v>
      </c>
      <c r="K34" s="11">
        <f>현금흐름취합!H34</f>
        <v>0</v>
      </c>
      <c r="L34" s="40" t="e">
        <f>VLOOKUP(A34,'Sheet A'!$E$11:$K$60,7,0)=K34</f>
        <v>#N/A</v>
      </c>
      <c r="M34" s="12">
        <f>현금흐름취합!I34</f>
        <v>0</v>
      </c>
      <c r="N34" s="40" t="str">
        <f t="shared" si="3"/>
        <v>검토요</v>
      </c>
      <c r="O34" s="13">
        <f>현금흐름취합!J34</f>
        <v>0</v>
      </c>
      <c r="P34" s="14">
        <f>현금흐름취합!K34</f>
        <v>0</v>
      </c>
      <c r="Q34" s="18">
        <f>현금흐름취합!L34</f>
        <v>0</v>
      </c>
      <c r="R34" s="15">
        <f>현금흐름취합!M34</f>
        <v>0</v>
      </c>
      <c r="S34" s="40" t="e">
        <f t="shared" si="4"/>
        <v>#NUM!</v>
      </c>
      <c r="T34" s="16">
        <f>현금흐름취합!N34</f>
        <v>0</v>
      </c>
      <c r="U34" s="40" t="b">
        <f t="shared" si="0"/>
        <v>1</v>
      </c>
      <c r="V34" s="46">
        <f>SUMIF(일반여신!$E$10:$E$35,검증!A34,일반여신!$O$10:$O$35)*0.985-SUMIF(가지급금!$E$10:$E$180,A34,가지급금!$K$10:$K$180)+SUMIF(가지급금!$E$10:$E$180,검증!A34,가지급금!$O$10:$O$180)*0.985</f>
        <v>0</v>
      </c>
      <c r="W34" s="47">
        <f t="shared" si="13"/>
        <v>0</v>
      </c>
      <c r="X34" s="48"/>
      <c r="Y34" s="49">
        <f>SUMIF('Sheet D'!$E$11:$E$60,A34,'Sheet D'!$P$11:$P$60)</f>
        <v>0</v>
      </c>
      <c r="Z34" s="48">
        <f>SUMIFS(일반여신!$M$10:$M$35,일반여신!$E$10:$E$35,A34,일반여신!$P$10:$P$35,"신옹보증서대위변제")</f>
        <v>0</v>
      </c>
      <c r="AA34" s="48">
        <f t="shared" si="6"/>
        <v>0</v>
      </c>
      <c r="AB34" s="50"/>
      <c r="AC34" s="19">
        <f>현금흐름취합!O34</f>
        <v>0</v>
      </c>
      <c r="AD34" s="19">
        <f>현금흐름취합!P34</f>
        <v>0</v>
      </c>
      <c r="AE34" s="19">
        <f>현금흐름취합!Q34</f>
        <v>0</v>
      </c>
      <c r="AF34" s="19">
        <f>현금흐름취합!R34</f>
        <v>0</v>
      </c>
      <c r="AG34" s="19">
        <f>현금흐름취합!S34</f>
        <v>0</v>
      </c>
      <c r="AH34" s="19">
        <f>현금흐름취합!T34</f>
        <v>0</v>
      </c>
      <c r="AI34" s="19">
        <f>현금흐름취합!U34</f>
        <v>0</v>
      </c>
      <c r="AJ34" s="19">
        <f>현금흐름취합!V34</f>
        <v>0</v>
      </c>
      <c r="AK34" s="19">
        <f>현금흐름취합!W34</f>
        <v>0</v>
      </c>
      <c r="AL34" s="19">
        <f>현금흐름취합!X34</f>
        <v>0</v>
      </c>
      <c r="AM34" s="19">
        <f>현금흐름취합!Y34</f>
        <v>0</v>
      </c>
      <c r="AN34" s="19">
        <f>현금흐름취합!Z34</f>
        <v>0</v>
      </c>
      <c r="AO34" s="19">
        <f>현금흐름취합!AA34</f>
        <v>0</v>
      </c>
      <c r="AP34" s="19">
        <f>현금흐름취합!AB34</f>
        <v>0</v>
      </c>
      <c r="AQ34" s="19">
        <f>현금흐름취합!AC34</f>
        <v>0</v>
      </c>
      <c r="AR34" s="19">
        <f>현금흐름취합!AD34</f>
        <v>0</v>
      </c>
      <c r="AS34" s="19">
        <f>현금흐름취합!AE34</f>
        <v>0</v>
      </c>
      <c r="AT34" s="19">
        <f>현금흐름취합!AF34</f>
        <v>0</v>
      </c>
      <c r="AU34" s="19">
        <f>현금흐름취합!AG34</f>
        <v>0</v>
      </c>
      <c r="AV34" s="19">
        <f>현금흐름취합!AH34</f>
        <v>0</v>
      </c>
      <c r="AW34" s="19">
        <f>현금흐름취합!AI34</f>
        <v>0</v>
      </c>
      <c r="AX34" s="19">
        <f>현금흐름취합!AJ34</f>
        <v>0</v>
      </c>
      <c r="AY34" s="19">
        <f>현금흐름취합!AK34</f>
        <v>0</v>
      </c>
      <c r="AZ34" s="19">
        <f>현금흐름취합!AL34</f>
        <v>0</v>
      </c>
      <c r="BA34" s="19">
        <f>현금흐름취합!AM34</f>
        <v>0</v>
      </c>
      <c r="BB34" s="19">
        <f>현금흐름취합!AN34</f>
        <v>0</v>
      </c>
      <c r="BC34" s="19">
        <f>현금흐름취합!AO34</f>
        <v>0</v>
      </c>
      <c r="BD34" s="19">
        <f>현금흐름취합!AP34</f>
        <v>0</v>
      </c>
      <c r="BE34" s="19">
        <f>현금흐름취합!AQ34</f>
        <v>0</v>
      </c>
      <c r="BF34" s="19">
        <f>현금흐름취합!AR34</f>
        <v>0</v>
      </c>
      <c r="BG34" s="19">
        <f>현금흐름취합!AS34</f>
        <v>0</v>
      </c>
      <c r="BH34" s="19">
        <f>현금흐름취합!AT34</f>
        <v>0</v>
      </c>
      <c r="BI34" s="19">
        <f>현금흐름취합!AU34</f>
        <v>0</v>
      </c>
      <c r="BJ34" s="19">
        <f>현금흐름취합!AV34</f>
        <v>0</v>
      </c>
      <c r="BK34" s="19">
        <f>현금흐름취합!AW34</f>
        <v>0</v>
      </c>
      <c r="BL34" s="19">
        <f>현금흐름취합!AX34</f>
        <v>0</v>
      </c>
      <c r="BM34" s="19">
        <f>현금흐름취합!AY34</f>
        <v>0</v>
      </c>
      <c r="BN34" s="19">
        <f>현금흐름취합!AZ34</f>
        <v>0</v>
      </c>
      <c r="BO34" s="19">
        <f>현금흐름취합!BA34</f>
        <v>0</v>
      </c>
      <c r="BP34" s="19">
        <f>현금흐름취합!BB34</f>
        <v>0</v>
      </c>
      <c r="BQ34" s="19">
        <f>현금흐름취합!BC34</f>
        <v>0</v>
      </c>
      <c r="BR34" s="19">
        <f>현금흐름취합!BD34</f>
        <v>0</v>
      </c>
      <c r="BS34" s="19">
        <f>현금흐름취합!BE34</f>
        <v>0</v>
      </c>
      <c r="BT34" s="19">
        <f>현금흐름취합!BF34</f>
        <v>0</v>
      </c>
      <c r="BU34" s="19">
        <f>현금흐름취합!BG34</f>
        <v>0</v>
      </c>
      <c r="BV34" s="19">
        <f>현금흐름취합!BH34</f>
        <v>0</v>
      </c>
      <c r="BW34" s="19">
        <f>현금흐름취합!BI34</f>
        <v>0</v>
      </c>
      <c r="BX34" s="19">
        <f>현금흐름취합!BJ34</f>
        <v>0</v>
      </c>
      <c r="BY34" s="19">
        <f>현금흐름취합!BK34</f>
        <v>0</v>
      </c>
      <c r="BZ34" s="19">
        <f>현금흐름취합!BL34</f>
        <v>0</v>
      </c>
      <c r="CA34" s="19">
        <f>현금흐름취합!BM34</f>
        <v>0</v>
      </c>
      <c r="CB34" s="19">
        <f>현금흐름취합!BN34</f>
        <v>0</v>
      </c>
      <c r="CC34" s="19">
        <f>현금흐름취합!BO34</f>
        <v>0</v>
      </c>
      <c r="CD34" s="19">
        <f>현금흐름취합!BP34</f>
        <v>0</v>
      </c>
      <c r="CE34" s="19">
        <f>현금흐름취합!BQ34</f>
        <v>0</v>
      </c>
      <c r="CF34" s="19">
        <f>현금흐름취합!BR34</f>
        <v>0</v>
      </c>
      <c r="CG34" s="19">
        <f>현금흐름취합!BS34</f>
        <v>0</v>
      </c>
      <c r="CH34" s="19">
        <f>현금흐름취합!BT34</f>
        <v>0</v>
      </c>
      <c r="CI34" s="19">
        <f>현금흐름취합!BU34</f>
        <v>0</v>
      </c>
      <c r="CJ34" s="19">
        <f>현금흐름취합!BV34</f>
        <v>0</v>
      </c>
      <c r="CK34" s="19">
        <f>현금흐름취합!BW34</f>
        <v>0</v>
      </c>
      <c r="CL34" s="19">
        <f>현금흐름취합!BX34</f>
        <v>0</v>
      </c>
      <c r="CM34" s="19">
        <f>현금흐름취합!BY34</f>
        <v>0</v>
      </c>
      <c r="CN34" s="19">
        <f>현금흐름취합!BZ34</f>
        <v>0</v>
      </c>
      <c r="CO34" s="19">
        <f>현금흐름취합!CA34</f>
        <v>0</v>
      </c>
      <c r="CP34" s="19">
        <f>현금흐름취합!CB34</f>
        <v>0</v>
      </c>
      <c r="CQ34" s="19">
        <f>현금흐름취합!CC34</f>
        <v>0</v>
      </c>
      <c r="CR34" s="19">
        <f>현금흐름취합!CD34</f>
        <v>0</v>
      </c>
      <c r="CS34" s="19">
        <f>현금흐름취합!CE34</f>
        <v>0</v>
      </c>
      <c r="CT34" s="19">
        <f>현금흐름취합!CF34</f>
        <v>0</v>
      </c>
      <c r="CU34" s="19">
        <f>현금흐름취합!CG34</f>
        <v>0</v>
      </c>
      <c r="CV34" s="19">
        <f>현금흐름취합!CH34</f>
        <v>0</v>
      </c>
      <c r="CW34" s="19">
        <f>현금흐름취합!CI34</f>
        <v>0</v>
      </c>
      <c r="CX34" s="19">
        <f>현금흐름취합!CJ34</f>
        <v>0</v>
      </c>
      <c r="CY34" s="19">
        <f>현금흐름취합!CK34</f>
        <v>0</v>
      </c>
      <c r="CZ34" s="19">
        <f>현금흐름취합!CL34</f>
        <v>0</v>
      </c>
      <c r="DA34" s="19">
        <f>현금흐름취합!CM34</f>
        <v>0</v>
      </c>
      <c r="DB34" s="19">
        <f>현금흐름취합!CN34</f>
        <v>0</v>
      </c>
      <c r="DC34" s="19">
        <f>현금흐름취합!CO34</f>
        <v>0</v>
      </c>
      <c r="DD34" s="19">
        <f>현금흐름취합!CP34</f>
        <v>0</v>
      </c>
      <c r="DE34" s="19">
        <f>현금흐름취합!CQ34</f>
        <v>0</v>
      </c>
      <c r="DF34" s="19">
        <f>현금흐름취합!CR34</f>
        <v>0</v>
      </c>
      <c r="DG34" s="19">
        <f>현금흐름취합!CS34</f>
        <v>0</v>
      </c>
      <c r="DH34" s="19">
        <f>현금흐름취합!CT34</f>
        <v>0</v>
      </c>
      <c r="DI34" s="19">
        <f>현금흐름취합!CU34</f>
        <v>0</v>
      </c>
      <c r="DJ34" s="19">
        <f>현금흐름취합!CV34</f>
        <v>0</v>
      </c>
      <c r="DK34" s="19">
        <f>현금흐름취합!CW34</f>
        <v>0</v>
      </c>
      <c r="DL34" s="19">
        <f>현금흐름취합!CX34</f>
        <v>0</v>
      </c>
      <c r="DM34" s="19">
        <f>현금흐름취합!CY34</f>
        <v>0</v>
      </c>
      <c r="DN34" s="19">
        <f>현금흐름취합!CZ34</f>
        <v>0</v>
      </c>
      <c r="DO34" s="19">
        <f>현금흐름취합!DA34</f>
        <v>0</v>
      </c>
      <c r="DP34" s="19">
        <f>현금흐름취합!DB34</f>
        <v>0</v>
      </c>
      <c r="DQ34" s="19">
        <f>현금흐름취합!DC34</f>
        <v>0</v>
      </c>
      <c r="DR34" s="19">
        <f>현금흐름취합!DD34</f>
        <v>0</v>
      </c>
      <c r="DS34" s="19">
        <f>현금흐름취합!DE34</f>
        <v>0</v>
      </c>
      <c r="DT34" s="19">
        <f>현금흐름취합!DF34</f>
        <v>0</v>
      </c>
      <c r="DU34" s="19">
        <f>현금흐름취합!DG34</f>
        <v>0</v>
      </c>
      <c r="DV34" s="19">
        <f>현금흐름취합!DH34</f>
        <v>0</v>
      </c>
      <c r="DW34" s="19">
        <f>현금흐름취합!DI34</f>
        <v>0</v>
      </c>
      <c r="DX34" s="19">
        <f>현금흐름취합!DJ34</f>
        <v>0</v>
      </c>
      <c r="DY34" s="19">
        <f>현금흐름취합!DK34</f>
        <v>0</v>
      </c>
      <c r="DZ34" s="19">
        <f>현금흐름취합!DL34</f>
        <v>0</v>
      </c>
      <c r="EA34" s="19">
        <f>현금흐름취합!DM34</f>
        <v>0</v>
      </c>
      <c r="EB34" s="19">
        <f>현금흐름취합!DN34</f>
        <v>0</v>
      </c>
      <c r="EC34" s="19">
        <f>현금흐름취합!DO34</f>
        <v>0</v>
      </c>
      <c r="ED34" s="19">
        <f>현금흐름취합!DP34</f>
        <v>0</v>
      </c>
      <c r="EE34" s="19">
        <f>현금흐름취합!DQ34</f>
        <v>0</v>
      </c>
      <c r="EF34" s="19">
        <f>현금흐름취합!DR34</f>
        <v>0</v>
      </c>
      <c r="EG34" s="19">
        <f>현금흐름취합!DS34</f>
        <v>0</v>
      </c>
      <c r="EH34" s="19">
        <f>현금흐름취합!DT34</f>
        <v>0</v>
      </c>
      <c r="EI34" s="19">
        <f>현금흐름취합!DU34</f>
        <v>0</v>
      </c>
      <c r="EJ34" s="19">
        <f>현금흐름취합!DV34</f>
        <v>0</v>
      </c>
      <c r="EK34" s="19">
        <f>현금흐름취합!DW34</f>
        <v>0</v>
      </c>
      <c r="EL34" s="19">
        <f>현금흐름취합!DX34</f>
        <v>0</v>
      </c>
      <c r="EM34" s="19">
        <f>현금흐름취합!DY34</f>
        <v>0</v>
      </c>
      <c r="EN34" s="19">
        <f>현금흐름취합!DZ34</f>
        <v>0</v>
      </c>
      <c r="EO34" s="19">
        <f>현금흐름취합!EA34</f>
        <v>0</v>
      </c>
      <c r="EP34" s="19">
        <f>현금흐름취합!EB34</f>
        <v>0</v>
      </c>
      <c r="EQ34" s="19">
        <f>현금흐름취합!EC34</f>
        <v>0</v>
      </c>
      <c r="ER34" s="19">
        <f>현금흐름취합!ED34</f>
        <v>0</v>
      </c>
      <c r="ES34" s="19">
        <f>현금흐름취합!EE34</f>
        <v>0</v>
      </c>
    </row>
    <row r="35" spans="1:149" hidden="1">
      <c r="A35" s="7">
        <f>현금흐름취합!A35</f>
        <v>0</v>
      </c>
      <c r="B35" s="7">
        <f>현금흐름취합!B35</f>
        <v>0</v>
      </c>
      <c r="C35" s="7">
        <f>현금흐름취합!C35</f>
        <v>0</v>
      </c>
      <c r="D35" s="8">
        <f>현금흐름취합!D35</f>
        <v>0</v>
      </c>
      <c r="E35" s="37" t="str">
        <f t="shared" ref="E35" si="21">IF(R34&gt;R35,"역전현상","이상없음")</f>
        <v>이상없음</v>
      </c>
      <c r="F35" s="8">
        <f>현금흐름취합!E35</f>
        <v>0</v>
      </c>
      <c r="G35" s="37" t="str">
        <f t="shared" si="1"/>
        <v>pool 고치세요</v>
      </c>
      <c r="H35" s="9">
        <f>현금흐름취합!F35</f>
        <v>0</v>
      </c>
      <c r="I35" s="10">
        <f>현금흐름취합!G35</f>
        <v>0</v>
      </c>
      <c r="J35" s="39" t="e">
        <f t="shared" si="2"/>
        <v>#DIV/0!</v>
      </c>
      <c r="K35" s="11">
        <f>현금흐름취합!H35</f>
        <v>0</v>
      </c>
      <c r="L35" s="40" t="e">
        <f>VLOOKUP(A35,'Sheet A'!$E$11:$K$60,7,0)=K35</f>
        <v>#N/A</v>
      </c>
      <c r="M35" s="12">
        <f>현금흐름취합!I35</f>
        <v>0</v>
      </c>
      <c r="N35" s="40" t="str">
        <f t="shared" si="3"/>
        <v>검토요</v>
      </c>
      <c r="O35" s="13">
        <f>현금흐름취합!J35</f>
        <v>0</v>
      </c>
      <c r="P35" s="14">
        <f>현금흐름취합!K35</f>
        <v>0</v>
      </c>
      <c r="Q35" s="18">
        <f>현금흐름취합!L35</f>
        <v>0</v>
      </c>
      <c r="R35" s="15">
        <f>현금흐름취합!M35</f>
        <v>0</v>
      </c>
      <c r="S35" s="40" t="e">
        <f t="shared" si="4"/>
        <v>#NUM!</v>
      </c>
      <c r="T35" s="16">
        <f>현금흐름취합!N35</f>
        <v>0</v>
      </c>
      <c r="U35" s="40" t="b">
        <f t="shared" si="0"/>
        <v>1</v>
      </c>
      <c r="V35" s="46">
        <f>SUMIF(일반여신!$E$10:$E$35,검증!A35,일반여신!$O$10:$O$35)*0.985-SUMIF(가지급금!$E$10:$E$180,A35,가지급금!$K$10:$K$180)+SUMIF(가지급금!$E$10:$E$180,검증!A35,가지급금!$O$10:$O$180)*0.985</f>
        <v>0</v>
      </c>
      <c r="W35" s="47">
        <f t="shared" si="13"/>
        <v>0</v>
      </c>
      <c r="X35" s="48"/>
      <c r="Y35" s="49">
        <f>SUMIF('Sheet D'!$E$11:$E$60,A35,'Sheet D'!$P$11:$P$60)</f>
        <v>0</v>
      </c>
      <c r="Z35" s="48">
        <f>SUMIFS(일반여신!$M$10:$M$35,일반여신!$E$10:$E$35,A35,일반여신!$P$10:$P$35,"신옹보증서대위변제")</f>
        <v>0</v>
      </c>
      <c r="AA35" s="48">
        <f t="shared" si="6"/>
        <v>0</v>
      </c>
      <c r="AB35" s="50"/>
      <c r="AC35" s="19">
        <f>현금흐름취합!O35</f>
        <v>0</v>
      </c>
      <c r="AD35" s="19">
        <f>현금흐름취합!P35</f>
        <v>0</v>
      </c>
      <c r="AE35" s="19">
        <f>현금흐름취합!Q35</f>
        <v>0</v>
      </c>
      <c r="AF35" s="19">
        <f>현금흐름취합!R35</f>
        <v>0</v>
      </c>
      <c r="AG35" s="19">
        <f>현금흐름취합!S35</f>
        <v>0</v>
      </c>
      <c r="AH35" s="19">
        <f>현금흐름취합!T35</f>
        <v>0</v>
      </c>
      <c r="AI35" s="19">
        <f>현금흐름취합!U35</f>
        <v>0</v>
      </c>
      <c r="AJ35" s="19">
        <f>현금흐름취합!V35</f>
        <v>0</v>
      </c>
      <c r="AK35" s="19">
        <f>현금흐름취합!W35</f>
        <v>0</v>
      </c>
      <c r="AL35" s="19">
        <f>현금흐름취합!X35</f>
        <v>0</v>
      </c>
      <c r="AM35" s="19">
        <f>현금흐름취합!Y35</f>
        <v>0</v>
      </c>
      <c r="AN35" s="19">
        <f>현금흐름취합!Z35</f>
        <v>0</v>
      </c>
      <c r="AO35" s="19">
        <f>현금흐름취합!AA35</f>
        <v>0</v>
      </c>
      <c r="AP35" s="19">
        <f>현금흐름취합!AB35</f>
        <v>0</v>
      </c>
      <c r="AQ35" s="19">
        <f>현금흐름취합!AC35</f>
        <v>0</v>
      </c>
      <c r="AR35" s="19">
        <f>현금흐름취합!AD35</f>
        <v>0</v>
      </c>
      <c r="AS35" s="19">
        <f>현금흐름취합!AE35</f>
        <v>0</v>
      </c>
      <c r="AT35" s="19">
        <f>현금흐름취합!AF35</f>
        <v>0</v>
      </c>
      <c r="AU35" s="19">
        <f>현금흐름취합!AG35</f>
        <v>0</v>
      </c>
      <c r="AV35" s="19">
        <f>현금흐름취합!AH35</f>
        <v>0</v>
      </c>
      <c r="AW35" s="19">
        <f>현금흐름취합!AI35</f>
        <v>0</v>
      </c>
      <c r="AX35" s="19">
        <f>현금흐름취합!AJ35</f>
        <v>0</v>
      </c>
      <c r="AY35" s="19">
        <f>현금흐름취합!AK35</f>
        <v>0</v>
      </c>
      <c r="AZ35" s="19">
        <f>현금흐름취합!AL35</f>
        <v>0</v>
      </c>
      <c r="BA35" s="19">
        <f>현금흐름취합!AM35</f>
        <v>0</v>
      </c>
      <c r="BB35" s="19">
        <f>현금흐름취합!AN35</f>
        <v>0</v>
      </c>
      <c r="BC35" s="19">
        <f>현금흐름취합!AO35</f>
        <v>0</v>
      </c>
      <c r="BD35" s="19">
        <f>현금흐름취합!AP35</f>
        <v>0</v>
      </c>
      <c r="BE35" s="19">
        <f>현금흐름취합!AQ35</f>
        <v>0</v>
      </c>
      <c r="BF35" s="19">
        <f>현금흐름취합!AR35</f>
        <v>0</v>
      </c>
      <c r="BG35" s="19">
        <f>현금흐름취합!AS35</f>
        <v>0</v>
      </c>
      <c r="BH35" s="19">
        <f>현금흐름취합!AT35</f>
        <v>0</v>
      </c>
      <c r="BI35" s="19">
        <f>현금흐름취합!AU35</f>
        <v>0</v>
      </c>
      <c r="BJ35" s="19">
        <f>현금흐름취합!AV35</f>
        <v>0</v>
      </c>
      <c r="BK35" s="19">
        <f>현금흐름취합!AW35</f>
        <v>0</v>
      </c>
      <c r="BL35" s="19">
        <f>현금흐름취합!AX35</f>
        <v>0</v>
      </c>
      <c r="BM35" s="19">
        <f>현금흐름취합!AY35</f>
        <v>0</v>
      </c>
      <c r="BN35" s="19">
        <f>현금흐름취합!AZ35</f>
        <v>0</v>
      </c>
      <c r="BO35" s="19">
        <f>현금흐름취합!BA35</f>
        <v>0</v>
      </c>
      <c r="BP35" s="19">
        <f>현금흐름취합!BB35</f>
        <v>0</v>
      </c>
      <c r="BQ35" s="19">
        <f>현금흐름취합!BC35</f>
        <v>0</v>
      </c>
      <c r="BR35" s="19">
        <f>현금흐름취합!BD35</f>
        <v>0</v>
      </c>
      <c r="BS35" s="19">
        <f>현금흐름취합!BE35</f>
        <v>0</v>
      </c>
      <c r="BT35" s="19">
        <f>현금흐름취합!BF35</f>
        <v>0</v>
      </c>
      <c r="BU35" s="19">
        <f>현금흐름취합!BG35</f>
        <v>0</v>
      </c>
      <c r="BV35" s="19">
        <f>현금흐름취합!BH35</f>
        <v>0</v>
      </c>
      <c r="BW35" s="19">
        <f>현금흐름취합!BI35</f>
        <v>0</v>
      </c>
      <c r="BX35" s="19">
        <f>현금흐름취합!BJ35</f>
        <v>0</v>
      </c>
      <c r="BY35" s="19">
        <f>현금흐름취합!BK35</f>
        <v>0</v>
      </c>
      <c r="BZ35" s="19">
        <f>현금흐름취합!BL35</f>
        <v>0</v>
      </c>
      <c r="CA35" s="19">
        <f>현금흐름취합!BM35</f>
        <v>0</v>
      </c>
      <c r="CB35" s="19">
        <f>현금흐름취합!BN35</f>
        <v>0</v>
      </c>
      <c r="CC35" s="19">
        <f>현금흐름취합!BO35</f>
        <v>0</v>
      </c>
      <c r="CD35" s="19">
        <f>현금흐름취합!BP35</f>
        <v>0</v>
      </c>
      <c r="CE35" s="19">
        <f>현금흐름취합!BQ35</f>
        <v>0</v>
      </c>
      <c r="CF35" s="19">
        <f>현금흐름취합!BR35</f>
        <v>0</v>
      </c>
      <c r="CG35" s="19">
        <f>현금흐름취합!BS35</f>
        <v>0</v>
      </c>
      <c r="CH35" s="19">
        <f>현금흐름취합!BT35</f>
        <v>0</v>
      </c>
      <c r="CI35" s="19">
        <f>현금흐름취합!BU35</f>
        <v>0</v>
      </c>
      <c r="CJ35" s="19">
        <f>현금흐름취합!BV35</f>
        <v>0</v>
      </c>
      <c r="CK35" s="19">
        <f>현금흐름취합!BW35</f>
        <v>0</v>
      </c>
      <c r="CL35" s="19">
        <f>현금흐름취합!BX35</f>
        <v>0</v>
      </c>
      <c r="CM35" s="19">
        <f>현금흐름취합!BY35</f>
        <v>0</v>
      </c>
      <c r="CN35" s="19">
        <f>현금흐름취합!BZ35</f>
        <v>0</v>
      </c>
      <c r="CO35" s="19">
        <f>현금흐름취합!CA35</f>
        <v>0</v>
      </c>
      <c r="CP35" s="19">
        <f>현금흐름취합!CB35</f>
        <v>0</v>
      </c>
      <c r="CQ35" s="19">
        <f>현금흐름취합!CC35</f>
        <v>0</v>
      </c>
      <c r="CR35" s="19">
        <f>현금흐름취합!CD35</f>
        <v>0</v>
      </c>
      <c r="CS35" s="19">
        <f>현금흐름취합!CE35</f>
        <v>0</v>
      </c>
      <c r="CT35" s="19">
        <f>현금흐름취합!CF35</f>
        <v>0</v>
      </c>
      <c r="CU35" s="19">
        <f>현금흐름취합!CG35</f>
        <v>0</v>
      </c>
      <c r="CV35" s="19">
        <f>현금흐름취합!CH35</f>
        <v>0</v>
      </c>
      <c r="CW35" s="19">
        <f>현금흐름취합!CI35</f>
        <v>0</v>
      </c>
      <c r="CX35" s="19">
        <f>현금흐름취합!CJ35</f>
        <v>0</v>
      </c>
      <c r="CY35" s="19">
        <f>현금흐름취합!CK35</f>
        <v>0</v>
      </c>
      <c r="CZ35" s="19">
        <f>현금흐름취합!CL35</f>
        <v>0</v>
      </c>
      <c r="DA35" s="19">
        <f>현금흐름취합!CM35</f>
        <v>0</v>
      </c>
      <c r="DB35" s="19">
        <f>현금흐름취합!CN35</f>
        <v>0</v>
      </c>
      <c r="DC35" s="19">
        <f>현금흐름취합!CO35</f>
        <v>0</v>
      </c>
      <c r="DD35" s="19">
        <f>현금흐름취합!CP35</f>
        <v>0</v>
      </c>
      <c r="DE35" s="19">
        <f>현금흐름취합!CQ35</f>
        <v>0</v>
      </c>
      <c r="DF35" s="19">
        <f>현금흐름취합!CR35</f>
        <v>0</v>
      </c>
      <c r="DG35" s="19">
        <f>현금흐름취합!CS35</f>
        <v>0</v>
      </c>
      <c r="DH35" s="19">
        <f>현금흐름취합!CT35</f>
        <v>0</v>
      </c>
      <c r="DI35" s="19">
        <f>현금흐름취합!CU35</f>
        <v>0</v>
      </c>
      <c r="DJ35" s="19">
        <f>현금흐름취합!CV35</f>
        <v>0</v>
      </c>
      <c r="DK35" s="19">
        <f>현금흐름취합!CW35</f>
        <v>0</v>
      </c>
      <c r="DL35" s="19">
        <f>현금흐름취합!CX35</f>
        <v>0</v>
      </c>
      <c r="DM35" s="19">
        <f>현금흐름취합!CY35</f>
        <v>0</v>
      </c>
      <c r="DN35" s="19">
        <f>현금흐름취합!CZ35</f>
        <v>0</v>
      </c>
      <c r="DO35" s="19">
        <f>현금흐름취합!DA35</f>
        <v>0</v>
      </c>
      <c r="DP35" s="19">
        <f>현금흐름취합!DB35</f>
        <v>0</v>
      </c>
      <c r="DQ35" s="19">
        <f>현금흐름취합!DC35</f>
        <v>0</v>
      </c>
      <c r="DR35" s="19">
        <f>현금흐름취합!DD35</f>
        <v>0</v>
      </c>
      <c r="DS35" s="19">
        <f>현금흐름취합!DE35</f>
        <v>0</v>
      </c>
      <c r="DT35" s="19">
        <f>현금흐름취합!DF35</f>
        <v>0</v>
      </c>
      <c r="DU35" s="19">
        <f>현금흐름취합!DG35</f>
        <v>0</v>
      </c>
      <c r="DV35" s="19">
        <f>현금흐름취합!DH35</f>
        <v>0</v>
      </c>
      <c r="DW35" s="19">
        <f>현금흐름취합!DI35</f>
        <v>0</v>
      </c>
      <c r="DX35" s="19">
        <f>현금흐름취합!DJ35</f>
        <v>0</v>
      </c>
      <c r="DY35" s="19">
        <f>현금흐름취합!DK35</f>
        <v>0</v>
      </c>
      <c r="DZ35" s="19">
        <f>현금흐름취합!DL35</f>
        <v>0</v>
      </c>
      <c r="EA35" s="19">
        <f>현금흐름취합!DM35</f>
        <v>0</v>
      </c>
      <c r="EB35" s="19">
        <f>현금흐름취합!DN35</f>
        <v>0</v>
      </c>
      <c r="EC35" s="19">
        <f>현금흐름취합!DO35</f>
        <v>0</v>
      </c>
      <c r="ED35" s="19">
        <f>현금흐름취합!DP35</f>
        <v>0</v>
      </c>
      <c r="EE35" s="19">
        <f>현금흐름취합!DQ35</f>
        <v>0</v>
      </c>
      <c r="EF35" s="19">
        <f>현금흐름취합!DR35</f>
        <v>0</v>
      </c>
      <c r="EG35" s="19">
        <f>현금흐름취합!DS35</f>
        <v>0</v>
      </c>
      <c r="EH35" s="19">
        <f>현금흐름취합!DT35</f>
        <v>0</v>
      </c>
      <c r="EI35" s="19">
        <f>현금흐름취합!DU35</f>
        <v>0</v>
      </c>
      <c r="EJ35" s="19">
        <f>현금흐름취합!DV35</f>
        <v>0</v>
      </c>
      <c r="EK35" s="19">
        <f>현금흐름취합!DW35</f>
        <v>0</v>
      </c>
      <c r="EL35" s="19">
        <f>현금흐름취합!DX35</f>
        <v>0</v>
      </c>
      <c r="EM35" s="19">
        <f>현금흐름취합!DY35</f>
        <v>0</v>
      </c>
      <c r="EN35" s="19">
        <f>현금흐름취합!DZ35</f>
        <v>0</v>
      </c>
      <c r="EO35" s="19">
        <f>현금흐름취합!EA35</f>
        <v>0</v>
      </c>
      <c r="EP35" s="19">
        <f>현금흐름취합!EB35</f>
        <v>0</v>
      </c>
      <c r="EQ35" s="19">
        <f>현금흐름취합!EC35</f>
        <v>0</v>
      </c>
      <c r="ER35" s="19">
        <f>현금흐름취합!ED35</f>
        <v>0</v>
      </c>
      <c r="ES35" s="19">
        <f>현금흐름취합!EE35</f>
        <v>0</v>
      </c>
    </row>
    <row r="36" spans="1:149" hidden="1">
      <c r="A36" s="7">
        <f>현금흐름취합!A36</f>
        <v>0</v>
      </c>
      <c r="B36" s="7">
        <f>현금흐름취합!B36</f>
        <v>0</v>
      </c>
      <c r="C36" s="7">
        <f>현금흐름취합!C36</f>
        <v>0</v>
      </c>
      <c r="D36" s="8">
        <f>현금흐름취합!D36</f>
        <v>0</v>
      </c>
      <c r="E36" s="37"/>
      <c r="F36" s="8">
        <f>현금흐름취합!E36</f>
        <v>0</v>
      </c>
      <c r="G36" s="37" t="str">
        <f t="shared" si="1"/>
        <v>pool 고치세요</v>
      </c>
      <c r="H36" s="9">
        <f>현금흐름취합!F36</f>
        <v>0</v>
      </c>
      <c r="I36" s="10">
        <f>현금흐름취합!G36</f>
        <v>0</v>
      </c>
      <c r="J36" s="39" t="e">
        <f t="shared" si="2"/>
        <v>#DIV/0!</v>
      </c>
      <c r="K36" s="11">
        <f>현금흐름취합!H36</f>
        <v>0</v>
      </c>
      <c r="L36" s="40" t="e">
        <f>VLOOKUP(A36,'Sheet A'!$E$11:$K$60,7,0)=K36</f>
        <v>#N/A</v>
      </c>
      <c r="M36" s="12">
        <f>현금흐름취합!I36</f>
        <v>0</v>
      </c>
      <c r="N36" s="40" t="str">
        <f t="shared" si="3"/>
        <v>검토요</v>
      </c>
      <c r="O36" s="13">
        <f>현금흐름취합!J36</f>
        <v>0</v>
      </c>
      <c r="P36" s="14">
        <f>현금흐름취합!K36</f>
        <v>0</v>
      </c>
      <c r="Q36" s="18">
        <f>현금흐름취합!L36</f>
        <v>0</v>
      </c>
      <c r="R36" s="15">
        <f>현금흐름취합!M36</f>
        <v>0</v>
      </c>
      <c r="S36" s="40" t="e">
        <f t="shared" si="4"/>
        <v>#NUM!</v>
      </c>
      <c r="T36" s="16">
        <f>현금흐름취합!N36</f>
        <v>0</v>
      </c>
      <c r="U36" s="40" t="b">
        <f t="shared" si="0"/>
        <v>1</v>
      </c>
      <c r="V36" s="46">
        <f>SUMIF(일반여신!$E$10:$E$35,검증!A36,일반여신!$O$10:$O$35)*0.985-SUMIF(가지급금!$E$10:$E$180,A36,가지급금!$K$10:$K$180)+SUMIF(가지급금!$E$10:$E$180,검증!A36,가지급금!$O$10:$O$180)*0.985</f>
        <v>0</v>
      </c>
      <c r="W36" s="47">
        <f t="shared" si="13"/>
        <v>0</v>
      </c>
      <c r="X36" s="48"/>
      <c r="Y36" s="49">
        <f>SUMIF('Sheet D'!$E$11:$E$60,A36,'Sheet D'!$P$11:$P$60)</f>
        <v>0</v>
      </c>
      <c r="Z36" s="48">
        <f>SUMIFS(일반여신!$M$10:$M$35,일반여신!$E$10:$E$35,A36,일반여신!$P$10:$P$35,"신옹보증서대위변제")</f>
        <v>0</v>
      </c>
      <c r="AA36" s="48">
        <f t="shared" si="6"/>
        <v>0</v>
      </c>
      <c r="AB36" s="50"/>
      <c r="AC36" s="19">
        <f>현금흐름취합!O36</f>
        <v>0</v>
      </c>
      <c r="AD36" s="19">
        <f>현금흐름취합!P36</f>
        <v>0</v>
      </c>
      <c r="AE36" s="19">
        <f>현금흐름취합!Q36</f>
        <v>0</v>
      </c>
      <c r="AF36" s="19">
        <f>현금흐름취합!R36</f>
        <v>0</v>
      </c>
      <c r="AG36" s="19">
        <f>현금흐름취합!S36</f>
        <v>0</v>
      </c>
      <c r="AH36" s="19">
        <f>현금흐름취합!T36</f>
        <v>0</v>
      </c>
      <c r="AI36" s="19">
        <f>현금흐름취합!U36</f>
        <v>0</v>
      </c>
      <c r="AJ36" s="19">
        <f>현금흐름취합!V36</f>
        <v>0</v>
      </c>
      <c r="AK36" s="19">
        <f>현금흐름취합!W36</f>
        <v>0</v>
      </c>
      <c r="AL36" s="19">
        <f>현금흐름취합!X36</f>
        <v>0</v>
      </c>
      <c r="AM36" s="19">
        <f>현금흐름취합!Y36</f>
        <v>0</v>
      </c>
      <c r="AN36" s="19">
        <f>현금흐름취합!Z36</f>
        <v>0</v>
      </c>
      <c r="AO36" s="19">
        <f>현금흐름취합!AA36</f>
        <v>0</v>
      </c>
      <c r="AP36" s="19">
        <f>현금흐름취합!AB36</f>
        <v>0</v>
      </c>
      <c r="AQ36" s="19">
        <f>현금흐름취합!AC36</f>
        <v>0</v>
      </c>
      <c r="AR36" s="19">
        <f>현금흐름취합!AD36</f>
        <v>0</v>
      </c>
      <c r="AS36" s="19">
        <f>현금흐름취합!AE36</f>
        <v>0</v>
      </c>
      <c r="AT36" s="19">
        <f>현금흐름취합!AF36</f>
        <v>0</v>
      </c>
      <c r="AU36" s="19">
        <f>현금흐름취합!AG36</f>
        <v>0</v>
      </c>
      <c r="AV36" s="19">
        <f>현금흐름취합!AH36</f>
        <v>0</v>
      </c>
      <c r="AW36" s="19">
        <f>현금흐름취합!AI36</f>
        <v>0</v>
      </c>
      <c r="AX36" s="19">
        <f>현금흐름취합!AJ36</f>
        <v>0</v>
      </c>
      <c r="AY36" s="19">
        <f>현금흐름취합!AK36</f>
        <v>0</v>
      </c>
      <c r="AZ36" s="19">
        <f>현금흐름취합!AL36</f>
        <v>0</v>
      </c>
      <c r="BA36" s="19">
        <f>현금흐름취합!AM36</f>
        <v>0</v>
      </c>
      <c r="BB36" s="19">
        <f>현금흐름취합!AN36</f>
        <v>0</v>
      </c>
      <c r="BC36" s="19">
        <f>현금흐름취합!AO36</f>
        <v>0</v>
      </c>
      <c r="BD36" s="19">
        <f>현금흐름취합!AP36</f>
        <v>0</v>
      </c>
      <c r="BE36" s="19">
        <f>현금흐름취합!AQ36</f>
        <v>0</v>
      </c>
      <c r="BF36" s="19">
        <f>현금흐름취합!AR36</f>
        <v>0</v>
      </c>
      <c r="BG36" s="19">
        <f>현금흐름취합!AS36</f>
        <v>0</v>
      </c>
      <c r="BH36" s="19">
        <f>현금흐름취합!AT36</f>
        <v>0</v>
      </c>
      <c r="BI36" s="19">
        <f>현금흐름취합!AU36</f>
        <v>0</v>
      </c>
      <c r="BJ36" s="19">
        <f>현금흐름취합!AV36</f>
        <v>0</v>
      </c>
      <c r="BK36" s="19">
        <f>현금흐름취합!AW36</f>
        <v>0</v>
      </c>
      <c r="BL36" s="19">
        <f>현금흐름취합!AX36</f>
        <v>0</v>
      </c>
      <c r="BM36" s="19">
        <f>현금흐름취합!AY36</f>
        <v>0</v>
      </c>
      <c r="BN36" s="19">
        <f>현금흐름취합!AZ36</f>
        <v>0</v>
      </c>
      <c r="BO36" s="19">
        <f>현금흐름취합!BA36</f>
        <v>0</v>
      </c>
      <c r="BP36" s="19">
        <f>현금흐름취합!BB36</f>
        <v>0</v>
      </c>
      <c r="BQ36" s="19">
        <f>현금흐름취합!BC36</f>
        <v>0</v>
      </c>
      <c r="BR36" s="19">
        <f>현금흐름취합!BD36</f>
        <v>0</v>
      </c>
      <c r="BS36" s="19">
        <f>현금흐름취합!BE36</f>
        <v>0</v>
      </c>
      <c r="BT36" s="19">
        <f>현금흐름취합!BF36</f>
        <v>0</v>
      </c>
      <c r="BU36" s="19">
        <f>현금흐름취합!BG36</f>
        <v>0</v>
      </c>
      <c r="BV36" s="19">
        <f>현금흐름취합!BH36</f>
        <v>0</v>
      </c>
      <c r="BW36" s="19">
        <f>현금흐름취합!BI36</f>
        <v>0</v>
      </c>
      <c r="BX36" s="19">
        <f>현금흐름취합!BJ36</f>
        <v>0</v>
      </c>
      <c r="BY36" s="19">
        <f>현금흐름취합!BK36</f>
        <v>0</v>
      </c>
      <c r="BZ36" s="19">
        <f>현금흐름취합!BL36</f>
        <v>0</v>
      </c>
      <c r="CA36" s="19">
        <f>현금흐름취합!BM36</f>
        <v>0</v>
      </c>
      <c r="CB36" s="19">
        <f>현금흐름취합!BN36</f>
        <v>0</v>
      </c>
      <c r="CC36" s="19">
        <f>현금흐름취합!BO36</f>
        <v>0</v>
      </c>
      <c r="CD36" s="19">
        <f>현금흐름취합!BP36</f>
        <v>0</v>
      </c>
      <c r="CE36" s="19">
        <f>현금흐름취합!BQ36</f>
        <v>0</v>
      </c>
      <c r="CF36" s="19">
        <f>현금흐름취합!BR36</f>
        <v>0</v>
      </c>
      <c r="CG36" s="19">
        <f>현금흐름취합!BS36</f>
        <v>0</v>
      </c>
      <c r="CH36" s="19">
        <f>현금흐름취합!BT36</f>
        <v>0</v>
      </c>
      <c r="CI36" s="19">
        <f>현금흐름취합!BU36</f>
        <v>0</v>
      </c>
      <c r="CJ36" s="19">
        <f>현금흐름취합!BV36</f>
        <v>0</v>
      </c>
      <c r="CK36" s="19">
        <f>현금흐름취합!BW36</f>
        <v>0</v>
      </c>
      <c r="CL36" s="19">
        <f>현금흐름취합!BX36</f>
        <v>0</v>
      </c>
      <c r="CM36" s="19">
        <f>현금흐름취합!BY36</f>
        <v>0</v>
      </c>
      <c r="CN36" s="19">
        <f>현금흐름취합!BZ36</f>
        <v>0</v>
      </c>
      <c r="CO36" s="19">
        <f>현금흐름취합!CA36</f>
        <v>0</v>
      </c>
      <c r="CP36" s="19">
        <f>현금흐름취합!CB36</f>
        <v>0</v>
      </c>
      <c r="CQ36" s="19">
        <f>현금흐름취합!CC36</f>
        <v>0</v>
      </c>
      <c r="CR36" s="19">
        <f>현금흐름취합!CD36</f>
        <v>0</v>
      </c>
      <c r="CS36" s="19">
        <f>현금흐름취합!CE36</f>
        <v>0</v>
      </c>
      <c r="CT36" s="19">
        <f>현금흐름취합!CF36</f>
        <v>0</v>
      </c>
      <c r="CU36" s="19">
        <f>현금흐름취합!CG36</f>
        <v>0</v>
      </c>
      <c r="CV36" s="19">
        <f>현금흐름취합!CH36</f>
        <v>0</v>
      </c>
      <c r="CW36" s="19">
        <f>현금흐름취합!CI36</f>
        <v>0</v>
      </c>
      <c r="CX36" s="19">
        <f>현금흐름취합!CJ36</f>
        <v>0</v>
      </c>
      <c r="CY36" s="19">
        <f>현금흐름취합!CK36</f>
        <v>0</v>
      </c>
      <c r="CZ36" s="19">
        <f>현금흐름취합!CL36</f>
        <v>0</v>
      </c>
      <c r="DA36" s="19">
        <f>현금흐름취합!CM36</f>
        <v>0</v>
      </c>
      <c r="DB36" s="19">
        <f>현금흐름취합!CN36</f>
        <v>0</v>
      </c>
      <c r="DC36" s="19">
        <f>현금흐름취합!CO36</f>
        <v>0</v>
      </c>
      <c r="DD36" s="19">
        <f>현금흐름취합!CP36</f>
        <v>0</v>
      </c>
      <c r="DE36" s="19">
        <f>현금흐름취합!CQ36</f>
        <v>0</v>
      </c>
      <c r="DF36" s="19">
        <f>현금흐름취합!CR36</f>
        <v>0</v>
      </c>
      <c r="DG36" s="19">
        <f>현금흐름취합!CS36</f>
        <v>0</v>
      </c>
      <c r="DH36" s="19">
        <f>현금흐름취합!CT36</f>
        <v>0</v>
      </c>
      <c r="DI36" s="19">
        <f>현금흐름취합!CU36</f>
        <v>0</v>
      </c>
      <c r="DJ36" s="19">
        <f>현금흐름취합!CV36</f>
        <v>0</v>
      </c>
      <c r="DK36" s="19">
        <f>현금흐름취합!CW36</f>
        <v>0</v>
      </c>
      <c r="DL36" s="19">
        <f>현금흐름취합!CX36</f>
        <v>0</v>
      </c>
      <c r="DM36" s="19">
        <f>현금흐름취합!CY36</f>
        <v>0</v>
      </c>
      <c r="DN36" s="19">
        <f>현금흐름취합!CZ36</f>
        <v>0</v>
      </c>
      <c r="DO36" s="19">
        <f>현금흐름취합!DA36</f>
        <v>0</v>
      </c>
      <c r="DP36" s="19">
        <f>현금흐름취합!DB36</f>
        <v>0</v>
      </c>
      <c r="DQ36" s="19">
        <f>현금흐름취합!DC36</f>
        <v>0</v>
      </c>
      <c r="DR36" s="19">
        <f>현금흐름취합!DD36</f>
        <v>0</v>
      </c>
      <c r="DS36" s="19">
        <f>현금흐름취합!DE36</f>
        <v>0</v>
      </c>
      <c r="DT36" s="19">
        <f>현금흐름취합!DF36</f>
        <v>0</v>
      </c>
      <c r="DU36" s="19">
        <f>현금흐름취합!DG36</f>
        <v>0</v>
      </c>
      <c r="DV36" s="19">
        <f>현금흐름취합!DH36</f>
        <v>0</v>
      </c>
      <c r="DW36" s="19">
        <f>현금흐름취합!DI36</f>
        <v>0</v>
      </c>
      <c r="DX36" s="19">
        <f>현금흐름취합!DJ36</f>
        <v>0</v>
      </c>
      <c r="DY36" s="19">
        <f>현금흐름취합!DK36</f>
        <v>0</v>
      </c>
      <c r="DZ36" s="19">
        <f>현금흐름취합!DL36</f>
        <v>0</v>
      </c>
      <c r="EA36" s="19">
        <f>현금흐름취합!DM36</f>
        <v>0</v>
      </c>
      <c r="EB36" s="19">
        <f>현금흐름취합!DN36</f>
        <v>0</v>
      </c>
      <c r="EC36" s="19">
        <f>현금흐름취합!DO36</f>
        <v>0</v>
      </c>
      <c r="ED36" s="19">
        <f>현금흐름취합!DP36</f>
        <v>0</v>
      </c>
      <c r="EE36" s="19">
        <f>현금흐름취합!DQ36</f>
        <v>0</v>
      </c>
      <c r="EF36" s="19">
        <f>현금흐름취합!DR36</f>
        <v>0</v>
      </c>
      <c r="EG36" s="19">
        <f>현금흐름취합!DS36</f>
        <v>0</v>
      </c>
      <c r="EH36" s="19">
        <f>현금흐름취합!DT36</f>
        <v>0</v>
      </c>
      <c r="EI36" s="19">
        <f>현금흐름취합!DU36</f>
        <v>0</v>
      </c>
      <c r="EJ36" s="19">
        <f>현금흐름취합!DV36</f>
        <v>0</v>
      </c>
      <c r="EK36" s="19">
        <f>현금흐름취합!DW36</f>
        <v>0</v>
      </c>
      <c r="EL36" s="19">
        <f>현금흐름취합!DX36</f>
        <v>0</v>
      </c>
      <c r="EM36" s="19">
        <f>현금흐름취합!DY36</f>
        <v>0</v>
      </c>
      <c r="EN36" s="19">
        <f>현금흐름취합!DZ36</f>
        <v>0</v>
      </c>
      <c r="EO36" s="19">
        <f>현금흐름취합!EA36</f>
        <v>0</v>
      </c>
      <c r="EP36" s="19">
        <f>현금흐름취합!EB36</f>
        <v>0</v>
      </c>
      <c r="EQ36" s="19">
        <f>현금흐름취합!EC36</f>
        <v>0</v>
      </c>
      <c r="ER36" s="19">
        <f>현금흐름취합!ED36</f>
        <v>0</v>
      </c>
      <c r="ES36" s="19">
        <f>현금흐름취합!EE36</f>
        <v>0</v>
      </c>
    </row>
    <row r="37" spans="1:149" hidden="1">
      <c r="A37" s="7">
        <f>현금흐름취합!A37</f>
        <v>0</v>
      </c>
      <c r="B37" s="7">
        <f>현금흐름취합!B37</f>
        <v>0</v>
      </c>
      <c r="C37" s="7">
        <f>현금흐름취합!C37</f>
        <v>0</v>
      </c>
      <c r="D37" s="8">
        <f>현금흐름취합!D37</f>
        <v>0</v>
      </c>
      <c r="E37" s="37" t="str">
        <f t="shared" ref="E37" si="22">IF(R36&gt;R37,"역전현상","이상없음")</f>
        <v>이상없음</v>
      </c>
      <c r="F37" s="8">
        <f>현금흐름취합!E37</f>
        <v>0</v>
      </c>
      <c r="G37" s="37" t="str">
        <f t="shared" si="1"/>
        <v>pool 고치세요</v>
      </c>
      <c r="H37" s="9">
        <f>현금흐름취합!F37</f>
        <v>0</v>
      </c>
      <c r="I37" s="10">
        <f>현금흐름취합!G37</f>
        <v>0</v>
      </c>
      <c r="J37" s="39" t="e">
        <f t="shared" si="2"/>
        <v>#DIV/0!</v>
      </c>
      <c r="K37" s="11">
        <f>현금흐름취합!H37</f>
        <v>0</v>
      </c>
      <c r="L37" s="40" t="e">
        <f>VLOOKUP(A37,'Sheet A'!$E$11:$K$60,7,0)=K37</f>
        <v>#N/A</v>
      </c>
      <c r="M37" s="12">
        <f>현금흐름취합!I37</f>
        <v>0</v>
      </c>
      <c r="N37" s="40" t="str">
        <f t="shared" si="3"/>
        <v>검토요</v>
      </c>
      <c r="O37" s="13">
        <f>현금흐름취합!J37</f>
        <v>0</v>
      </c>
      <c r="P37" s="14">
        <f>현금흐름취합!K37</f>
        <v>0</v>
      </c>
      <c r="Q37" s="18">
        <f>현금흐름취합!L37</f>
        <v>0</v>
      </c>
      <c r="R37" s="15">
        <f>현금흐름취합!M37</f>
        <v>0</v>
      </c>
      <c r="S37" s="40" t="e">
        <f t="shared" si="4"/>
        <v>#NUM!</v>
      </c>
      <c r="T37" s="16">
        <f>현금흐름취합!N37</f>
        <v>0</v>
      </c>
      <c r="U37" s="40" t="b">
        <f t="shared" si="0"/>
        <v>1</v>
      </c>
      <c r="V37" s="46">
        <f>SUMIF(일반여신!$E$10:$E$35,검증!A37,일반여신!$O$10:$O$35)*0.985-SUMIF(가지급금!$E$10:$E$180,A37,가지급금!$K$10:$K$180)+SUMIF(가지급금!$E$10:$E$180,검증!A37,가지급금!$O$10:$O$180)*0.985</f>
        <v>0</v>
      </c>
      <c r="W37" s="47">
        <f t="shared" si="13"/>
        <v>0</v>
      </c>
      <c r="X37" s="48"/>
      <c r="Y37" s="49">
        <f>SUMIF('Sheet D'!$E$11:$E$60,A37,'Sheet D'!$P$11:$P$60)</f>
        <v>0</v>
      </c>
      <c r="Z37" s="48">
        <f>SUMIFS(일반여신!$M$10:$M$35,일반여신!$E$10:$E$35,A37,일반여신!$P$10:$P$35,"신옹보증서대위변제")</f>
        <v>0</v>
      </c>
      <c r="AA37" s="48">
        <f t="shared" si="6"/>
        <v>0</v>
      </c>
      <c r="AB37" s="50"/>
      <c r="AC37" s="19">
        <f>현금흐름취합!O37</f>
        <v>0</v>
      </c>
      <c r="AD37" s="19">
        <f>현금흐름취합!P37</f>
        <v>0</v>
      </c>
      <c r="AE37" s="19">
        <f>현금흐름취합!Q37</f>
        <v>0</v>
      </c>
      <c r="AF37" s="19">
        <f>현금흐름취합!R37</f>
        <v>0</v>
      </c>
      <c r="AG37" s="19">
        <f>현금흐름취합!S37</f>
        <v>0</v>
      </c>
      <c r="AH37" s="19">
        <f>현금흐름취합!T37</f>
        <v>0</v>
      </c>
      <c r="AI37" s="19">
        <f>현금흐름취합!U37</f>
        <v>0</v>
      </c>
      <c r="AJ37" s="19">
        <f>현금흐름취합!V37</f>
        <v>0</v>
      </c>
      <c r="AK37" s="19">
        <f>현금흐름취합!W37</f>
        <v>0</v>
      </c>
      <c r="AL37" s="19">
        <f>현금흐름취합!X37</f>
        <v>0</v>
      </c>
      <c r="AM37" s="19">
        <f>현금흐름취합!Y37</f>
        <v>0</v>
      </c>
      <c r="AN37" s="19">
        <f>현금흐름취합!Z37</f>
        <v>0</v>
      </c>
      <c r="AO37" s="19">
        <f>현금흐름취합!AA37</f>
        <v>0</v>
      </c>
      <c r="AP37" s="19">
        <f>현금흐름취합!AB37</f>
        <v>0</v>
      </c>
      <c r="AQ37" s="19">
        <f>현금흐름취합!AC37</f>
        <v>0</v>
      </c>
      <c r="AR37" s="19">
        <f>현금흐름취합!AD37</f>
        <v>0</v>
      </c>
      <c r="AS37" s="19">
        <f>현금흐름취합!AE37</f>
        <v>0</v>
      </c>
      <c r="AT37" s="19">
        <f>현금흐름취합!AF37</f>
        <v>0</v>
      </c>
      <c r="AU37" s="19">
        <f>현금흐름취합!AG37</f>
        <v>0</v>
      </c>
      <c r="AV37" s="19">
        <f>현금흐름취합!AH37</f>
        <v>0</v>
      </c>
      <c r="AW37" s="19">
        <f>현금흐름취합!AI37</f>
        <v>0</v>
      </c>
      <c r="AX37" s="19">
        <f>현금흐름취합!AJ37</f>
        <v>0</v>
      </c>
      <c r="AY37" s="19">
        <f>현금흐름취합!AK37</f>
        <v>0</v>
      </c>
      <c r="AZ37" s="19">
        <f>현금흐름취합!AL37</f>
        <v>0</v>
      </c>
      <c r="BA37" s="19">
        <f>현금흐름취합!AM37</f>
        <v>0</v>
      </c>
      <c r="BB37" s="19">
        <f>현금흐름취합!AN37</f>
        <v>0</v>
      </c>
      <c r="BC37" s="19">
        <f>현금흐름취합!AO37</f>
        <v>0</v>
      </c>
      <c r="BD37" s="19">
        <f>현금흐름취합!AP37</f>
        <v>0</v>
      </c>
      <c r="BE37" s="19">
        <f>현금흐름취합!AQ37</f>
        <v>0</v>
      </c>
      <c r="BF37" s="19">
        <f>현금흐름취합!AR37</f>
        <v>0</v>
      </c>
      <c r="BG37" s="19">
        <f>현금흐름취합!AS37</f>
        <v>0</v>
      </c>
      <c r="BH37" s="19">
        <f>현금흐름취합!AT37</f>
        <v>0</v>
      </c>
      <c r="BI37" s="19">
        <f>현금흐름취합!AU37</f>
        <v>0</v>
      </c>
      <c r="BJ37" s="19">
        <f>현금흐름취합!AV37</f>
        <v>0</v>
      </c>
      <c r="BK37" s="19">
        <f>현금흐름취합!AW37</f>
        <v>0</v>
      </c>
      <c r="BL37" s="19">
        <f>현금흐름취합!AX37</f>
        <v>0</v>
      </c>
      <c r="BM37" s="19">
        <f>현금흐름취합!AY37</f>
        <v>0</v>
      </c>
      <c r="BN37" s="19">
        <f>현금흐름취합!AZ37</f>
        <v>0</v>
      </c>
      <c r="BO37" s="19">
        <f>현금흐름취합!BA37</f>
        <v>0</v>
      </c>
      <c r="BP37" s="19">
        <f>현금흐름취합!BB37</f>
        <v>0</v>
      </c>
      <c r="BQ37" s="19">
        <f>현금흐름취합!BC37</f>
        <v>0</v>
      </c>
      <c r="BR37" s="19">
        <f>현금흐름취합!BD37</f>
        <v>0</v>
      </c>
      <c r="BS37" s="19">
        <f>현금흐름취합!BE37</f>
        <v>0</v>
      </c>
      <c r="BT37" s="19">
        <f>현금흐름취합!BF37</f>
        <v>0</v>
      </c>
      <c r="BU37" s="19">
        <f>현금흐름취합!BG37</f>
        <v>0</v>
      </c>
      <c r="BV37" s="19">
        <f>현금흐름취합!BH37</f>
        <v>0</v>
      </c>
      <c r="BW37" s="19">
        <f>현금흐름취합!BI37</f>
        <v>0</v>
      </c>
      <c r="BX37" s="19">
        <f>현금흐름취합!BJ37</f>
        <v>0</v>
      </c>
      <c r="BY37" s="19">
        <f>현금흐름취합!BK37</f>
        <v>0</v>
      </c>
      <c r="BZ37" s="19">
        <f>현금흐름취합!BL37</f>
        <v>0</v>
      </c>
      <c r="CA37" s="19">
        <f>현금흐름취합!BM37</f>
        <v>0</v>
      </c>
      <c r="CB37" s="19">
        <f>현금흐름취합!BN37</f>
        <v>0</v>
      </c>
      <c r="CC37" s="19">
        <f>현금흐름취합!BO37</f>
        <v>0</v>
      </c>
      <c r="CD37" s="19">
        <f>현금흐름취합!BP37</f>
        <v>0</v>
      </c>
      <c r="CE37" s="19">
        <f>현금흐름취합!BQ37</f>
        <v>0</v>
      </c>
      <c r="CF37" s="19">
        <f>현금흐름취합!BR37</f>
        <v>0</v>
      </c>
      <c r="CG37" s="19">
        <f>현금흐름취합!BS37</f>
        <v>0</v>
      </c>
      <c r="CH37" s="19">
        <f>현금흐름취합!BT37</f>
        <v>0</v>
      </c>
      <c r="CI37" s="19">
        <f>현금흐름취합!BU37</f>
        <v>0</v>
      </c>
      <c r="CJ37" s="19">
        <f>현금흐름취합!BV37</f>
        <v>0</v>
      </c>
      <c r="CK37" s="19">
        <f>현금흐름취합!BW37</f>
        <v>0</v>
      </c>
      <c r="CL37" s="19">
        <f>현금흐름취합!BX37</f>
        <v>0</v>
      </c>
      <c r="CM37" s="19">
        <f>현금흐름취합!BY37</f>
        <v>0</v>
      </c>
      <c r="CN37" s="19">
        <f>현금흐름취합!BZ37</f>
        <v>0</v>
      </c>
      <c r="CO37" s="19">
        <f>현금흐름취합!CA37</f>
        <v>0</v>
      </c>
      <c r="CP37" s="19">
        <f>현금흐름취합!CB37</f>
        <v>0</v>
      </c>
      <c r="CQ37" s="19">
        <f>현금흐름취합!CC37</f>
        <v>0</v>
      </c>
      <c r="CR37" s="19">
        <f>현금흐름취합!CD37</f>
        <v>0</v>
      </c>
      <c r="CS37" s="19">
        <f>현금흐름취합!CE37</f>
        <v>0</v>
      </c>
      <c r="CT37" s="19">
        <f>현금흐름취합!CF37</f>
        <v>0</v>
      </c>
      <c r="CU37" s="19">
        <f>현금흐름취합!CG37</f>
        <v>0</v>
      </c>
      <c r="CV37" s="19">
        <f>현금흐름취합!CH37</f>
        <v>0</v>
      </c>
      <c r="CW37" s="19">
        <f>현금흐름취합!CI37</f>
        <v>0</v>
      </c>
      <c r="CX37" s="19">
        <f>현금흐름취합!CJ37</f>
        <v>0</v>
      </c>
      <c r="CY37" s="19">
        <f>현금흐름취합!CK37</f>
        <v>0</v>
      </c>
      <c r="CZ37" s="19">
        <f>현금흐름취합!CL37</f>
        <v>0</v>
      </c>
      <c r="DA37" s="19">
        <f>현금흐름취합!CM37</f>
        <v>0</v>
      </c>
      <c r="DB37" s="19">
        <f>현금흐름취합!CN37</f>
        <v>0</v>
      </c>
      <c r="DC37" s="19">
        <f>현금흐름취합!CO37</f>
        <v>0</v>
      </c>
      <c r="DD37" s="19">
        <f>현금흐름취합!CP37</f>
        <v>0</v>
      </c>
      <c r="DE37" s="19">
        <f>현금흐름취합!CQ37</f>
        <v>0</v>
      </c>
      <c r="DF37" s="19">
        <f>현금흐름취합!CR37</f>
        <v>0</v>
      </c>
      <c r="DG37" s="19">
        <f>현금흐름취합!CS37</f>
        <v>0</v>
      </c>
      <c r="DH37" s="19">
        <f>현금흐름취합!CT37</f>
        <v>0</v>
      </c>
      <c r="DI37" s="19">
        <f>현금흐름취합!CU37</f>
        <v>0</v>
      </c>
      <c r="DJ37" s="19">
        <f>현금흐름취합!CV37</f>
        <v>0</v>
      </c>
      <c r="DK37" s="19">
        <f>현금흐름취합!CW37</f>
        <v>0</v>
      </c>
      <c r="DL37" s="19">
        <f>현금흐름취합!CX37</f>
        <v>0</v>
      </c>
      <c r="DM37" s="19">
        <f>현금흐름취합!CY37</f>
        <v>0</v>
      </c>
      <c r="DN37" s="19">
        <f>현금흐름취합!CZ37</f>
        <v>0</v>
      </c>
      <c r="DO37" s="19">
        <f>현금흐름취합!DA37</f>
        <v>0</v>
      </c>
      <c r="DP37" s="19">
        <f>현금흐름취합!DB37</f>
        <v>0</v>
      </c>
      <c r="DQ37" s="19">
        <f>현금흐름취합!DC37</f>
        <v>0</v>
      </c>
      <c r="DR37" s="19">
        <f>현금흐름취합!DD37</f>
        <v>0</v>
      </c>
      <c r="DS37" s="19">
        <f>현금흐름취합!DE37</f>
        <v>0</v>
      </c>
      <c r="DT37" s="19">
        <f>현금흐름취합!DF37</f>
        <v>0</v>
      </c>
      <c r="DU37" s="19">
        <f>현금흐름취합!DG37</f>
        <v>0</v>
      </c>
      <c r="DV37" s="19">
        <f>현금흐름취합!DH37</f>
        <v>0</v>
      </c>
      <c r="DW37" s="19">
        <f>현금흐름취합!DI37</f>
        <v>0</v>
      </c>
      <c r="DX37" s="19">
        <f>현금흐름취합!DJ37</f>
        <v>0</v>
      </c>
      <c r="DY37" s="19">
        <f>현금흐름취합!DK37</f>
        <v>0</v>
      </c>
      <c r="DZ37" s="19">
        <f>현금흐름취합!DL37</f>
        <v>0</v>
      </c>
      <c r="EA37" s="19">
        <f>현금흐름취합!DM37</f>
        <v>0</v>
      </c>
      <c r="EB37" s="19">
        <f>현금흐름취합!DN37</f>
        <v>0</v>
      </c>
      <c r="EC37" s="19">
        <f>현금흐름취합!DO37</f>
        <v>0</v>
      </c>
      <c r="ED37" s="19">
        <f>현금흐름취합!DP37</f>
        <v>0</v>
      </c>
      <c r="EE37" s="19">
        <f>현금흐름취합!DQ37</f>
        <v>0</v>
      </c>
      <c r="EF37" s="19">
        <f>현금흐름취합!DR37</f>
        <v>0</v>
      </c>
      <c r="EG37" s="19">
        <f>현금흐름취합!DS37</f>
        <v>0</v>
      </c>
      <c r="EH37" s="19">
        <f>현금흐름취합!DT37</f>
        <v>0</v>
      </c>
      <c r="EI37" s="19">
        <f>현금흐름취합!DU37</f>
        <v>0</v>
      </c>
      <c r="EJ37" s="19">
        <f>현금흐름취합!DV37</f>
        <v>0</v>
      </c>
      <c r="EK37" s="19">
        <f>현금흐름취합!DW37</f>
        <v>0</v>
      </c>
      <c r="EL37" s="19">
        <f>현금흐름취합!DX37</f>
        <v>0</v>
      </c>
      <c r="EM37" s="19">
        <f>현금흐름취합!DY37</f>
        <v>0</v>
      </c>
      <c r="EN37" s="19">
        <f>현금흐름취합!DZ37</f>
        <v>0</v>
      </c>
      <c r="EO37" s="19">
        <f>현금흐름취합!EA37</f>
        <v>0</v>
      </c>
      <c r="EP37" s="19">
        <f>현금흐름취합!EB37</f>
        <v>0</v>
      </c>
      <c r="EQ37" s="19">
        <f>현금흐름취합!EC37</f>
        <v>0</v>
      </c>
      <c r="ER37" s="19">
        <f>현금흐름취합!ED37</f>
        <v>0</v>
      </c>
      <c r="ES37" s="19">
        <f>현금흐름취합!EE37</f>
        <v>0</v>
      </c>
    </row>
    <row r="38" spans="1:149" hidden="1">
      <c r="A38" s="7">
        <f>현금흐름취합!A38</f>
        <v>0</v>
      </c>
      <c r="B38" s="7">
        <f>현금흐름취합!B38</f>
        <v>0</v>
      </c>
      <c r="C38" s="7">
        <f>현금흐름취합!C38</f>
        <v>0</v>
      </c>
      <c r="D38" s="8">
        <f>현금흐름취합!D38</f>
        <v>0</v>
      </c>
      <c r="E38" s="37"/>
      <c r="F38" s="8">
        <f>현금흐름취합!E38</f>
        <v>0</v>
      </c>
      <c r="G38" s="37" t="str">
        <f t="shared" si="1"/>
        <v>pool 고치세요</v>
      </c>
      <c r="H38" s="9">
        <f>현금흐름취합!F38</f>
        <v>0</v>
      </c>
      <c r="I38" s="10">
        <f>현금흐름취합!G38</f>
        <v>0</v>
      </c>
      <c r="J38" s="39" t="e">
        <f t="shared" si="2"/>
        <v>#DIV/0!</v>
      </c>
      <c r="K38" s="11">
        <f>현금흐름취합!H38</f>
        <v>0</v>
      </c>
      <c r="L38" s="40" t="e">
        <f>VLOOKUP(A38,'Sheet A'!$E$11:$K$60,7,0)=K38</f>
        <v>#N/A</v>
      </c>
      <c r="M38" s="12">
        <f>현금흐름취합!I38</f>
        <v>0</v>
      </c>
      <c r="N38" s="40" t="str">
        <f t="shared" si="3"/>
        <v>검토요</v>
      </c>
      <c r="O38" s="13">
        <f>현금흐름취합!J38</f>
        <v>0</v>
      </c>
      <c r="P38" s="14">
        <f>현금흐름취합!K38</f>
        <v>0</v>
      </c>
      <c r="Q38" s="18">
        <f>현금흐름취합!L38</f>
        <v>0</v>
      </c>
      <c r="R38" s="15">
        <f>현금흐름취합!M38</f>
        <v>0</v>
      </c>
      <c r="S38" s="40" t="e">
        <f t="shared" si="4"/>
        <v>#NUM!</v>
      </c>
      <c r="T38" s="16">
        <f>현금흐름취합!N38</f>
        <v>0</v>
      </c>
      <c r="U38" s="40" t="b">
        <f t="shared" si="0"/>
        <v>1</v>
      </c>
      <c r="V38" s="46">
        <f>SUMIF(일반여신!$E$10:$E$35,검증!A38,일반여신!$O$10:$O$35)*0.985-SUMIF(가지급금!$E$10:$E$180,A38,가지급금!$K$10:$K$180)+SUMIF(가지급금!$E$10:$E$180,검증!A38,가지급금!$O$10:$O$180)*0.985</f>
        <v>0</v>
      </c>
      <c r="W38" s="47">
        <f t="shared" si="13"/>
        <v>0</v>
      </c>
      <c r="X38" s="48"/>
      <c r="Y38" s="49">
        <f>SUMIF('Sheet D'!$E$11:$E$60,A38,'Sheet D'!$P$11:$P$60)</f>
        <v>0</v>
      </c>
      <c r="Z38" s="48">
        <f>SUMIFS(일반여신!$M$10:$M$35,일반여신!$E$10:$E$35,A38,일반여신!$P$10:$P$35,"신옹보증서대위변제")</f>
        <v>0</v>
      </c>
      <c r="AA38" s="48">
        <f t="shared" si="6"/>
        <v>0</v>
      </c>
      <c r="AB38" s="50"/>
      <c r="AC38" s="19">
        <f>현금흐름취합!O38</f>
        <v>0</v>
      </c>
      <c r="AD38" s="19">
        <f>현금흐름취합!P38</f>
        <v>0</v>
      </c>
      <c r="AE38" s="19">
        <f>현금흐름취합!Q38</f>
        <v>0</v>
      </c>
      <c r="AF38" s="19">
        <f>현금흐름취합!R38</f>
        <v>0</v>
      </c>
      <c r="AG38" s="19">
        <f>현금흐름취합!S38</f>
        <v>0</v>
      </c>
      <c r="AH38" s="19">
        <f>현금흐름취합!T38</f>
        <v>0</v>
      </c>
      <c r="AI38" s="19">
        <f>현금흐름취합!U38</f>
        <v>0</v>
      </c>
      <c r="AJ38" s="19">
        <f>현금흐름취합!V38</f>
        <v>0</v>
      </c>
      <c r="AK38" s="19">
        <f>현금흐름취합!W38</f>
        <v>0</v>
      </c>
      <c r="AL38" s="19">
        <f>현금흐름취합!X38</f>
        <v>0</v>
      </c>
      <c r="AM38" s="19">
        <f>현금흐름취합!Y38</f>
        <v>0</v>
      </c>
      <c r="AN38" s="19">
        <f>현금흐름취합!Z38</f>
        <v>0</v>
      </c>
      <c r="AO38" s="19">
        <f>현금흐름취합!AA38</f>
        <v>0</v>
      </c>
      <c r="AP38" s="19">
        <f>현금흐름취합!AB38</f>
        <v>0</v>
      </c>
      <c r="AQ38" s="19">
        <f>현금흐름취합!AC38</f>
        <v>0</v>
      </c>
      <c r="AR38" s="19">
        <f>현금흐름취합!AD38</f>
        <v>0</v>
      </c>
      <c r="AS38" s="19">
        <f>현금흐름취합!AE38</f>
        <v>0</v>
      </c>
      <c r="AT38" s="19">
        <f>현금흐름취합!AF38</f>
        <v>0</v>
      </c>
      <c r="AU38" s="19">
        <f>현금흐름취합!AG38</f>
        <v>0</v>
      </c>
      <c r="AV38" s="19">
        <f>현금흐름취합!AH38</f>
        <v>0</v>
      </c>
      <c r="AW38" s="19">
        <f>현금흐름취합!AI38</f>
        <v>0</v>
      </c>
      <c r="AX38" s="19">
        <f>현금흐름취합!AJ38</f>
        <v>0</v>
      </c>
      <c r="AY38" s="19">
        <f>현금흐름취합!AK38</f>
        <v>0</v>
      </c>
      <c r="AZ38" s="19">
        <f>현금흐름취합!AL38</f>
        <v>0</v>
      </c>
      <c r="BA38" s="19">
        <f>현금흐름취합!AM38</f>
        <v>0</v>
      </c>
      <c r="BB38" s="19">
        <f>현금흐름취합!AN38</f>
        <v>0</v>
      </c>
      <c r="BC38" s="19">
        <f>현금흐름취합!AO38</f>
        <v>0</v>
      </c>
      <c r="BD38" s="19">
        <f>현금흐름취합!AP38</f>
        <v>0</v>
      </c>
      <c r="BE38" s="19">
        <f>현금흐름취합!AQ38</f>
        <v>0</v>
      </c>
      <c r="BF38" s="19">
        <f>현금흐름취합!AR38</f>
        <v>0</v>
      </c>
      <c r="BG38" s="19">
        <f>현금흐름취합!AS38</f>
        <v>0</v>
      </c>
      <c r="BH38" s="19">
        <f>현금흐름취합!AT38</f>
        <v>0</v>
      </c>
      <c r="BI38" s="19">
        <f>현금흐름취합!AU38</f>
        <v>0</v>
      </c>
      <c r="BJ38" s="19">
        <f>현금흐름취합!AV38</f>
        <v>0</v>
      </c>
      <c r="BK38" s="19">
        <f>현금흐름취합!AW38</f>
        <v>0</v>
      </c>
      <c r="BL38" s="19">
        <f>현금흐름취합!AX38</f>
        <v>0</v>
      </c>
      <c r="BM38" s="19">
        <f>현금흐름취합!AY38</f>
        <v>0</v>
      </c>
      <c r="BN38" s="19">
        <f>현금흐름취합!AZ38</f>
        <v>0</v>
      </c>
      <c r="BO38" s="19">
        <f>현금흐름취합!BA38</f>
        <v>0</v>
      </c>
      <c r="BP38" s="19">
        <f>현금흐름취합!BB38</f>
        <v>0</v>
      </c>
      <c r="BQ38" s="19">
        <f>현금흐름취합!BC38</f>
        <v>0</v>
      </c>
      <c r="BR38" s="19">
        <f>현금흐름취합!BD38</f>
        <v>0</v>
      </c>
      <c r="BS38" s="19">
        <f>현금흐름취합!BE38</f>
        <v>0</v>
      </c>
      <c r="BT38" s="19">
        <f>현금흐름취합!BF38</f>
        <v>0</v>
      </c>
      <c r="BU38" s="19">
        <f>현금흐름취합!BG38</f>
        <v>0</v>
      </c>
      <c r="BV38" s="19">
        <f>현금흐름취합!BH38</f>
        <v>0</v>
      </c>
      <c r="BW38" s="19">
        <f>현금흐름취합!BI38</f>
        <v>0</v>
      </c>
      <c r="BX38" s="19">
        <f>현금흐름취합!BJ38</f>
        <v>0</v>
      </c>
      <c r="BY38" s="19">
        <f>현금흐름취합!BK38</f>
        <v>0</v>
      </c>
      <c r="BZ38" s="19">
        <f>현금흐름취합!BL38</f>
        <v>0</v>
      </c>
      <c r="CA38" s="19">
        <f>현금흐름취합!BM38</f>
        <v>0</v>
      </c>
      <c r="CB38" s="19">
        <f>현금흐름취합!BN38</f>
        <v>0</v>
      </c>
      <c r="CC38" s="19">
        <f>현금흐름취합!BO38</f>
        <v>0</v>
      </c>
      <c r="CD38" s="19">
        <f>현금흐름취합!BP38</f>
        <v>0</v>
      </c>
      <c r="CE38" s="19">
        <f>현금흐름취합!BQ38</f>
        <v>0</v>
      </c>
      <c r="CF38" s="19">
        <f>현금흐름취합!BR38</f>
        <v>0</v>
      </c>
      <c r="CG38" s="19">
        <f>현금흐름취합!BS38</f>
        <v>0</v>
      </c>
      <c r="CH38" s="19">
        <f>현금흐름취합!BT38</f>
        <v>0</v>
      </c>
      <c r="CI38" s="19">
        <f>현금흐름취합!BU38</f>
        <v>0</v>
      </c>
      <c r="CJ38" s="19">
        <f>현금흐름취합!BV38</f>
        <v>0</v>
      </c>
      <c r="CK38" s="19">
        <f>현금흐름취합!BW38</f>
        <v>0</v>
      </c>
      <c r="CL38" s="19">
        <f>현금흐름취합!BX38</f>
        <v>0</v>
      </c>
      <c r="CM38" s="19">
        <f>현금흐름취합!BY38</f>
        <v>0</v>
      </c>
      <c r="CN38" s="19">
        <f>현금흐름취합!BZ38</f>
        <v>0</v>
      </c>
      <c r="CO38" s="19">
        <f>현금흐름취합!CA38</f>
        <v>0</v>
      </c>
      <c r="CP38" s="19">
        <f>현금흐름취합!CB38</f>
        <v>0</v>
      </c>
      <c r="CQ38" s="19">
        <f>현금흐름취합!CC38</f>
        <v>0</v>
      </c>
      <c r="CR38" s="19">
        <f>현금흐름취합!CD38</f>
        <v>0</v>
      </c>
      <c r="CS38" s="19">
        <f>현금흐름취합!CE38</f>
        <v>0</v>
      </c>
      <c r="CT38" s="19">
        <f>현금흐름취합!CF38</f>
        <v>0</v>
      </c>
      <c r="CU38" s="19">
        <f>현금흐름취합!CG38</f>
        <v>0</v>
      </c>
      <c r="CV38" s="19">
        <f>현금흐름취합!CH38</f>
        <v>0</v>
      </c>
      <c r="CW38" s="19">
        <f>현금흐름취합!CI38</f>
        <v>0</v>
      </c>
      <c r="CX38" s="19">
        <f>현금흐름취합!CJ38</f>
        <v>0</v>
      </c>
      <c r="CY38" s="19">
        <f>현금흐름취합!CK38</f>
        <v>0</v>
      </c>
      <c r="CZ38" s="19">
        <f>현금흐름취합!CL38</f>
        <v>0</v>
      </c>
      <c r="DA38" s="19">
        <f>현금흐름취합!CM38</f>
        <v>0</v>
      </c>
      <c r="DB38" s="19">
        <f>현금흐름취합!CN38</f>
        <v>0</v>
      </c>
      <c r="DC38" s="19">
        <f>현금흐름취합!CO38</f>
        <v>0</v>
      </c>
      <c r="DD38" s="19">
        <f>현금흐름취합!CP38</f>
        <v>0</v>
      </c>
      <c r="DE38" s="19">
        <f>현금흐름취합!CQ38</f>
        <v>0</v>
      </c>
      <c r="DF38" s="19">
        <f>현금흐름취합!CR38</f>
        <v>0</v>
      </c>
      <c r="DG38" s="19">
        <f>현금흐름취합!CS38</f>
        <v>0</v>
      </c>
      <c r="DH38" s="19">
        <f>현금흐름취합!CT38</f>
        <v>0</v>
      </c>
      <c r="DI38" s="19">
        <f>현금흐름취합!CU38</f>
        <v>0</v>
      </c>
      <c r="DJ38" s="19">
        <f>현금흐름취합!CV38</f>
        <v>0</v>
      </c>
      <c r="DK38" s="19">
        <f>현금흐름취합!CW38</f>
        <v>0</v>
      </c>
      <c r="DL38" s="19">
        <f>현금흐름취합!CX38</f>
        <v>0</v>
      </c>
      <c r="DM38" s="19">
        <f>현금흐름취합!CY38</f>
        <v>0</v>
      </c>
      <c r="DN38" s="19">
        <f>현금흐름취합!CZ38</f>
        <v>0</v>
      </c>
      <c r="DO38" s="19">
        <f>현금흐름취합!DA38</f>
        <v>0</v>
      </c>
      <c r="DP38" s="19">
        <f>현금흐름취합!DB38</f>
        <v>0</v>
      </c>
      <c r="DQ38" s="19">
        <f>현금흐름취합!DC38</f>
        <v>0</v>
      </c>
      <c r="DR38" s="19">
        <f>현금흐름취합!DD38</f>
        <v>0</v>
      </c>
      <c r="DS38" s="19">
        <f>현금흐름취합!DE38</f>
        <v>0</v>
      </c>
      <c r="DT38" s="19">
        <f>현금흐름취합!DF38</f>
        <v>0</v>
      </c>
      <c r="DU38" s="19">
        <f>현금흐름취합!DG38</f>
        <v>0</v>
      </c>
      <c r="DV38" s="19">
        <f>현금흐름취합!DH38</f>
        <v>0</v>
      </c>
      <c r="DW38" s="19">
        <f>현금흐름취합!DI38</f>
        <v>0</v>
      </c>
      <c r="DX38" s="19">
        <f>현금흐름취합!DJ38</f>
        <v>0</v>
      </c>
      <c r="DY38" s="19">
        <f>현금흐름취합!DK38</f>
        <v>0</v>
      </c>
      <c r="DZ38" s="19">
        <f>현금흐름취합!DL38</f>
        <v>0</v>
      </c>
      <c r="EA38" s="19">
        <f>현금흐름취합!DM38</f>
        <v>0</v>
      </c>
      <c r="EB38" s="19">
        <f>현금흐름취합!DN38</f>
        <v>0</v>
      </c>
      <c r="EC38" s="19">
        <f>현금흐름취합!DO38</f>
        <v>0</v>
      </c>
      <c r="ED38" s="19">
        <f>현금흐름취합!DP38</f>
        <v>0</v>
      </c>
      <c r="EE38" s="19">
        <f>현금흐름취합!DQ38</f>
        <v>0</v>
      </c>
      <c r="EF38" s="19">
        <f>현금흐름취합!DR38</f>
        <v>0</v>
      </c>
      <c r="EG38" s="19">
        <f>현금흐름취합!DS38</f>
        <v>0</v>
      </c>
      <c r="EH38" s="19">
        <f>현금흐름취합!DT38</f>
        <v>0</v>
      </c>
      <c r="EI38" s="19">
        <f>현금흐름취합!DU38</f>
        <v>0</v>
      </c>
      <c r="EJ38" s="19">
        <f>현금흐름취합!DV38</f>
        <v>0</v>
      </c>
      <c r="EK38" s="19">
        <f>현금흐름취합!DW38</f>
        <v>0</v>
      </c>
      <c r="EL38" s="19">
        <f>현금흐름취합!DX38</f>
        <v>0</v>
      </c>
      <c r="EM38" s="19">
        <f>현금흐름취합!DY38</f>
        <v>0</v>
      </c>
      <c r="EN38" s="19">
        <f>현금흐름취합!DZ38</f>
        <v>0</v>
      </c>
      <c r="EO38" s="19">
        <f>현금흐름취합!EA38</f>
        <v>0</v>
      </c>
      <c r="EP38" s="19">
        <f>현금흐름취합!EB38</f>
        <v>0</v>
      </c>
      <c r="EQ38" s="19">
        <f>현금흐름취합!EC38</f>
        <v>0</v>
      </c>
      <c r="ER38" s="19">
        <f>현금흐름취합!ED38</f>
        <v>0</v>
      </c>
      <c r="ES38" s="19">
        <f>현금흐름취합!EE38</f>
        <v>0</v>
      </c>
    </row>
    <row r="39" spans="1:149" hidden="1">
      <c r="A39" s="7">
        <f>현금흐름취합!A39</f>
        <v>0</v>
      </c>
      <c r="B39" s="7">
        <f>현금흐름취합!B39</f>
        <v>0</v>
      </c>
      <c r="C39" s="7">
        <f>현금흐름취합!C39</f>
        <v>0</v>
      </c>
      <c r="D39" s="8">
        <f>현금흐름취합!D39</f>
        <v>0</v>
      </c>
      <c r="E39" s="37" t="str">
        <f t="shared" ref="E39" si="23">IF(R38&gt;R39,"역전현상","이상없음")</f>
        <v>이상없음</v>
      </c>
      <c r="F39" s="8">
        <f>현금흐름취합!E39</f>
        <v>0</v>
      </c>
      <c r="G39" s="37" t="str">
        <f t="shared" si="1"/>
        <v>pool 고치세요</v>
      </c>
      <c r="H39" s="9">
        <f>현금흐름취합!F39</f>
        <v>0</v>
      </c>
      <c r="I39" s="10">
        <f>현금흐름취합!G39</f>
        <v>0</v>
      </c>
      <c r="J39" s="39" t="e">
        <f t="shared" si="2"/>
        <v>#DIV/0!</v>
      </c>
      <c r="K39" s="11">
        <f>현금흐름취합!H39</f>
        <v>0</v>
      </c>
      <c r="L39" s="40" t="e">
        <f>VLOOKUP(A39,'Sheet A'!$E$11:$K$60,7,0)=K39</f>
        <v>#N/A</v>
      </c>
      <c r="M39" s="12">
        <f>현금흐름취합!I39</f>
        <v>0</v>
      </c>
      <c r="N39" s="40" t="str">
        <f t="shared" si="3"/>
        <v>검토요</v>
      </c>
      <c r="O39" s="13">
        <f>현금흐름취합!J39</f>
        <v>0</v>
      </c>
      <c r="P39" s="14">
        <f>현금흐름취합!K39</f>
        <v>0</v>
      </c>
      <c r="Q39" s="18">
        <f>현금흐름취합!L39</f>
        <v>0</v>
      </c>
      <c r="R39" s="15">
        <f>현금흐름취합!M39</f>
        <v>0</v>
      </c>
      <c r="S39" s="40" t="e">
        <f t="shared" si="4"/>
        <v>#NUM!</v>
      </c>
      <c r="T39" s="16">
        <f>현금흐름취합!N39</f>
        <v>0</v>
      </c>
      <c r="U39" s="40" t="b">
        <f t="shared" si="0"/>
        <v>1</v>
      </c>
      <c r="V39" s="46">
        <f>SUMIF(일반여신!$E$10:$E$35,검증!A39,일반여신!$O$10:$O$35)*0.985-SUMIF(가지급금!$E$10:$E$180,A39,가지급금!$K$10:$K$180)+SUMIF(가지급금!$E$10:$E$180,검증!A39,가지급금!$O$10:$O$180)*0.985</f>
        <v>0</v>
      </c>
      <c r="W39" s="47">
        <f t="shared" si="13"/>
        <v>0</v>
      </c>
      <c r="X39" s="48"/>
      <c r="Y39" s="49">
        <f>SUMIF('Sheet D'!$E$11:$E$60,A39,'Sheet D'!$P$11:$P$60)</f>
        <v>0</v>
      </c>
      <c r="Z39" s="48">
        <f>SUMIFS(일반여신!$M$10:$M$35,일반여신!$E$10:$E$35,A39,일반여신!$P$10:$P$35,"신옹보증서대위변제")</f>
        <v>0</v>
      </c>
      <c r="AA39" s="48">
        <f t="shared" si="6"/>
        <v>0</v>
      </c>
      <c r="AB39" s="50"/>
      <c r="AC39" s="19">
        <f>현금흐름취합!O39</f>
        <v>0</v>
      </c>
      <c r="AD39" s="19">
        <f>현금흐름취합!P39</f>
        <v>0</v>
      </c>
      <c r="AE39" s="19">
        <f>현금흐름취합!Q39</f>
        <v>0</v>
      </c>
      <c r="AF39" s="19">
        <f>현금흐름취합!R39</f>
        <v>0</v>
      </c>
      <c r="AG39" s="19">
        <f>현금흐름취합!S39</f>
        <v>0</v>
      </c>
      <c r="AH39" s="19">
        <f>현금흐름취합!T39</f>
        <v>0</v>
      </c>
      <c r="AI39" s="19">
        <f>현금흐름취합!U39</f>
        <v>0</v>
      </c>
      <c r="AJ39" s="19">
        <f>현금흐름취합!V39</f>
        <v>0</v>
      </c>
      <c r="AK39" s="19">
        <f>현금흐름취합!W39</f>
        <v>0</v>
      </c>
      <c r="AL39" s="19">
        <f>현금흐름취합!X39</f>
        <v>0</v>
      </c>
      <c r="AM39" s="19">
        <f>현금흐름취합!Y39</f>
        <v>0</v>
      </c>
      <c r="AN39" s="19">
        <f>현금흐름취합!Z39</f>
        <v>0</v>
      </c>
      <c r="AO39" s="19">
        <f>현금흐름취합!AA39</f>
        <v>0</v>
      </c>
      <c r="AP39" s="19">
        <f>현금흐름취합!AB39</f>
        <v>0</v>
      </c>
      <c r="AQ39" s="19">
        <f>현금흐름취합!AC39</f>
        <v>0</v>
      </c>
      <c r="AR39" s="19">
        <f>현금흐름취합!AD39</f>
        <v>0</v>
      </c>
      <c r="AS39" s="19">
        <f>현금흐름취합!AE39</f>
        <v>0</v>
      </c>
      <c r="AT39" s="19">
        <f>현금흐름취합!AF39</f>
        <v>0</v>
      </c>
      <c r="AU39" s="19">
        <f>현금흐름취합!AG39</f>
        <v>0</v>
      </c>
      <c r="AV39" s="19">
        <f>현금흐름취합!AH39</f>
        <v>0</v>
      </c>
      <c r="AW39" s="19">
        <f>현금흐름취합!AI39</f>
        <v>0</v>
      </c>
      <c r="AX39" s="19">
        <f>현금흐름취합!AJ39</f>
        <v>0</v>
      </c>
      <c r="AY39" s="19">
        <f>현금흐름취합!AK39</f>
        <v>0</v>
      </c>
      <c r="AZ39" s="19">
        <f>현금흐름취합!AL39</f>
        <v>0</v>
      </c>
      <c r="BA39" s="19">
        <f>현금흐름취합!AM39</f>
        <v>0</v>
      </c>
      <c r="BB39" s="19">
        <f>현금흐름취합!AN39</f>
        <v>0</v>
      </c>
      <c r="BC39" s="19">
        <f>현금흐름취합!AO39</f>
        <v>0</v>
      </c>
      <c r="BD39" s="19">
        <f>현금흐름취합!AP39</f>
        <v>0</v>
      </c>
      <c r="BE39" s="19">
        <f>현금흐름취합!AQ39</f>
        <v>0</v>
      </c>
      <c r="BF39" s="19">
        <f>현금흐름취합!AR39</f>
        <v>0</v>
      </c>
      <c r="BG39" s="19">
        <f>현금흐름취합!AS39</f>
        <v>0</v>
      </c>
      <c r="BH39" s="19">
        <f>현금흐름취합!AT39</f>
        <v>0</v>
      </c>
      <c r="BI39" s="19">
        <f>현금흐름취합!AU39</f>
        <v>0</v>
      </c>
      <c r="BJ39" s="19">
        <f>현금흐름취합!AV39</f>
        <v>0</v>
      </c>
      <c r="BK39" s="19">
        <f>현금흐름취합!AW39</f>
        <v>0</v>
      </c>
      <c r="BL39" s="19">
        <f>현금흐름취합!AX39</f>
        <v>0</v>
      </c>
      <c r="BM39" s="19">
        <f>현금흐름취합!AY39</f>
        <v>0</v>
      </c>
      <c r="BN39" s="19">
        <f>현금흐름취합!AZ39</f>
        <v>0</v>
      </c>
      <c r="BO39" s="19">
        <f>현금흐름취합!BA39</f>
        <v>0</v>
      </c>
      <c r="BP39" s="19">
        <f>현금흐름취합!BB39</f>
        <v>0</v>
      </c>
      <c r="BQ39" s="19">
        <f>현금흐름취합!BC39</f>
        <v>0</v>
      </c>
      <c r="BR39" s="19">
        <f>현금흐름취합!BD39</f>
        <v>0</v>
      </c>
      <c r="BS39" s="19">
        <f>현금흐름취합!BE39</f>
        <v>0</v>
      </c>
      <c r="BT39" s="19">
        <f>현금흐름취합!BF39</f>
        <v>0</v>
      </c>
      <c r="BU39" s="19">
        <f>현금흐름취합!BG39</f>
        <v>0</v>
      </c>
      <c r="BV39" s="19">
        <f>현금흐름취합!BH39</f>
        <v>0</v>
      </c>
      <c r="BW39" s="19">
        <f>현금흐름취합!BI39</f>
        <v>0</v>
      </c>
      <c r="BX39" s="19">
        <f>현금흐름취합!BJ39</f>
        <v>0</v>
      </c>
      <c r="BY39" s="19">
        <f>현금흐름취합!BK39</f>
        <v>0</v>
      </c>
      <c r="BZ39" s="19">
        <f>현금흐름취합!BL39</f>
        <v>0</v>
      </c>
      <c r="CA39" s="19">
        <f>현금흐름취합!BM39</f>
        <v>0</v>
      </c>
      <c r="CB39" s="19">
        <f>현금흐름취합!BN39</f>
        <v>0</v>
      </c>
      <c r="CC39" s="19">
        <f>현금흐름취합!BO39</f>
        <v>0</v>
      </c>
      <c r="CD39" s="19">
        <f>현금흐름취합!BP39</f>
        <v>0</v>
      </c>
      <c r="CE39" s="19">
        <f>현금흐름취합!BQ39</f>
        <v>0</v>
      </c>
      <c r="CF39" s="19">
        <f>현금흐름취합!BR39</f>
        <v>0</v>
      </c>
      <c r="CG39" s="19">
        <f>현금흐름취합!BS39</f>
        <v>0</v>
      </c>
      <c r="CH39" s="19">
        <f>현금흐름취합!BT39</f>
        <v>0</v>
      </c>
      <c r="CI39" s="19">
        <f>현금흐름취합!BU39</f>
        <v>0</v>
      </c>
      <c r="CJ39" s="19">
        <f>현금흐름취합!BV39</f>
        <v>0</v>
      </c>
      <c r="CK39" s="19">
        <f>현금흐름취합!BW39</f>
        <v>0</v>
      </c>
      <c r="CL39" s="19">
        <f>현금흐름취합!BX39</f>
        <v>0</v>
      </c>
      <c r="CM39" s="19">
        <f>현금흐름취합!BY39</f>
        <v>0</v>
      </c>
      <c r="CN39" s="19">
        <f>현금흐름취합!BZ39</f>
        <v>0</v>
      </c>
      <c r="CO39" s="19">
        <f>현금흐름취합!CA39</f>
        <v>0</v>
      </c>
      <c r="CP39" s="19">
        <f>현금흐름취합!CB39</f>
        <v>0</v>
      </c>
      <c r="CQ39" s="19">
        <f>현금흐름취합!CC39</f>
        <v>0</v>
      </c>
      <c r="CR39" s="19">
        <f>현금흐름취합!CD39</f>
        <v>0</v>
      </c>
      <c r="CS39" s="19">
        <f>현금흐름취합!CE39</f>
        <v>0</v>
      </c>
      <c r="CT39" s="19">
        <f>현금흐름취합!CF39</f>
        <v>0</v>
      </c>
      <c r="CU39" s="19">
        <f>현금흐름취합!CG39</f>
        <v>0</v>
      </c>
      <c r="CV39" s="19">
        <f>현금흐름취합!CH39</f>
        <v>0</v>
      </c>
      <c r="CW39" s="19">
        <f>현금흐름취합!CI39</f>
        <v>0</v>
      </c>
      <c r="CX39" s="19">
        <f>현금흐름취합!CJ39</f>
        <v>0</v>
      </c>
      <c r="CY39" s="19">
        <f>현금흐름취합!CK39</f>
        <v>0</v>
      </c>
      <c r="CZ39" s="19">
        <f>현금흐름취합!CL39</f>
        <v>0</v>
      </c>
      <c r="DA39" s="19">
        <f>현금흐름취합!CM39</f>
        <v>0</v>
      </c>
      <c r="DB39" s="19">
        <f>현금흐름취합!CN39</f>
        <v>0</v>
      </c>
      <c r="DC39" s="19">
        <f>현금흐름취합!CO39</f>
        <v>0</v>
      </c>
      <c r="DD39" s="19">
        <f>현금흐름취합!CP39</f>
        <v>0</v>
      </c>
      <c r="DE39" s="19">
        <f>현금흐름취합!CQ39</f>
        <v>0</v>
      </c>
      <c r="DF39" s="19">
        <f>현금흐름취합!CR39</f>
        <v>0</v>
      </c>
      <c r="DG39" s="19">
        <f>현금흐름취합!CS39</f>
        <v>0</v>
      </c>
      <c r="DH39" s="19">
        <f>현금흐름취합!CT39</f>
        <v>0</v>
      </c>
      <c r="DI39" s="19">
        <f>현금흐름취합!CU39</f>
        <v>0</v>
      </c>
      <c r="DJ39" s="19">
        <f>현금흐름취합!CV39</f>
        <v>0</v>
      </c>
      <c r="DK39" s="19">
        <f>현금흐름취합!CW39</f>
        <v>0</v>
      </c>
      <c r="DL39" s="19">
        <f>현금흐름취합!CX39</f>
        <v>0</v>
      </c>
      <c r="DM39" s="19">
        <f>현금흐름취합!CY39</f>
        <v>0</v>
      </c>
      <c r="DN39" s="19">
        <f>현금흐름취합!CZ39</f>
        <v>0</v>
      </c>
      <c r="DO39" s="19">
        <f>현금흐름취합!DA39</f>
        <v>0</v>
      </c>
      <c r="DP39" s="19">
        <f>현금흐름취합!DB39</f>
        <v>0</v>
      </c>
      <c r="DQ39" s="19">
        <f>현금흐름취합!DC39</f>
        <v>0</v>
      </c>
      <c r="DR39" s="19">
        <f>현금흐름취합!DD39</f>
        <v>0</v>
      </c>
      <c r="DS39" s="19">
        <f>현금흐름취합!DE39</f>
        <v>0</v>
      </c>
      <c r="DT39" s="19">
        <f>현금흐름취합!DF39</f>
        <v>0</v>
      </c>
      <c r="DU39" s="19">
        <f>현금흐름취합!DG39</f>
        <v>0</v>
      </c>
      <c r="DV39" s="19">
        <f>현금흐름취합!DH39</f>
        <v>0</v>
      </c>
      <c r="DW39" s="19">
        <f>현금흐름취합!DI39</f>
        <v>0</v>
      </c>
      <c r="DX39" s="19">
        <f>현금흐름취합!DJ39</f>
        <v>0</v>
      </c>
      <c r="DY39" s="19">
        <f>현금흐름취합!DK39</f>
        <v>0</v>
      </c>
      <c r="DZ39" s="19">
        <f>현금흐름취합!DL39</f>
        <v>0</v>
      </c>
      <c r="EA39" s="19">
        <f>현금흐름취합!DM39</f>
        <v>0</v>
      </c>
      <c r="EB39" s="19">
        <f>현금흐름취합!DN39</f>
        <v>0</v>
      </c>
      <c r="EC39" s="19">
        <f>현금흐름취합!DO39</f>
        <v>0</v>
      </c>
      <c r="ED39" s="19">
        <f>현금흐름취합!DP39</f>
        <v>0</v>
      </c>
      <c r="EE39" s="19">
        <f>현금흐름취합!DQ39</f>
        <v>0</v>
      </c>
      <c r="EF39" s="19">
        <f>현금흐름취합!DR39</f>
        <v>0</v>
      </c>
      <c r="EG39" s="19">
        <f>현금흐름취합!DS39</f>
        <v>0</v>
      </c>
      <c r="EH39" s="19">
        <f>현금흐름취합!DT39</f>
        <v>0</v>
      </c>
      <c r="EI39" s="19">
        <f>현금흐름취합!DU39</f>
        <v>0</v>
      </c>
      <c r="EJ39" s="19">
        <f>현금흐름취합!DV39</f>
        <v>0</v>
      </c>
      <c r="EK39" s="19">
        <f>현금흐름취합!DW39</f>
        <v>0</v>
      </c>
      <c r="EL39" s="19">
        <f>현금흐름취합!DX39</f>
        <v>0</v>
      </c>
      <c r="EM39" s="19">
        <f>현금흐름취합!DY39</f>
        <v>0</v>
      </c>
      <c r="EN39" s="19">
        <f>현금흐름취합!DZ39</f>
        <v>0</v>
      </c>
      <c r="EO39" s="19">
        <f>현금흐름취합!EA39</f>
        <v>0</v>
      </c>
      <c r="EP39" s="19">
        <f>현금흐름취합!EB39</f>
        <v>0</v>
      </c>
      <c r="EQ39" s="19">
        <f>현금흐름취합!EC39</f>
        <v>0</v>
      </c>
      <c r="ER39" s="19">
        <f>현금흐름취합!ED39</f>
        <v>0</v>
      </c>
      <c r="ES39" s="19">
        <f>현금흐름취합!EE39</f>
        <v>0</v>
      </c>
    </row>
    <row r="40" spans="1:149" hidden="1">
      <c r="A40" s="7">
        <f>현금흐름취합!A40</f>
        <v>0</v>
      </c>
      <c r="B40" s="7">
        <f>현금흐름취합!B40</f>
        <v>0</v>
      </c>
      <c r="C40" s="7">
        <f>현금흐름취합!C40</f>
        <v>0</v>
      </c>
      <c r="D40" s="8">
        <f>현금흐름취합!D40</f>
        <v>0</v>
      </c>
      <c r="E40" s="37"/>
      <c r="F40" s="8">
        <f>현금흐름취합!E40</f>
        <v>0</v>
      </c>
      <c r="G40" s="37" t="str">
        <f t="shared" si="1"/>
        <v>pool 고치세요</v>
      </c>
      <c r="H40" s="9">
        <f>현금흐름취합!F40</f>
        <v>0</v>
      </c>
      <c r="I40" s="10">
        <f>현금흐름취합!G40</f>
        <v>0</v>
      </c>
      <c r="J40" s="39" t="e">
        <f t="shared" ref="J40:J45" si="24">R40/K40=I40</f>
        <v>#DIV/0!</v>
      </c>
      <c r="K40" s="11">
        <f>현금흐름취합!H40</f>
        <v>0</v>
      </c>
      <c r="L40" s="40" t="e">
        <f>VLOOKUP(A40,'Sheet A'!$E$11:$K$60,7,0)=K40</f>
        <v>#N/A</v>
      </c>
      <c r="M40" s="12">
        <f>현금흐름취합!I40</f>
        <v>0</v>
      </c>
      <c r="N40" s="40" t="str">
        <f t="shared" ref="N40:N45" si="25">IF(M40=12%,"OK","검토요")</f>
        <v>검토요</v>
      </c>
      <c r="O40" s="13">
        <f>현금흐름취합!J40</f>
        <v>0</v>
      </c>
      <c r="P40" s="14">
        <f>현금흐름취합!K40</f>
        <v>0</v>
      </c>
      <c r="Q40" s="18">
        <f>현금흐름취합!L40</f>
        <v>0</v>
      </c>
      <c r="R40" s="15">
        <f>현금흐름취합!M40</f>
        <v>0</v>
      </c>
      <c r="S40" s="40" t="e">
        <f t="shared" ref="S40:S45" si="26">XNPV(M40,AC40:ES40,$AC$1:$ES$1)=R40</f>
        <v>#NUM!</v>
      </c>
      <c r="T40" s="16">
        <f>현금흐름취합!N40</f>
        <v>0</v>
      </c>
      <c r="U40" s="40" t="b">
        <f t="shared" ref="U40:U45" si="27">SUM(AC40:ES40)=T40</f>
        <v>1</v>
      </c>
      <c r="V40" s="46">
        <f>SUMIF(일반여신!$E$10:$E$35,검증!A40,일반여신!$O$10:$O$35)*0.985-SUMIF(가지급금!$E$10:$E$180,A40,가지급금!$K$10:$K$180)+SUMIF(가지급금!$E$10:$E$180,검증!A40,가지급금!$O$10:$O$180)*0.985</f>
        <v>0</v>
      </c>
      <c r="W40" s="47">
        <f t="shared" ref="W40:W45" si="28">V40-AC40</f>
        <v>0</v>
      </c>
      <c r="X40" s="48"/>
      <c r="Y40" s="49">
        <f>SUMIF('Sheet D'!$E$11:$E$60,A40,'Sheet D'!$P$11:$P$60)</f>
        <v>0</v>
      </c>
      <c r="Z40" s="48">
        <f>SUMIFS(일반여신!$M$10:$M$35,일반여신!$E$10:$E$35,A40,일반여신!$P$10:$P$35,"신옹보증서대위변제")</f>
        <v>0</v>
      </c>
      <c r="AA40" s="48">
        <f t="shared" ref="AA40:AA45" si="29">Z40-Y40</f>
        <v>0</v>
      </c>
      <c r="AB40" s="50"/>
      <c r="AC40" s="19">
        <f>현금흐름취합!O40</f>
        <v>0</v>
      </c>
      <c r="AD40" s="19">
        <f>현금흐름취합!P40</f>
        <v>0</v>
      </c>
      <c r="AE40" s="19">
        <f>현금흐름취합!Q40</f>
        <v>0</v>
      </c>
      <c r="AF40" s="19">
        <f>현금흐름취합!R40</f>
        <v>0</v>
      </c>
      <c r="AG40" s="19">
        <f>현금흐름취합!S40</f>
        <v>0</v>
      </c>
      <c r="AH40" s="19">
        <f>현금흐름취합!T40</f>
        <v>0</v>
      </c>
      <c r="AI40" s="19">
        <f>현금흐름취합!U40</f>
        <v>0</v>
      </c>
      <c r="AJ40" s="19">
        <f>현금흐름취합!V40</f>
        <v>0</v>
      </c>
      <c r="AK40" s="19">
        <f>현금흐름취합!W40</f>
        <v>0</v>
      </c>
      <c r="AL40" s="19">
        <f>현금흐름취합!X40</f>
        <v>0</v>
      </c>
      <c r="AM40" s="19">
        <f>현금흐름취합!Y40</f>
        <v>0</v>
      </c>
      <c r="AN40" s="19">
        <f>현금흐름취합!Z40</f>
        <v>0</v>
      </c>
      <c r="AO40" s="19">
        <f>현금흐름취합!AA40</f>
        <v>0</v>
      </c>
      <c r="AP40" s="19">
        <f>현금흐름취합!AB40</f>
        <v>0</v>
      </c>
      <c r="AQ40" s="19">
        <f>현금흐름취합!AC40</f>
        <v>0</v>
      </c>
      <c r="AR40" s="19">
        <f>현금흐름취합!AD40</f>
        <v>0</v>
      </c>
      <c r="AS40" s="19">
        <f>현금흐름취합!AE40</f>
        <v>0</v>
      </c>
      <c r="AT40" s="19">
        <f>현금흐름취합!AF40</f>
        <v>0</v>
      </c>
      <c r="AU40" s="19">
        <f>현금흐름취합!AG40</f>
        <v>0</v>
      </c>
      <c r="AV40" s="19">
        <f>현금흐름취합!AH40</f>
        <v>0</v>
      </c>
      <c r="AW40" s="19">
        <f>현금흐름취합!AI40</f>
        <v>0</v>
      </c>
      <c r="AX40" s="19">
        <f>현금흐름취합!AJ40</f>
        <v>0</v>
      </c>
      <c r="AY40" s="19">
        <f>현금흐름취합!AK40</f>
        <v>0</v>
      </c>
      <c r="AZ40" s="19">
        <f>현금흐름취합!AL40</f>
        <v>0</v>
      </c>
      <c r="BA40" s="19">
        <f>현금흐름취합!AM40</f>
        <v>0</v>
      </c>
      <c r="BB40" s="19">
        <f>현금흐름취합!AN40</f>
        <v>0</v>
      </c>
      <c r="BC40" s="19">
        <f>현금흐름취합!AO40</f>
        <v>0</v>
      </c>
      <c r="BD40" s="19">
        <f>현금흐름취합!AP40</f>
        <v>0</v>
      </c>
      <c r="BE40" s="19">
        <f>현금흐름취합!AQ40</f>
        <v>0</v>
      </c>
      <c r="BF40" s="19">
        <f>현금흐름취합!AR40</f>
        <v>0</v>
      </c>
      <c r="BG40" s="19">
        <f>현금흐름취합!AS40</f>
        <v>0</v>
      </c>
      <c r="BH40" s="19">
        <f>현금흐름취합!AT40</f>
        <v>0</v>
      </c>
      <c r="BI40" s="19">
        <f>현금흐름취합!AU40</f>
        <v>0</v>
      </c>
      <c r="BJ40" s="19">
        <f>현금흐름취합!AV40</f>
        <v>0</v>
      </c>
      <c r="BK40" s="19">
        <f>현금흐름취합!AW40</f>
        <v>0</v>
      </c>
      <c r="BL40" s="19">
        <f>현금흐름취합!AX40</f>
        <v>0</v>
      </c>
      <c r="BM40" s="19">
        <f>현금흐름취합!AY40</f>
        <v>0</v>
      </c>
      <c r="BN40" s="19">
        <f>현금흐름취합!AZ40</f>
        <v>0</v>
      </c>
      <c r="BO40" s="19">
        <f>현금흐름취합!BA40</f>
        <v>0</v>
      </c>
      <c r="BP40" s="19">
        <f>현금흐름취합!BB40</f>
        <v>0</v>
      </c>
      <c r="BQ40" s="19">
        <f>현금흐름취합!BC40</f>
        <v>0</v>
      </c>
      <c r="BR40" s="19">
        <f>현금흐름취합!BD40</f>
        <v>0</v>
      </c>
      <c r="BS40" s="19">
        <f>현금흐름취합!BE40</f>
        <v>0</v>
      </c>
      <c r="BT40" s="19">
        <f>현금흐름취합!BF40</f>
        <v>0</v>
      </c>
      <c r="BU40" s="19">
        <f>현금흐름취합!BG40</f>
        <v>0</v>
      </c>
      <c r="BV40" s="19">
        <f>현금흐름취합!BH40</f>
        <v>0</v>
      </c>
      <c r="BW40" s="19">
        <f>현금흐름취합!BI40</f>
        <v>0</v>
      </c>
      <c r="BX40" s="19">
        <f>현금흐름취합!BJ40</f>
        <v>0</v>
      </c>
      <c r="BY40" s="19">
        <f>현금흐름취합!BK40</f>
        <v>0</v>
      </c>
      <c r="BZ40" s="19">
        <f>현금흐름취합!BL40</f>
        <v>0</v>
      </c>
      <c r="CA40" s="19">
        <f>현금흐름취합!BM40</f>
        <v>0</v>
      </c>
      <c r="CB40" s="19">
        <f>현금흐름취합!BN40</f>
        <v>0</v>
      </c>
      <c r="CC40" s="19">
        <f>현금흐름취합!BO40</f>
        <v>0</v>
      </c>
      <c r="CD40" s="19">
        <f>현금흐름취합!BP40</f>
        <v>0</v>
      </c>
      <c r="CE40" s="19">
        <f>현금흐름취합!BQ40</f>
        <v>0</v>
      </c>
      <c r="CF40" s="19">
        <f>현금흐름취합!BR40</f>
        <v>0</v>
      </c>
      <c r="CG40" s="19">
        <f>현금흐름취합!BS40</f>
        <v>0</v>
      </c>
      <c r="CH40" s="19">
        <f>현금흐름취합!BT40</f>
        <v>0</v>
      </c>
      <c r="CI40" s="19">
        <f>현금흐름취합!BU40</f>
        <v>0</v>
      </c>
      <c r="CJ40" s="19">
        <f>현금흐름취합!BV40</f>
        <v>0</v>
      </c>
      <c r="CK40" s="19">
        <f>현금흐름취합!BW40</f>
        <v>0</v>
      </c>
      <c r="CL40" s="19">
        <f>현금흐름취합!BX40</f>
        <v>0</v>
      </c>
      <c r="CM40" s="19">
        <f>현금흐름취합!BY40</f>
        <v>0</v>
      </c>
      <c r="CN40" s="19">
        <f>현금흐름취합!BZ40</f>
        <v>0</v>
      </c>
      <c r="CO40" s="19">
        <f>현금흐름취합!CA40</f>
        <v>0</v>
      </c>
      <c r="CP40" s="19">
        <f>현금흐름취합!CB40</f>
        <v>0</v>
      </c>
      <c r="CQ40" s="19">
        <f>현금흐름취합!CC40</f>
        <v>0</v>
      </c>
      <c r="CR40" s="19">
        <f>현금흐름취합!CD40</f>
        <v>0</v>
      </c>
      <c r="CS40" s="19">
        <f>현금흐름취합!CE40</f>
        <v>0</v>
      </c>
      <c r="CT40" s="19">
        <f>현금흐름취합!CF40</f>
        <v>0</v>
      </c>
      <c r="CU40" s="19">
        <f>현금흐름취합!CG40</f>
        <v>0</v>
      </c>
      <c r="CV40" s="19">
        <f>현금흐름취합!CH40</f>
        <v>0</v>
      </c>
      <c r="CW40" s="19">
        <f>현금흐름취합!CI40</f>
        <v>0</v>
      </c>
      <c r="CX40" s="19">
        <f>현금흐름취합!CJ40</f>
        <v>0</v>
      </c>
      <c r="CY40" s="19">
        <f>현금흐름취합!CK40</f>
        <v>0</v>
      </c>
      <c r="CZ40" s="19">
        <f>현금흐름취합!CL40</f>
        <v>0</v>
      </c>
      <c r="DA40" s="19">
        <f>현금흐름취합!CM40</f>
        <v>0</v>
      </c>
      <c r="DB40" s="19">
        <f>현금흐름취합!CN40</f>
        <v>0</v>
      </c>
      <c r="DC40" s="19">
        <f>현금흐름취합!CO40</f>
        <v>0</v>
      </c>
      <c r="DD40" s="19">
        <f>현금흐름취합!CP40</f>
        <v>0</v>
      </c>
      <c r="DE40" s="19">
        <f>현금흐름취합!CQ40</f>
        <v>0</v>
      </c>
      <c r="DF40" s="19">
        <f>현금흐름취합!CR40</f>
        <v>0</v>
      </c>
      <c r="DG40" s="19">
        <f>현금흐름취합!CS40</f>
        <v>0</v>
      </c>
      <c r="DH40" s="19">
        <f>현금흐름취합!CT40</f>
        <v>0</v>
      </c>
      <c r="DI40" s="19">
        <f>현금흐름취합!CU40</f>
        <v>0</v>
      </c>
      <c r="DJ40" s="19">
        <f>현금흐름취합!CV40</f>
        <v>0</v>
      </c>
      <c r="DK40" s="19">
        <f>현금흐름취합!CW40</f>
        <v>0</v>
      </c>
      <c r="DL40" s="19">
        <f>현금흐름취합!CX40</f>
        <v>0</v>
      </c>
      <c r="DM40" s="19">
        <f>현금흐름취합!CY40</f>
        <v>0</v>
      </c>
      <c r="DN40" s="19">
        <f>현금흐름취합!CZ40</f>
        <v>0</v>
      </c>
      <c r="DO40" s="19">
        <f>현금흐름취합!DA40</f>
        <v>0</v>
      </c>
      <c r="DP40" s="19">
        <f>현금흐름취합!DB40</f>
        <v>0</v>
      </c>
      <c r="DQ40" s="19">
        <f>현금흐름취합!DC40</f>
        <v>0</v>
      </c>
      <c r="DR40" s="19">
        <f>현금흐름취합!DD40</f>
        <v>0</v>
      </c>
      <c r="DS40" s="19">
        <f>현금흐름취합!DE40</f>
        <v>0</v>
      </c>
      <c r="DT40" s="19">
        <f>현금흐름취합!DF40</f>
        <v>0</v>
      </c>
      <c r="DU40" s="19">
        <f>현금흐름취합!DG40</f>
        <v>0</v>
      </c>
      <c r="DV40" s="19">
        <f>현금흐름취합!DH40</f>
        <v>0</v>
      </c>
      <c r="DW40" s="19">
        <f>현금흐름취합!DI40</f>
        <v>0</v>
      </c>
      <c r="DX40" s="19">
        <f>현금흐름취합!DJ40</f>
        <v>0</v>
      </c>
      <c r="DY40" s="19">
        <f>현금흐름취합!DK40</f>
        <v>0</v>
      </c>
      <c r="DZ40" s="19">
        <f>현금흐름취합!DL40</f>
        <v>0</v>
      </c>
      <c r="EA40" s="19">
        <f>현금흐름취합!DM40</f>
        <v>0</v>
      </c>
      <c r="EB40" s="19">
        <f>현금흐름취합!DN40</f>
        <v>0</v>
      </c>
      <c r="EC40" s="19">
        <f>현금흐름취합!DO40</f>
        <v>0</v>
      </c>
      <c r="ED40" s="19">
        <f>현금흐름취합!DP40</f>
        <v>0</v>
      </c>
      <c r="EE40" s="19">
        <f>현금흐름취합!DQ40</f>
        <v>0</v>
      </c>
      <c r="EF40" s="19">
        <f>현금흐름취합!DR40</f>
        <v>0</v>
      </c>
      <c r="EG40" s="19">
        <f>현금흐름취합!DS40</f>
        <v>0</v>
      </c>
      <c r="EH40" s="19">
        <f>현금흐름취합!DT40</f>
        <v>0</v>
      </c>
      <c r="EI40" s="19">
        <f>현금흐름취합!DU40</f>
        <v>0</v>
      </c>
      <c r="EJ40" s="19">
        <f>현금흐름취합!DV40</f>
        <v>0</v>
      </c>
      <c r="EK40" s="19">
        <f>현금흐름취합!DW40</f>
        <v>0</v>
      </c>
      <c r="EL40" s="19">
        <f>현금흐름취합!DX40</f>
        <v>0</v>
      </c>
      <c r="EM40" s="19">
        <f>현금흐름취합!DY40</f>
        <v>0</v>
      </c>
      <c r="EN40" s="19">
        <f>현금흐름취합!DZ40</f>
        <v>0</v>
      </c>
      <c r="EO40" s="19">
        <f>현금흐름취합!EA40</f>
        <v>0</v>
      </c>
      <c r="EP40" s="19">
        <f>현금흐름취합!EB40</f>
        <v>0</v>
      </c>
      <c r="EQ40" s="19">
        <f>현금흐름취합!EC40</f>
        <v>0</v>
      </c>
      <c r="ER40" s="19">
        <f>현금흐름취합!ED40</f>
        <v>0</v>
      </c>
      <c r="ES40" s="19">
        <f>현금흐름취합!EE40</f>
        <v>0</v>
      </c>
    </row>
    <row r="41" spans="1:149" hidden="1">
      <c r="A41" s="7">
        <f>현금흐름취합!A41</f>
        <v>0</v>
      </c>
      <c r="B41" s="7">
        <f>현금흐름취합!B41</f>
        <v>0</v>
      </c>
      <c r="C41" s="7">
        <f>현금흐름취합!C41</f>
        <v>0</v>
      </c>
      <c r="D41" s="8">
        <f>현금흐름취합!D41</f>
        <v>0</v>
      </c>
      <c r="E41" s="37" t="str">
        <f t="shared" ref="E41" si="30">IF(R40&gt;R41,"역전현상","이상없음")</f>
        <v>이상없음</v>
      </c>
      <c r="F41" s="8">
        <f>현금흐름취합!E41</f>
        <v>0</v>
      </c>
      <c r="G41" s="37" t="str">
        <f t="shared" si="1"/>
        <v>pool 고치세요</v>
      </c>
      <c r="H41" s="9">
        <f>현금흐름취합!F41</f>
        <v>0</v>
      </c>
      <c r="I41" s="10">
        <f>현금흐름취합!G41</f>
        <v>0</v>
      </c>
      <c r="J41" s="39" t="e">
        <f t="shared" si="24"/>
        <v>#DIV/0!</v>
      </c>
      <c r="K41" s="11">
        <f>현금흐름취합!H41</f>
        <v>0</v>
      </c>
      <c r="L41" s="40" t="e">
        <f>VLOOKUP(A41,'Sheet A'!$E$11:$K$60,7,0)=K41</f>
        <v>#N/A</v>
      </c>
      <c r="M41" s="12">
        <f>현금흐름취합!I41</f>
        <v>0</v>
      </c>
      <c r="N41" s="40" t="str">
        <f t="shared" si="25"/>
        <v>검토요</v>
      </c>
      <c r="O41" s="13">
        <f>현금흐름취합!J41</f>
        <v>0</v>
      </c>
      <c r="P41" s="14">
        <f>현금흐름취합!K41</f>
        <v>0</v>
      </c>
      <c r="Q41" s="18">
        <f>현금흐름취합!L41</f>
        <v>0</v>
      </c>
      <c r="R41" s="15">
        <f>현금흐름취합!M41</f>
        <v>0</v>
      </c>
      <c r="S41" s="40" t="e">
        <f t="shared" si="26"/>
        <v>#NUM!</v>
      </c>
      <c r="T41" s="16">
        <f>현금흐름취합!N41</f>
        <v>0</v>
      </c>
      <c r="U41" s="40" t="b">
        <f t="shared" si="27"/>
        <v>1</v>
      </c>
      <c r="V41" s="46">
        <f>SUMIF(일반여신!$E$10:$E$35,검증!A41,일반여신!$O$10:$O$35)*0.985-SUMIF(가지급금!$E$10:$E$180,A41,가지급금!$K$10:$K$180)+SUMIF(가지급금!$E$10:$E$180,검증!A41,가지급금!$O$10:$O$180)*0.985</f>
        <v>0</v>
      </c>
      <c r="W41" s="47">
        <f t="shared" si="28"/>
        <v>0</v>
      </c>
      <c r="X41" s="48"/>
      <c r="Y41" s="49">
        <f>SUMIF('Sheet D'!$E$11:$E$60,A41,'Sheet D'!$P$11:$P$60)</f>
        <v>0</v>
      </c>
      <c r="Z41" s="48">
        <f>SUMIFS(일반여신!$M$10:$M$35,일반여신!$E$10:$E$35,A41,일반여신!$P$10:$P$35,"신옹보증서대위변제")</f>
        <v>0</v>
      </c>
      <c r="AA41" s="48">
        <f t="shared" si="29"/>
        <v>0</v>
      </c>
      <c r="AB41" s="50"/>
      <c r="AC41" s="19">
        <f>현금흐름취합!O41</f>
        <v>0</v>
      </c>
      <c r="AD41" s="19">
        <f>현금흐름취합!P41</f>
        <v>0</v>
      </c>
      <c r="AE41" s="19">
        <f>현금흐름취합!Q41</f>
        <v>0</v>
      </c>
      <c r="AF41" s="19">
        <f>현금흐름취합!R41</f>
        <v>0</v>
      </c>
      <c r="AG41" s="19">
        <f>현금흐름취합!S41</f>
        <v>0</v>
      </c>
      <c r="AH41" s="19">
        <f>현금흐름취합!T41</f>
        <v>0</v>
      </c>
      <c r="AI41" s="19">
        <f>현금흐름취합!U41</f>
        <v>0</v>
      </c>
      <c r="AJ41" s="19">
        <f>현금흐름취합!V41</f>
        <v>0</v>
      </c>
      <c r="AK41" s="19">
        <f>현금흐름취합!W41</f>
        <v>0</v>
      </c>
      <c r="AL41" s="19">
        <f>현금흐름취합!X41</f>
        <v>0</v>
      </c>
      <c r="AM41" s="19">
        <f>현금흐름취합!Y41</f>
        <v>0</v>
      </c>
      <c r="AN41" s="19">
        <f>현금흐름취합!Z41</f>
        <v>0</v>
      </c>
      <c r="AO41" s="19">
        <f>현금흐름취합!AA41</f>
        <v>0</v>
      </c>
      <c r="AP41" s="19">
        <f>현금흐름취합!AB41</f>
        <v>0</v>
      </c>
      <c r="AQ41" s="19">
        <f>현금흐름취합!AC41</f>
        <v>0</v>
      </c>
      <c r="AR41" s="19">
        <f>현금흐름취합!AD41</f>
        <v>0</v>
      </c>
      <c r="AS41" s="19">
        <f>현금흐름취합!AE41</f>
        <v>0</v>
      </c>
      <c r="AT41" s="19">
        <f>현금흐름취합!AF41</f>
        <v>0</v>
      </c>
      <c r="AU41" s="19">
        <f>현금흐름취합!AG41</f>
        <v>0</v>
      </c>
      <c r="AV41" s="19">
        <f>현금흐름취합!AH41</f>
        <v>0</v>
      </c>
      <c r="AW41" s="19">
        <f>현금흐름취합!AI41</f>
        <v>0</v>
      </c>
      <c r="AX41" s="19">
        <f>현금흐름취합!AJ41</f>
        <v>0</v>
      </c>
      <c r="AY41" s="19">
        <f>현금흐름취합!AK41</f>
        <v>0</v>
      </c>
      <c r="AZ41" s="19">
        <f>현금흐름취합!AL41</f>
        <v>0</v>
      </c>
      <c r="BA41" s="19">
        <f>현금흐름취합!AM41</f>
        <v>0</v>
      </c>
      <c r="BB41" s="19">
        <f>현금흐름취합!AN41</f>
        <v>0</v>
      </c>
      <c r="BC41" s="19">
        <f>현금흐름취합!AO41</f>
        <v>0</v>
      </c>
      <c r="BD41" s="19">
        <f>현금흐름취합!AP41</f>
        <v>0</v>
      </c>
      <c r="BE41" s="19">
        <f>현금흐름취합!AQ41</f>
        <v>0</v>
      </c>
      <c r="BF41" s="19">
        <f>현금흐름취합!AR41</f>
        <v>0</v>
      </c>
      <c r="BG41" s="19">
        <f>현금흐름취합!AS41</f>
        <v>0</v>
      </c>
      <c r="BH41" s="19">
        <f>현금흐름취합!AT41</f>
        <v>0</v>
      </c>
      <c r="BI41" s="19">
        <f>현금흐름취합!AU41</f>
        <v>0</v>
      </c>
      <c r="BJ41" s="19">
        <f>현금흐름취합!AV41</f>
        <v>0</v>
      </c>
      <c r="BK41" s="19">
        <f>현금흐름취합!AW41</f>
        <v>0</v>
      </c>
      <c r="BL41" s="19">
        <f>현금흐름취합!AX41</f>
        <v>0</v>
      </c>
      <c r="BM41" s="19">
        <f>현금흐름취합!AY41</f>
        <v>0</v>
      </c>
      <c r="BN41" s="19">
        <f>현금흐름취합!AZ41</f>
        <v>0</v>
      </c>
      <c r="BO41" s="19">
        <f>현금흐름취합!BA41</f>
        <v>0</v>
      </c>
      <c r="BP41" s="19">
        <f>현금흐름취합!BB41</f>
        <v>0</v>
      </c>
      <c r="BQ41" s="19">
        <f>현금흐름취합!BC41</f>
        <v>0</v>
      </c>
      <c r="BR41" s="19">
        <f>현금흐름취합!BD41</f>
        <v>0</v>
      </c>
      <c r="BS41" s="19">
        <f>현금흐름취합!BE41</f>
        <v>0</v>
      </c>
      <c r="BT41" s="19">
        <f>현금흐름취합!BF41</f>
        <v>0</v>
      </c>
      <c r="BU41" s="19">
        <f>현금흐름취합!BG41</f>
        <v>0</v>
      </c>
      <c r="BV41" s="19">
        <f>현금흐름취합!BH41</f>
        <v>0</v>
      </c>
      <c r="BW41" s="19">
        <f>현금흐름취합!BI41</f>
        <v>0</v>
      </c>
      <c r="BX41" s="19">
        <f>현금흐름취합!BJ41</f>
        <v>0</v>
      </c>
      <c r="BY41" s="19">
        <f>현금흐름취합!BK41</f>
        <v>0</v>
      </c>
      <c r="BZ41" s="19">
        <f>현금흐름취합!BL41</f>
        <v>0</v>
      </c>
      <c r="CA41" s="19">
        <f>현금흐름취합!BM41</f>
        <v>0</v>
      </c>
      <c r="CB41" s="19">
        <f>현금흐름취합!BN41</f>
        <v>0</v>
      </c>
      <c r="CC41" s="19">
        <f>현금흐름취합!BO41</f>
        <v>0</v>
      </c>
      <c r="CD41" s="19">
        <f>현금흐름취합!BP41</f>
        <v>0</v>
      </c>
      <c r="CE41" s="19">
        <f>현금흐름취합!BQ41</f>
        <v>0</v>
      </c>
      <c r="CF41" s="19">
        <f>현금흐름취합!BR41</f>
        <v>0</v>
      </c>
      <c r="CG41" s="19">
        <f>현금흐름취합!BS41</f>
        <v>0</v>
      </c>
      <c r="CH41" s="19">
        <f>현금흐름취합!BT41</f>
        <v>0</v>
      </c>
      <c r="CI41" s="19">
        <f>현금흐름취합!BU41</f>
        <v>0</v>
      </c>
      <c r="CJ41" s="19">
        <f>현금흐름취합!BV41</f>
        <v>0</v>
      </c>
      <c r="CK41" s="19">
        <f>현금흐름취합!BW41</f>
        <v>0</v>
      </c>
      <c r="CL41" s="19">
        <f>현금흐름취합!BX41</f>
        <v>0</v>
      </c>
      <c r="CM41" s="19">
        <f>현금흐름취합!BY41</f>
        <v>0</v>
      </c>
      <c r="CN41" s="19">
        <f>현금흐름취합!BZ41</f>
        <v>0</v>
      </c>
      <c r="CO41" s="19">
        <f>현금흐름취합!CA41</f>
        <v>0</v>
      </c>
      <c r="CP41" s="19">
        <f>현금흐름취합!CB41</f>
        <v>0</v>
      </c>
      <c r="CQ41" s="19">
        <f>현금흐름취합!CC41</f>
        <v>0</v>
      </c>
      <c r="CR41" s="19">
        <f>현금흐름취합!CD41</f>
        <v>0</v>
      </c>
      <c r="CS41" s="19">
        <f>현금흐름취합!CE41</f>
        <v>0</v>
      </c>
      <c r="CT41" s="19">
        <f>현금흐름취합!CF41</f>
        <v>0</v>
      </c>
      <c r="CU41" s="19">
        <f>현금흐름취합!CG41</f>
        <v>0</v>
      </c>
      <c r="CV41" s="19">
        <f>현금흐름취합!CH41</f>
        <v>0</v>
      </c>
      <c r="CW41" s="19">
        <f>현금흐름취합!CI41</f>
        <v>0</v>
      </c>
      <c r="CX41" s="19">
        <f>현금흐름취합!CJ41</f>
        <v>0</v>
      </c>
      <c r="CY41" s="19">
        <f>현금흐름취합!CK41</f>
        <v>0</v>
      </c>
      <c r="CZ41" s="19">
        <f>현금흐름취합!CL41</f>
        <v>0</v>
      </c>
      <c r="DA41" s="19">
        <f>현금흐름취합!CM41</f>
        <v>0</v>
      </c>
      <c r="DB41" s="19">
        <f>현금흐름취합!CN41</f>
        <v>0</v>
      </c>
      <c r="DC41" s="19">
        <f>현금흐름취합!CO41</f>
        <v>0</v>
      </c>
      <c r="DD41" s="19">
        <f>현금흐름취합!CP41</f>
        <v>0</v>
      </c>
      <c r="DE41" s="19">
        <f>현금흐름취합!CQ41</f>
        <v>0</v>
      </c>
      <c r="DF41" s="19">
        <f>현금흐름취합!CR41</f>
        <v>0</v>
      </c>
      <c r="DG41" s="19">
        <f>현금흐름취합!CS41</f>
        <v>0</v>
      </c>
      <c r="DH41" s="19">
        <f>현금흐름취합!CT41</f>
        <v>0</v>
      </c>
      <c r="DI41" s="19">
        <f>현금흐름취합!CU41</f>
        <v>0</v>
      </c>
      <c r="DJ41" s="19">
        <f>현금흐름취합!CV41</f>
        <v>0</v>
      </c>
      <c r="DK41" s="19">
        <f>현금흐름취합!CW41</f>
        <v>0</v>
      </c>
      <c r="DL41" s="19">
        <f>현금흐름취합!CX41</f>
        <v>0</v>
      </c>
      <c r="DM41" s="19">
        <f>현금흐름취합!CY41</f>
        <v>0</v>
      </c>
      <c r="DN41" s="19">
        <f>현금흐름취합!CZ41</f>
        <v>0</v>
      </c>
      <c r="DO41" s="19">
        <f>현금흐름취합!DA41</f>
        <v>0</v>
      </c>
      <c r="DP41" s="19">
        <f>현금흐름취합!DB41</f>
        <v>0</v>
      </c>
      <c r="DQ41" s="19">
        <f>현금흐름취합!DC41</f>
        <v>0</v>
      </c>
      <c r="DR41" s="19">
        <f>현금흐름취합!DD41</f>
        <v>0</v>
      </c>
      <c r="DS41" s="19">
        <f>현금흐름취합!DE41</f>
        <v>0</v>
      </c>
      <c r="DT41" s="19">
        <f>현금흐름취합!DF41</f>
        <v>0</v>
      </c>
      <c r="DU41" s="19">
        <f>현금흐름취합!DG41</f>
        <v>0</v>
      </c>
      <c r="DV41" s="19">
        <f>현금흐름취합!DH41</f>
        <v>0</v>
      </c>
      <c r="DW41" s="19">
        <f>현금흐름취합!DI41</f>
        <v>0</v>
      </c>
      <c r="DX41" s="19">
        <f>현금흐름취합!DJ41</f>
        <v>0</v>
      </c>
      <c r="DY41" s="19">
        <f>현금흐름취합!DK41</f>
        <v>0</v>
      </c>
      <c r="DZ41" s="19">
        <f>현금흐름취합!DL41</f>
        <v>0</v>
      </c>
      <c r="EA41" s="19">
        <f>현금흐름취합!DM41</f>
        <v>0</v>
      </c>
      <c r="EB41" s="19">
        <f>현금흐름취합!DN41</f>
        <v>0</v>
      </c>
      <c r="EC41" s="19">
        <f>현금흐름취합!DO41</f>
        <v>0</v>
      </c>
      <c r="ED41" s="19">
        <f>현금흐름취합!DP41</f>
        <v>0</v>
      </c>
      <c r="EE41" s="19">
        <f>현금흐름취합!DQ41</f>
        <v>0</v>
      </c>
      <c r="EF41" s="19">
        <f>현금흐름취합!DR41</f>
        <v>0</v>
      </c>
      <c r="EG41" s="19">
        <f>현금흐름취합!DS41</f>
        <v>0</v>
      </c>
      <c r="EH41" s="19">
        <f>현금흐름취합!DT41</f>
        <v>0</v>
      </c>
      <c r="EI41" s="19">
        <f>현금흐름취합!DU41</f>
        <v>0</v>
      </c>
      <c r="EJ41" s="19">
        <f>현금흐름취합!DV41</f>
        <v>0</v>
      </c>
      <c r="EK41" s="19">
        <f>현금흐름취합!DW41</f>
        <v>0</v>
      </c>
      <c r="EL41" s="19">
        <f>현금흐름취합!DX41</f>
        <v>0</v>
      </c>
      <c r="EM41" s="19">
        <f>현금흐름취합!DY41</f>
        <v>0</v>
      </c>
      <c r="EN41" s="19">
        <f>현금흐름취합!DZ41</f>
        <v>0</v>
      </c>
      <c r="EO41" s="19">
        <f>현금흐름취합!EA41</f>
        <v>0</v>
      </c>
      <c r="EP41" s="19">
        <f>현금흐름취합!EB41</f>
        <v>0</v>
      </c>
      <c r="EQ41" s="19">
        <f>현금흐름취합!EC41</f>
        <v>0</v>
      </c>
      <c r="ER41" s="19">
        <f>현금흐름취합!ED41</f>
        <v>0</v>
      </c>
      <c r="ES41" s="19">
        <f>현금흐름취합!EE41</f>
        <v>0</v>
      </c>
    </row>
    <row r="42" spans="1:149" hidden="1">
      <c r="A42" s="7">
        <f>현금흐름취합!A42</f>
        <v>0</v>
      </c>
      <c r="B42" s="7">
        <f>현금흐름취합!B42</f>
        <v>0</v>
      </c>
      <c r="C42" s="7">
        <f>현금흐름취합!C42</f>
        <v>0</v>
      </c>
      <c r="D42" s="8">
        <f>현금흐름취합!D42</f>
        <v>0</v>
      </c>
      <c r="E42" s="37"/>
      <c r="F42" s="8">
        <f>현금흐름취합!E42</f>
        <v>0</v>
      </c>
      <c r="G42" s="37" t="str">
        <f t="shared" si="1"/>
        <v>pool 고치세요</v>
      </c>
      <c r="H42" s="9">
        <f>현금흐름취합!F42</f>
        <v>0</v>
      </c>
      <c r="I42" s="10">
        <f>현금흐름취합!G42</f>
        <v>0</v>
      </c>
      <c r="J42" s="39" t="e">
        <f t="shared" si="24"/>
        <v>#DIV/0!</v>
      </c>
      <c r="K42" s="11">
        <f>현금흐름취합!H42</f>
        <v>0</v>
      </c>
      <c r="L42" s="40" t="e">
        <f>VLOOKUP(A42,'Sheet A'!$E$11:$K$60,7,0)=K42</f>
        <v>#N/A</v>
      </c>
      <c r="M42" s="12">
        <f>현금흐름취합!I42</f>
        <v>0</v>
      </c>
      <c r="N42" s="40" t="str">
        <f t="shared" si="25"/>
        <v>검토요</v>
      </c>
      <c r="O42" s="13">
        <f>현금흐름취합!J42</f>
        <v>0</v>
      </c>
      <c r="P42" s="14">
        <f>현금흐름취합!K42</f>
        <v>0</v>
      </c>
      <c r="Q42" s="18">
        <f>현금흐름취합!L42</f>
        <v>0</v>
      </c>
      <c r="R42" s="15">
        <f>현금흐름취합!M42</f>
        <v>0</v>
      </c>
      <c r="S42" s="40" t="e">
        <f t="shared" si="26"/>
        <v>#NUM!</v>
      </c>
      <c r="T42" s="16">
        <f>현금흐름취합!N42</f>
        <v>0</v>
      </c>
      <c r="U42" s="40" t="b">
        <f t="shared" si="27"/>
        <v>1</v>
      </c>
      <c r="V42" s="46">
        <f>SUMIF(일반여신!$E$10:$E$35,검증!A42,일반여신!$O$10:$O$35)*0.985-SUMIF(가지급금!$E$10:$E$180,A42,가지급금!$K$10:$K$180)+SUMIF(가지급금!$E$10:$E$180,검증!A42,가지급금!$O$10:$O$180)*0.985</f>
        <v>0</v>
      </c>
      <c r="W42" s="47">
        <f t="shared" si="28"/>
        <v>0</v>
      </c>
      <c r="X42" s="48"/>
      <c r="Y42" s="49">
        <f>SUMIF('Sheet D'!$E$11:$E$60,A42,'Sheet D'!$P$11:$P$60)</f>
        <v>0</v>
      </c>
      <c r="Z42" s="48">
        <f>SUMIFS(일반여신!$M$10:$M$35,일반여신!$E$10:$E$35,A42,일반여신!$P$10:$P$35,"신옹보증서대위변제")</f>
        <v>0</v>
      </c>
      <c r="AA42" s="48">
        <f t="shared" si="29"/>
        <v>0</v>
      </c>
      <c r="AB42" s="50"/>
      <c r="AC42" s="19">
        <f>현금흐름취합!O42</f>
        <v>0</v>
      </c>
      <c r="AD42" s="19">
        <f>현금흐름취합!P42</f>
        <v>0</v>
      </c>
      <c r="AE42" s="19">
        <f>현금흐름취합!Q42</f>
        <v>0</v>
      </c>
      <c r="AF42" s="19">
        <f>현금흐름취합!R42</f>
        <v>0</v>
      </c>
      <c r="AG42" s="19">
        <f>현금흐름취합!S42</f>
        <v>0</v>
      </c>
      <c r="AH42" s="19">
        <f>현금흐름취합!T42</f>
        <v>0</v>
      </c>
      <c r="AI42" s="19">
        <f>현금흐름취합!U42</f>
        <v>0</v>
      </c>
      <c r="AJ42" s="19">
        <f>현금흐름취합!V42</f>
        <v>0</v>
      </c>
      <c r="AK42" s="19">
        <f>현금흐름취합!W42</f>
        <v>0</v>
      </c>
      <c r="AL42" s="19">
        <f>현금흐름취합!X42</f>
        <v>0</v>
      </c>
      <c r="AM42" s="19">
        <f>현금흐름취합!Y42</f>
        <v>0</v>
      </c>
      <c r="AN42" s="19">
        <f>현금흐름취합!Z42</f>
        <v>0</v>
      </c>
      <c r="AO42" s="19">
        <f>현금흐름취합!AA42</f>
        <v>0</v>
      </c>
      <c r="AP42" s="19">
        <f>현금흐름취합!AB42</f>
        <v>0</v>
      </c>
      <c r="AQ42" s="19">
        <f>현금흐름취합!AC42</f>
        <v>0</v>
      </c>
      <c r="AR42" s="19">
        <f>현금흐름취합!AD42</f>
        <v>0</v>
      </c>
      <c r="AS42" s="19">
        <f>현금흐름취합!AE42</f>
        <v>0</v>
      </c>
      <c r="AT42" s="19">
        <f>현금흐름취합!AF42</f>
        <v>0</v>
      </c>
      <c r="AU42" s="19">
        <f>현금흐름취합!AG42</f>
        <v>0</v>
      </c>
      <c r="AV42" s="19">
        <f>현금흐름취합!AH42</f>
        <v>0</v>
      </c>
      <c r="AW42" s="19">
        <f>현금흐름취합!AI42</f>
        <v>0</v>
      </c>
      <c r="AX42" s="19">
        <f>현금흐름취합!AJ42</f>
        <v>0</v>
      </c>
      <c r="AY42" s="19">
        <f>현금흐름취합!AK42</f>
        <v>0</v>
      </c>
      <c r="AZ42" s="19">
        <f>현금흐름취합!AL42</f>
        <v>0</v>
      </c>
      <c r="BA42" s="19">
        <f>현금흐름취합!AM42</f>
        <v>0</v>
      </c>
      <c r="BB42" s="19">
        <f>현금흐름취합!AN42</f>
        <v>0</v>
      </c>
      <c r="BC42" s="19">
        <f>현금흐름취합!AO42</f>
        <v>0</v>
      </c>
      <c r="BD42" s="19">
        <f>현금흐름취합!AP42</f>
        <v>0</v>
      </c>
      <c r="BE42" s="19">
        <f>현금흐름취합!AQ42</f>
        <v>0</v>
      </c>
      <c r="BF42" s="19">
        <f>현금흐름취합!AR42</f>
        <v>0</v>
      </c>
      <c r="BG42" s="19">
        <f>현금흐름취합!AS42</f>
        <v>0</v>
      </c>
      <c r="BH42" s="19">
        <f>현금흐름취합!AT42</f>
        <v>0</v>
      </c>
      <c r="BI42" s="19">
        <f>현금흐름취합!AU42</f>
        <v>0</v>
      </c>
      <c r="BJ42" s="19">
        <f>현금흐름취합!AV42</f>
        <v>0</v>
      </c>
      <c r="BK42" s="19">
        <f>현금흐름취합!AW42</f>
        <v>0</v>
      </c>
      <c r="BL42" s="19">
        <f>현금흐름취합!AX42</f>
        <v>0</v>
      </c>
      <c r="BM42" s="19">
        <f>현금흐름취합!AY42</f>
        <v>0</v>
      </c>
      <c r="BN42" s="19">
        <f>현금흐름취합!AZ42</f>
        <v>0</v>
      </c>
      <c r="BO42" s="19">
        <f>현금흐름취합!BA42</f>
        <v>0</v>
      </c>
      <c r="BP42" s="19">
        <f>현금흐름취합!BB42</f>
        <v>0</v>
      </c>
      <c r="BQ42" s="19">
        <f>현금흐름취합!BC42</f>
        <v>0</v>
      </c>
      <c r="BR42" s="19">
        <f>현금흐름취합!BD42</f>
        <v>0</v>
      </c>
      <c r="BS42" s="19">
        <f>현금흐름취합!BE42</f>
        <v>0</v>
      </c>
      <c r="BT42" s="19">
        <f>현금흐름취합!BF42</f>
        <v>0</v>
      </c>
      <c r="BU42" s="19">
        <f>현금흐름취합!BG42</f>
        <v>0</v>
      </c>
      <c r="BV42" s="19">
        <f>현금흐름취합!BH42</f>
        <v>0</v>
      </c>
      <c r="BW42" s="19">
        <f>현금흐름취합!BI42</f>
        <v>0</v>
      </c>
      <c r="BX42" s="19">
        <f>현금흐름취합!BJ42</f>
        <v>0</v>
      </c>
      <c r="BY42" s="19">
        <f>현금흐름취합!BK42</f>
        <v>0</v>
      </c>
      <c r="BZ42" s="19">
        <f>현금흐름취합!BL42</f>
        <v>0</v>
      </c>
      <c r="CA42" s="19">
        <f>현금흐름취합!BM42</f>
        <v>0</v>
      </c>
      <c r="CB42" s="19">
        <f>현금흐름취합!BN42</f>
        <v>0</v>
      </c>
      <c r="CC42" s="19">
        <f>현금흐름취합!BO42</f>
        <v>0</v>
      </c>
      <c r="CD42" s="19">
        <f>현금흐름취합!BP42</f>
        <v>0</v>
      </c>
      <c r="CE42" s="19">
        <f>현금흐름취합!BQ42</f>
        <v>0</v>
      </c>
      <c r="CF42" s="19">
        <f>현금흐름취합!BR42</f>
        <v>0</v>
      </c>
      <c r="CG42" s="19">
        <f>현금흐름취합!BS42</f>
        <v>0</v>
      </c>
      <c r="CH42" s="19">
        <f>현금흐름취합!BT42</f>
        <v>0</v>
      </c>
      <c r="CI42" s="19">
        <f>현금흐름취합!BU42</f>
        <v>0</v>
      </c>
      <c r="CJ42" s="19">
        <f>현금흐름취합!BV42</f>
        <v>0</v>
      </c>
      <c r="CK42" s="19">
        <f>현금흐름취합!BW42</f>
        <v>0</v>
      </c>
      <c r="CL42" s="19">
        <f>현금흐름취합!BX42</f>
        <v>0</v>
      </c>
      <c r="CM42" s="19">
        <f>현금흐름취합!BY42</f>
        <v>0</v>
      </c>
      <c r="CN42" s="19">
        <f>현금흐름취합!BZ42</f>
        <v>0</v>
      </c>
      <c r="CO42" s="19">
        <f>현금흐름취합!CA42</f>
        <v>0</v>
      </c>
      <c r="CP42" s="19">
        <f>현금흐름취합!CB42</f>
        <v>0</v>
      </c>
      <c r="CQ42" s="19">
        <f>현금흐름취합!CC42</f>
        <v>0</v>
      </c>
      <c r="CR42" s="19">
        <f>현금흐름취합!CD42</f>
        <v>0</v>
      </c>
      <c r="CS42" s="19">
        <f>현금흐름취합!CE42</f>
        <v>0</v>
      </c>
      <c r="CT42" s="19">
        <f>현금흐름취합!CF42</f>
        <v>0</v>
      </c>
      <c r="CU42" s="19">
        <f>현금흐름취합!CG42</f>
        <v>0</v>
      </c>
      <c r="CV42" s="19">
        <f>현금흐름취합!CH42</f>
        <v>0</v>
      </c>
      <c r="CW42" s="19">
        <f>현금흐름취합!CI42</f>
        <v>0</v>
      </c>
      <c r="CX42" s="19">
        <f>현금흐름취합!CJ42</f>
        <v>0</v>
      </c>
      <c r="CY42" s="19">
        <f>현금흐름취합!CK42</f>
        <v>0</v>
      </c>
      <c r="CZ42" s="19">
        <f>현금흐름취합!CL42</f>
        <v>0</v>
      </c>
      <c r="DA42" s="19">
        <f>현금흐름취합!CM42</f>
        <v>0</v>
      </c>
      <c r="DB42" s="19">
        <f>현금흐름취합!CN42</f>
        <v>0</v>
      </c>
      <c r="DC42" s="19">
        <f>현금흐름취합!CO42</f>
        <v>0</v>
      </c>
      <c r="DD42" s="19">
        <f>현금흐름취합!CP42</f>
        <v>0</v>
      </c>
      <c r="DE42" s="19">
        <f>현금흐름취합!CQ42</f>
        <v>0</v>
      </c>
      <c r="DF42" s="19">
        <f>현금흐름취합!CR42</f>
        <v>0</v>
      </c>
      <c r="DG42" s="19">
        <f>현금흐름취합!CS42</f>
        <v>0</v>
      </c>
      <c r="DH42" s="19">
        <f>현금흐름취합!CT42</f>
        <v>0</v>
      </c>
      <c r="DI42" s="19">
        <f>현금흐름취합!CU42</f>
        <v>0</v>
      </c>
      <c r="DJ42" s="19">
        <f>현금흐름취합!CV42</f>
        <v>0</v>
      </c>
      <c r="DK42" s="19">
        <f>현금흐름취합!CW42</f>
        <v>0</v>
      </c>
      <c r="DL42" s="19">
        <f>현금흐름취합!CX42</f>
        <v>0</v>
      </c>
      <c r="DM42" s="19">
        <f>현금흐름취합!CY42</f>
        <v>0</v>
      </c>
      <c r="DN42" s="19">
        <f>현금흐름취합!CZ42</f>
        <v>0</v>
      </c>
      <c r="DO42" s="19">
        <f>현금흐름취합!DA42</f>
        <v>0</v>
      </c>
      <c r="DP42" s="19">
        <f>현금흐름취합!DB42</f>
        <v>0</v>
      </c>
      <c r="DQ42" s="19">
        <f>현금흐름취합!DC42</f>
        <v>0</v>
      </c>
      <c r="DR42" s="19">
        <f>현금흐름취합!DD42</f>
        <v>0</v>
      </c>
      <c r="DS42" s="19">
        <f>현금흐름취합!DE42</f>
        <v>0</v>
      </c>
      <c r="DT42" s="19">
        <f>현금흐름취합!DF42</f>
        <v>0</v>
      </c>
      <c r="DU42" s="19">
        <f>현금흐름취합!DG42</f>
        <v>0</v>
      </c>
      <c r="DV42" s="19">
        <f>현금흐름취합!DH42</f>
        <v>0</v>
      </c>
      <c r="DW42" s="19">
        <f>현금흐름취합!DI42</f>
        <v>0</v>
      </c>
      <c r="DX42" s="19">
        <f>현금흐름취합!DJ42</f>
        <v>0</v>
      </c>
      <c r="DY42" s="19">
        <f>현금흐름취합!DK42</f>
        <v>0</v>
      </c>
      <c r="DZ42" s="19">
        <f>현금흐름취합!DL42</f>
        <v>0</v>
      </c>
      <c r="EA42" s="19">
        <f>현금흐름취합!DM42</f>
        <v>0</v>
      </c>
      <c r="EB42" s="19">
        <f>현금흐름취합!DN42</f>
        <v>0</v>
      </c>
      <c r="EC42" s="19">
        <f>현금흐름취합!DO42</f>
        <v>0</v>
      </c>
      <c r="ED42" s="19">
        <f>현금흐름취합!DP42</f>
        <v>0</v>
      </c>
      <c r="EE42" s="19">
        <f>현금흐름취합!DQ42</f>
        <v>0</v>
      </c>
      <c r="EF42" s="19">
        <f>현금흐름취합!DR42</f>
        <v>0</v>
      </c>
      <c r="EG42" s="19">
        <f>현금흐름취합!DS42</f>
        <v>0</v>
      </c>
      <c r="EH42" s="19">
        <f>현금흐름취합!DT42</f>
        <v>0</v>
      </c>
      <c r="EI42" s="19">
        <f>현금흐름취합!DU42</f>
        <v>0</v>
      </c>
      <c r="EJ42" s="19">
        <f>현금흐름취합!DV42</f>
        <v>0</v>
      </c>
      <c r="EK42" s="19">
        <f>현금흐름취합!DW42</f>
        <v>0</v>
      </c>
      <c r="EL42" s="19">
        <f>현금흐름취합!DX42</f>
        <v>0</v>
      </c>
      <c r="EM42" s="19">
        <f>현금흐름취합!DY42</f>
        <v>0</v>
      </c>
      <c r="EN42" s="19">
        <f>현금흐름취합!DZ42</f>
        <v>0</v>
      </c>
      <c r="EO42" s="19">
        <f>현금흐름취합!EA42</f>
        <v>0</v>
      </c>
      <c r="EP42" s="19">
        <f>현금흐름취합!EB42</f>
        <v>0</v>
      </c>
      <c r="EQ42" s="19">
        <f>현금흐름취합!EC42</f>
        <v>0</v>
      </c>
      <c r="ER42" s="19">
        <f>현금흐름취합!ED42</f>
        <v>0</v>
      </c>
      <c r="ES42" s="19">
        <f>현금흐름취합!EE42</f>
        <v>0</v>
      </c>
    </row>
    <row r="43" spans="1:149" hidden="1">
      <c r="A43" s="7">
        <f>현금흐름취합!A43</f>
        <v>0</v>
      </c>
      <c r="B43" s="7">
        <f>현금흐름취합!B43</f>
        <v>0</v>
      </c>
      <c r="C43" s="7">
        <f>현금흐름취합!C43</f>
        <v>0</v>
      </c>
      <c r="D43" s="8">
        <f>현금흐름취합!D43</f>
        <v>0</v>
      </c>
      <c r="E43" s="37" t="str">
        <f t="shared" ref="E43" si="31">IF(R42&gt;R43,"역전현상","이상없음")</f>
        <v>이상없음</v>
      </c>
      <c r="F43" s="8">
        <f>현금흐름취합!E43</f>
        <v>0</v>
      </c>
      <c r="G43" s="37" t="str">
        <f t="shared" si="1"/>
        <v>pool 고치세요</v>
      </c>
      <c r="H43" s="9">
        <f>현금흐름취합!F43</f>
        <v>0</v>
      </c>
      <c r="I43" s="10">
        <f>현금흐름취합!G43</f>
        <v>0</v>
      </c>
      <c r="J43" s="39" t="e">
        <f t="shared" si="24"/>
        <v>#DIV/0!</v>
      </c>
      <c r="K43" s="11">
        <f>현금흐름취합!H43</f>
        <v>0</v>
      </c>
      <c r="L43" s="40" t="e">
        <f>VLOOKUP(A43,'Sheet A'!$E$11:$K$60,7,0)=K43</f>
        <v>#N/A</v>
      </c>
      <c r="M43" s="12">
        <f>현금흐름취합!I43</f>
        <v>0</v>
      </c>
      <c r="N43" s="40" t="str">
        <f t="shared" si="25"/>
        <v>검토요</v>
      </c>
      <c r="O43" s="13">
        <f>현금흐름취합!J43</f>
        <v>0</v>
      </c>
      <c r="P43" s="14">
        <f>현금흐름취합!K43</f>
        <v>0</v>
      </c>
      <c r="Q43" s="18">
        <f>현금흐름취합!L43</f>
        <v>0</v>
      </c>
      <c r="R43" s="15">
        <f>현금흐름취합!M43</f>
        <v>0</v>
      </c>
      <c r="S43" s="40" t="e">
        <f t="shared" si="26"/>
        <v>#NUM!</v>
      </c>
      <c r="T43" s="16">
        <f>현금흐름취합!N43</f>
        <v>0</v>
      </c>
      <c r="U43" s="40" t="b">
        <f t="shared" si="27"/>
        <v>1</v>
      </c>
      <c r="V43" s="46">
        <f>SUMIF(일반여신!$E$10:$E$35,검증!A43,일반여신!$O$10:$O$35)*0.985-SUMIF(가지급금!$E$10:$E$180,A43,가지급금!$K$10:$K$180)+SUMIF(가지급금!$E$10:$E$180,검증!A43,가지급금!$O$10:$O$180)*0.985</f>
        <v>0</v>
      </c>
      <c r="W43" s="47">
        <f t="shared" si="28"/>
        <v>0</v>
      </c>
      <c r="X43" s="48"/>
      <c r="Y43" s="49">
        <f>SUMIF('Sheet D'!$E$11:$E$60,A43,'Sheet D'!$P$11:$P$60)</f>
        <v>0</v>
      </c>
      <c r="Z43" s="48">
        <f>SUMIFS(일반여신!$M$10:$M$35,일반여신!$E$10:$E$35,A43,일반여신!$P$10:$P$35,"신옹보증서대위변제")</f>
        <v>0</v>
      </c>
      <c r="AA43" s="48">
        <f t="shared" si="29"/>
        <v>0</v>
      </c>
      <c r="AB43" s="50"/>
      <c r="AC43" s="19">
        <f>현금흐름취합!O43</f>
        <v>0</v>
      </c>
      <c r="AD43" s="19">
        <f>현금흐름취합!P43</f>
        <v>0</v>
      </c>
      <c r="AE43" s="19">
        <f>현금흐름취합!Q43</f>
        <v>0</v>
      </c>
      <c r="AF43" s="19">
        <f>현금흐름취합!R43</f>
        <v>0</v>
      </c>
      <c r="AG43" s="19">
        <f>현금흐름취합!S43</f>
        <v>0</v>
      </c>
      <c r="AH43" s="19">
        <f>현금흐름취합!T43</f>
        <v>0</v>
      </c>
      <c r="AI43" s="19">
        <f>현금흐름취합!U43</f>
        <v>0</v>
      </c>
      <c r="AJ43" s="19">
        <f>현금흐름취합!V43</f>
        <v>0</v>
      </c>
      <c r="AK43" s="19">
        <f>현금흐름취합!W43</f>
        <v>0</v>
      </c>
      <c r="AL43" s="19">
        <f>현금흐름취합!X43</f>
        <v>0</v>
      </c>
      <c r="AM43" s="19">
        <f>현금흐름취합!Y43</f>
        <v>0</v>
      </c>
      <c r="AN43" s="19">
        <f>현금흐름취합!Z43</f>
        <v>0</v>
      </c>
      <c r="AO43" s="19">
        <f>현금흐름취합!AA43</f>
        <v>0</v>
      </c>
      <c r="AP43" s="19">
        <f>현금흐름취합!AB43</f>
        <v>0</v>
      </c>
      <c r="AQ43" s="19">
        <f>현금흐름취합!AC43</f>
        <v>0</v>
      </c>
      <c r="AR43" s="19">
        <f>현금흐름취합!AD43</f>
        <v>0</v>
      </c>
      <c r="AS43" s="19">
        <f>현금흐름취합!AE43</f>
        <v>0</v>
      </c>
      <c r="AT43" s="19">
        <f>현금흐름취합!AF43</f>
        <v>0</v>
      </c>
      <c r="AU43" s="19">
        <f>현금흐름취합!AG43</f>
        <v>0</v>
      </c>
      <c r="AV43" s="19">
        <f>현금흐름취합!AH43</f>
        <v>0</v>
      </c>
      <c r="AW43" s="19">
        <f>현금흐름취합!AI43</f>
        <v>0</v>
      </c>
      <c r="AX43" s="19">
        <f>현금흐름취합!AJ43</f>
        <v>0</v>
      </c>
      <c r="AY43" s="19">
        <f>현금흐름취합!AK43</f>
        <v>0</v>
      </c>
      <c r="AZ43" s="19">
        <f>현금흐름취합!AL43</f>
        <v>0</v>
      </c>
      <c r="BA43" s="19">
        <f>현금흐름취합!AM43</f>
        <v>0</v>
      </c>
      <c r="BB43" s="19">
        <f>현금흐름취합!AN43</f>
        <v>0</v>
      </c>
      <c r="BC43" s="19">
        <f>현금흐름취합!AO43</f>
        <v>0</v>
      </c>
      <c r="BD43" s="19">
        <f>현금흐름취합!AP43</f>
        <v>0</v>
      </c>
      <c r="BE43" s="19">
        <f>현금흐름취합!AQ43</f>
        <v>0</v>
      </c>
      <c r="BF43" s="19">
        <f>현금흐름취합!AR43</f>
        <v>0</v>
      </c>
      <c r="BG43" s="19">
        <f>현금흐름취합!AS43</f>
        <v>0</v>
      </c>
      <c r="BH43" s="19">
        <f>현금흐름취합!AT43</f>
        <v>0</v>
      </c>
      <c r="BI43" s="19">
        <f>현금흐름취합!AU43</f>
        <v>0</v>
      </c>
      <c r="BJ43" s="19">
        <f>현금흐름취합!AV43</f>
        <v>0</v>
      </c>
      <c r="BK43" s="19">
        <f>현금흐름취합!AW43</f>
        <v>0</v>
      </c>
      <c r="BL43" s="19">
        <f>현금흐름취합!AX43</f>
        <v>0</v>
      </c>
      <c r="BM43" s="19">
        <f>현금흐름취합!AY43</f>
        <v>0</v>
      </c>
      <c r="BN43" s="19">
        <f>현금흐름취합!AZ43</f>
        <v>0</v>
      </c>
      <c r="BO43" s="19">
        <f>현금흐름취합!BA43</f>
        <v>0</v>
      </c>
      <c r="BP43" s="19">
        <f>현금흐름취합!BB43</f>
        <v>0</v>
      </c>
      <c r="BQ43" s="19">
        <f>현금흐름취합!BC43</f>
        <v>0</v>
      </c>
      <c r="BR43" s="19">
        <f>현금흐름취합!BD43</f>
        <v>0</v>
      </c>
      <c r="BS43" s="19">
        <f>현금흐름취합!BE43</f>
        <v>0</v>
      </c>
      <c r="BT43" s="19">
        <f>현금흐름취합!BF43</f>
        <v>0</v>
      </c>
      <c r="BU43" s="19">
        <f>현금흐름취합!BG43</f>
        <v>0</v>
      </c>
      <c r="BV43" s="19">
        <f>현금흐름취합!BH43</f>
        <v>0</v>
      </c>
      <c r="BW43" s="19">
        <f>현금흐름취합!BI43</f>
        <v>0</v>
      </c>
      <c r="BX43" s="19">
        <f>현금흐름취합!BJ43</f>
        <v>0</v>
      </c>
      <c r="BY43" s="19">
        <f>현금흐름취합!BK43</f>
        <v>0</v>
      </c>
      <c r="BZ43" s="19">
        <f>현금흐름취합!BL43</f>
        <v>0</v>
      </c>
      <c r="CA43" s="19">
        <f>현금흐름취합!BM43</f>
        <v>0</v>
      </c>
      <c r="CB43" s="19">
        <f>현금흐름취합!BN43</f>
        <v>0</v>
      </c>
      <c r="CC43" s="19">
        <f>현금흐름취합!BO43</f>
        <v>0</v>
      </c>
      <c r="CD43" s="19">
        <f>현금흐름취합!BP43</f>
        <v>0</v>
      </c>
      <c r="CE43" s="19">
        <f>현금흐름취합!BQ43</f>
        <v>0</v>
      </c>
      <c r="CF43" s="19">
        <f>현금흐름취합!BR43</f>
        <v>0</v>
      </c>
      <c r="CG43" s="19">
        <f>현금흐름취합!BS43</f>
        <v>0</v>
      </c>
      <c r="CH43" s="19">
        <f>현금흐름취합!BT43</f>
        <v>0</v>
      </c>
      <c r="CI43" s="19">
        <f>현금흐름취합!BU43</f>
        <v>0</v>
      </c>
      <c r="CJ43" s="19">
        <f>현금흐름취합!BV43</f>
        <v>0</v>
      </c>
      <c r="CK43" s="19">
        <f>현금흐름취합!BW43</f>
        <v>0</v>
      </c>
      <c r="CL43" s="19">
        <f>현금흐름취합!BX43</f>
        <v>0</v>
      </c>
      <c r="CM43" s="19">
        <f>현금흐름취합!BY43</f>
        <v>0</v>
      </c>
      <c r="CN43" s="19">
        <f>현금흐름취합!BZ43</f>
        <v>0</v>
      </c>
      <c r="CO43" s="19">
        <f>현금흐름취합!CA43</f>
        <v>0</v>
      </c>
      <c r="CP43" s="19">
        <f>현금흐름취합!CB43</f>
        <v>0</v>
      </c>
      <c r="CQ43" s="19">
        <f>현금흐름취합!CC43</f>
        <v>0</v>
      </c>
      <c r="CR43" s="19">
        <f>현금흐름취합!CD43</f>
        <v>0</v>
      </c>
      <c r="CS43" s="19">
        <f>현금흐름취합!CE43</f>
        <v>0</v>
      </c>
      <c r="CT43" s="19">
        <f>현금흐름취합!CF43</f>
        <v>0</v>
      </c>
      <c r="CU43" s="19">
        <f>현금흐름취합!CG43</f>
        <v>0</v>
      </c>
      <c r="CV43" s="19">
        <f>현금흐름취합!CH43</f>
        <v>0</v>
      </c>
      <c r="CW43" s="19">
        <f>현금흐름취합!CI43</f>
        <v>0</v>
      </c>
      <c r="CX43" s="19">
        <f>현금흐름취합!CJ43</f>
        <v>0</v>
      </c>
      <c r="CY43" s="19">
        <f>현금흐름취합!CK43</f>
        <v>0</v>
      </c>
      <c r="CZ43" s="19">
        <f>현금흐름취합!CL43</f>
        <v>0</v>
      </c>
      <c r="DA43" s="19">
        <f>현금흐름취합!CM43</f>
        <v>0</v>
      </c>
      <c r="DB43" s="19">
        <f>현금흐름취합!CN43</f>
        <v>0</v>
      </c>
      <c r="DC43" s="19">
        <f>현금흐름취합!CO43</f>
        <v>0</v>
      </c>
      <c r="DD43" s="19">
        <f>현금흐름취합!CP43</f>
        <v>0</v>
      </c>
      <c r="DE43" s="19">
        <f>현금흐름취합!CQ43</f>
        <v>0</v>
      </c>
      <c r="DF43" s="19">
        <f>현금흐름취합!CR43</f>
        <v>0</v>
      </c>
      <c r="DG43" s="19">
        <f>현금흐름취합!CS43</f>
        <v>0</v>
      </c>
      <c r="DH43" s="19">
        <f>현금흐름취합!CT43</f>
        <v>0</v>
      </c>
      <c r="DI43" s="19">
        <f>현금흐름취합!CU43</f>
        <v>0</v>
      </c>
      <c r="DJ43" s="19">
        <f>현금흐름취합!CV43</f>
        <v>0</v>
      </c>
      <c r="DK43" s="19">
        <f>현금흐름취합!CW43</f>
        <v>0</v>
      </c>
      <c r="DL43" s="19">
        <f>현금흐름취합!CX43</f>
        <v>0</v>
      </c>
      <c r="DM43" s="19">
        <f>현금흐름취합!CY43</f>
        <v>0</v>
      </c>
      <c r="DN43" s="19">
        <f>현금흐름취합!CZ43</f>
        <v>0</v>
      </c>
      <c r="DO43" s="19">
        <f>현금흐름취합!DA43</f>
        <v>0</v>
      </c>
      <c r="DP43" s="19">
        <f>현금흐름취합!DB43</f>
        <v>0</v>
      </c>
      <c r="DQ43" s="19">
        <f>현금흐름취합!DC43</f>
        <v>0</v>
      </c>
      <c r="DR43" s="19">
        <f>현금흐름취합!DD43</f>
        <v>0</v>
      </c>
      <c r="DS43" s="19">
        <f>현금흐름취합!DE43</f>
        <v>0</v>
      </c>
      <c r="DT43" s="19">
        <f>현금흐름취합!DF43</f>
        <v>0</v>
      </c>
      <c r="DU43" s="19">
        <f>현금흐름취합!DG43</f>
        <v>0</v>
      </c>
      <c r="DV43" s="19">
        <f>현금흐름취합!DH43</f>
        <v>0</v>
      </c>
      <c r="DW43" s="19">
        <f>현금흐름취합!DI43</f>
        <v>0</v>
      </c>
      <c r="DX43" s="19">
        <f>현금흐름취합!DJ43</f>
        <v>0</v>
      </c>
      <c r="DY43" s="19">
        <f>현금흐름취합!DK43</f>
        <v>0</v>
      </c>
      <c r="DZ43" s="19">
        <f>현금흐름취합!DL43</f>
        <v>0</v>
      </c>
      <c r="EA43" s="19">
        <f>현금흐름취합!DM43</f>
        <v>0</v>
      </c>
      <c r="EB43" s="19">
        <f>현금흐름취합!DN43</f>
        <v>0</v>
      </c>
      <c r="EC43" s="19">
        <f>현금흐름취합!DO43</f>
        <v>0</v>
      </c>
      <c r="ED43" s="19">
        <f>현금흐름취합!DP43</f>
        <v>0</v>
      </c>
      <c r="EE43" s="19">
        <f>현금흐름취합!DQ43</f>
        <v>0</v>
      </c>
      <c r="EF43" s="19">
        <f>현금흐름취합!DR43</f>
        <v>0</v>
      </c>
      <c r="EG43" s="19">
        <f>현금흐름취합!DS43</f>
        <v>0</v>
      </c>
      <c r="EH43" s="19">
        <f>현금흐름취합!DT43</f>
        <v>0</v>
      </c>
      <c r="EI43" s="19">
        <f>현금흐름취합!DU43</f>
        <v>0</v>
      </c>
      <c r="EJ43" s="19">
        <f>현금흐름취합!DV43</f>
        <v>0</v>
      </c>
      <c r="EK43" s="19">
        <f>현금흐름취합!DW43</f>
        <v>0</v>
      </c>
      <c r="EL43" s="19">
        <f>현금흐름취합!DX43</f>
        <v>0</v>
      </c>
      <c r="EM43" s="19">
        <f>현금흐름취합!DY43</f>
        <v>0</v>
      </c>
      <c r="EN43" s="19">
        <f>현금흐름취합!DZ43</f>
        <v>0</v>
      </c>
      <c r="EO43" s="19">
        <f>현금흐름취합!EA43</f>
        <v>0</v>
      </c>
      <c r="EP43" s="19">
        <f>현금흐름취합!EB43</f>
        <v>0</v>
      </c>
      <c r="EQ43" s="19">
        <f>현금흐름취합!EC43</f>
        <v>0</v>
      </c>
      <c r="ER43" s="19">
        <f>현금흐름취합!ED43</f>
        <v>0</v>
      </c>
      <c r="ES43" s="19">
        <f>현금흐름취합!EE43</f>
        <v>0</v>
      </c>
    </row>
    <row r="44" spans="1:149" hidden="1">
      <c r="A44" s="7">
        <f>현금흐름취합!A44</f>
        <v>0</v>
      </c>
      <c r="B44" s="7">
        <f>현금흐름취합!B44</f>
        <v>0</v>
      </c>
      <c r="C44" s="7">
        <f>현금흐름취합!C44</f>
        <v>0</v>
      </c>
      <c r="D44" s="8">
        <f>현금흐름취합!D44</f>
        <v>0</v>
      </c>
      <c r="E44" s="37"/>
      <c r="F44" s="8">
        <f>현금흐름취합!E44</f>
        <v>0</v>
      </c>
      <c r="G44" s="37" t="str">
        <f t="shared" si="1"/>
        <v>pool 고치세요</v>
      </c>
      <c r="H44" s="9">
        <f>현금흐름취합!F44</f>
        <v>0</v>
      </c>
      <c r="I44" s="10">
        <f>현금흐름취합!G44</f>
        <v>0</v>
      </c>
      <c r="J44" s="39" t="e">
        <f t="shared" si="24"/>
        <v>#DIV/0!</v>
      </c>
      <c r="K44" s="11">
        <f>현금흐름취합!H44</f>
        <v>0</v>
      </c>
      <c r="L44" s="40" t="e">
        <f>VLOOKUP(A44,'Sheet A'!$E$11:$K$60,7,0)=K44</f>
        <v>#N/A</v>
      </c>
      <c r="M44" s="12">
        <f>현금흐름취합!I44</f>
        <v>0</v>
      </c>
      <c r="N44" s="40" t="str">
        <f t="shared" si="25"/>
        <v>검토요</v>
      </c>
      <c r="O44" s="13">
        <f>현금흐름취합!J44</f>
        <v>0</v>
      </c>
      <c r="P44" s="14">
        <f>현금흐름취합!K44</f>
        <v>0</v>
      </c>
      <c r="Q44" s="18">
        <f>현금흐름취합!L44</f>
        <v>0</v>
      </c>
      <c r="R44" s="15">
        <f>현금흐름취합!M44</f>
        <v>0</v>
      </c>
      <c r="S44" s="40" t="e">
        <f t="shared" si="26"/>
        <v>#NUM!</v>
      </c>
      <c r="T44" s="16">
        <f>현금흐름취합!N44</f>
        <v>0</v>
      </c>
      <c r="U44" s="40" t="b">
        <f t="shared" si="27"/>
        <v>1</v>
      </c>
      <c r="V44" s="46">
        <f>SUMIF(일반여신!$E$10:$E$35,검증!A44,일반여신!$O$10:$O$35)*0.985-SUMIF(가지급금!$E$10:$E$180,A44,가지급금!$K$10:$K$180)+SUMIF(가지급금!$E$10:$E$180,검증!A44,가지급금!$O$10:$O$180)*0.985</f>
        <v>0</v>
      </c>
      <c r="W44" s="47">
        <f t="shared" si="28"/>
        <v>0</v>
      </c>
      <c r="X44" s="48"/>
      <c r="Y44" s="49">
        <f>SUMIF('Sheet D'!$E$11:$E$60,A44,'Sheet D'!$P$11:$P$60)</f>
        <v>0</v>
      </c>
      <c r="Z44" s="48">
        <f>SUMIFS(일반여신!$M$10:$M$35,일반여신!$E$10:$E$35,A44,일반여신!$P$10:$P$35,"신옹보증서대위변제")</f>
        <v>0</v>
      </c>
      <c r="AA44" s="48">
        <f t="shared" si="29"/>
        <v>0</v>
      </c>
      <c r="AB44" s="50"/>
      <c r="AC44" s="19">
        <f>현금흐름취합!O44</f>
        <v>0</v>
      </c>
      <c r="AD44" s="19">
        <f>현금흐름취합!P44</f>
        <v>0</v>
      </c>
      <c r="AE44" s="19">
        <f>현금흐름취합!Q44</f>
        <v>0</v>
      </c>
      <c r="AF44" s="19">
        <f>현금흐름취합!R44</f>
        <v>0</v>
      </c>
      <c r="AG44" s="19">
        <f>현금흐름취합!S44</f>
        <v>0</v>
      </c>
      <c r="AH44" s="19">
        <f>현금흐름취합!T44</f>
        <v>0</v>
      </c>
      <c r="AI44" s="19">
        <f>현금흐름취합!U44</f>
        <v>0</v>
      </c>
      <c r="AJ44" s="19">
        <f>현금흐름취합!V44</f>
        <v>0</v>
      </c>
      <c r="AK44" s="19">
        <f>현금흐름취합!W44</f>
        <v>0</v>
      </c>
      <c r="AL44" s="19">
        <f>현금흐름취합!X44</f>
        <v>0</v>
      </c>
      <c r="AM44" s="19">
        <f>현금흐름취합!Y44</f>
        <v>0</v>
      </c>
      <c r="AN44" s="19">
        <f>현금흐름취합!Z44</f>
        <v>0</v>
      </c>
      <c r="AO44" s="19">
        <f>현금흐름취합!AA44</f>
        <v>0</v>
      </c>
      <c r="AP44" s="19">
        <f>현금흐름취합!AB44</f>
        <v>0</v>
      </c>
      <c r="AQ44" s="19">
        <f>현금흐름취합!AC44</f>
        <v>0</v>
      </c>
      <c r="AR44" s="19">
        <f>현금흐름취합!AD44</f>
        <v>0</v>
      </c>
      <c r="AS44" s="19">
        <f>현금흐름취합!AE44</f>
        <v>0</v>
      </c>
      <c r="AT44" s="19">
        <f>현금흐름취합!AF44</f>
        <v>0</v>
      </c>
      <c r="AU44" s="19">
        <f>현금흐름취합!AG44</f>
        <v>0</v>
      </c>
      <c r="AV44" s="19">
        <f>현금흐름취합!AH44</f>
        <v>0</v>
      </c>
      <c r="AW44" s="19">
        <f>현금흐름취합!AI44</f>
        <v>0</v>
      </c>
      <c r="AX44" s="19">
        <f>현금흐름취합!AJ44</f>
        <v>0</v>
      </c>
      <c r="AY44" s="19">
        <f>현금흐름취합!AK44</f>
        <v>0</v>
      </c>
      <c r="AZ44" s="19">
        <f>현금흐름취합!AL44</f>
        <v>0</v>
      </c>
      <c r="BA44" s="19">
        <f>현금흐름취합!AM44</f>
        <v>0</v>
      </c>
      <c r="BB44" s="19">
        <f>현금흐름취합!AN44</f>
        <v>0</v>
      </c>
      <c r="BC44" s="19">
        <f>현금흐름취합!AO44</f>
        <v>0</v>
      </c>
      <c r="BD44" s="19">
        <f>현금흐름취합!AP44</f>
        <v>0</v>
      </c>
      <c r="BE44" s="19">
        <f>현금흐름취합!AQ44</f>
        <v>0</v>
      </c>
      <c r="BF44" s="19">
        <f>현금흐름취합!AR44</f>
        <v>0</v>
      </c>
      <c r="BG44" s="19">
        <f>현금흐름취합!AS44</f>
        <v>0</v>
      </c>
      <c r="BH44" s="19">
        <f>현금흐름취합!AT44</f>
        <v>0</v>
      </c>
      <c r="BI44" s="19">
        <f>현금흐름취합!AU44</f>
        <v>0</v>
      </c>
      <c r="BJ44" s="19">
        <f>현금흐름취합!AV44</f>
        <v>0</v>
      </c>
      <c r="BK44" s="19">
        <f>현금흐름취합!AW44</f>
        <v>0</v>
      </c>
      <c r="BL44" s="19">
        <f>현금흐름취합!AX44</f>
        <v>0</v>
      </c>
      <c r="BM44" s="19">
        <f>현금흐름취합!AY44</f>
        <v>0</v>
      </c>
      <c r="BN44" s="19">
        <f>현금흐름취합!AZ44</f>
        <v>0</v>
      </c>
      <c r="BO44" s="19">
        <f>현금흐름취합!BA44</f>
        <v>0</v>
      </c>
      <c r="BP44" s="19">
        <f>현금흐름취합!BB44</f>
        <v>0</v>
      </c>
      <c r="BQ44" s="19">
        <f>현금흐름취합!BC44</f>
        <v>0</v>
      </c>
      <c r="BR44" s="19">
        <f>현금흐름취합!BD44</f>
        <v>0</v>
      </c>
      <c r="BS44" s="19">
        <f>현금흐름취합!BE44</f>
        <v>0</v>
      </c>
      <c r="BT44" s="19">
        <f>현금흐름취합!BF44</f>
        <v>0</v>
      </c>
      <c r="BU44" s="19">
        <f>현금흐름취합!BG44</f>
        <v>0</v>
      </c>
      <c r="BV44" s="19">
        <f>현금흐름취합!BH44</f>
        <v>0</v>
      </c>
      <c r="BW44" s="19">
        <f>현금흐름취합!BI44</f>
        <v>0</v>
      </c>
      <c r="BX44" s="19">
        <f>현금흐름취합!BJ44</f>
        <v>0</v>
      </c>
      <c r="BY44" s="19">
        <f>현금흐름취합!BK44</f>
        <v>0</v>
      </c>
      <c r="BZ44" s="19">
        <f>현금흐름취합!BL44</f>
        <v>0</v>
      </c>
      <c r="CA44" s="19">
        <f>현금흐름취합!BM44</f>
        <v>0</v>
      </c>
      <c r="CB44" s="19">
        <f>현금흐름취합!BN44</f>
        <v>0</v>
      </c>
      <c r="CC44" s="19">
        <f>현금흐름취합!BO44</f>
        <v>0</v>
      </c>
      <c r="CD44" s="19">
        <f>현금흐름취합!BP44</f>
        <v>0</v>
      </c>
      <c r="CE44" s="19">
        <f>현금흐름취합!BQ44</f>
        <v>0</v>
      </c>
      <c r="CF44" s="19">
        <f>현금흐름취합!BR44</f>
        <v>0</v>
      </c>
      <c r="CG44" s="19">
        <f>현금흐름취합!BS44</f>
        <v>0</v>
      </c>
      <c r="CH44" s="19">
        <f>현금흐름취합!BT44</f>
        <v>0</v>
      </c>
      <c r="CI44" s="19">
        <f>현금흐름취합!BU44</f>
        <v>0</v>
      </c>
      <c r="CJ44" s="19">
        <f>현금흐름취합!BV44</f>
        <v>0</v>
      </c>
      <c r="CK44" s="19">
        <f>현금흐름취합!BW44</f>
        <v>0</v>
      </c>
      <c r="CL44" s="19">
        <f>현금흐름취합!BX44</f>
        <v>0</v>
      </c>
      <c r="CM44" s="19">
        <f>현금흐름취합!BY44</f>
        <v>0</v>
      </c>
      <c r="CN44" s="19">
        <f>현금흐름취합!BZ44</f>
        <v>0</v>
      </c>
      <c r="CO44" s="19">
        <f>현금흐름취합!CA44</f>
        <v>0</v>
      </c>
      <c r="CP44" s="19">
        <f>현금흐름취합!CB44</f>
        <v>0</v>
      </c>
      <c r="CQ44" s="19">
        <f>현금흐름취합!CC44</f>
        <v>0</v>
      </c>
      <c r="CR44" s="19">
        <f>현금흐름취합!CD44</f>
        <v>0</v>
      </c>
      <c r="CS44" s="19">
        <f>현금흐름취합!CE44</f>
        <v>0</v>
      </c>
      <c r="CT44" s="19">
        <f>현금흐름취합!CF44</f>
        <v>0</v>
      </c>
      <c r="CU44" s="19">
        <f>현금흐름취합!CG44</f>
        <v>0</v>
      </c>
      <c r="CV44" s="19">
        <f>현금흐름취합!CH44</f>
        <v>0</v>
      </c>
      <c r="CW44" s="19">
        <f>현금흐름취합!CI44</f>
        <v>0</v>
      </c>
      <c r="CX44" s="19">
        <f>현금흐름취합!CJ44</f>
        <v>0</v>
      </c>
      <c r="CY44" s="19">
        <f>현금흐름취합!CK44</f>
        <v>0</v>
      </c>
      <c r="CZ44" s="19">
        <f>현금흐름취합!CL44</f>
        <v>0</v>
      </c>
      <c r="DA44" s="19">
        <f>현금흐름취합!CM44</f>
        <v>0</v>
      </c>
      <c r="DB44" s="19">
        <f>현금흐름취합!CN44</f>
        <v>0</v>
      </c>
      <c r="DC44" s="19">
        <f>현금흐름취합!CO44</f>
        <v>0</v>
      </c>
      <c r="DD44" s="19">
        <f>현금흐름취합!CP44</f>
        <v>0</v>
      </c>
      <c r="DE44" s="19">
        <f>현금흐름취합!CQ44</f>
        <v>0</v>
      </c>
      <c r="DF44" s="19">
        <f>현금흐름취합!CR44</f>
        <v>0</v>
      </c>
      <c r="DG44" s="19">
        <f>현금흐름취합!CS44</f>
        <v>0</v>
      </c>
      <c r="DH44" s="19">
        <f>현금흐름취합!CT44</f>
        <v>0</v>
      </c>
      <c r="DI44" s="19">
        <f>현금흐름취합!CU44</f>
        <v>0</v>
      </c>
      <c r="DJ44" s="19">
        <f>현금흐름취합!CV44</f>
        <v>0</v>
      </c>
      <c r="DK44" s="19">
        <f>현금흐름취합!CW44</f>
        <v>0</v>
      </c>
      <c r="DL44" s="19">
        <f>현금흐름취합!CX44</f>
        <v>0</v>
      </c>
      <c r="DM44" s="19">
        <f>현금흐름취합!CY44</f>
        <v>0</v>
      </c>
      <c r="DN44" s="19">
        <f>현금흐름취합!CZ44</f>
        <v>0</v>
      </c>
      <c r="DO44" s="19">
        <f>현금흐름취합!DA44</f>
        <v>0</v>
      </c>
      <c r="DP44" s="19">
        <f>현금흐름취합!DB44</f>
        <v>0</v>
      </c>
      <c r="DQ44" s="19">
        <f>현금흐름취합!DC44</f>
        <v>0</v>
      </c>
      <c r="DR44" s="19">
        <f>현금흐름취합!DD44</f>
        <v>0</v>
      </c>
      <c r="DS44" s="19">
        <f>현금흐름취합!DE44</f>
        <v>0</v>
      </c>
      <c r="DT44" s="19">
        <f>현금흐름취합!DF44</f>
        <v>0</v>
      </c>
      <c r="DU44" s="19">
        <f>현금흐름취합!DG44</f>
        <v>0</v>
      </c>
      <c r="DV44" s="19">
        <f>현금흐름취합!DH44</f>
        <v>0</v>
      </c>
      <c r="DW44" s="19">
        <f>현금흐름취합!DI44</f>
        <v>0</v>
      </c>
      <c r="DX44" s="19">
        <f>현금흐름취합!DJ44</f>
        <v>0</v>
      </c>
      <c r="DY44" s="19">
        <f>현금흐름취합!DK44</f>
        <v>0</v>
      </c>
      <c r="DZ44" s="19">
        <f>현금흐름취합!DL44</f>
        <v>0</v>
      </c>
      <c r="EA44" s="19">
        <f>현금흐름취합!DM44</f>
        <v>0</v>
      </c>
      <c r="EB44" s="19">
        <f>현금흐름취합!DN44</f>
        <v>0</v>
      </c>
      <c r="EC44" s="19">
        <f>현금흐름취합!DO44</f>
        <v>0</v>
      </c>
      <c r="ED44" s="19">
        <f>현금흐름취합!DP44</f>
        <v>0</v>
      </c>
      <c r="EE44" s="19">
        <f>현금흐름취합!DQ44</f>
        <v>0</v>
      </c>
      <c r="EF44" s="19">
        <f>현금흐름취합!DR44</f>
        <v>0</v>
      </c>
      <c r="EG44" s="19">
        <f>현금흐름취합!DS44</f>
        <v>0</v>
      </c>
      <c r="EH44" s="19">
        <f>현금흐름취합!DT44</f>
        <v>0</v>
      </c>
      <c r="EI44" s="19">
        <f>현금흐름취합!DU44</f>
        <v>0</v>
      </c>
      <c r="EJ44" s="19">
        <f>현금흐름취합!DV44</f>
        <v>0</v>
      </c>
      <c r="EK44" s="19">
        <f>현금흐름취합!DW44</f>
        <v>0</v>
      </c>
      <c r="EL44" s="19">
        <f>현금흐름취합!DX44</f>
        <v>0</v>
      </c>
      <c r="EM44" s="19">
        <f>현금흐름취합!DY44</f>
        <v>0</v>
      </c>
      <c r="EN44" s="19">
        <f>현금흐름취합!DZ44</f>
        <v>0</v>
      </c>
      <c r="EO44" s="19">
        <f>현금흐름취합!EA44</f>
        <v>0</v>
      </c>
      <c r="EP44" s="19">
        <f>현금흐름취합!EB44</f>
        <v>0</v>
      </c>
      <c r="EQ44" s="19">
        <f>현금흐름취합!EC44</f>
        <v>0</v>
      </c>
      <c r="ER44" s="19">
        <f>현금흐름취합!ED44</f>
        <v>0</v>
      </c>
      <c r="ES44" s="19">
        <f>현금흐름취합!EE44</f>
        <v>0</v>
      </c>
    </row>
    <row r="45" spans="1:149" hidden="1">
      <c r="A45" s="7">
        <f>현금흐름취합!A45</f>
        <v>0</v>
      </c>
      <c r="B45" s="7">
        <f>현금흐름취합!B45</f>
        <v>0</v>
      </c>
      <c r="C45" s="7">
        <f>현금흐름취합!C45</f>
        <v>0</v>
      </c>
      <c r="D45" s="8">
        <f>현금흐름취합!D45</f>
        <v>0</v>
      </c>
      <c r="E45" s="37" t="str">
        <f t="shared" ref="E45" si="32">IF(R44&gt;R45,"역전현상","이상없음")</f>
        <v>이상없음</v>
      </c>
      <c r="F45" s="8">
        <f>현금흐름취합!E45</f>
        <v>0</v>
      </c>
      <c r="G45" s="37" t="str">
        <f t="shared" si="1"/>
        <v>pool 고치세요</v>
      </c>
      <c r="H45" s="9">
        <f>현금흐름취합!F45</f>
        <v>0</v>
      </c>
      <c r="I45" s="10">
        <f>현금흐름취합!G45</f>
        <v>0</v>
      </c>
      <c r="J45" s="39" t="e">
        <f t="shared" si="24"/>
        <v>#DIV/0!</v>
      </c>
      <c r="K45" s="11">
        <f>현금흐름취합!H45</f>
        <v>0</v>
      </c>
      <c r="L45" s="40" t="e">
        <f>VLOOKUP(A45,'Sheet A'!$E$11:$K$60,7,0)=K45</f>
        <v>#N/A</v>
      </c>
      <c r="M45" s="12">
        <f>현금흐름취합!I45</f>
        <v>0</v>
      </c>
      <c r="N45" s="40" t="str">
        <f t="shared" si="25"/>
        <v>검토요</v>
      </c>
      <c r="O45" s="13">
        <f>현금흐름취합!J45</f>
        <v>0</v>
      </c>
      <c r="P45" s="14">
        <f>현금흐름취합!K45</f>
        <v>0</v>
      </c>
      <c r="Q45" s="18">
        <f>현금흐름취합!L45</f>
        <v>0</v>
      </c>
      <c r="R45" s="15">
        <f>현금흐름취합!M45</f>
        <v>0</v>
      </c>
      <c r="S45" s="40" t="e">
        <f t="shared" si="26"/>
        <v>#NUM!</v>
      </c>
      <c r="T45" s="16">
        <f>현금흐름취합!N45</f>
        <v>0</v>
      </c>
      <c r="U45" s="40" t="b">
        <f t="shared" si="27"/>
        <v>1</v>
      </c>
      <c r="V45" s="46">
        <f>SUMIF(일반여신!$E$10:$E$35,검증!A45,일반여신!$O$10:$O$35)*0.985-SUMIF(가지급금!$E$10:$E$180,A45,가지급금!$K$10:$K$180)+SUMIF(가지급금!$E$10:$E$180,검증!A45,가지급금!$O$10:$O$180)*0.985</f>
        <v>0</v>
      </c>
      <c r="W45" s="47">
        <f t="shared" si="28"/>
        <v>0</v>
      </c>
      <c r="X45" s="48"/>
      <c r="Y45" s="49">
        <f>SUMIF('Sheet D'!$E$11:$E$60,A45,'Sheet D'!$P$11:$P$60)</f>
        <v>0</v>
      </c>
      <c r="Z45" s="48">
        <f>SUMIFS(일반여신!$M$10:$M$35,일반여신!$E$10:$E$35,A45,일반여신!$P$10:$P$35,"신옹보증서대위변제")</f>
        <v>0</v>
      </c>
      <c r="AA45" s="48">
        <f t="shared" si="29"/>
        <v>0</v>
      </c>
      <c r="AB45" s="50"/>
      <c r="AC45" s="19">
        <f>현금흐름취합!O45</f>
        <v>0</v>
      </c>
      <c r="AD45" s="19">
        <f>현금흐름취합!P45</f>
        <v>0</v>
      </c>
      <c r="AE45" s="19">
        <f>현금흐름취합!Q45</f>
        <v>0</v>
      </c>
      <c r="AF45" s="19">
        <f>현금흐름취합!R45</f>
        <v>0</v>
      </c>
      <c r="AG45" s="19">
        <f>현금흐름취합!S45</f>
        <v>0</v>
      </c>
      <c r="AH45" s="19">
        <f>현금흐름취합!T45</f>
        <v>0</v>
      </c>
      <c r="AI45" s="19">
        <f>현금흐름취합!U45</f>
        <v>0</v>
      </c>
      <c r="AJ45" s="19">
        <f>현금흐름취합!V45</f>
        <v>0</v>
      </c>
      <c r="AK45" s="19">
        <f>현금흐름취합!W45</f>
        <v>0</v>
      </c>
      <c r="AL45" s="19">
        <f>현금흐름취합!X45</f>
        <v>0</v>
      </c>
      <c r="AM45" s="19">
        <f>현금흐름취합!Y45</f>
        <v>0</v>
      </c>
      <c r="AN45" s="19">
        <f>현금흐름취합!Z45</f>
        <v>0</v>
      </c>
      <c r="AO45" s="19">
        <f>현금흐름취합!AA45</f>
        <v>0</v>
      </c>
      <c r="AP45" s="19">
        <f>현금흐름취합!AB45</f>
        <v>0</v>
      </c>
      <c r="AQ45" s="19">
        <f>현금흐름취합!AC45</f>
        <v>0</v>
      </c>
      <c r="AR45" s="19">
        <f>현금흐름취합!AD45</f>
        <v>0</v>
      </c>
      <c r="AS45" s="19">
        <f>현금흐름취합!AE45</f>
        <v>0</v>
      </c>
      <c r="AT45" s="19">
        <f>현금흐름취합!AF45</f>
        <v>0</v>
      </c>
      <c r="AU45" s="19">
        <f>현금흐름취합!AG45</f>
        <v>0</v>
      </c>
      <c r="AV45" s="19">
        <f>현금흐름취합!AH45</f>
        <v>0</v>
      </c>
      <c r="AW45" s="19">
        <f>현금흐름취합!AI45</f>
        <v>0</v>
      </c>
      <c r="AX45" s="19">
        <f>현금흐름취합!AJ45</f>
        <v>0</v>
      </c>
      <c r="AY45" s="19">
        <f>현금흐름취합!AK45</f>
        <v>0</v>
      </c>
      <c r="AZ45" s="19">
        <f>현금흐름취합!AL45</f>
        <v>0</v>
      </c>
      <c r="BA45" s="19">
        <f>현금흐름취합!AM45</f>
        <v>0</v>
      </c>
      <c r="BB45" s="19">
        <f>현금흐름취합!AN45</f>
        <v>0</v>
      </c>
      <c r="BC45" s="19">
        <f>현금흐름취합!AO45</f>
        <v>0</v>
      </c>
      <c r="BD45" s="19">
        <f>현금흐름취합!AP45</f>
        <v>0</v>
      </c>
      <c r="BE45" s="19">
        <f>현금흐름취합!AQ45</f>
        <v>0</v>
      </c>
      <c r="BF45" s="19">
        <f>현금흐름취합!AR45</f>
        <v>0</v>
      </c>
      <c r="BG45" s="19">
        <f>현금흐름취합!AS45</f>
        <v>0</v>
      </c>
      <c r="BH45" s="19">
        <f>현금흐름취합!AT45</f>
        <v>0</v>
      </c>
      <c r="BI45" s="19">
        <f>현금흐름취합!AU45</f>
        <v>0</v>
      </c>
      <c r="BJ45" s="19">
        <f>현금흐름취합!AV45</f>
        <v>0</v>
      </c>
      <c r="BK45" s="19">
        <f>현금흐름취합!AW45</f>
        <v>0</v>
      </c>
      <c r="BL45" s="19">
        <f>현금흐름취합!AX45</f>
        <v>0</v>
      </c>
      <c r="BM45" s="19">
        <f>현금흐름취합!AY45</f>
        <v>0</v>
      </c>
      <c r="BN45" s="19">
        <f>현금흐름취합!AZ45</f>
        <v>0</v>
      </c>
      <c r="BO45" s="19">
        <f>현금흐름취합!BA45</f>
        <v>0</v>
      </c>
      <c r="BP45" s="19">
        <f>현금흐름취합!BB45</f>
        <v>0</v>
      </c>
      <c r="BQ45" s="19">
        <f>현금흐름취합!BC45</f>
        <v>0</v>
      </c>
      <c r="BR45" s="19">
        <f>현금흐름취합!BD45</f>
        <v>0</v>
      </c>
      <c r="BS45" s="19">
        <f>현금흐름취합!BE45</f>
        <v>0</v>
      </c>
      <c r="BT45" s="19">
        <f>현금흐름취합!BF45</f>
        <v>0</v>
      </c>
      <c r="BU45" s="19">
        <f>현금흐름취합!BG45</f>
        <v>0</v>
      </c>
      <c r="BV45" s="19">
        <f>현금흐름취합!BH45</f>
        <v>0</v>
      </c>
      <c r="BW45" s="19">
        <f>현금흐름취합!BI45</f>
        <v>0</v>
      </c>
      <c r="BX45" s="19">
        <f>현금흐름취합!BJ45</f>
        <v>0</v>
      </c>
      <c r="BY45" s="19">
        <f>현금흐름취합!BK45</f>
        <v>0</v>
      </c>
      <c r="BZ45" s="19">
        <f>현금흐름취합!BL45</f>
        <v>0</v>
      </c>
      <c r="CA45" s="19">
        <f>현금흐름취합!BM45</f>
        <v>0</v>
      </c>
      <c r="CB45" s="19">
        <f>현금흐름취합!BN45</f>
        <v>0</v>
      </c>
      <c r="CC45" s="19">
        <f>현금흐름취합!BO45</f>
        <v>0</v>
      </c>
      <c r="CD45" s="19">
        <f>현금흐름취합!BP45</f>
        <v>0</v>
      </c>
      <c r="CE45" s="19">
        <f>현금흐름취합!BQ45</f>
        <v>0</v>
      </c>
      <c r="CF45" s="19">
        <f>현금흐름취합!BR45</f>
        <v>0</v>
      </c>
      <c r="CG45" s="19">
        <f>현금흐름취합!BS45</f>
        <v>0</v>
      </c>
      <c r="CH45" s="19">
        <f>현금흐름취합!BT45</f>
        <v>0</v>
      </c>
      <c r="CI45" s="19">
        <f>현금흐름취합!BU45</f>
        <v>0</v>
      </c>
      <c r="CJ45" s="19">
        <f>현금흐름취합!BV45</f>
        <v>0</v>
      </c>
      <c r="CK45" s="19">
        <f>현금흐름취합!BW45</f>
        <v>0</v>
      </c>
      <c r="CL45" s="19">
        <f>현금흐름취합!BX45</f>
        <v>0</v>
      </c>
      <c r="CM45" s="19">
        <f>현금흐름취합!BY45</f>
        <v>0</v>
      </c>
      <c r="CN45" s="19">
        <f>현금흐름취합!BZ45</f>
        <v>0</v>
      </c>
      <c r="CO45" s="19">
        <f>현금흐름취합!CA45</f>
        <v>0</v>
      </c>
      <c r="CP45" s="19">
        <f>현금흐름취합!CB45</f>
        <v>0</v>
      </c>
      <c r="CQ45" s="19">
        <f>현금흐름취합!CC45</f>
        <v>0</v>
      </c>
      <c r="CR45" s="19">
        <f>현금흐름취합!CD45</f>
        <v>0</v>
      </c>
      <c r="CS45" s="19">
        <f>현금흐름취합!CE45</f>
        <v>0</v>
      </c>
      <c r="CT45" s="19">
        <f>현금흐름취합!CF45</f>
        <v>0</v>
      </c>
      <c r="CU45" s="19">
        <f>현금흐름취합!CG45</f>
        <v>0</v>
      </c>
      <c r="CV45" s="19">
        <f>현금흐름취합!CH45</f>
        <v>0</v>
      </c>
      <c r="CW45" s="19">
        <f>현금흐름취합!CI45</f>
        <v>0</v>
      </c>
      <c r="CX45" s="19">
        <f>현금흐름취합!CJ45</f>
        <v>0</v>
      </c>
      <c r="CY45" s="19">
        <f>현금흐름취합!CK45</f>
        <v>0</v>
      </c>
      <c r="CZ45" s="19">
        <f>현금흐름취합!CL45</f>
        <v>0</v>
      </c>
      <c r="DA45" s="19">
        <f>현금흐름취합!CM45</f>
        <v>0</v>
      </c>
      <c r="DB45" s="19">
        <f>현금흐름취합!CN45</f>
        <v>0</v>
      </c>
      <c r="DC45" s="19">
        <f>현금흐름취합!CO45</f>
        <v>0</v>
      </c>
      <c r="DD45" s="19">
        <f>현금흐름취합!CP45</f>
        <v>0</v>
      </c>
      <c r="DE45" s="19">
        <f>현금흐름취합!CQ45</f>
        <v>0</v>
      </c>
      <c r="DF45" s="19">
        <f>현금흐름취합!CR45</f>
        <v>0</v>
      </c>
      <c r="DG45" s="19">
        <f>현금흐름취합!CS45</f>
        <v>0</v>
      </c>
      <c r="DH45" s="19">
        <f>현금흐름취합!CT45</f>
        <v>0</v>
      </c>
      <c r="DI45" s="19">
        <f>현금흐름취합!CU45</f>
        <v>0</v>
      </c>
      <c r="DJ45" s="19">
        <f>현금흐름취합!CV45</f>
        <v>0</v>
      </c>
      <c r="DK45" s="19">
        <f>현금흐름취합!CW45</f>
        <v>0</v>
      </c>
      <c r="DL45" s="19">
        <f>현금흐름취합!CX45</f>
        <v>0</v>
      </c>
      <c r="DM45" s="19">
        <f>현금흐름취합!CY45</f>
        <v>0</v>
      </c>
      <c r="DN45" s="19">
        <f>현금흐름취합!CZ45</f>
        <v>0</v>
      </c>
      <c r="DO45" s="19">
        <f>현금흐름취합!DA45</f>
        <v>0</v>
      </c>
      <c r="DP45" s="19">
        <f>현금흐름취합!DB45</f>
        <v>0</v>
      </c>
      <c r="DQ45" s="19">
        <f>현금흐름취합!DC45</f>
        <v>0</v>
      </c>
      <c r="DR45" s="19">
        <f>현금흐름취합!DD45</f>
        <v>0</v>
      </c>
      <c r="DS45" s="19">
        <f>현금흐름취합!DE45</f>
        <v>0</v>
      </c>
      <c r="DT45" s="19">
        <f>현금흐름취합!DF45</f>
        <v>0</v>
      </c>
      <c r="DU45" s="19">
        <f>현금흐름취합!DG45</f>
        <v>0</v>
      </c>
      <c r="DV45" s="19">
        <f>현금흐름취합!DH45</f>
        <v>0</v>
      </c>
      <c r="DW45" s="19">
        <f>현금흐름취합!DI45</f>
        <v>0</v>
      </c>
      <c r="DX45" s="19">
        <f>현금흐름취합!DJ45</f>
        <v>0</v>
      </c>
      <c r="DY45" s="19">
        <f>현금흐름취합!DK45</f>
        <v>0</v>
      </c>
      <c r="DZ45" s="19">
        <f>현금흐름취합!DL45</f>
        <v>0</v>
      </c>
      <c r="EA45" s="19">
        <f>현금흐름취합!DM45</f>
        <v>0</v>
      </c>
      <c r="EB45" s="19">
        <f>현금흐름취합!DN45</f>
        <v>0</v>
      </c>
      <c r="EC45" s="19">
        <f>현금흐름취합!DO45</f>
        <v>0</v>
      </c>
      <c r="ED45" s="19">
        <f>현금흐름취합!DP45</f>
        <v>0</v>
      </c>
      <c r="EE45" s="19">
        <f>현금흐름취합!DQ45</f>
        <v>0</v>
      </c>
      <c r="EF45" s="19">
        <f>현금흐름취합!DR45</f>
        <v>0</v>
      </c>
      <c r="EG45" s="19">
        <f>현금흐름취합!DS45</f>
        <v>0</v>
      </c>
      <c r="EH45" s="19">
        <f>현금흐름취합!DT45</f>
        <v>0</v>
      </c>
      <c r="EI45" s="19">
        <f>현금흐름취합!DU45</f>
        <v>0</v>
      </c>
      <c r="EJ45" s="19">
        <f>현금흐름취합!DV45</f>
        <v>0</v>
      </c>
      <c r="EK45" s="19">
        <f>현금흐름취합!DW45</f>
        <v>0</v>
      </c>
      <c r="EL45" s="19">
        <f>현금흐름취합!DX45</f>
        <v>0</v>
      </c>
      <c r="EM45" s="19">
        <f>현금흐름취합!DY45</f>
        <v>0</v>
      </c>
      <c r="EN45" s="19">
        <f>현금흐름취합!DZ45</f>
        <v>0</v>
      </c>
      <c r="EO45" s="19">
        <f>현금흐름취합!EA45</f>
        <v>0</v>
      </c>
      <c r="EP45" s="19">
        <f>현금흐름취합!EB45</f>
        <v>0</v>
      </c>
      <c r="EQ45" s="19">
        <f>현금흐름취합!EC45</f>
        <v>0</v>
      </c>
      <c r="ER45" s="19">
        <f>현금흐름취합!ED45</f>
        <v>0</v>
      </c>
      <c r="ES45" s="19">
        <f>현금흐름취합!EE45</f>
        <v>0</v>
      </c>
    </row>
    <row r="46" spans="1:149" hidden="1">
      <c r="A46" s="7">
        <f>현금흐름취합!A46</f>
        <v>0</v>
      </c>
      <c r="B46" s="7">
        <f>현금흐름취합!B46</f>
        <v>0</v>
      </c>
      <c r="C46" s="7">
        <f>현금흐름취합!C46</f>
        <v>0</v>
      </c>
      <c r="D46" s="8">
        <f>현금흐름취합!D46</f>
        <v>0</v>
      </c>
      <c r="E46" s="37"/>
      <c r="F46" s="8">
        <f>현금흐름취합!E46</f>
        <v>0</v>
      </c>
      <c r="G46" s="37" t="str">
        <f t="shared" si="1"/>
        <v>pool 고치세요</v>
      </c>
      <c r="H46" s="9">
        <f>현금흐름취합!F46</f>
        <v>0</v>
      </c>
      <c r="I46" s="10">
        <f>현금흐름취합!G46</f>
        <v>0</v>
      </c>
      <c r="J46" s="39" t="e">
        <f t="shared" ref="J46:J73" si="33">R46/K46=I46</f>
        <v>#DIV/0!</v>
      </c>
      <c r="K46" s="11">
        <f>현금흐름취합!H46</f>
        <v>0</v>
      </c>
      <c r="L46" s="40" t="e">
        <f>VLOOKUP(A46,'Sheet A'!$E$11:$K$60,7,0)=K46</f>
        <v>#N/A</v>
      </c>
      <c r="M46" s="12">
        <f>현금흐름취합!I46</f>
        <v>0</v>
      </c>
      <c r="N46" s="40" t="str">
        <f t="shared" ref="N46:N73" si="34">IF(M46=12%,"OK","검토요")</f>
        <v>검토요</v>
      </c>
      <c r="O46" s="13">
        <f>현금흐름취합!J46</f>
        <v>0</v>
      </c>
      <c r="P46" s="14">
        <f>현금흐름취합!K46</f>
        <v>0</v>
      </c>
      <c r="Q46" s="18">
        <f>현금흐름취합!L46</f>
        <v>0</v>
      </c>
      <c r="R46" s="15">
        <f>현금흐름취합!M46</f>
        <v>0</v>
      </c>
      <c r="S46" s="40" t="e">
        <f t="shared" ref="S46:S73" si="35">XNPV(M46,AC46:ES46,$AC$1:$ES$1)=R46</f>
        <v>#NUM!</v>
      </c>
      <c r="T46" s="16">
        <f>현금흐름취합!N46</f>
        <v>0</v>
      </c>
      <c r="U46" s="40" t="b">
        <f t="shared" ref="U46:U73" si="36">SUM(AC46:ES46)=T46</f>
        <v>1</v>
      </c>
      <c r="V46" s="46">
        <f>SUMIF(일반여신!$E$10:$E$35,검증!A46,일반여신!$O$10:$O$35)*0.985-SUMIF(가지급금!$E$10:$E$180,A46,가지급금!$K$10:$K$180)+SUMIF(가지급금!$E$10:$E$180,검증!A46,가지급금!$O$10:$O$180)*0.985</f>
        <v>0</v>
      </c>
      <c r="W46" s="47">
        <f t="shared" ref="W46:W73" si="37">V46-AC46</f>
        <v>0</v>
      </c>
      <c r="X46" s="48"/>
      <c r="Y46" s="49">
        <f>SUMIF('Sheet D'!$E$11:$E$60,A46,'Sheet D'!$P$11:$P$60)</f>
        <v>0</v>
      </c>
      <c r="Z46" s="48">
        <f>SUMIFS(일반여신!$M$10:$M$35,일반여신!$E$10:$E$35,A46,일반여신!$P$10:$P$35,"신옹보증서대위변제")</f>
        <v>0</v>
      </c>
      <c r="AA46" s="48">
        <f t="shared" ref="AA46:AA73" si="38">Z46-Y46</f>
        <v>0</v>
      </c>
      <c r="AB46" s="50"/>
      <c r="AC46" s="19">
        <f>현금흐름취합!O46</f>
        <v>0</v>
      </c>
      <c r="AD46" s="19">
        <f>현금흐름취합!P46</f>
        <v>0</v>
      </c>
      <c r="AE46" s="19">
        <f>현금흐름취합!Q46</f>
        <v>0</v>
      </c>
      <c r="AF46" s="19">
        <f>현금흐름취합!R46</f>
        <v>0</v>
      </c>
      <c r="AG46" s="19">
        <f>현금흐름취합!S46</f>
        <v>0</v>
      </c>
      <c r="AH46" s="19">
        <f>현금흐름취합!T46</f>
        <v>0</v>
      </c>
      <c r="AI46" s="19">
        <f>현금흐름취합!U46</f>
        <v>0</v>
      </c>
      <c r="AJ46" s="19">
        <f>현금흐름취합!V46</f>
        <v>0</v>
      </c>
      <c r="AK46" s="19">
        <f>현금흐름취합!W46</f>
        <v>0</v>
      </c>
      <c r="AL46" s="19">
        <f>현금흐름취합!X46</f>
        <v>0</v>
      </c>
      <c r="AM46" s="19">
        <f>현금흐름취합!Y46</f>
        <v>0</v>
      </c>
      <c r="AN46" s="19">
        <f>현금흐름취합!Z46</f>
        <v>0</v>
      </c>
      <c r="AO46" s="19">
        <f>현금흐름취합!AA46</f>
        <v>0</v>
      </c>
      <c r="AP46" s="19">
        <f>현금흐름취합!AB46</f>
        <v>0</v>
      </c>
      <c r="AQ46" s="19">
        <f>현금흐름취합!AC46</f>
        <v>0</v>
      </c>
      <c r="AR46" s="19">
        <f>현금흐름취합!AD46</f>
        <v>0</v>
      </c>
      <c r="AS46" s="19">
        <f>현금흐름취합!AE46</f>
        <v>0</v>
      </c>
      <c r="AT46" s="19">
        <f>현금흐름취합!AF46</f>
        <v>0</v>
      </c>
      <c r="AU46" s="19">
        <f>현금흐름취합!AG46</f>
        <v>0</v>
      </c>
      <c r="AV46" s="19">
        <f>현금흐름취합!AH46</f>
        <v>0</v>
      </c>
      <c r="AW46" s="19">
        <f>현금흐름취합!AI46</f>
        <v>0</v>
      </c>
      <c r="AX46" s="19">
        <f>현금흐름취합!AJ46</f>
        <v>0</v>
      </c>
      <c r="AY46" s="19">
        <f>현금흐름취합!AK46</f>
        <v>0</v>
      </c>
      <c r="AZ46" s="19">
        <f>현금흐름취합!AL46</f>
        <v>0</v>
      </c>
      <c r="BA46" s="19">
        <f>현금흐름취합!AM46</f>
        <v>0</v>
      </c>
      <c r="BB46" s="19">
        <f>현금흐름취합!AN46</f>
        <v>0</v>
      </c>
      <c r="BC46" s="19">
        <f>현금흐름취합!AO46</f>
        <v>0</v>
      </c>
      <c r="BD46" s="19">
        <f>현금흐름취합!AP46</f>
        <v>0</v>
      </c>
      <c r="BE46" s="19">
        <f>현금흐름취합!AQ46</f>
        <v>0</v>
      </c>
      <c r="BF46" s="19">
        <f>현금흐름취합!AR46</f>
        <v>0</v>
      </c>
      <c r="BG46" s="19">
        <f>현금흐름취합!AS46</f>
        <v>0</v>
      </c>
      <c r="BH46" s="19">
        <f>현금흐름취합!AT46</f>
        <v>0</v>
      </c>
      <c r="BI46" s="19">
        <f>현금흐름취합!AU46</f>
        <v>0</v>
      </c>
      <c r="BJ46" s="19">
        <f>현금흐름취합!AV46</f>
        <v>0</v>
      </c>
      <c r="BK46" s="19">
        <f>현금흐름취합!AW46</f>
        <v>0</v>
      </c>
      <c r="BL46" s="19">
        <f>현금흐름취합!AX46</f>
        <v>0</v>
      </c>
      <c r="BM46" s="19">
        <f>현금흐름취합!AY46</f>
        <v>0</v>
      </c>
      <c r="BN46" s="19">
        <f>현금흐름취합!AZ46</f>
        <v>0</v>
      </c>
      <c r="BO46" s="19">
        <f>현금흐름취합!BA46</f>
        <v>0</v>
      </c>
      <c r="BP46" s="19">
        <f>현금흐름취합!BB46</f>
        <v>0</v>
      </c>
      <c r="BQ46" s="19">
        <f>현금흐름취합!BC46</f>
        <v>0</v>
      </c>
      <c r="BR46" s="19">
        <f>현금흐름취합!BD46</f>
        <v>0</v>
      </c>
      <c r="BS46" s="19">
        <f>현금흐름취합!BE46</f>
        <v>0</v>
      </c>
      <c r="BT46" s="19">
        <f>현금흐름취합!BF46</f>
        <v>0</v>
      </c>
      <c r="BU46" s="19">
        <f>현금흐름취합!BG46</f>
        <v>0</v>
      </c>
      <c r="BV46" s="19">
        <f>현금흐름취합!BH46</f>
        <v>0</v>
      </c>
      <c r="BW46" s="19">
        <f>현금흐름취합!BI46</f>
        <v>0</v>
      </c>
      <c r="BX46" s="19">
        <f>현금흐름취합!BJ46</f>
        <v>0</v>
      </c>
      <c r="BY46" s="19">
        <f>현금흐름취합!BK46</f>
        <v>0</v>
      </c>
      <c r="BZ46" s="19">
        <f>현금흐름취합!BL46</f>
        <v>0</v>
      </c>
      <c r="CA46" s="19">
        <f>현금흐름취합!BM46</f>
        <v>0</v>
      </c>
      <c r="CB46" s="19">
        <f>현금흐름취합!BN46</f>
        <v>0</v>
      </c>
      <c r="CC46" s="19">
        <f>현금흐름취합!BO46</f>
        <v>0</v>
      </c>
      <c r="CD46" s="19">
        <f>현금흐름취합!BP46</f>
        <v>0</v>
      </c>
      <c r="CE46" s="19">
        <f>현금흐름취합!BQ46</f>
        <v>0</v>
      </c>
      <c r="CF46" s="19">
        <f>현금흐름취합!BR46</f>
        <v>0</v>
      </c>
      <c r="CG46" s="19">
        <f>현금흐름취합!BS46</f>
        <v>0</v>
      </c>
      <c r="CH46" s="19">
        <f>현금흐름취합!BT46</f>
        <v>0</v>
      </c>
      <c r="CI46" s="19">
        <f>현금흐름취합!BU46</f>
        <v>0</v>
      </c>
      <c r="CJ46" s="19">
        <f>현금흐름취합!BV46</f>
        <v>0</v>
      </c>
      <c r="CK46" s="19">
        <f>현금흐름취합!BW46</f>
        <v>0</v>
      </c>
      <c r="CL46" s="19">
        <f>현금흐름취합!BX46</f>
        <v>0</v>
      </c>
      <c r="CM46" s="19">
        <f>현금흐름취합!BY46</f>
        <v>0</v>
      </c>
      <c r="CN46" s="19">
        <f>현금흐름취합!BZ46</f>
        <v>0</v>
      </c>
      <c r="CO46" s="19">
        <f>현금흐름취합!CA46</f>
        <v>0</v>
      </c>
      <c r="CP46" s="19">
        <f>현금흐름취합!CB46</f>
        <v>0</v>
      </c>
      <c r="CQ46" s="19">
        <f>현금흐름취합!CC46</f>
        <v>0</v>
      </c>
      <c r="CR46" s="19">
        <f>현금흐름취합!CD46</f>
        <v>0</v>
      </c>
      <c r="CS46" s="19">
        <f>현금흐름취합!CE46</f>
        <v>0</v>
      </c>
      <c r="CT46" s="19">
        <f>현금흐름취합!CF46</f>
        <v>0</v>
      </c>
      <c r="CU46" s="19">
        <f>현금흐름취합!CG46</f>
        <v>0</v>
      </c>
      <c r="CV46" s="19">
        <f>현금흐름취합!CH46</f>
        <v>0</v>
      </c>
      <c r="CW46" s="19">
        <f>현금흐름취합!CI46</f>
        <v>0</v>
      </c>
      <c r="CX46" s="19">
        <f>현금흐름취합!CJ46</f>
        <v>0</v>
      </c>
      <c r="CY46" s="19">
        <f>현금흐름취합!CK46</f>
        <v>0</v>
      </c>
      <c r="CZ46" s="19">
        <f>현금흐름취합!CL46</f>
        <v>0</v>
      </c>
      <c r="DA46" s="19">
        <f>현금흐름취합!CM46</f>
        <v>0</v>
      </c>
      <c r="DB46" s="19">
        <f>현금흐름취합!CN46</f>
        <v>0</v>
      </c>
      <c r="DC46" s="19">
        <f>현금흐름취합!CO46</f>
        <v>0</v>
      </c>
      <c r="DD46" s="19">
        <f>현금흐름취합!CP46</f>
        <v>0</v>
      </c>
      <c r="DE46" s="19">
        <f>현금흐름취합!CQ46</f>
        <v>0</v>
      </c>
      <c r="DF46" s="19">
        <f>현금흐름취합!CR46</f>
        <v>0</v>
      </c>
      <c r="DG46" s="19">
        <f>현금흐름취합!CS46</f>
        <v>0</v>
      </c>
      <c r="DH46" s="19">
        <f>현금흐름취합!CT46</f>
        <v>0</v>
      </c>
      <c r="DI46" s="19">
        <f>현금흐름취합!CU46</f>
        <v>0</v>
      </c>
      <c r="DJ46" s="19">
        <f>현금흐름취합!CV46</f>
        <v>0</v>
      </c>
      <c r="DK46" s="19">
        <f>현금흐름취합!CW46</f>
        <v>0</v>
      </c>
      <c r="DL46" s="19">
        <f>현금흐름취합!CX46</f>
        <v>0</v>
      </c>
      <c r="DM46" s="19">
        <f>현금흐름취합!CY46</f>
        <v>0</v>
      </c>
      <c r="DN46" s="19">
        <f>현금흐름취합!CZ46</f>
        <v>0</v>
      </c>
      <c r="DO46" s="19">
        <f>현금흐름취합!DA46</f>
        <v>0</v>
      </c>
      <c r="DP46" s="19">
        <f>현금흐름취합!DB46</f>
        <v>0</v>
      </c>
      <c r="DQ46" s="19">
        <f>현금흐름취합!DC46</f>
        <v>0</v>
      </c>
      <c r="DR46" s="19">
        <f>현금흐름취합!DD46</f>
        <v>0</v>
      </c>
      <c r="DS46" s="19">
        <f>현금흐름취합!DE46</f>
        <v>0</v>
      </c>
      <c r="DT46" s="19">
        <f>현금흐름취합!DF46</f>
        <v>0</v>
      </c>
      <c r="DU46" s="19">
        <f>현금흐름취합!DG46</f>
        <v>0</v>
      </c>
      <c r="DV46" s="19">
        <f>현금흐름취합!DH46</f>
        <v>0</v>
      </c>
      <c r="DW46" s="19">
        <f>현금흐름취합!DI46</f>
        <v>0</v>
      </c>
      <c r="DX46" s="19">
        <f>현금흐름취합!DJ46</f>
        <v>0</v>
      </c>
      <c r="DY46" s="19">
        <f>현금흐름취합!DK46</f>
        <v>0</v>
      </c>
      <c r="DZ46" s="19">
        <f>현금흐름취합!DL46</f>
        <v>0</v>
      </c>
      <c r="EA46" s="19">
        <f>현금흐름취합!DM46</f>
        <v>0</v>
      </c>
      <c r="EB46" s="19">
        <f>현금흐름취합!DN46</f>
        <v>0</v>
      </c>
      <c r="EC46" s="19">
        <f>현금흐름취합!DO46</f>
        <v>0</v>
      </c>
      <c r="ED46" s="19">
        <f>현금흐름취합!DP46</f>
        <v>0</v>
      </c>
      <c r="EE46" s="19">
        <f>현금흐름취합!DQ46</f>
        <v>0</v>
      </c>
      <c r="EF46" s="19">
        <f>현금흐름취합!DR46</f>
        <v>0</v>
      </c>
      <c r="EG46" s="19">
        <f>현금흐름취합!DS46</f>
        <v>0</v>
      </c>
      <c r="EH46" s="19">
        <f>현금흐름취합!DT46</f>
        <v>0</v>
      </c>
      <c r="EI46" s="19">
        <f>현금흐름취합!DU46</f>
        <v>0</v>
      </c>
      <c r="EJ46" s="19">
        <f>현금흐름취합!DV46</f>
        <v>0</v>
      </c>
      <c r="EK46" s="19">
        <f>현금흐름취합!DW46</f>
        <v>0</v>
      </c>
      <c r="EL46" s="19">
        <f>현금흐름취합!DX46</f>
        <v>0</v>
      </c>
      <c r="EM46" s="19">
        <f>현금흐름취합!DY46</f>
        <v>0</v>
      </c>
      <c r="EN46" s="19">
        <f>현금흐름취합!DZ46</f>
        <v>0</v>
      </c>
      <c r="EO46" s="19">
        <f>현금흐름취합!EA46</f>
        <v>0</v>
      </c>
      <c r="EP46" s="19">
        <f>현금흐름취합!EB46</f>
        <v>0</v>
      </c>
      <c r="EQ46" s="19">
        <f>현금흐름취합!EC46</f>
        <v>0</v>
      </c>
      <c r="ER46" s="19">
        <f>현금흐름취합!ED46</f>
        <v>0</v>
      </c>
      <c r="ES46" s="19">
        <f>현금흐름취합!EE46</f>
        <v>0</v>
      </c>
    </row>
    <row r="47" spans="1:149" hidden="1">
      <c r="A47" s="7">
        <f>현금흐름취합!A47</f>
        <v>0</v>
      </c>
      <c r="B47" s="7">
        <f>현금흐름취합!B47</f>
        <v>0</v>
      </c>
      <c r="C47" s="7">
        <f>현금흐름취합!C47</f>
        <v>0</v>
      </c>
      <c r="D47" s="8">
        <f>현금흐름취합!D47</f>
        <v>0</v>
      </c>
      <c r="E47" s="37" t="str">
        <f t="shared" ref="E47" si="39">IF(R46&gt;R47,"역전현상","이상없음")</f>
        <v>이상없음</v>
      </c>
      <c r="F47" s="8">
        <f>현금흐름취합!E47</f>
        <v>0</v>
      </c>
      <c r="G47" s="37" t="str">
        <f t="shared" si="1"/>
        <v>pool 고치세요</v>
      </c>
      <c r="H47" s="9">
        <f>현금흐름취합!F47</f>
        <v>0</v>
      </c>
      <c r="I47" s="10">
        <f>현금흐름취합!G47</f>
        <v>0</v>
      </c>
      <c r="J47" s="39" t="e">
        <f t="shared" si="33"/>
        <v>#DIV/0!</v>
      </c>
      <c r="K47" s="11">
        <f>현금흐름취합!H47</f>
        <v>0</v>
      </c>
      <c r="L47" s="40" t="e">
        <f>VLOOKUP(A47,'Sheet A'!$E$11:$K$60,7,0)=K47</f>
        <v>#N/A</v>
      </c>
      <c r="M47" s="12">
        <f>현금흐름취합!I47</f>
        <v>0</v>
      </c>
      <c r="N47" s="40" t="str">
        <f t="shared" si="34"/>
        <v>검토요</v>
      </c>
      <c r="O47" s="13">
        <f>현금흐름취합!J47</f>
        <v>0</v>
      </c>
      <c r="P47" s="14">
        <f>현금흐름취합!K47</f>
        <v>0</v>
      </c>
      <c r="Q47" s="18">
        <f>현금흐름취합!L47</f>
        <v>0</v>
      </c>
      <c r="R47" s="15">
        <f>현금흐름취합!M47</f>
        <v>0</v>
      </c>
      <c r="S47" s="40" t="e">
        <f t="shared" si="35"/>
        <v>#NUM!</v>
      </c>
      <c r="T47" s="16">
        <f>현금흐름취합!N47</f>
        <v>0</v>
      </c>
      <c r="U47" s="40" t="b">
        <f t="shared" si="36"/>
        <v>1</v>
      </c>
      <c r="V47" s="46">
        <f>SUMIF(일반여신!$E$10:$E$35,검증!A47,일반여신!$O$10:$O$35)*0.985-SUMIF(가지급금!$E$10:$E$180,A47,가지급금!$K$10:$K$180)+SUMIF(가지급금!$E$10:$E$180,검증!A47,가지급금!$O$10:$O$180)*0.985</f>
        <v>0</v>
      </c>
      <c r="W47" s="47">
        <f t="shared" si="37"/>
        <v>0</v>
      </c>
      <c r="X47" s="48"/>
      <c r="Y47" s="49">
        <f>SUMIF('Sheet D'!$E$11:$E$60,A47,'Sheet D'!$P$11:$P$60)</f>
        <v>0</v>
      </c>
      <c r="Z47" s="48">
        <f>SUMIFS(일반여신!$M$10:$M$35,일반여신!$E$10:$E$35,A47,일반여신!$P$10:$P$35,"신옹보증서대위변제")</f>
        <v>0</v>
      </c>
      <c r="AA47" s="48">
        <f t="shared" si="38"/>
        <v>0</v>
      </c>
      <c r="AB47" s="50"/>
      <c r="AC47" s="19">
        <f>현금흐름취합!O47</f>
        <v>0</v>
      </c>
      <c r="AD47" s="19">
        <f>현금흐름취합!P47</f>
        <v>0</v>
      </c>
      <c r="AE47" s="19">
        <f>현금흐름취합!Q47</f>
        <v>0</v>
      </c>
      <c r="AF47" s="19">
        <f>현금흐름취합!R47</f>
        <v>0</v>
      </c>
      <c r="AG47" s="19">
        <f>현금흐름취합!S47</f>
        <v>0</v>
      </c>
      <c r="AH47" s="19">
        <f>현금흐름취합!T47</f>
        <v>0</v>
      </c>
      <c r="AI47" s="19">
        <f>현금흐름취합!U47</f>
        <v>0</v>
      </c>
      <c r="AJ47" s="19">
        <f>현금흐름취합!V47</f>
        <v>0</v>
      </c>
      <c r="AK47" s="19">
        <f>현금흐름취합!W47</f>
        <v>0</v>
      </c>
      <c r="AL47" s="19">
        <f>현금흐름취합!X47</f>
        <v>0</v>
      </c>
      <c r="AM47" s="19">
        <f>현금흐름취합!Y47</f>
        <v>0</v>
      </c>
      <c r="AN47" s="19">
        <f>현금흐름취합!Z47</f>
        <v>0</v>
      </c>
      <c r="AO47" s="19">
        <f>현금흐름취합!AA47</f>
        <v>0</v>
      </c>
      <c r="AP47" s="19">
        <f>현금흐름취합!AB47</f>
        <v>0</v>
      </c>
      <c r="AQ47" s="19">
        <f>현금흐름취합!AC47</f>
        <v>0</v>
      </c>
      <c r="AR47" s="19">
        <f>현금흐름취합!AD47</f>
        <v>0</v>
      </c>
      <c r="AS47" s="19">
        <f>현금흐름취합!AE47</f>
        <v>0</v>
      </c>
      <c r="AT47" s="19">
        <f>현금흐름취합!AF47</f>
        <v>0</v>
      </c>
      <c r="AU47" s="19">
        <f>현금흐름취합!AG47</f>
        <v>0</v>
      </c>
      <c r="AV47" s="19">
        <f>현금흐름취합!AH47</f>
        <v>0</v>
      </c>
      <c r="AW47" s="19">
        <f>현금흐름취합!AI47</f>
        <v>0</v>
      </c>
      <c r="AX47" s="19">
        <f>현금흐름취합!AJ47</f>
        <v>0</v>
      </c>
      <c r="AY47" s="19">
        <f>현금흐름취합!AK47</f>
        <v>0</v>
      </c>
      <c r="AZ47" s="19">
        <f>현금흐름취합!AL47</f>
        <v>0</v>
      </c>
      <c r="BA47" s="19">
        <f>현금흐름취합!AM47</f>
        <v>0</v>
      </c>
      <c r="BB47" s="19">
        <f>현금흐름취합!AN47</f>
        <v>0</v>
      </c>
      <c r="BC47" s="19">
        <f>현금흐름취합!AO47</f>
        <v>0</v>
      </c>
      <c r="BD47" s="19">
        <f>현금흐름취합!AP47</f>
        <v>0</v>
      </c>
      <c r="BE47" s="19">
        <f>현금흐름취합!AQ47</f>
        <v>0</v>
      </c>
      <c r="BF47" s="19">
        <f>현금흐름취합!AR47</f>
        <v>0</v>
      </c>
      <c r="BG47" s="19">
        <f>현금흐름취합!AS47</f>
        <v>0</v>
      </c>
      <c r="BH47" s="19">
        <f>현금흐름취합!AT47</f>
        <v>0</v>
      </c>
      <c r="BI47" s="19">
        <f>현금흐름취합!AU47</f>
        <v>0</v>
      </c>
      <c r="BJ47" s="19">
        <f>현금흐름취합!AV47</f>
        <v>0</v>
      </c>
      <c r="BK47" s="19">
        <f>현금흐름취합!AW47</f>
        <v>0</v>
      </c>
      <c r="BL47" s="19">
        <f>현금흐름취합!AX47</f>
        <v>0</v>
      </c>
      <c r="BM47" s="19">
        <f>현금흐름취합!AY47</f>
        <v>0</v>
      </c>
      <c r="BN47" s="19">
        <f>현금흐름취합!AZ47</f>
        <v>0</v>
      </c>
      <c r="BO47" s="19">
        <f>현금흐름취합!BA47</f>
        <v>0</v>
      </c>
      <c r="BP47" s="19">
        <f>현금흐름취합!BB47</f>
        <v>0</v>
      </c>
      <c r="BQ47" s="19">
        <f>현금흐름취합!BC47</f>
        <v>0</v>
      </c>
      <c r="BR47" s="19">
        <f>현금흐름취합!BD47</f>
        <v>0</v>
      </c>
      <c r="BS47" s="19">
        <f>현금흐름취합!BE47</f>
        <v>0</v>
      </c>
      <c r="BT47" s="19">
        <f>현금흐름취합!BF47</f>
        <v>0</v>
      </c>
      <c r="BU47" s="19">
        <f>현금흐름취합!BG47</f>
        <v>0</v>
      </c>
      <c r="BV47" s="19">
        <f>현금흐름취합!BH47</f>
        <v>0</v>
      </c>
      <c r="BW47" s="19">
        <f>현금흐름취합!BI47</f>
        <v>0</v>
      </c>
      <c r="BX47" s="19">
        <f>현금흐름취합!BJ47</f>
        <v>0</v>
      </c>
      <c r="BY47" s="19">
        <f>현금흐름취합!BK47</f>
        <v>0</v>
      </c>
      <c r="BZ47" s="19">
        <f>현금흐름취합!BL47</f>
        <v>0</v>
      </c>
      <c r="CA47" s="19">
        <f>현금흐름취합!BM47</f>
        <v>0</v>
      </c>
      <c r="CB47" s="19">
        <f>현금흐름취합!BN47</f>
        <v>0</v>
      </c>
      <c r="CC47" s="19">
        <f>현금흐름취합!BO47</f>
        <v>0</v>
      </c>
      <c r="CD47" s="19">
        <f>현금흐름취합!BP47</f>
        <v>0</v>
      </c>
      <c r="CE47" s="19">
        <f>현금흐름취합!BQ47</f>
        <v>0</v>
      </c>
      <c r="CF47" s="19">
        <f>현금흐름취합!BR47</f>
        <v>0</v>
      </c>
      <c r="CG47" s="19">
        <f>현금흐름취합!BS47</f>
        <v>0</v>
      </c>
      <c r="CH47" s="19">
        <f>현금흐름취합!BT47</f>
        <v>0</v>
      </c>
      <c r="CI47" s="19">
        <f>현금흐름취합!BU47</f>
        <v>0</v>
      </c>
      <c r="CJ47" s="19">
        <f>현금흐름취합!BV47</f>
        <v>0</v>
      </c>
      <c r="CK47" s="19">
        <f>현금흐름취합!BW47</f>
        <v>0</v>
      </c>
      <c r="CL47" s="19">
        <f>현금흐름취합!BX47</f>
        <v>0</v>
      </c>
      <c r="CM47" s="19">
        <f>현금흐름취합!BY47</f>
        <v>0</v>
      </c>
      <c r="CN47" s="19">
        <f>현금흐름취합!BZ47</f>
        <v>0</v>
      </c>
      <c r="CO47" s="19">
        <f>현금흐름취합!CA47</f>
        <v>0</v>
      </c>
      <c r="CP47" s="19">
        <f>현금흐름취합!CB47</f>
        <v>0</v>
      </c>
      <c r="CQ47" s="19">
        <f>현금흐름취합!CC47</f>
        <v>0</v>
      </c>
      <c r="CR47" s="19">
        <f>현금흐름취합!CD47</f>
        <v>0</v>
      </c>
      <c r="CS47" s="19">
        <f>현금흐름취합!CE47</f>
        <v>0</v>
      </c>
      <c r="CT47" s="19">
        <f>현금흐름취합!CF47</f>
        <v>0</v>
      </c>
      <c r="CU47" s="19">
        <f>현금흐름취합!CG47</f>
        <v>0</v>
      </c>
      <c r="CV47" s="19">
        <f>현금흐름취합!CH47</f>
        <v>0</v>
      </c>
      <c r="CW47" s="19">
        <f>현금흐름취합!CI47</f>
        <v>0</v>
      </c>
      <c r="CX47" s="19">
        <f>현금흐름취합!CJ47</f>
        <v>0</v>
      </c>
      <c r="CY47" s="19">
        <f>현금흐름취합!CK47</f>
        <v>0</v>
      </c>
      <c r="CZ47" s="19">
        <f>현금흐름취합!CL47</f>
        <v>0</v>
      </c>
      <c r="DA47" s="19">
        <f>현금흐름취합!CM47</f>
        <v>0</v>
      </c>
      <c r="DB47" s="19">
        <f>현금흐름취합!CN47</f>
        <v>0</v>
      </c>
      <c r="DC47" s="19">
        <f>현금흐름취합!CO47</f>
        <v>0</v>
      </c>
      <c r="DD47" s="19">
        <f>현금흐름취합!CP47</f>
        <v>0</v>
      </c>
      <c r="DE47" s="19">
        <f>현금흐름취합!CQ47</f>
        <v>0</v>
      </c>
      <c r="DF47" s="19">
        <f>현금흐름취합!CR47</f>
        <v>0</v>
      </c>
      <c r="DG47" s="19">
        <f>현금흐름취합!CS47</f>
        <v>0</v>
      </c>
      <c r="DH47" s="19">
        <f>현금흐름취합!CT47</f>
        <v>0</v>
      </c>
      <c r="DI47" s="19">
        <f>현금흐름취합!CU47</f>
        <v>0</v>
      </c>
      <c r="DJ47" s="19">
        <f>현금흐름취합!CV47</f>
        <v>0</v>
      </c>
      <c r="DK47" s="19">
        <f>현금흐름취합!CW47</f>
        <v>0</v>
      </c>
      <c r="DL47" s="19">
        <f>현금흐름취합!CX47</f>
        <v>0</v>
      </c>
      <c r="DM47" s="19">
        <f>현금흐름취합!CY47</f>
        <v>0</v>
      </c>
      <c r="DN47" s="19">
        <f>현금흐름취합!CZ47</f>
        <v>0</v>
      </c>
      <c r="DO47" s="19">
        <f>현금흐름취합!DA47</f>
        <v>0</v>
      </c>
      <c r="DP47" s="19">
        <f>현금흐름취합!DB47</f>
        <v>0</v>
      </c>
      <c r="DQ47" s="19">
        <f>현금흐름취합!DC47</f>
        <v>0</v>
      </c>
      <c r="DR47" s="19">
        <f>현금흐름취합!DD47</f>
        <v>0</v>
      </c>
      <c r="DS47" s="19">
        <f>현금흐름취합!DE47</f>
        <v>0</v>
      </c>
      <c r="DT47" s="19">
        <f>현금흐름취합!DF47</f>
        <v>0</v>
      </c>
      <c r="DU47" s="19">
        <f>현금흐름취합!DG47</f>
        <v>0</v>
      </c>
      <c r="DV47" s="19">
        <f>현금흐름취합!DH47</f>
        <v>0</v>
      </c>
      <c r="DW47" s="19">
        <f>현금흐름취합!DI47</f>
        <v>0</v>
      </c>
      <c r="DX47" s="19">
        <f>현금흐름취합!DJ47</f>
        <v>0</v>
      </c>
      <c r="DY47" s="19">
        <f>현금흐름취합!DK47</f>
        <v>0</v>
      </c>
      <c r="DZ47" s="19">
        <f>현금흐름취합!DL47</f>
        <v>0</v>
      </c>
      <c r="EA47" s="19">
        <f>현금흐름취합!DM47</f>
        <v>0</v>
      </c>
      <c r="EB47" s="19">
        <f>현금흐름취합!DN47</f>
        <v>0</v>
      </c>
      <c r="EC47" s="19">
        <f>현금흐름취합!DO47</f>
        <v>0</v>
      </c>
      <c r="ED47" s="19">
        <f>현금흐름취합!DP47</f>
        <v>0</v>
      </c>
      <c r="EE47" s="19">
        <f>현금흐름취합!DQ47</f>
        <v>0</v>
      </c>
      <c r="EF47" s="19">
        <f>현금흐름취합!DR47</f>
        <v>0</v>
      </c>
      <c r="EG47" s="19">
        <f>현금흐름취합!DS47</f>
        <v>0</v>
      </c>
      <c r="EH47" s="19">
        <f>현금흐름취합!DT47</f>
        <v>0</v>
      </c>
      <c r="EI47" s="19">
        <f>현금흐름취합!DU47</f>
        <v>0</v>
      </c>
      <c r="EJ47" s="19">
        <f>현금흐름취합!DV47</f>
        <v>0</v>
      </c>
      <c r="EK47" s="19">
        <f>현금흐름취합!DW47</f>
        <v>0</v>
      </c>
      <c r="EL47" s="19">
        <f>현금흐름취합!DX47</f>
        <v>0</v>
      </c>
      <c r="EM47" s="19">
        <f>현금흐름취합!DY47</f>
        <v>0</v>
      </c>
      <c r="EN47" s="19">
        <f>현금흐름취합!DZ47</f>
        <v>0</v>
      </c>
      <c r="EO47" s="19">
        <f>현금흐름취합!EA47</f>
        <v>0</v>
      </c>
      <c r="EP47" s="19">
        <f>현금흐름취합!EB47</f>
        <v>0</v>
      </c>
      <c r="EQ47" s="19">
        <f>현금흐름취합!EC47</f>
        <v>0</v>
      </c>
      <c r="ER47" s="19">
        <f>현금흐름취합!ED47</f>
        <v>0</v>
      </c>
      <c r="ES47" s="19">
        <f>현금흐름취합!EE47</f>
        <v>0</v>
      </c>
    </row>
    <row r="48" spans="1:149" hidden="1">
      <c r="A48" s="7">
        <f>현금흐름취합!A48</f>
        <v>0</v>
      </c>
      <c r="B48" s="7">
        <f>현금흐름취합!B48</f>
        <v>0</v>
      </c>
      <c r="C48" s="7">
        <f>현금흐름취합!C48</f>
        <v>0</v>
      </c>
      <c r="D48" s="8">
        <f>현금흐름취합!D48</f>
        <v>0</v>
      </c>
      <c r="E48" s="37"/>
      <c r="F48" s="8">
        <f>현금흐름취합!E48</f>
        <v>0</v>
      </c>
      <c r="G48" s="37" t="str">
        <f t="shared" si="1"/>
        <v>pool 고치세요</v>
      </c>
      <c r="H48" s="9">
        <f>현금흐름취합!F48</f>
        <v>0</v>
      </c>
      <c r="I48" s="10">
        <f>현금흐름취합!G48</f>
        <v>0</v>
      </c>
      <c r="J48" s="39" t="e">
        <f t="shared" si="33"/>
        <v>#DIV/0!</v>
      </c>
      <c r="K48" s="11">
        <f>현금흐름취합!H48</f>
        <v>0</v>
      </c>
      <c r="L48" s="40" t="e">
        <f>VLOOKUP(A48,'Sheet A'!$E$11:$K$60,7,0)=K48</f>
        <v>#N/A</v>
      </c>
      <c r="M48" s="12">
        <f>현금흐름취합!I48</f>
        <v>0</v>
      </c>
      <c r="N48" s="40" t="str">
        <f t="shared" si="34"/>
        <v>검토요</v>
      </c>
      <c r="O48" s="13">
        <f>현금흐름취합!J48</f>
        <v>0</v>
      </c>
      <c r="P48" s="14">
        <f>현금흐름취합!K48</f>
        <v>0</v>
      </c>
      <c r="Q48" s="18">
        <f>현금흐름취합!L48</f>
        <v>0</v>
      </c>
      <c r="R48" s="15">
        <f>현금흐름취합!M48</f>
        <v>0</v>
      </c>
      <c r="S48" s="40" t="e">
        <f t="shared" si="35"/>
        <v>#NUM!</v>
      </c>
      <c r="T48" s="16">
        <f>현금흐름취합!N48</f>
        <v>0</v>
      </c>
      <c r="U48" s="40" t="b">
        <f t="shared" si="36"/>
        <v>1</v>
      </c>
      <c r="V48" s="46">
        <f>SUMIF(일반여신!$E$10:$E$35,검증!A48,일반여신!$O$10:$O$35)*0.985-SUMIF(가지급금!$E$10:$E$180,A48,가지급금!$K$10:$K$180)+SUMIF(가지급금!$E$10:$E$180,검증!A48,가지급금!$O$10:$O$180)*0.985</f>
        <v>0</v>
      </c>
      <c r="W48" s="47">
        <f t="shared" si="37"/>
        <v>0</v>
      </c>
      <c r="X48" s="48"/>
      <c r="Y48" s="49">
        <f>SUMIF('Sheet D'!$E$11:$E$60,A48,'Sheet D'!$P$11:$P$60)</f>
        <v>0</v>
      </c>
      <c r="Z48" s="48">
        <f>SUMIFS(일반여신!$M$10:$M$35,일반여신!$E$10:$E$35,A48,일반여신!$P$10:$P$35,"신옹보증서대위변제")</f>
        <v>0</v>
      </c>
      <c r="AA48" s="48">
        <f t="shared" si="38"/>
        <v>0</v>
      </c>
      <c r="AB48" s="50"/>
      <c r="AC48" s="19">
        <f>현금흐름취합!O48</f>
        <v>0</v>
      </c>
      <c r="AD48" s="19">
        <f>현금흐름취합!P48</f>
        <v>0</v>
      </c>
      <c r="AE48" s="19">
        <f>현금흐름취합!Q48</f>
        <v>0</v>
      </c>
      <c r="AF48" s="19">
        <f>현금흐름취합!R48</f>
        <v>0</v>
      </c>
      <c r="AG48" s="19">
        <f>현금흐름취합!S48</f>
        <v>0</v>
      </c>
      <c r="AH48" s="19">
        <f>현금흐름취합!T48</f>
        <v>0</v>
      </c>
      <c r="AI48" s="19">
        <f>현금흐름취합!U48</f>
        <v>0</v>
      </c>
      <c r="AJ48" s="19">
        <f>현금흐름취합!V48</f>
        <v>0</v>
      </c>
      <c r="AK48" s="19">
        <f>현금흐름취합!W48</f>
        <v>0</v>
      </c>
      <c r="AL48" s="19">
        <f>현금흐름취합!X48</f>
        <v>0</v>
      </c>
      <c r="AM48" s="19">
        <f>현금흐름취합!Y48</f>
        <v>0</v>
      </c>
      <c r="AN48" s="19">
        <f>현금흐름취합!Z48</f>
        <v>0</v>
      </c>
      <c r="AO48" s="19">
        <f>현금흐름취합!AA48</f>
        <v>0</v>
      </c>
      <c r="AP48" s="19">
        <f>현금흐름취합!AB48</f>
        <v>0</v>
      </c>
      <c r="AQ48" s="19">
        <f>현금흐름취합!AC48</f>
        <v>0</v>
      </c>
      <c r="AR48" s="19">
        <f>현금흐름취합!AD48</f>
        <v>0</v>
      </c>
      <c r="AS48" s="19">
        <f>현금흐름취합!AE48</f>
        <v>0</v>
      </c>
      <c r="AT48" s="19">
        <f>현금흐름취합!AF48</f>
        <v>0</v>
      </c>
      <c r="AU48" s="19">
        <f>현금흐름취합!AG48</f>
        <v>0</v>
      </c>
      <c r="AV48" s="19">
        <f>현금흐름취합!AH48</f>
        <v>0</v>
      </c>
      <c r="AW48" s="19">
        <f>현금흐름취합!AI48</f>
        <v>0</v>
      </c>
      <c r="AX48" s="19">
        <f>현금흐름취합!AJ48</f>
        <v>0</v>
      </c>
      <c r="AY48" s="19">
        <f>현금흐름취합!AK48</f>
        <v>0</v>
      </c>
      <c r="AZ48" s="19">
        <f>현금흐름취합!AL48</f>
        <v>0</v>
      </c>
      <c r="BA48" s="19">
        <f>현금흐름취합!AM48</f>
        <v>0</v>
      </c>
      <c r="BB48" s="19">
        <f>현금흐름취합!AN48</f>
        <v>0</v>
      </c>
      <c r="BC48" s="19">
        <f>현금흐름취합!AO48</f>
        <v>0</v>
      </c>
      <c r="BD48" s="19">
        <f>현금흐름취합!AP48</f>
        <v>0</v>
      </c>
      <c r="BE48" s="19">
        <f>현금흐름취합!AQ48</f>
        <v>0</v>
      </c>
      <c r="BF48" s="19">
        <f>현금흐름취합!AR48</f>
        <v>0</v>
      </c>
      <c r="BG48" s="19">
        <f>현금흐름취합!AS48</f>
        <v>0</v>
      </c>
      <c r="BH48" s="19">
        <f>현금흐름취합!AT48</f>
        <v>0</v>
      </c>
      <c r="BI48" s="19">
        <f>현금흐름취합!AU48</f>
        <v>0</v>
      </c>
      <c r="BJ48" s="19">
        <f>현금흐름취합!AV48</f>
        <v>0</v>
      </c>
      <c r="BK48" s="19">
        <f>현금흐름취합!AW48</f>
        <v>0</v>
      </c>
      <c r="BL48" s="19">
        <f>현금흐름취합!AX48</f>
        <v>0</v>
      </c>
      <c r="BM48" s="19">
        <f>현금흐름취합!AY48</f>
        <v>0</v>
      </c>
      <c r="BN48" s="19">
        <f>현금흐름취합!AZ48</f>
        <v>0</v>
      </c>
      <c r="BO48" s="19">
        <f>현금흐름취합!BA48</f>
        <v>0</v>
      </c>
      <c r="BP48" s="19">
        <f>현금흐름취합!BB48</f>
        <v>0</v>
      </c>
      <c r="BQ48" s="19">
        <f>현금흐름취합!BC48</f>
        <v>0</v>
      </c>
      <c r="BR48" s="19">
        <f>현금흐름취합!BD48</f>
        <v>0</v>
      </c>
      <c r="BS48" s="19">
        <f>현금흐름취합!BE48</f>
        <v>0</v>
      </c>
      <c r="BT48" s="19">
        <f>현금흐름취합!BF48</f>
        <v>0</v>
      </c>
      <c r="BU48" s="19">
        <f>현금흐름취합!BG48</f>
        <v>0</v>
      </c>
      <c r="BV48" s="19">
        <f>현금흐름취합!BH48</f>
        <v>0</v>
      </c>
      <c r="BW48" s="19">
        <f>현금흐름취합!BI48</f>
        <v>0</v>
      </c>
      <c r="BX48" s="19">
        <f>현금흐름취합!BJ48</f>
        <v>0</v>
      </c>
      <c r="BY48" s="19">
        <f>현금흐름취합!BK48</f>
        <v>0</v>
      </c>
      <c r="BZ48" s="19">
        <f>현금흐름취합!BL48</f>
        <v>0</v>
      </c>
      <c r="CA48" s="19">
        <f>현금흐름취합!BM48</f>
        <v>0</v>
      </c>
      <c r="CB48" s="19">
        <f>현금흐름취합!BN48</f>
        <v>0</v>
      </c>
      <c r="CC48" s="19">
        <f>현금흐름취합!BO48</f>
        <v>0</v>
      </c>
      <c r="CD48" s="19">
        <f>현금흐름취합!BP48</f>
        <v>0</v>
      </c>
      <c r="CE48" s="19">
        <f>현금흐름취합!BQ48</f>
        <v>0</v>
      </c>
      <c r="CF48" s="19">
        <f>현금흐름취합!BR48</f>
        <v>0</v>
      </c>
      <c r="CG48" s="19">
        <f>현금흐름취합!BS48</f>
        <v>0</v>
      </c>
      <c r="CH48" s="19">
        <f>현금흐름취합!BT48</f>
        <v>0</v>
      </c>
      <c r="CI48" s="19">
        <f>현금흐름취합!BU48</f>
        <v>0</v>
      </c>
      <c r="CJ48" s="19">
        <f>현금흐름취합!BV48</f>
        <v>0</v>
      </c>
      <c r="CK48" s="19">
        <f>현금흐름취합!BW48</f>
        <v>0</v>
      </c>
      <c r="CL48" s="19">
        <f>현금흐름취합!BX48</f>
        <v>0</v>
      </c>
      <c r="CM48" s="19">
        <f>현금흐름취합!BY48</f>
        <v>0</v>
      </c>
      <c r="CN48" s="19">
        <f>현금흐름취합!BZ48</f>
        <v>0</v>
      </c>
      <c r="CO48" s="19">
        <f>현금흐름취합!CA48</f>
        <v>0</v>
      </c>
      <c r="CP48" s="19">
        <f>현금흐름취합!CB48</f>
        <v>0</v>
      </c>
      <c r="CQ48" s="19">
        <f>현금흐름취합!CC48</f>
        <v>0</v>
      </c>
      <c r="CR48" s="19">
        <f>현금흐름취합!CD48</f>
        <v>0</v>
      </c>
      <c r="CS48" s="19">
        <f>현금흐름취합!CE48</f>
        <v>0</v>
      </c>
      <c r="CT48" s="19">
        <f>현금흐름취합!CF48</f>
        <v>0</v>
      </c>
      <c r="CU48" s="19">
        <f>현금흐름취합!CG48</f>
        <v>0</v>
      </c>
      <c r="CV48" s="19">
        <f>현금흐름취합!CH48</f>
        <v>0</v>
      </c>
      <c r="CW48" s="19">
        <f>현금흐름취합!CI48</f>
        <v>0</v>
      </c>
      <c r="CX48" s="19">
        <f>현금흐름취합!CJ48</f>
        <v>0</v>
      </c>
      <c r="CY48" s="19">
        <f>현금흐름취합!CK48</f>
        <v>0</v>
      </c>
      <c r="CZ48" s="19">
        <f>현금흐름취합!CL48</f>
        <v>0</v>
      </c>
      <c r="DA48" s="19">
        <f>현금흐름취합!CM48</f>
        <v>0</v>
      </c>
      <c r="DB48" s="19">
        <f>현금흐름취합!CN48</f>
        <v>0</v>
      </c>
      <c r="DC48" s="19">
        <f>현금흐름취합!CO48</f>
        <v>0</v>
      </c>
      <c r="DD48" s="19">
        <f>현금흐름취합!CP48</f>
        <v>0</v>
      </c>
      <c r="DE48" s="19">
        <f>현금흐름취합!CQ48</f>
        <v>0</v>
      </c>
      <c r="DF48" s="19">
        <f>현금흐름취합!CR48</f>
        <v>0</v>
      </c>
      <c r="DG48" s="19">
        <f>현금흐름취합!CS48</f>
        <v>0</v>
      </c>
      <c r="DH48" s="19">
        <f>현금흐름취합!CT48</f>
        <v>0</v>
      </c>
      <c r="DI48" s="19">
        <f>현금흐름취합!CU48</f>
        <v>0</v>
      </c>
      <c r="DJ48" s="19">
        <f>현금흐름취합!CV48</f>
        <v>0</v>
      </c>
      <c r="DK48" s="19">
        <f>현금흐름취합!CW48</f>
        <v>0</v>
      </c>
      <c r="DL48" s="19">
        <f>현금흐름취합!CX48</f>
        <v>0</v>
      </c>
      <c r="DM48" s="19">
        <f>현금흐름취합!CY48</f>
        <v>0</v>
      </c>
      <c r="DN48" s="19">
        <f>현금흐름취합!CZ48</f>
        <v>0</v>
      </c>
      <c r="DO48" s="19">
        <f>현금흐름취합!DA48</f>
        <v>0</v>
      </c>
      <c r="DP48" s="19">
        <f>현금흐름취합!DB48</f>
        <v>0</v>
      </c>
      <c r="DQ48" s="19">
        <f>현금흐름취합!DC48</f>
        <v>0</v>
      </c>
      <c r="DR48" s="19">
        <f>현금흐름취합!DD48</f>
        <v>0</v>
      </c>
      <c r="DS48" s="19">
        <f>현금흐름취합!DE48</f>
        <v>0</v>
      </c>
      <c r="DT48" s="19">
        <f>현금흐름취합!DF48</f>
        <v>0</v>
      </c>
      <c r="DU48" s="19">
        <f>현금흐름취합!DG48</f>
        <v>0</v>
      </c>
      <c r="DV48" s="19">
        <f>현금흐름취합!DH48</f>
        <v>0</v>
      </c>
      <c r="DW48" s="19">
        <f>현금흐름취합!DI48</f>
        <v>0</v>
      </c>
      <c r="DX48" s="19">
        <f>현금흐름취합!DJ48</f>
        <v>0</v>
      </c>
      <c r="DY48" s="19">
        <f>현금흐름취합!DK48</f>
        <v>0</v>
      </c>
      <c r="DZ48" s="19">
        <f>현금흐름취합!DL48</f>
        <v>0</v>
      </c>
      <c r="EA48" s="19">
        <f>현금흐름취합!DM48</f>
        <v>0</v>
      </c>
      <c r="EB48" s="19">
        <f>현금흐름취합!DN48</f>
        <v>0</v>
      </c>
      <c r="EC48" s="19">
        <f>현금흐름취합!DO48</f>
        <v>0</v>
      </c>
      <c r="ED48" s="19">
        <f>현금흐름취합!DP48</f>
        <v>0</v>
      </c>
      <c r="EE48" s="19">
        <f>현금흐름취합!DQ48</f>
        <v>0</v>
      </c>
      <c r="EF48" s="19">
        <f>현금흐름취합!DR48</f>
        <v>0</v>
      </c>
      <c r="EG48" s="19">
        <f>현금흐름취합!DS48</f>
        <v>0</v>
      </c>
      <c r="EH48" s="19">
        <f>현금흐름취합!DT48</f>
        <v>0</v>
      </c>
      <c r="EI48" s="19">
        <f>현금흐름취합!DU48</f>
        <v>0</v>
      </c>
      <c r="EJ48" s="19">
        <f>현금흐름취합!DV48</f>
        <v>0</v>
      </c>
      <c r="EK48" s="19">
        <f>현금흐름취합!DW48</f>
        <v>0</v>
      </c>
      <c r="EL48" s="19">
        <f>현금흐름취합!DX48</f>
        <v>0</v>
      </c>
      <c r="EM48" s="19">
        <f>현금흐름취합!DY48</f>
        <v>0</v>
      </c>
      <c r="EN48" s="19">
        <f>현금흐름취합!DZ48</f>
        <v>0</v>
      </c>
      <c r="EO48" s="19">
        <f>현금흐름취합!EA48</f>
        <v>0</v>
      </c>
      <c r="EP48" s="19">
        <f>현금흐름취합!EB48</f>
        <v>0</v>
      </c>
      <c r="EQ48" s="19">
        <f>현금흐름취합!EC48</f>
        <v>0</v>
      </c>
      <c r="ER48" s="19">
        <f>현금흐름취합!ED48</f>
        <v>0</v>
      </c>
      <c r="ES48" s="19">
        <f>현금흐름취합!EE48</f>
        <v>0</v>
      </c>
    </row>
    <row r="49" spans="1:149" hidden="1">
      <c r="A49" s="7">
        <f>현금흐름취합!A49</f>
        <v>0</v>
      </c>
      <c r="B49" s="7">
        <f>현금흐름취합!B49</f>
        <v>0</v>
      </c>
      <c r="C49" s="7">
        <f>현금흐름취합!C49</f>
        <v>0</v>
      </c>
      <c r="D49" s="8">
        <f>현금흐름취합!D49</f>
        <v>0</v>
      </c>
      <c r="E49" s="37" t="str">
        <f t="shared" ref="E49" si="40">IF(R48&gt;R49,"역전현상","이상없음")</f>
        <v>이상없음</v>
      </c>
      <c r="F49" s="8">
        <f>현금흐름취합!E49</f>
        <v>0</v>
      </c>
      <c r="G49" s="37" t="str">
        <f t="shared" si="1"/>
        <v>pool 고치세요</v>
      </c>
      <c r="H49" s="9">
        <f>현금흐름취합!F49</f>
        <v>0</v>
      </c>
      <c r="I49" s="10">
        <f>현금흐름취합!G49</f>
        <v>0</v>
      </c>
      <c r="J49" s="39" t="e">
        <f t="shared" si="33"/>
        <v>#DIV/0!</v>
      </c>
      <c r="K49" s="11">
        <f>현금흐름취합!H49</f>
        <v>0</v>
      </c>
      <c r="L49" s="40" t="e">
        <f>VLOOKUP(A49,'Sheet A'!$E$11:$K$60,7,0)=K49</f>
        <v>#N/A</v>
      </c>
      <c r="M49" s="12">
        <f>현금흐름취합!I49</f>
        <v>0</v>
      </c>
      <c r="N49" s="40" t="str">
        <f t="shared" si="34"/>
        <v>검토요</v>
      </c>
      <c r="O49" s="13">
        <f>현금흐름취합!J49</f>
        <v>0</v>
      </c>
      <c r="P49" s="14">
        <f>현금흐름취합!K49</f>
        <v>0</v>
      </c>
      <c r="Q49" s="18">
        <f>현금흐름취합!L49</f>
        <v>0</v>
      </c>
      <c r="R49" s="15">
        <f>현금흐름취합!M49</f>
        <v>0</v>
      </c>
      <c r="S49" s="40" t="e">
        <f t="shared" si="35"/>
        <v>#NUM!</v>
      </c>
      <c r="T49" s="16">
        <f>현금흐름취합!N49</f>
        <v>0</v>
      </c>
      <c r="U49" s="40" t="b">
        <f t="shared" si="36"/>
        <v>1</v>
      </c>
      <c r="V49" s="46">
        <f>SUMIF(일반여신!$E$10:$E$35,검증!A49,일반여신!$O$10:$O$35)*0.985-SUMIF(가지급금!$E$10:$E$180,A49,가지급금!$K$10:$K$180)+SUMIF(가지급금!$E$10:$E$180,검증!A49,가지급금!$O$10:$O$180)*0.985</f>
        <v>0</v>
      </c>
      <c r="W49" s="47">
        <f t="shared" si="37"/>
        <v>0</v>
      </c>
      <c r="X49" s="48"/>
      <c r="Y49" s="49">
        <f>SUMIF('Sheet D'!$E$11:$E$60,A49,'Sheet D'!$P$11:$P$60)</f>
        <v>0</v>
      </c>
      <c r="Z49" s="48">
        <f>SUMIFS(일반여신!$M$10:$M$35,일반여신!$E$10:$E$35,A49,일반여신!$P$10:$P$35,"신옹보증서대위변제")</f>
        <v>0</v>
      </c>
      <c r="AA49" s="48">
        <f t="shared" si="38"/>
        <v>0</v>
      </c>
      <c r="AB49" s="50"/>
      <c r="AC49" s="19">
        <f>현금흐름취합!O49</f>
        <v>0</v>
      </c>
      <c r="AD49" s="19">
        <f>현금흐름취합!P49</f>
        <v>0</v>
      </c>
      <c r="AE49" s="19">
        <f>현금흐름취합!Q49</f>
        <v>0</v>
      </c>
      <c r="AF49" s="19">
        <f>현금흐름취합!R49</f>
        <v>0</v>
      </c>
      <c r="AG49" s="19">
        <f>현금흐름취합!S49</f>
        <v>0</v>
      </c>
      <c r="AH49" s="19">
        <f>현금흐름취합!T49</f>
        <v>0</v>
      </c>
      <c r="AI49" s="19">
        <f>현금흐름취합!U49</f>
        <v>0</v>
      </c>
      <c r="AJ49" s="19">
        <f>현금흐름취합!V49</f>
        <v>0</v>
      </c>
      <c r="AK49" s="19">
        <f>현금흐름취합!W49</f>
        <v>0</v>
      </c>
      <c r="AL49" s="19">
        <f>현금흐름취합!X49</f>
        <v>0</v>
      </c>
      <c r="AM49" s="19">
        <f>현금흐름취합!Y49</f>
        <v>0</v>
      </c>
      <c r="AN49" s="19">
        <f>현금흐름취합!Z49</f>
        <v>0</v>
      </c>
      <c r="AO49" s="19">
        <f>현금흐름취합!AA49</f>
        <v>0</v>
      </c>
      <c r="AP49" s="19">
        <f>현금흐름취합!AB49</f>
        <v>0</v>
      </c>
      <c r="AQ49" s="19">
        <f>현금흐름취합!AC49</f>
        <v>0</v>
      </c>
      <c r="AR49" s="19">
        <f>현금흐름취합!AD49</f>
        <v>0</v>
      </c>
      <c r="AS49" s="19">
        <f>현금흐름취합!AE49</f>
        <v>0</v>
      </c>
      <c r="AT49" s="19">
        <f>현금흐름취합!AF49</f>
        <v>0</v>
      </c>
      <c r="AU49" s="19">
        <f>현금흐름취합!AG49</f>
        <v>0</v>
      </c>
      <c r="AV49" s="19">
        <f>현금흐름취합!AH49</f>
        <v>0</v>
      </c>
      <c r="AW49" s="19">
        <f>현금흐름취합!AI49</f>
        <v>0</v>
      </c>
      <c r="AX49" s="19">
        <f>현금흐름취합!AJ49</f>
        <v>0</v>
      </c>
      <c r="AY49" s="19">
        <f>현금흐름취합!AK49</f>
        <v>0</v>
      </c>
      <c r="AZ49" s="19">
        <f>현금흐름취합!AL49</f>
        <v>0</v>
      </c>
      <c r="BA49" s="19">
        <f>현금흐름취합!AM49</f>
        <v>0</v>
      </c>
      <c r="BB49" s="19">
        <f>현금흐름취합!AN49</f>
        <v>0</v>
      </c>
      <c r="BC49" s="19">
        <f>현금흐름취합!AO49</f>
        <v>0</v>
      </c>
      <c r="BD49" s="19">
        <f>현금흐름취합!AP49</f>
        <v>0</v>
      </c>
      <c r="BE49" s="19">
        <f>현금흐름취합!AQ49</f>
        <v>0</v>
      </c>
      <c r="BF49" s="19">
        <f>현금흐름취합!AR49</f>
        <v>0</v>
      </c>
      <c r="BG49" s="19">
        <f>현금흐름취합!AS49</f>
        <v>0</v>
      </c>
      <c r="BH49" s="19">
        <f>현금흐름취합!AT49</f>
        <v>0</v>
      </c>
      <c r="BI49" s="19">
        <f>현금흐름취합!AU49</f>
        <v>0</v>
      </c>
      <c r="BJ49" s="19">
        <f>현금흐름취합!AV49</f>
        <v>0</v>
      </c>
      <c r="BK49" s="19">
        <f>현금흐름취합!AW49</f>
        <v>0</v>
      </c>
      <c r="BL49" s="19">
        <f>현금흐름취합!AX49</f>
        <v>0</v>
      </c>
      <c r="BM49" s="19">
        <f>현금흐름취합!AY49</f>
        <v>0</v>
      </c>
      <c r="BN49" s="19">
        <f>현금흐름취합!AZ49</f>
        <v>0</v>
      </c>
      <c r="BO49" s="19">
        <f>현금흐름취합!BA49</f>
        <v>0</v>
      </c>
      <c r="BP49" s="19">
        <f>현금흐름취합!BB49</f>
        <v>0</v>
      </c>
      <c r="BQ49" s="19">
        <f>현금흐름취합!BC49</f>
        <v>0</v>
      </c>
      <c r="BR49" s="19">
        <f>현금흐름취합!BD49</f>
        <v>0</v>
      </c>
      <c r="BS49" s="19">
        <f>현금흐름취합!BE49</f>
        <v>0</v>
      </c>
      <c r="BT49" s="19">
        <f>현금흐름취합!BF49</f>
        <v>0</v>
      </c>
      <c r="BU49" s="19">
        <f>현금흐름취합!BG49</f>
        <v>0</v>
      </c>
      <c r="BV49" s="19">
        <f>현금흐름취합!BH49</f>
        <v>0</v>
      </c>
      <c r="BW49" s="19">
        <f>현금흐름취합!BI49</f>
        <v>0</v>
      </c>
      <c r="BX49" s="19">
        <f>현금흐름취합!BJ49</f>
        <v>0</v>
      </c>
      <c r="BY49" s="19">
        <f>현금흐름취합!BK49</f>
        <v>0</v>
      </c>
      <c r="BZ49" s="19">
        <f>현금흐름취합!BL49</f>
        <v>0</v>
      </c>
      <c r="CA49" s="19">
        <f>현금흐름취합!BM49</f>
        <v>0</v>
      </c>
      <c r="CB49" s="19">
        <f>현금흐름취합!BN49</f>
        <v>0</v>
      </c>
      <c r="CC49" s="19">
        <f>현금흐름취합!BO49</f>
        <v>0</v>
      </c>
      <c r="CD49" s="19">
        <f>현금흐름취합!BP49</f>
        <v>0</v>
      </c>
      <c r="CE49" s="19">
        <f>현금흐름취합!BQ49</f>
        <v>0</v>
      </c>
      <c r="CF49" s="19">
        <f>현금흐름취합!BR49</f>
        <v>0</v>
      </c>
      <c r="CG49" s="19">
        <f>현금흐름취합!BS49</f>
        <v>0</v>
      </c>
      <c r="CH49" s="19">
        <f>현금흐름취합!BT49</f>
        <v>0</v>
      </c>
      <c r="CI49" s="19">
        <f>현금흐름취합!BU49</f>
        <v>0</v>
      </c>
      <c r="CJ49" s="19">
        <f>현금흐름취합!BV49</f>
        <v>0</v>
      </c>
      <c r="CK49" s="19">
        <f>현금흐름취합!BW49</f>
        <v>0</v>
      </c>
      <c r="CL49" s="19">
        <f>현금흐름취합!BX49</f>
        <v>0</v>
      </c>
      <c r="CM49" s="19">
        <f>현금흐름취합!BY49</f>
        <v>0</v>
      </c>
      <c r="CN49" s="19">
        <f>현금흐름취합!BZ49</f>
        <v>0</v>
      </c>
      <c r="CO49" s="19">
        <f>현금흐름취합!CA49</f>
        <v>0</v>
      </c>
      <c r="CP49" s="19">
        <f>현금흐름취합!CB49</f>
        <v>0</v>
      </c>
      <c r="CQ49" s="19">
        <f>현금흐름취합!CC49</f>
        <v>0</v>
      </c>
      <c r="CR49" s="19">
        <f>현금흐름취합!CD49</f>
        <v>0</v>
      </c>
      <c r="CS49" s="19">
        <f>현금흐름취합!CE49</f>
        <v>0</v>
      </c>
      <c r="CT49" s="19">
        <f>현금흐름취합!CF49</f>
        <v>0</v>
      </c>
      <c r="CU49" s="19">
        <f>현금흐름취합!CG49</f>
        <v>0</v>
      </c>
      <c r="CV49" s="19">
        <f>현금흐름취합!CH49</f>
        <v>0</v>
      </c>
      <c r="CW49" s="19">
        <f>현금흐름취합!CI49</f>
        <v>0</v>
      </c>
      <c r="CX49" s="19">
        <f>현금흐름취합!CJ49</f>
        <v>0</v>
      </c>
      <c r="CY49" s="19">
        <f>현금흐름취합!CK49</f>
        <v>0</v>
      </c>
      <c r="CZ49" s="19">
        <f>현금흐름취합!CL49</f>
        <v>0</v>
      </c>
      <c r="DA49" s="19">
        <f>현금흐름취합!CM49</f>
        <v>0</v>
      </c>
      <c r="DB49" s="19">
        <f>현금흐름취합!CN49</f>
        <v>0</v>
      </c>
      <c r="DC49" s="19">
        <f>현금흐름취합!CO49</f>
        <v>0</v>
      </c>
      <c r="DD49" s="19">
        <f>현금흐름취합!CP49</f>
        <v>0</v>
      </c>
      <c r="DE49" s="19">
        <f>현금흐름취합!CQ49</f>
        <v>0</v>
      </c>
      <c r="DF49" s="19">
        <f>현금흐름취합!CR49</f>
        <v>0</v>
      </c>
      <c r="DG49" s="19">
        <f>현금흐름취합!CS49</f>
        <v>0</v>
      </c>
      <c r="DH49" s="19">
        <f>현금흐름취합!CT49</f>
        <v>0</v>
      </c>
      <c r="DI49" s="19">
        <f>현금흐름취합!CU49</f>
        <v>0</v>
      </c>
      <c r="DJ49" s="19">
        <f>현금흐름취합!CV49</f>
        <v>0</v>
      </c>
      <c r="DK49" s="19">
        <f>현금흐름취합!CW49</f>
        <v>0</v>
      </c>
      <c r="DL49" s="19">
        <f>현금흐름취합!CX49</f>
        <v>0</v>
      </c>
      <c r="DM49" s="19">
        <f>현금흐름취합!CY49</f>
        <v>0</v>
      </c>
      <c r="DN49" s="19">
        <f>현금흐름취합!CZ49</f>
        <v>0</v>
      </c>
      <c r="DO49" s="19">
        <f>현금흐름취합!DA49</f>
        <v>0</v>
      </c>
      <c r="DP49" s="19">
        <f>현금흐름취합!DB49</f>
        <v>0</v>
      </c>
      <c r="DQ49" s="19">
        <f>현금흐름취합!DC49</f>
        <v>0</v>
      </c>
      <c r="DR49" s="19">
        <f>현금흐름취합!DD49</f>
        <v>0</v>
      </c>
      <c r="DS49" s="19">
        <f>현금흐름취합!DE49</f>
        <v>0</v>
      </c>
      <c r="DT49" s="19">
        <f>현금흐름취합!DF49</f>
        <v>0</v>
      </c>
      <c r="DU49" s="19">
        <f>현금흐름취합!DG49</f>
        <v>0</v>
      </c>
      <c r="DV49" s="19">
        <f>현금흐름취합!DH49</f>
        <v>0</v>
      </c>
      <c r="DW49" s="19">
        <f>현금흐름취합!DI49</f>
        <v>0</v>
      </c>
      <c r="DX49" s="19">
        <f>현금흐름취합!DJ49</f>
        <v>0</v>
      </c>
      <c r="DY49" s="19">
        <f>현금흐름취합!DK49</f>
        <v>0</v>
      </c>
      <c r="DZ49" s="19">
        <f>현금흐름취합!DL49</f>
        <v>0</v>
      </c>
      <c r="EA49" s="19">
        <f>현금흐름취합!DM49</f>
        <v>0</v>
      </c>
      <c r="EB49" s="19">
        <f>현금흐름취합!DN49</f>
        <v>0</v>
      </c>
      <c r="EC49" s="19">
        <f>현금흐름취합!DO49</f>
        <v>0</v>
      </c>
      <c r="ED49" s="19">
        <f>현금흐름취합!DP49</f>
        <v>0</v>
      </c>
      <c r="EE49" s="19">
        <f>현금흐름취합!DQ49</f>
        <v>0</v>
      </c>
      <c r="EF49" s="19">
        <f>현금흐름취합!DR49</f>
        <v>0</v>
      </c>
      <c r="EG49" s="19">
        <f>현금흐름취합!DS49</f>
        <v>0</v>
      </c>
      <c r="EH49" s="19">
        <f>현금흐름취합!DT49</f>
        <v>0</v>
      </c>
      <c r="EI49" s="19">
        <f>현금흐름취합!DU49</f>
        <v>0</v>
      </c>
      <c r="EJ49" s="19">
        <f>현금흐름취합!DV49</f>
        <v>0</v>
      </c>
      <c r="EK49" s="19">
        <f>현금흐름취합!DW49</f>
        <v>0</v>
      </c>
      <c r="EL49" s="19">
        <f>현금흐름취합!DX49</f>
        <v>0</v>
      </c>
      <c r="EM49" s="19">
        <f>현금흐름취합!DY49</f>
        <v>0</v>
      </c>
      <c r="EN49" s="19">
        <f>현금흐름취합!DZ49</f>
        <v>0</v>
      </c>
      <c r="EO49" s="19">
        <f>현금흐름취합!EA49</f>
        <v>0</v>
      </c>
      <c r="EP49" s="19">
        <f>현금흐름취합!EB49</f>
        <v>0</v>
      </c>
      <c r="EQ49" s="19">
        <f>현금흐름취합!EC49</f>
        <v>0</v>
      </c>
      <c r="ER49" s="19">
        <f>현금흐름취합!ED49</f>
        <v>0</v>
      </c>
      <c r="ES49" s="19">
        <f>현금흐름취합!EE49</f>
        <v>0</v>
      </c>
    </row>
    <row r="50" spans="1:149" hidden="1">
      <c r="A50" s="7">
        <f>현금흐름취합!A50</f>
        <v>0</v>
      </c>
      <c r="B50" s="7">
        <f>현금흐름취합!B50</f>
        <v>0</v>
      </c>
      <c r="C50" s="7">
        <f>현금흐름취합!C50</f>
        <v>0</v>
      </c>
      <c r="D50" s="8">
        <f>현금흐름취합!D50</f>
        <v>0</v>
      </c>
      <c r="E50" s="37"/>
      <c r="F50" s="8">
        <f>현금흐름취합!E50</f>
        <v>0</v>
      </c>
      <c r="G50" s="37" t="str">
        <f t="shared" si="1"/>
        <v>pool 고치세요</v>
      </c>
      <c r="H50" s="9">
        <f>현금흐름취합!F50</f>
        <v>0</v>
      </c>
      <c r="I50" s="10">
        <f>현금흐름취합!G50</f>
        <v>0</v>
      </c>
      <c r="J50" s="39" t="e">
        <f t="shared" si="33"/>
        <v>#DIV/0!</v>
      </c>
      <c r="K50" s="11">
        <f>현금흐름취합!H50</f>
        <v>0</v>
      </c>
      <c r="L50" s="40" t="e">
        <f>VLOOKUP(A50,'Sheet A'!$E$11:$K$60,7,0)=K50</f>
        <v>#N/A</v>
      </c>
      <c r="M50" s="12">
        <f>현금흐름취합!I50</f>
        <v>0</v>
      </c>
      <c r="N50" s="40" t="str">
        <f t="shared" si="34"/>
        <v>검토요</v>
      </c>
      <c r="O50" s="13">
        <f>현금흐름취합!J50</f>
        <v>0</v>
      </c>
      <c r="P50" s="14">
        <f>현금흐름취합!K50</f>
        <v>0</v>
      </c>
      <c r="Q50" s="18">
        <f>현금흐름취합!L50</f>
        <v>0</v>
      </c>
      <c r="R50" s="15">
        <f>현금흐름취합!M50</f>
        <v>0</v>
      </c>
      <c r="S50" s="40" t="e">
        <f t="shared" si="35"/>
        <v>#NUM!</v>
      </c>
      <c r="T50" s="16">
        <f>현금흐름취합!N50</f>
        <v>0</v>
      </c>
      <c r="U50" s="40" t="b">
        <f t="shared" si="36"/>
        <v>1</v>
      </c>
      <c r="V50" s="46">
        <f>SUMIF(일반여신!$E$10:$E$35,검증!A50,일반여신!$O$10:$O$35)*0.985-SUMIF(가지급금!$E$10:$E$180,A50,가지급금!$K$10:$K$180)+SUMIF(가지급금!$E$10:$E$180,검증!A50,가지급금!$O$10:$O$180)*0.985</f>
        <v>0</v>
      </c>
      <c r="W50" s="47">
        <f t="shared" si="37"/>
        <v>0</v>
      </c>
      <c r="X50" s="48"/>
      <c r="Y50" s="49">
        <f>SUMIF('Sheet D'!$E$11:$E$60,A50,'Sheet D'!$P$11:$P$60)</f>
        <v>0</v>
      </c>
      <c r="Z50" s="48">
        <f>SUMIFS(일반여신!$M$10:$M$35,일반여신!$E$10:$E$35,A50,일반여신!$P$10:$P$35,"신옹보증서대위변제")</f>
        <v>0</v>
      </c>
      <c r="AA50" s="48">
        <f t="shared" si="38"/>
        <v>0</v>
      </c>
      <c r="AB50" s="50"/>
      <c r="AC50" s="19">
        <f>현금흐름취합!O50</f>
        <v>0</v>
      </c>
      <c r="AD50" s="19">
        <f>현금흐름취합!P50</f>
        <v>0</v>
      </c>
      <c r="AE50" s="19">
        <f>현금흐름취합!Q50</f>
        <v>0</v>
      </c>
      <c r="AF50" s="19">
        <f>현금흐름취합!R50</f>
        <v>0</v>
      </c>
      <c r="AG50" s="19">
        <f>현금흐름취합!S50</f>
        <v>0</v>
      </c>
      <c r="AH50" s="19">
        <f>현금흐름취합!T50</f>
        <v>0</v>
      </c>
      <c r="AI50" s="19">
        <f>현금흐름취합!U50</f>
        <v>0</v>
      </c>
      <c r="AJ50" s="19">
        <f>현금흐름취합!V50</f>
        <v>0</v>
      </c>
      <c r="AK50" s="19">
        <f>현금흐름취합!W50</f>
        <v>0</v>
      </c>
      <c r="AL50" s="19">
        <f>현금흐름취합!X50</f>
        <v>0</v>
      </c>
      <c r="AM50" s="19">
        <f>현금흐름취합!Y50</f>
        <v>0</v>
      </c>
      <c r="AN50" s="19">
        <f>현금흐름취합!Z50</f>
        <v>0</v>
      </c>
      <c r="AO50" s="19">
        <f>현금흐름취합!AA50</f>
        <v>0</v>
      </c>
      <c r="AP50" s="19">
        <f>현금흐름취합!AB50</f>
        <v>0</v>
      </c>
      <c r="AQ50" s="19">
        <f>현금흐름취합!AC50</f>
        <v>0</v>
      </c>
      <c r="AR50" s="19">
        <f>현금흐름취합!AD50</f>
        <v>0</v>
      </c>
      <c r="AS50" s="19">
        <f>현금흐름취합!AE50</f>
        <v>0</v>
      </c>
      <c r="AT50" s="19">
        <f>현금흐름취합!AF50</f>
        <v>0</v>
      </c>
      <c r="AU50" s="19">
        <f>현금흐름취합!AG50</f>
        <v>0</v>
      </c>
      <c r="AV50" s="19">
        <f>현금흐름취합!AH50</f>
        <v>0</v>
      </c>
      <c r="AW50" s="19">
        <f>현금흐름취합!AI50</f>
        <v>0</v>
      </c>
      <c r="AX50" s="19">
        <f>현금흐름취합!AJ50</f>
        <v>0</v>
      </c>
      <c r="AY50" s="19">
        <f>현금흐름취합!AK50</f>
        <v>0</v>
      </c>
      <c r="AZ50" s="19">
        <f>현금흐름취합!AL50</f>
        <v>0</v>
      </c>
      <c r="BA50" s="19">
        <f>현금흐름취합!AM50</f>
        <v>0</v>
      </c>
      <c r="BB50" s="19">
        <f>현금흐름취합!AN50</f>
        <v>0</v>
      </c>
      <c r="BC50" s="19">
        <f>현금흐름취합!AO50</f>
        <v>0</v>
      </c>
      <c r="BD50" s="19">
        <f>현금흐름취합!AP50</f>
        <v>0</v>
      </c>
      <c r="BE50" s="19">
        <f>현금흐름취합!AQ50</f>
        <v>0</v>
      </c>
      <c r="BF50" s="19">
        <f>현금흐름취합!AR50</f>
        <v>0</v>
      </c>
      <c r="BG50" s="19">
        <f>현금흐름취합!AS50</f>
        <v>0</v>
      </c>
      <c r="BH50" s="19">
        <f>현금흐름취합!AT50</f>
        <v>0</v>
      </c>
      <c r="BI50" s="19">
        <f>현금흐름취합!AU50</f>
        <v>0</v>
      </c>
      <c r="BJ50" s="19">
        <f>현금흐름취합!AV50</f>
        <v>0</v>
      </c>
      <c r="BK50" s="19">
        <f>현금흐름취합!AW50</f>
        <v>0</v>
      </c>
      <c r="BL50" s="19">
        <f>현금흐름취합!AX50</f>
        <v>0</v>
      </c>
      <c r="BM50" s="19">
        <f>현금흐름취합!AY50</f>
        <v>0</v>
      </c>
      <c r="BN50" s="19">
        <f>현금흐름취합!AZ50</f>
        <v>0</v>
      </c>
      <c r="BO50" s="19">
        <f>현금흐름취합!BA50</f>
        <v>0</v>
      </c>
      <c r="BP50" s="19">
        <f>현금흐름취합!BB50</f>
        <v>0</v>
      </c>
      <c r="BQ50" s="19">
        <f>현금흐름취합!BC50</f>
        <v>0</v>
      </c>
      <c r="BR50" s="19">
        <f>현금흐름취합!BD50</f>
        <v>0</v>
      </c>
      <c r="BS50" s="19">
        <f>현금흐름취합!BE50</f>
        <v>0</v>
      </c>
      <c r="BT50" s="19">
        <f>현금흐름취합!BF50</f>
        <v>0</v>
      </c>
      <c r="BU50" s="19">
        <f>현금흐름취합!BG50</f>
        <v>0</v>
      </c>
      <c r="BV50" s="19">
        <f>현금흐름취합!BH50</f>
        <v>0</v>
      </c>
      <c r="BW50" s="19">
        <f>현금흐름취합!BI50</f>
        <v>0</v>
      </c>
      <c r="BX50" s="19">
        <f>현금흐름취합!BJ50</f>
        <v>0</v>
      </c>
      <c r="BY50" s="19">
        <f>현금흐름취합!BK50</f>
        <v>0</v>
      </c>
      <c r="BZ50" s="19">
        <f>현금흐름취합!BL50</f>
        <v>0</v>
      </c>
      <c r="CA50" s="19">
        <f>현금흐름취합!BM50</f>
        <v>0</v>
      </c>
      <c r="CB50" s="19">
        <f>현금흐름취합!BN50</f>
        <v>0</v>
      </c>
      <c r="CC50" s="19">
        <f>현금흐름취합!BO50</f>
        <v>0</v>
      </c>
      <c r="CD50" s="19">
        <f>현금흐름취합!BP50</f>
        <v>0</v>
      </c>
      <c r="CE50" s="19">
        <f>현금흐름취합!BQ50</f>
        <v>0</v>
      </c>
      <c r="CF50" s="19">
        <f>현금흐름취합!BR50</f>
        <v>0</v>
      </c>
      <c r="CG50" s="19">
        <f>현금흐름취합!BS50</f>
        <v>0</v>
      </c>
      <c r="CH50" s="19">
        <f>현금흐름취합!BT50</f>
        <v>0</v>
      </c>
      <c r="CI50" s="19">
        <f>현금흐름취합!BU50</f>
        <v>0</v>
      </c>
      <c r="CJ50" s="19">
        <f>현금흐름취합!BV50</f>
        <v>0</v>
      </c>
      <c r="CK50" s="19">
        <f>현금흐름취합!BW50</f>
        <v>0</v>
      </c>
      <c r="CL50" s="19">
        <f>현금흐름취합!BX50</f>
        <v>0</v>
      </c>
      <c r="CM50" s="19">
        <f>현금흐름취합!BY50</f>
        <v>0</v>
      </c>
      <c r="CN50" s="19">
        <f>현금흐름취합!BZ50</f>
        <v>0</v>
      </c>
      <c r="CO50" s="19">
        <f>현금흐름취합!CA50</f>
        <v>0</v>
      </c>
      <c r="CP50" s="19">
        <f>현금흐름취합!CB50</f>
        <v>0</v>
      </c>
      <c r="CQ50" s="19">
        <f>현금흐름취합!CC50</f>
        <v>0</v>
      </c>
      <c r="CR50" s="19">
        <f>현금흐름취합!CD50</f>
        <v>0</v>
      </c>
      <c r="CS50" s="19">
        <f>현금흐름취합!CE50</f>
        <v>0</v>
      </c>
      <c r="CT50" s="19">
        <f>현금흐름취합!CF50</f>
        <v>0</v>
      </c>
      <c r="CU50" s="19">
        <f>현금흐름취합!CG50</f>
        <v>0</v>
      </c>
      <c r="CV50" s="19">
        <f>현금흐름취합!CH50</f>
        <v>0</v>
      </c>
      <c r="CW50" s="19">
        <f>현금흐름취합!CI50</f>
        <v>0</v>
      </c>
      <c r="CX50" s="19">
        <f>현금흐름취합!CJ50</f>
        <v>0</v>
      </c>
      <c r="CY50" s="19">
        <f>현금흐름취합!CK50</f>
        <v>0</v>
      </c>
      <c r="CZ50" s="19">
        <f>현금흐름취합!CL50</f>
        <v>0</v>
      </c>
      <c r="DA50" s="19">
        <f>현금흐름취합!CM50</f>
        <v>0</v>
      </c>
      <c r="DB50" s="19">
        <f>현금흐름취합!CN50</f>
        <v>0</v>
      </c>
      <c r="DC50" s="19">
        <f>현금흐름취합!CO50</f>
        <v>0</v>
      </c>
      <c r="DD50" s="19">
        <f>현금흐름취합!CP50</f>
        <v>0</v>
      </c>
      <c r="DE50" s="19">
        <f>현금흐름취합!CQ50</f>
        <v>0</v>
      </c>
      <c r="DF50" s="19">
        <f>현금흐름취합!CR50</f>
        <v>0</v>
      </c>
      <c r="DG50" s="19">
        <f>현금흐름취합!CS50</f>
        <v>0</v>
      </c>
      <c r="DH50" s="19">
        <f>현금흐름취합!CT50</f>
        <v>0</v>
      </c>
      <c r="DI50" s="19">
        <f>현금흐름취합!CU50</f>
        <v>0</v>
      </c>
      <c r="DJ50" s="19">
        <f>현금흐름취합!CV50</f>
        <v>0</v>
      </c>
      <c r="DK50" s="19">
        <f>현금흐름취합!CW50</f>
        <v>0</v>
      </c>
      <c r="DL50" s="19">
        <f>현금흐름취합!CX50</f>
        <v>0</v>
      </c>
      <c r="DM50" s="19">
        <f>현금흐름취합!CY50</f>
        <v>0</v>
      </c>
      <c r="DN50" s="19">
        <f>현금흐름취합!CZ50</f>
        <v>0</v>
      </c>
      <c r="DO50" s="19">
        <f>현금흐름취합!DA50</f>
        <v>0</v>
      </c>
      <c r="DP50" s="19">
        <f>현금흐름취합!DB50</f>
        <v>0</v>
      </c>
      <c r="DQ50" s="19">
        <f>현금흐름취합!DC50</f>
        <v>0</v>
      </c>
      <c r="DR50" s="19">
        <f>현금흐름취합!DD50</f>
        <v>0</v>
      </c>
      <c r="DS50" s="19">
        <f>현금흐름취합!DE50</f>
        <v>0</v>
      </c>
      <c r="DT50" s="19">
        <f>현금흐름취합!DF50</f>
        <v>0</v>
      </c>
      <c r="DU50" s="19">
        <f>현금흐름취합!DG50</f>
        <v>0</v>
      </c>
      <c r="DV50" s="19">
        <f>현금흐름취합!DH50</f>
        <v>0</v>
      </c>
      <c r="DW50" s="19">
        <f>현금흐름취합!DI50</f>
        <v>0</v>
      </c>
      <c r="DX50" s="19">
        <f>현금흐름취합!DJ50</f>
        <v>0</v>
      </c>
      <c r="DY50" s="19">
        <f>현금흐름취합!DK50</f>
        <v>0</v>
      </c>
      <c r="DZ50" s="19">
        <f>현금흐름취합!DL50</f>
        <v>0</v>
      </c>
      <c r="EA50" s="19">
        <f>현금흐름취합!DM50</f>
        <v>0</v>
      </c>
      <c r="EB50" s="19">
        <f>현금흐름취합!DN50</f>
        <v>0</v>
      </c>
      <c r="EC50" s="19">
        <f>현금흐름취합!DO50</f>
        <v>0</v>
      </c>
      <c r="ED50" s="19">
        <f>현금흐름취합!DP50</f>
        <v>0</v>
      </c>
      <c r="EE50" s="19">
        <f>현금흐름취합!DQ50</f>
        <v>0</v>
      </c>
      <c r="EF50" s="19">
        <f>현금흐름취합!DR50</f>
        <v>0</v>
      </c>
      <c r="EG50" s="19">
        <f>현금흐름취합!DS50</f>
        <v>0</v>
      </c>
      <c r="EH50" s="19">
        <f>현금흐름취합!DT50</f>
        <v>0</v>
      </c>
      <c r="EI50" s="19">
        <f>현금흐름취합!DU50</f>
        <v>0</v>
      </c>
      <c r="EJ50" s="19">
        <f>현금흐름취합!DV50</f>
        <v>0</v>
      </c>
      <c r="EK50" s="19">
        <f>현금흐름취합!DW50</f>
        <v>0</v>
      </c>
      <c r="EL50" s="19">
        <f>현금흐름취합!DX50</f>
        <v>0</v>
      </c>
      <c r="EM50" s="19">
        <f>현금흐름취합!DY50</f>
        <v>0</v>
      </c>
      <c r="EN50" s="19">
        <f>현금흐름취합!DZ50</f>
        <v>0</v>
      </c>
      <c r="EO50" s="19">
        <f>현금흐름취합!EA50</f>
        <v>0</v>
      </c>
      <c r="EP50" s="19">
        <f>현금흐름취합!EB50</f>
        <v>0</v>
      </c>
      <c r="EQ50" s="19">
        <f>현금흐름취합!EC50</f>
        <v>0</v>
      </c>
      <c r="ER50" s="19">
        <f>현금흐름취합!ED50</f>
        <v>0</v>
      </c>
      <c r="ES50" s="19">
        <f>현금흐름취합!EE50</f>
        <v>0</v>
      </c>
    </row>
    <row r="51" spans="1:149" hidden="1">
      <c r="A51" s="7">
        <f>현금흐름취합!A51</f>
        <v>0</v>
      </c>
      <c r="B51" s="7">
        <f>현금흐름취합!B51</f>
        <v>0</v>
      </c>
      <c r="C51" s="7">
        <f>현금흐름취합!C51</f>
        <v>0</v>
      </c>
      <c r="D51" s="8">
        <f>현금흐름취합!D51</f>
        <v>0</v>
      </c>
      <c r="E51" s="37" t="str">
        <f t="shared" ref="E51" si="41">IF(R50&gt;R51,"역전현상","이상없음")</f>
        <v>이상없음</v>
      </c>
      <c r="F51" s="8">
        <f>현금흐름취합!E51</f>
        <v>0</v>
      </c>
      <c r="G51" s="37" t="str">
        <f t="shared" si="1"/>
        <v>pool 고치세요</v>
      </c>
      <c r="H51" s="9">
        <f>현금흐름취합!F51</f>
        <v>0</v>
      </c>
      <c r="I51" s="10">
        <f>현금흐름취합!G51</f>
        <v>0</v>
      </c>
      <c r="J51" s="39" t="e">
        <f t="shared" si="33"/>
        <v>#DIV/0!</v>
      </c>
      <c r="K51" s="11">
        <f>현금흐름취합!H51</f>
        <v>0</v>
      </c>
      <c r="L51" s="40" t="e">
        <f>VLOOKUP(A51,'Sheet A'!$E$11:$K$60,7,0)=K51</f>
        <v>#N/A</v>
      </c>
      <c r="M51" s="12">
        <f>현금흐름취합!I51</f>
        <v>0</v>
      </c>
      <c r="N51" s="40" t="str">
        <f t="shared" si="34"/>
        <v>검토요</v>
      </c>
      <c r="O51" s="13">
        <f>현금흐름취합!J51</f>
        <v>0</v>
      </c>
      <c r="P51" s="14">
        <f>현금흐름취합!K51</f>
        <v>0</v>
      </c>
      <c r="Q51" s="18">
        <f>현금흐름취합!L51</f>
        <v>0</v>
      </c>
      <c r="R51" s="15">
        <f>현금흐름취합!M51</f>
        <v>0</v>
      </c>
      <c r="S51" s="40" t="e">
        <f t="shared" si="35"/>
        <v>#NUM!</v>
      </c>
      <c r="T51" s="16">
        <f>현금흐름취합!N51</f>
        <v>0</v>
      </c>
      <c r="U51" s="40" t="b">
        <f t="shared" si="36"/>
        <v>1</v>
      </c>
      <c r="V51" s="46">
        <f>SUMIF(일반여신!$E$10:$E$35,검증!A51,일반여신!$O$10:$O$35)*0.985-SUMIF(가지급금!$E$10:$E$180,A51,가지급금!$K$10:$K$180)+SUMIF(가지급금!$E$10:$E$180,검증!A51,가지급금!$O$10:$O$180)*0.985</f>
        <v>0</v>
      </c>
      <c r="W51" s="47">
        <f t="shared" si="37"/>
        <v>0</v>
      </c>
      <c r="X51" s="48"/>
      <c r="Y51" s="49">
        <f>SUMIF('Sheet D'!$E$11:$E$60,A51,'Sheet D'!$P$11:$P$60)</f>
        <v>0</v>
      </c>
      <c r="Z51" s="48">
        <f>SUMIFS(일반여신!$M$10:$M$35,일반여신!$E$10:$E$35,A51,일반여신!$P$10:$P$35,"신옹보증서대위변제")</f>
        <v>0</v>
      </c>
      <c r="AA51" s="48">
        <f t="shared" si="38"/>
        <v>0</v>
      </c>
      <c r="AB51" s="50"/>
      <c r="AC51" s="19">
        <f>현금흐름취합!O51</f>
        <v>0</v>
      </c>
      <c r="AD51" s="19">
        <f>현금흐름취합!P51</f>
        <v>0</v>
      </c>
      <c r="AE51" s="19">
        <f>현금흐름취합!Q51</f>
        <v>0</v>
      </c>
      <c r="AF51" s="19">
        <f>현금흐름취합!R51</f>
        <v>0</v>
      </c>
      <c r="AG51" s="19">
        <f>현금흐름취합!S51</f>
        <v>0</v>
      </c>
      <c r="AH51" s="19">
        <f>현금흐름취합!T51</f>
        <v>0</v>
      </c>
      <c r="AI51" s="19">
        <f>현금흐름취합!U51</f>
        <v>0</v>
      </c>
      <c r="AJ51" s="19">
        <f>현금흐름취합!V51</f>
        <v>0</v>
      </c>
      <c r="AK51" s="19">
        <f>현금흐름취합!W51</f>
        <v>0</v>
      </c>
      <c r="AL51" s="19">
        <f>현금흐름취합!X51</f>
        <v>0</v>
      </c>
      <c r="AM51" s="19">
        <f>현금흐름취합!Y51</f>
        <v>0</v>
      </c>
      <c r="AN51" s="19">
        <f>현금흐름취합!Z51</f>
        <v>0</v>
      </c>
      <c r="AO51" s="19">
        <f>현금흐름취합!AA51</f>
        <v>0</v>
      </c>
      <c r="AP51" s="19">
        <f>현금흐름취합!AB51</f>
        <v>0</v>
      </c>
      <c r="AQ51" s="19">
        <f>현금흐름취합!AC51</f>
        <v>0</v>
      </c>
      <c r="AR51" s="19">
        <f>현금흐름취합!AD51</f>
        <v>0</v>
      </c>
      <c r="AS51" s="19">
        <f>현금흐름취합!AE51</f>
        <v>0</v>
      </c>
      <c r="AT51" s="19">
        <f>현금흐름취합!AF51</f>
        <v>0</v>
      </c>
      <c r="AU51" s="19">
        <f>현금흐름취합!AG51</f>
        <v>0</v>
      </c>
      <c r="AV51" s="19">
        <f>현금흐름취합!AH51</f>
        <v>0</v>
      </c>
      <c r="AW51" s="19">
        <f>현금흐름취합!AI51</f>
        <v>0</v>
      </c>
      <c r="AX51" s="19">
        <f>현금흐름취합!AJ51</f>
        <v>0</v>
      </c>
      <c r="AY51" s="19">
        <f>현금흐름취합!AK51</f>
        <v>0</v>
      </c>
      <c r="AZ51" s="19">
        <f>현금흐름취합!AL51</f>
        <v>0</v>
      </c>
      <c r="BA51" s="19">
        <f>현금흐름취합!AM51</f>
        <v>0</v>
      </c>
      <c r="BB51" s="19">
        <f>현금흐름취합!AN51</f>
        <v>0</v>
      </c>
      <c r="BC51" s="19">
        <f>현금흐름취합!AO51</f>
        <v>0</v>
      </c>
      <c r="BD51" s="19">
        <f>현금흐름취합!AP51</f>
        <v>0</v>
      </c>
      <c r="BE51" s="19">
        <f>현금흐름취합!AQ51</f>
        <v>0</v>
      </c>
      <c r="BF51" s="19">
        <f>현금흐름취합!AR51</f>
        <v>0</v>
      </c>
      <c r="BG51" s="19">
        <f>현금흐름취합!AS51</f>
        <v>0</v>
      </c>
      <c r="BH51" s="19">
        <f>현금흐름취합!AT51</f>
        <v>0</v>
      </c>
      <c r="BI51" s="19">
        <f>현금흐름취합!AU51</f>
        <v>0</v>
      </c>
      <c r="BJ51" s="19">
        <f>현금흐름취합!AV51</f>
        <v>0</v>
      </c>
      <c r="BK51" s="19">
        <f>현금흐름취합!AW51</f>
        <v>0</v>
      </c>
      <c r="BL51" s="19">
        <f>현금흐름취합!AX51</f>
        <v>0</v>
      </c>
      <c r="BM51" s="19">
        <f>현금흐름취합!AY51</f>
        <v>0</v>
      </c>
      <c r="BN51" s="19">
        <f>현금흐름취합!AZ51</f>
        <v>0</v>
      </c>
      <c r="BO51" s="19">
        <f>현금흐름취합!BA51</f>
        <v>0</v>
      </c>
      <c r="BP51" s="19">
        <f>현금흐름취합!BB51</f>
        <v>0</v>
      </c>
      <c r="BQ51" s="19">
        <f>현금흐름취합!BC51</f>
        <v>0</v>
      </c>
      <c r="BR51" s="19">
        <f>현금흐름취합!BD51</f>
        <v>0</v>
      </c>
      <c r="BS51" s="19">
        <f>현금흐름취합!BE51</f>
        <v>0</v>
      </c>
      <c r="BT51" s="19">
        <f>현금흐름취합!BF51</f>
        <v>0</v>
      </c>
      <c r="BU51" s="19">
        <f>현금흐름취합!BG51</f>
        <v>0</v>
      </c>
      <c r="BV51" s="19">
        <f>현금흐름취합!BH51</f>
        <v>0</v>
      </c>
      <c r="BW51" s="19">
        <f>현금흐름취합!BI51</f>
        <v>0</v>
      </c>
      <c r="BX51" s="19">
        <f>현금흐름취합!BJ51</f>
        <v>0</v>
      </c>
      <c r="BY51" s="19">
        <f>현금흐름취합!BK51</f>
        <v>0</v>
      </c>
      <c r="BZ51" s="19">
        <f>현금흐름취합!BL51</f>
        <v>0</v>
      </c>
      <c r="CA51" s="19">
        <f>현금흐름취합!BM51</f>
        <v>0</v>
      </c>
      <c r="CB51" s="19">
        <f>현금흐름취합!BN51</f>
        <v>0</v>
      </c>
      <c r="CC51" s="19">
        <f>현금흐름취합!BO51</f>
        <v>0</v>
      </c>
      <c r="CD51" s="19">
        <f>현금흐름취합!BP51</f>
        <v>0</v>
      </c>
      <c r="CE51" s="19">
        <f>현금흐름취합!BQ51</f>
        <v>0</v>
      </c>
      <c r="CF51" s="19">
        <f>현금흐름취합!BR51</f>
        <v>0</v>
      </c>
      <c r="CG51" s="19">
        <f>현금흐름취합!BS51</f>
        <v>0</v>
      </c>
      <c r="CH51" s="19">
        <f>현금흐름취합!BT51</f>
        <v>0</v>
      </c>
      <c r="CI51" s="19">
        <f>현금흐름취합!BU51</f>
        <v>0</v>
      </c>
      <c r="CJ51" s="19">
        <f>현금흐름취합!BV51</f>
        <v>0</v>
      </c>
      <c r="CK51" s="19">
        <f>현금흐름취합!BW51</f>
        <v>0</v>
      </c>
      <c r="CL51" s="19">
        <f>현금흐름취합!BX51</f>
        <v>0</v>
      </c>
      <c r="CM51" s="19">
        <f>현금흐름취합!BY51</f>
        <v>0</v>
      </c>
      <c r="CN51" s="19">
        <f>현금흐름취합!BZ51</f>
        <v>0</v>
      </c>
      <c r="CO51" s="19">
        <f>현금흐름취합!CA51</f>
        <v>0</v>
      </c>
      <c r="CP51" s="19">
        <f>현금흐름취합!CB51</f>
        <v>0</v>
      </c>
      <c r="CQ51" s="19">
        <f>현금흐름취합!CC51</f>
        <v>0</v>
      </c>
      <c r="CR51" s="19">
        <f>현금흐름취합!CD51</f>
        <v>0</v>
      </c>
      <c r="CS51" s="19">
        <f>현금흐름취합!CE51</f>
        <v>0</v>
      </c>
      <c r="CT51" s="19">
        <f>현금흐름취합!CF51</f>
        <v>0</v>
      </c>
      <c r="CU51" s="19">
        <f>현금흐름취합!CG51</f>
        <v>0</v>
      </c>
      <c r="CV51" s="19">
        <f>현금흐름취합!CH51</f>
        <v>0</v>
      </c>
      <c r="CW51" s="19">
        <f>현금흐름취합!CI51</f>
        <v>0</v>
      </c>
      <c r="CX51" s="19">
        <f>현금흐름취합!CJ51</f>
        <v>0</v>
      </c>
      <c r="CY51" s="19">
        <f>현금흐름취합!CK51</f>
        <v>0</v>
      </c>
      <c r="CZ51" s="19">
        <f>현금흐름취합!CL51</f>
        <v>0</v>
      </c>
      <c r="DA51" s="19">
        <f>현금흐름취합!CM51</f>
        <v>0</v>
      </c>
      <c r="DB51" s="19">
        <f>현금흐름취합!CN51</f>
        <v>0</v>
      </c>
      <c r="DC51" s="19">
        <f>현금흐름취합!CO51</f>
        <v>0</v>
      </c>
      <c r="DD51" s="19">
        <f>현금흐름취합!CP51</f>
        <v>0</v>
      </c>
      <c r="DE51" s="19">
        <f>현금흐름취합!CQ51</f>
        <v>0</v>
      </c>
      <c r="DF51" s="19">
        <f>현금흐름취합!CR51</f>
        <v>0</v>
      </c>
      <c r="DG51" s="19">
        <f>현금흐름취합!CS51</f>
        <v>0</v>
      </c>
      <c r="DH51" s="19">
        <f>현금흐름취합!CT51</f>
        <v>0</v>
      </c>
      <c r="DI51" s="19">
        <f>현금흐름취합!CU51</f>
        <v>0</v>
      </c>
      <c r="DJ51" s="19">
        <f>현금흐름취합!CV51</f>
        <v>0</v>
      </c>
      <c r="DK51" s="19">
        <f>현금흐름취합!CW51</f>
        <v>0</v>
      </c>
      <c r="DL51" s="19">
        <f>현금흐름취합!CX51</f>
        <v>0</v>
      </c>
      <c r="DM51" s="19">
        <f>현금흐름취합!CY51</f>
        <v>0</v>
      </c>
      <c r="DN51" s="19">
        <f>현금흐름취합!CZ51</f>
        <v>0</v>
      </c>
      <c r="DO51" s="19">
        <f>현금흐름취합!DA51</f>
        <v>0</v>
      </c>
      <c r="DP51" s="19">
        <f>현금흐름취합!DB51</f>
        <v>0</v>
      </c>
      <c r="DQ51" s="19">
        <f>현금흐름취합!DC51</f>
        <v>0</v>
      </c>
      <c r="DR51" s="19">
        <f>현금흐름취합!DD51</f>
        <v>0</v>
      </c>
      <c r="DS51" s="19">
        <f>현금흐름취합!DE51</f>
        <v>0</v>
      </c>
      <c r="DT51" s="19">
        <f>현금흐름취합!DF51</f>
        <v>0</v>
      </c>
      <c r="DU51" s="19">
        <f>현금흐름취합!DG51</f>
        <v>0</v>
      </c>
      <c r="DV51" s="19">
        <f>현금흐름취합!DH51</f>
        <v>0</v>
      </c>
      <c r="DW51" s="19">
        <f>현금흐름취합!DI51</f>
        <v>0</v>
      </c>
      <c r="DX51" s="19">
        <f>현금흐름취합!DJ51</f>
        <v>0</v>
      </c>
      <c r="DY51" s="19">
        <f>현금흐름취합!DK51</f>
        <v>0</v>
      </c>
      <c r="DZ51" s="19">
        <f>현금흐름취합!DL51</f>
        <v>0</v>
      </c>
      <c r="EA51" s="19">
        <f>현금흐름취합!DM51</f>
        <v>0</v>
      </c>
      <c r="EB51" s="19">
        <f>현금흐름취합!DN51</f>
        <v>0</v>
      </c>
      <c r="EC51" s="19">
        <f>현금흐름취합!DO51</f>
        <v>0</v>
      </c>
      <c r="ED51" s="19">
        <f>현금흐름취합!DP51</f>
        <v>0</v>
      </c>
      <c r="EE51" s="19">
        <f>현금흐름취합!DQ51</f>
        <v>0</v>
      </c>
      <c r="EF51" s="19">
        <f>현금흐름취합!DR51</f>
        <v>0</v>
      </c>
      <c r="EG51" s="19">
        <f>현금흐름취합!DS51</f>
        <v>0</v>
      </c>
      <c r="EH51" s="19">
        <f>현금흐름취합!DT51</f>
        <v>0</v>
      </c>
      <c r="EI51" s="19">
        <f>현금흐름취합!DU51</f>
        <v>0</v>
      </c>
      <c r="EJ51" s="19">
        <f>현금흐름취합!DV51</f>
        <v>0</v>
      </c>
      <c r="EK51" s="19">
        <f>현금흐름취합!DW51</f>
        <v>0</v>
      </c>
      <c r="EL51" s="19">
        <f>현금흐름취합!DX51</f>
        <v>0</v>
      </c>
      <c r="EM51" s="19">
        <f>현금흐름취합!DY51</f>
        <v>0</v>
      </c>
      <c r="EN51" s="19">
        <f>현금흐름취합!DZ51</f>
        <v>0</v>
      </c>
      <c r="EO51" s="19">
        <f>현금흐름취합!EA51</f>
        <v>0</v>
      </c>
      <c r="EP51" s="19">
        <f>현금흐름취합!EB51</f>
        <v>0</v>
      </c>
      <c r="EQ51" s="19">
        <f>현금흐름취합!EC51</f>
        <v>0</v>
      </c>
      <c r="ER51" s="19">
        <f>현금흐름취합!ED51</f>
        <v>0</v>
      </c>
      <c r="ES51" s="19">
        <f>현금흐름취합!EE51</f>
        <v>0</v>
      </c>
    </row>
    <row r="52" spans="1:149" hidden="1">
      <c r="A52" s="7">
        <f>현금흐름취합!A52</f>
        <v>0</v>
      </c>
      <c r="B52" s="7">
        <f>현금흐름취합!B52</f>
        <v>0</v>
      </c>
      <c r="C52" s="7">
        <f>현금흐름취합!C52</f>
        <v>0</v>
      </c>
      <c r="D52" s="8">
        <f>현금흐름취합!D52</f>
        <v>0</v>
      </c>
      <c r="E52" s="37"/>
      <c r="F52" s="8">
        <f>현금흐름취합!E52</f>
        <v>0</v>
      </c>
      <c r="G52" s="37" t="str">
        <f t="shared" si="1"/>
        <v>pool 고치세요</v>
      </c>
      <c r="H52" s="9">
        <f>현금흐름취합!F52</f>
        <v>0</v>
      </c>
      <c r="I52" s="10">
        <f>현금흐름취합!G52</f>
        <v>0</v>
      </c>
      <c r="J52" s="39" t="e">
        <f t="shared" si="33"/>
        <v>#DIV/0!</v>
      </c>
      <c r="K52" s="11">
        <f>현금흐름취합!H52</f>
        <v>0</v>
      </c>
      <c r="L52" s="40" t="e">
        <f>VLOOKUP(A52,'Sheet A'!$E$11:$K$60,7,0)=K52</f>
        <v>#N/A</v>
      </c>
      <c r="M52" s="12">
        <f>현금흐름취합!I52</f>
        <v>0</v>
      </c>
      <c r="N52" s="40" t="str">
        <f t="shared" si="34"/>
        <v>검토요</v>
      </c>
      <c r="O52" s="13">
        <f>현금흐름취합!J52</f>
        <v>0</v>
      </c>
      <c r="P52" s="14">
        <f>현금흐름취합!K52</f>
        <v>0</v>
      </c>
      <c r="Q52" s="18">
        <f>현금흐름취합!L52</f>
        <v>0</v>
      </c>
      <c r="R52" s="15">
        <f>현금흐름취합!M52</f>
        <v>0</v>
      </c>
      <c r="S52" s="40" t="e">
        <f t="shared" si="35"/>
        <v>#NUM!</v>
      </c>
      <c r="T52" s="16">
        <f>현금흐름취합!N52</f>
        <v>0</v>
      </c>
      <c r="U52" s="40" t="b">
        <f t="shared" si="36"/>
        <v>1</v>
      </c>
      <c r="V52" s="46">
        <f>SUMIF(일반여신!$E$10:$E$35,검증!A52,일반여신!$O$10:$O$35)*0.985-SUMIF(가지급금!$E$10:$E$180,A52,가지급금!$K$10:$K$180)+SUMIF(가지급금!$E$10:$E$180,검증!A52,가지급금!$O$10:$O$180)*0.985</f>
        <v>0</v>
      </c>
      <c r="W52" s="47">
        <f t="shared" si="37"/>
        <v>0</v>
      </c>
      <c r="X52" s="48"/>
      <c r="Y52" s="49">
        <f>SUMIF('Sheet D'!$E$11:$E$60,A52,'Sheet D'!$P$11:$P$60)</f>
        <v>0</v>
      </c>
      <c r="Z52" s="48">
        <f>SUMIFS(일반여신!$M$10:$M$35,일반여신!$E$10:$E$35,A52,일반여신!$P$10:$P$35,"신옹보증서대위변제")</f>
        <v>0</v>
      </c>
      <c r="AA52" s="48">
        <f t="shared" si="38"/>
        <v>0</v>
      </c>
      <c r="AB52" s="50"/>
      <c r="AC52" s="19">
        <f>현금흐름취합!O52</f>
        <v>0</v>
      </c>
      <c r="AD52" s="19">
        <f>현금흐름취합!P52</f>
        <v>0</v>
      </c>
      <c r="AE52" s="19">
        <f>현금흐름취합!Q52</f>
        <v>0</v>
      </c>
      <c r="AF52" s="19">
        <f>현금흐름취합!R52</f>
        <v>0</v>
      </c>
      <c r="AG52" s="19">
        <f>현금흐름취합!S52</f>
        <v>0</v>
      </c>
      <c r="AH52" s="19">
        <f>현금흐름취합!T52</f>
        <v>0</v>
      </c>
      <c r="AI52" s="19">
        <f>현금흐름취합!U52</f>
        <v>0</v>
      </c>
      <c r="AJ52" s="19">
        <f>현금흐름취합!V52</f>
        <v>0</v>
      </c>
      <c r="AK52" s="19">
        <f>현금흐름취합!W52</f>
        <v>0</v>
      </c>
      <c r="AL52" s="19">
        <f>현금흐름취합!X52</f>
        <v>0</v>
      </c>
      <c r="AM52" s="19">
        <f>현금흐름취합!Y52</f>
        <v>0</v>
      </c>
      <c r="AN52" s="19">
        <f>현금흐름취합!Z52</f>
        <v>0</v>
      </c>
      <c r="AO52" s="19">
        <f>현금흐름취합!AA52</f>
        <v>0</v>
      </c>
      <c r="AP52" s="19">
        <f>현금흐름취합!AB52</f>
        <v>0</v>
      </c>
      <c r="AQ52" s="19">
        <f>현금흐름취합!AC52</f>
        <v>0</v>
      </c>
      <c r="AR52" s="19">
        <f>현금흐름취합!AD52</f>
        <v>0</v>
      </c>
      <c r="AS52" s="19">
        <f>현금흐름취합!AE52</f>
        <v>0</v>
      </c>
      <c r="AT52" s="19">
        <f>현금흐름취합!AF52</f>
        <v>0</v>
      </c>
      <c r="AU52" s="19">
        <f>현금흐름취합!AG52</f>
        <v>0</v>
      </c>
      <c r="AV52" s="19">
        <f>현금흐름취합!AH52</f>
        <v>0</v>
      </c>
      <c r="AW52" s="19">
        <f>현금흐름취합!AI52</f>
        <v>0</v>
      </c>
      <c r="AX52" s="19">
        <f>현금흐름취합!AJ52</f>
        <v>0</v>
      </c>
      <c r="AY52" s="19">
        <f>현금흐름취합!AK52</f>
        <v>0</v>
      </c>
      <c r="AZ52" s="19">
        <f>현금흐름취합!AL52</f>
        <v>0</v>
      </c>
      <c r="BA52" s="19">
        <f>현금흐름취합!AM52</f>
        <v>0</v>
      </c>
      <c r="BB52" s="19">
        <f>현금흐름취합!AN52</f>
        <v>0</v>
      </c>
      <c r="BC52" s="19">
        <f>현금흐름취합!AO52</f>
        <v>0</v>
      </c>
      <c r="BD52" s="19">
        <f>현금흐름취합!AP52</f>
        <v>0</v>
      </c>
      <c r="BE52" s="19">
        <f>현금흐름취합!AQ52</f>
        <v>0</v>
      </c>
      <c r="BF52" s="19">
        <f>현금흐름취합!AR52</f>
        <v>0</v>
      </c>
      <c r="BG52" s="19">
        <f>현금흐름취합!AS52</f>
        <v>0</v>
      </c>
      <c r="BH52" s="19">
        <f>현금흐름취합!AT52</f>
        <v>0</v>
      </c>
      <c r="BI52" s="19">
        <f>현금흐름취합!AU52</f>
        <v>0</v>
      </c>
      <c r="BJ52" s="19">
        <f>현금흐름취합!AV52</f>
        <v>0</v>
      </c>
      <c r="BK52" s="19">
        <f>현금흐름취합!AW52</f>
        <v>0</v>
      </c>
      <c r="BL52" s="19">
        <f>현금흐름취합!AX52</f>
        <v>0</v>
      </c>
      <c r="BM52" s="19">
        <f>현금흐름취합!AY52</f>
        <v>0</v>
      </c>
      <c r="BN52" s="19">
        <f>현금흐름취합!AZ52</f>
        <v>0</v>
      </c>
      <c r="BO52" s="19">
        <f>현금흐름취합!BA52</f>
        <v>0</v>
      </c>
      <c r="BP52" s="19">
        <f>현금흐름취합!BB52</f>
        <v>0</v>
      </c>
      <c r="BQ52" s="19">
        <f>현금흐름취합!BC52</f>
        <v>0</v>
      </c>
      <c r="BR52" s="19">
        <f>현금흐름취합!BD52</f>
        <v>0</v>
      </c>
      <c r="BS52" s="19">
        <f>현금흐름취합!BE52</f>
        <v>0</v>
      </c>
      <c r="BT52" s="19">
        <f>현금흐름취합!BF52</f>
        <v>0</v>
      </c>
      <c r="BU52" s="19">
        <f>현금흐름취합!BG52</f>
        <v>0</v>
      </c>
      <c r="BV52" s="19">
        <f>현금흐름취합!BH52</f>
        <v>0</v>
      </c>
      <c r="BW52" s="19">
        <f>현금흐름취합!BI52</f>
        <v>0</v>
      </c>
      <c r="BX52" s="19">
        <f>현금흐름취합!BJ52</f>
        <v>0</v>
      </c>
      <c r="BY52" s="19">
        <f>현금흐름취합!BK52</f>
        <v>0</v>
      </c>
      <c r="BZ52" s="19">
        <f>현금흐름취합!BL52</f>
        <v>0</v>
      </c>
      <c r="CA52" s="19">
        <f>현금흐름취합!BM52</f>
        <v>0</v>
      </c>
      <c r="CB52" s="19">
        <f>현금흐름취합!BN52</f>
        <v>0</v>
      </c>
      <c r="CC52" s="19">
        <f>현금흐름취합!BO52</f>
        <v>0</v>
      </c>
      <c r="CD52" s="19">
        <f>현금흐름취합!BP52</f>
        <v>0</v>
      </c>
      <c r="CE52" s="19">
        <f>현금흐름취합!BQ52</f>
        <v>0</v>
      </c>
      <c r="CF52" s="19">
        <f>현금흐름취합!BR52</f>
        <v>0</v>
      </c>
      <c r="CG52" s="19">
        <f>현금흐름취합!BS52</f>
        <v>0</v>
      </c>
      <c r="CH52" s="19">
        <f>현금흐름취합!BT52</f>
        <v>0</v>
      </c>
      <c r="CI52" s="19">
        <f>현금흐름취합!BU52</f>
        <v>0</v>
      </c>
      <c r="CJ52" s="19">
        <f>현금흐름취합!BV52</f>
        <v>0</v>
      </c>
      <c r="CK52" s="19">
        <f>현금흐름취합!BW52</f>
        <v>0</v>
      </c>
      <c r="CL52" s="19">
        <f>현금흐름취합!BX52</f>
        <v>0</v>
      </c>
      <c r="CM52" s="19">
        <f>현금흐름취합!BY52</f>
        <v>0</v>
      </c>
      <c r="CN52" s="19">
        <f>현금흐름취합!BZ52</f>
        <v>0</v>
      </c>
      <c r="CO52" s="19">
        <f>현금흐름취합!CA52</f>
        <v>0</v>
      </c>
      <c r="CP52" s="19">
        <f>현금흐름취합!CB52</f>
        <v>0</v>
      </c>
      <c r="CQ52" s="19">
        <f>현금흐름취합!CC52</f>
        <v>0</v>
      </c>
      <c r="CR52" s="19">
        <f>현금흐름취합!CD52</f>
        <v>0</v>
      </c>
      <c r="CS52" s="19">
        <f>현금흐름취합!CE52</f>
        <v>0</v>
      </c>
      <c r="CT52" s="19">
        <f>현금흐름취합!CF52</f>
        <v>0</v>
      </c>
      <c r="CU52" s="19">
        <f>현금흐름취합!CG52</f>
        <v>0</v>
      </c>
      <c r="CV52" s="19">
        <f>현금흐름취합!CH52</f>
        <v>0</v>
      </c>
      <c r="CW52" s="19">
        <f>현금흐름취합!CI52</f>
        <v>0</v>
      </c>
      <c r="CX52" s="19">
        <f>현금흐름취합!CJ52</f>
        <v>0</v>
      </c>
      <c r="CY52" s="19">
        <f>현금흐름취합!CK52</f>
        <v>0</v>
      </c>
      <c r="CZ52" s="19">
        <f>현금흐름취합!CL52</f>
        <v>0</v>
      </c>
      <c r="DA52" s="19">
        <f>현금흐름취합!CM52</f>
        <v>0</v>
      </c>
      <c r="DB52" s="19">
        <f>현금흐름취합!CN52</f>
        <v>0</v>
      </c>
      <c r="DC52" s="19">
        <f>현금흐름취합!CO52</f>
        <v>0</v>
      </c>
      <c r="DD52" s="19">
        <f>현금흐름취합!CP52</f>
        <v>0</v>
      </c>
      <c r="DE52" s="19">
        <f>현금흐름취합!CQ52</f>
        <v>0</v>
      </c>
      <c r="DF52" s="19">
        <f>현금흐름취합!CR52</f>
        <v>0</v>
      </c>
      <c r="DG52" s="19">
        <f>현금흐름취합!CS52</f>
        <v>0</v>
      </c>
      <c r="DH52" s="19">
        <f>현금흐름취합!CT52</f>
        <v>0</v>
      </c>
      <c r="DI52" s="19">
        <f>현금흐름취합!CU52</f>
        <v>0</v>
      </c>
      <c r="DJ52" s="19">
        <f>현금흐름취합!CV52</f>
        <v>0</v>
      </c>
      <c r="DK52" s="19">
        <f>현금흐름취합!CW52</f>
        <v>0</v>
      </c>
      <c r="DL52" s="19">
        <f>현금흐름취합!CX52</f>
        <v>0</v>
      </c>
      <c r="DM52" s="19">
        <f>현금흐름취합!CY52</f>
        <v>0</v>
      </c>
      <c r="DN52" s="19">
        <f>현금흐름취합!CZ52</f>
        <v>0</v>
      </c>
      <c r="DO52" s="19">
        <f>현금흐름취합!DA52</f>
        <v>0</v>
      </c>
      <c r="DP52" s="19">
        <f>현금흐름취합!DB52</f>
        <v>0</v>
      </c>
      <c r="DQ52" s="19">
        <f>현금흐름취합!DC52</f>
        <v>0</v>
      </c>
      <c r="DR52" s="19">
        <f>현금흐름취합!DD52</f>
        <v>0</v>
      </c>
      <c r="DS52" s="19">
        <f>현금흐름취합!DE52</f>
        <v>0</v>
      </c>
      <c r="DT52" s="19">
        <f>현금흐름취합!DF52</f>
        <v>0</v>
      </c>
      <c r="DU52" s="19">
        <f>현금흐름취합!DG52</f>
        <v>0</v>
      </c>
      <c r="DV52" s="19">
        <f>현금흐름취합!DH52</f>
        <v>0</v>
      </c>
      <c r="DW52" s="19">
        <f>현금흐름취합!DI52</f>
        <v>0</v>
      </c>
      <c r="DX52" s="19">
        <f>현금흐름취합!DJ52</f>
        <v>0</v>
      </c>
      <c r="DY52" s="19">
        <f>현금흐름취합!DK52</f>
        <v>0</v>
      </c>
      <c r="DZ52" s="19">
        <f>현금흐름취합!DL52</f>
        <v>0</v>
      </c>
      <c r="EA52" s="19">
        <f>현금흐름취합!DM52</f>
        <v>0</v>
      </c>
      <c r="EB52" s="19">
        <f>현금흐름취합!DN52</f>
        <v>0</v>
      </c>
      <c r="EC52" s="19">
        <f>현금흐름취합!DO52</f>
        <v>0</v>
      </c>
      <c r="ED52" s="19">
        <f>현금흐름취합!DP52</f>
        <v>0</v>
      </c>
      <c r="EE52" s="19">
        <f>현금흐름취합!DQ52</f>
        <v>0</v>
      </c>
      <c r="EF52" s="19">
        <f>현금흐름취합!DR52</f>
        <v>0</v>
      </c>
      <c r="EG52" s="19">
        <f>현금흐름취합!DS52</f>
        <v>0</v>
      </c>
      <c r="EH52" s="19">
        <f>현금흐름취합!DT52</f>
        <v>0</v>
      </c>
      <c r="EI52" s="19">
        <f>현금흐름취합!DU52</f>
        <v>0</v>
      </c>
      <c r="EJ52" s="19">
        <f>현금흐름취합!DV52</f>
        <v>0</v>
      </c>
      <c r="EK52" s="19">
        <f>현금흐름취합!DW52</f>
        <v>0</v>
      </c>
      <c r="EL52" s="19">
        <f>현금흐름취합!DX52</f>
        <v>0</v>
      </c>
      <c r="EM52" s="19">
        <f>현금흐름취합!DY52</f>
        <v>0</v>
      </c>
      <c r="EN52" s="19">
        <f>현금흐름취합!DZ52</f>
        <v>0</v>
      </c>
      <c r="EO52" s="19">
        <f>현금흐름취합!EA52</f>
        <v>0</v>
      </c>
      <c r="EP52" s="19">
        <f>현금흐름취합!EB52</f>
        <v>0</v>
      </c>
      <c r="EQ52" s="19">
        <f>현금흐름취합!EC52</f>
        <v>0</v>
      </c>
      <c r="ER52" s="19">
        <f>현금흐름취합!ED52</f>
        <v>0</v>
      </c>
      <c r="ES52" s="19">
        <f>현금흐름취합!EE52</f>
        <v>0</v>
      </c>
    </row>
    <row r="53" spans="1:149" hidden="1">
      <c r="A53" s="7">
        <f>현금흐름취합!A53</f>
        <v>0</v>
      </c>
      <c r="B53" s="7">
        <f>현금흐름취합!B53</f>
        <v>0</v>
      </c>
      <c r="C53" s="7">
        <f>현금흐름취합!C53</f>
        <v>0</v>
      </c>
      <c r="D53" s="8">
        <f>현금흐름취합!D53</f>
        <v>0</v>
      </c>
      <c r="E53" s="37" t="str">
        <f t="shared" ref="E53" si="42">IF(R52&gt;R53,"역전현상","이상없음")</f>
        <v>이상없음</v>
      </c>
      <c r="F53" s="8">
        <f>현금흐름취합!E53</f>
        <v>0</v>
      </c>
      <c r="G53" s="37" t="str">
        <f t="shared" si="1"/>
        <v>pool 고치세요</v>
      </c>
      <c r="H53" s="9">
        <f>현금흐름취합!F53</f>
        <v>0</v>
      </c>
      <c r="I53" s="10">
        <f>현금흐름취합!G53</f>
        <v>0</v>
      </c>
      <c r="J53" s="39" t="e">
        <f t="shared" si="33"/>
        <v>#DIV/0!</v>
      </c>
      <c r="K53" s="11">
        <f>현금흐름취합!H53</f>
        <v>0</v>
      </c>
      <c r="L53" s="40" t="e">
        <f>VLOOKUP(A53,'Sheet A'!$E$11:$K$60,7,0)=K53</f>
        <v>#N/A</v>
      </c>
      <c r="M53" s="12">
        <f>현금흐름취합!I53</f>
        <v>0</v>
      </c>
      <c r="N53" s="40" t="str">
        <f t="shared" si="34"/>
        <v>검토요</v>
      </c>
      <c r="O53" s="13">
        <f>현금흐름취합!J53</f>
        <v>0</v>
      </c>
      <c r="P53" s="14">
        <f>현금흐름취합!K53</f>
        <v>0</v>
      </c>
      <c r="Q53" s="18">
        <f>현금흐름취합!L53</f>
        <v>0</v>
      </c>
      <c r="R53" s="15">
        <f>현금흐름취합!M53</f>
        <v>0</v>
      </c>
      <c r="S53" s="40" t="e">
        <f t="shared" si="35"/>
        <v>#NUM!</v>
      </c>
      <c r="T53" s="16">
        <f>현금흐름취합!N53</f>
        <v>0</v>
      </c>
      <c r="U53" s="40" t="b">
        <f t="shared" si="36"/>
        <v>1</v>
      </c>
      <c r="V53" s="46">
        <f>SUMIF(일반여신!$E$10:$E$35,검증!A53,일반여신!$O$10:$O$35)*0.985-SUMIF(가지급금!$E$10:$E$180,A53,가지급금!$K$10:$K$180)+SUMIF(가지급금!$E$10:$E$180,검증!A53,가지급금!$O$10:$O$180)*0.985</f>
        <v>0</v>
      </c>
      <c r="W53" s="47">
        <f t="shared" si="37"/>
        <v>0</v>
      </c>
      <c r="X53" s="48"/>
      <c r="Y53" s="49">
        <f>SUMIF('Sheet D'!$E$11:$E$60,A53,'Sheet D'!$P$11:$P$60)</f>
        <v>0</v>
      </c>
      <c r="Z53" s="48">
        <f>SUMIFS(일반여신!$M$10:$M$35,일반여신!$E$10:$E$35,A53,일반여신!$P$10:$P$35,"신옹보증서대위변제")</f>
        <v>0</v>
      </c>
      <c r="AA53" s="48">
        <f t="shared" si="38"/>
        <v>0</v>
      </c>
      <c r="AB53" s="50"/>
      <c r="AC53" s="19">
        <f>현금흐름취합!O53</f>
        <v>0</v>
      </c>
      <c r="AD53" s="19">
        <f>현금흐름취합!P53</f>
        <v>0</v>
      </c>
      <c r="AE53" s="19">
        <f>현금흐름취합!Q53</f>
        <v>0</v>
      </c>
      <c r="AF53" s="19">
        <f>현금흐름취합!R53</f>
        <v>0</v>
      </c>
      <c r="AG53" s="19">
        <f>현금흐름취합!S53</f>
        <v>0</v>
      </c>
      <c r="AH53" s="19">
        <f>현금흐름취합!T53</f>
        <v>0</v>
      </c>
      <c r="AI53" s="19">
        <f>현금흐름취합!U53</f>
        <v>0</v>
      </c>
      <c r="AJ53" s="19">
        <f>현금흐름취합!V53</f>
        <v>0</v>
      </c>
      <c r="AK53" s="19">
        <f>현금흐름취합!W53</f>
        <v>0</v>
      </c>
      <c r="AL53" s="19">
        <f>현금흐름취합!X53</f>
        <v>0</v>
      </c>
      <c r="AM53" s="19">
        <f>현금흐름취합!Y53</f>
        <v>0</v>
      </c>
      <c r="AN53" s="19">
        <f>현금흐름취합!Z53</f>
        <v>0</v>
      </c>
      <c r="AO53" s="19">
        <f>현금흐름취합!AA53</f>
        <v>0</v>
      </c>
      <c r="AP53" s="19">
        <f>현금흐름취합!AB53</f>
        <v>0</v>
      </c>
      <c r="AQ53" s="19">
        <f>현금흐름취합!AC53</f>
        <v>0</v>
      </c>
      <c r="AR53" s="19">
        <f>현금흐름취합!AD53</f>
        <v>0</v>
      </c>
      <c r="AS53" s="19">
        <f>현금흐름취합!AE53</f>
        <v>0</v>
      </c>
      <c r="AT53" s="19">
        <f>현금흐름취합!AF53</f>
        <v>0</v>
      </c>
      <c r="AU53" s="19">
        <f>현금흐름취합!AG53</f>
        <v>0</v>
      </c>
      <c r="AV53" s="19">
        <f>현금흐름취합!AH53</f>
        <v>0</v>
      </c>
      <c r="AW53" s="19">
        <f>현금흐름취합!AI53</f>
        <v>0</v>
      </c>
      <c r="AX53" s="19">
        <f>현금흐름취합!AJ53</f>
        <v>0</v>
      </c>
      <c r="AY53" s="19">
        <f>현금흐름취합!AK53</f>
        <v>0</v>
      </c>
      <c r="AZ53" s="19">
        <f>현금흐름취합!AL53</f>
        <v>0</v>
      </c>
      <c r="BA53" s="19">
        <f>현금흐름취합!AM53</f>
        <v>0</v>
      </c>
      <c r="BB53" s="19">
        <f>현금흐름취합!AN53</f>
        <v>0</v>
      </c>
      <c r="BC53" s="19">
        <f>현금흐름취합!AO53</f>
        <v>0</v>
      </c>
      <c r="BD53" s="19">
        <f>현금흐름취합!AP53</f>
        <v>0</v>
      </c>
      <c r="BE53" s="19">
        <f>현금흐름취합!AQ53</f>
        <v>0</v>
      </c>
      <c r="BF53" s="19">
        <f>현금흐름취합!AR53</f>
        <v>0</v>
      </c>
      <c r="BG53" s="19">
        <f>현금흐름취합!AS53</f>
        <v>0</v>
      </c>
      <c r="BH53" s="19">
        <f>현금흐름취합!AT53</f>
        <v>0</v>
      </c>
      <c r="BI53" s="19">
        <f>현금흐름취합!AU53</f>
        <v>0</v>
      </c>
      <c r="BJ53" s="19">
        <f>현금흐름취합!AV53</f>
        <v>0</v>
      </c>
      <c r="BK53" s="19">
        <f>현금흐름취합!AW53</f>
        <v>0</v>
      </c>
      <c r="BL53" s="19">
        <f>현금흐름취합!AX53</f>
        <v>0</v>
      </c>
      <c r="BM53" s="19">
        <f>현금흐름취합!AY53</f>
        <v>0</v>
      </c>
      <c r="BN53" s="19">
        <f>현금흐름취합!AZ53</f>
        <v>0</v>
      </c>
      <c r="BO53" s="19">
        <f>현금흐름취합!BA53</f>
        <v>0</v>
      </c>
      <c r="BP53" s="19">
        <f>현금흐름취합!BB53</f>
        <v>0</v>
      </c>
      <c r="BQ53" s="19">
        <f>현금흐름취합!BC53</f>
        <v>0</v>
      </c>
      <c r="BR53" s="19">
        <f>현금흐름취합!BD53</f>
        <v>0</v>
      </c>
      <c r="BS53" s="19">
        <f>현금흐름취합!BE53</f>
        <v>0</v>
      </c>
      <c r="BT53" s="19">
        <f>현금흐름취합!BF53</f>
        <v>0</v>
      </c>
      <c r="BU53" s="19">
        <f>현금흐름취합!BG53</f>
        <v>0</v>
      </c>
      <c r="BV53" s="19">
        <f>현금흐름취합!BH53</f>
        <v>0</v>
      </c>
      <c r="BW53" s="19">
        <f>현금흐름취합!BI53</f>
        <v>0</v>
      </c>
      <c r="BX53" s="19">
        <f>현금흐름취합!BJ53</f>
        <v>0</v>
      </c>
      <c r="BY53" s="19">
        <f>현금흐름취합!BK53</f>
        <v>0</v>
      </c>
      <c r="BZ53" s="19">
        <f>현금흐름취합!BL53</f>
        <v>0</v>
      </c>
      <c r="CA53" s="19">
        <f>현금흐름취합!BM53</f>
        <v>0</v>
      </c>
      <c r="CB53" s="19">
        <f>현금흐름취합!BN53</f>
        <v>0</v>
      </c>
      <c r="CC53" s="19">
        <f>현금흐름취합!BO53</f>
        <v>0</v>
      </c>
      <c r="CD53" s="19">
        <f>현금흐름취합!BP53</f>
        <v>0</v>
      </c>
      <c r="CE53" s="19">
        <f>현금흐름취합!BQ53</f>
        <v>0</v>
      </c>
      <c r="CF53" s="19">
        <f>현금흐름취합!BR53</f>
        <v>0</v>
      </c>
      <c r="CG53" s="19">
        <f>현금흐름취합!BS53</f>
        <v>0</v>
      </c>
      <c r="CH53" s="19">
        <f>현금흐름취합!BT53</f>
        <v>0</v>
      </c>
      <c r="CI53" s="19">
        <f>현금흐름취합!BU53</f>
        <v>0</v>
      </c>
      <c r="CJ53" s="19">
        <f>현금흐름취합!BV53</f>
        <v>0</v>
      </c>
      <c r="CK53" s="19">
        <f>현금흐름취합!BW53</f>
        <v>0</v>
      </c>
      <c r="CL53" s="19">
        <f>현금흐름취합!BX53</f>
        <v>0</v>
      </c>
      <c r="CM53" s="19">
        <f>현금흐름취합!BY53</f>
        <v>0</v>
      </c>
      <c r="CN53" s="19">
        <f>현금흐름취합!BZ53</f>
        <v>0</v>
      </c>
      <c r="CO53" s="19">
        <f>현금흐름취합!CA53</f>
        <v>0</v>
      </c>
      <c r="CP53" s="19">
        <f>현금흐름취합!CB53</f>
        <v>0</v>
      </c>
      <c r="CQ53" s="19">
        <f>현금흐름취합!CC53</f>
        <v>0</v>
      </c>
      <c r="CR53" s="19">
        <f>현금흐름취합!CD53</f>
        <v>0</v>
      </c>
      <c r="CS53" s="19">
        <f>현금흐름취합!CE53</f>
        <v>0</v>
      </c>
      <c r="CT53" s="19">
        <f>현금흐름취합!CF53</f>
        <v>0</v>
      </c>
      <c r="CU53" s="19">
        <f>현금흐름취합!CG53</f>
        <v>0</v>
      </c>
      <c r="CV53" s="19">
        <f>현금흐름취합!CH53</f>
        <v>0</v>
      </c>
      <c r="CW53" s="19">
        <f>현금흐름취합!CI53</f>
        <v>0</v>
      </c>
      <c r="CX53" s="19">
        <f>현금흐름취합!CJ53</f>
        <v>0</v>
      </c>
      <c r="CY53" s="19">
        <f>현금흐름취합!CK53</f>
        <v>0</v>
      </c>
      <c r="CZ53" s="19">
        <f>현금흐름취합!CL53</f>
        <v>0</v>
      </c>
      <c r="DA53" s="19">
        <f>현금흐름취합!CM53</f>
        <v>0</v>
      </c>
      <c r="DB53" s="19">
        <f>현금흐름취합!CN53</f>
        <v>0</v>
      </c>
      <c r="DC53" s="19">
        <f>현금흐름취합!CO53</f>
        <v>0</v>
      </c>
      <c r="DD53" s="19">
        <f>현금흐름취합!CP53</f>
        <v>0</v>
      </c>
      <c r="DE53" s="19">
        <f>현금흐름취합!CQ53</f>
        <v>0</v>
      </c>
      <c r="DF53" s="19">
        <f>현금흐름취합!CR53</f>
        <v>0</v>
      </c>
      <c r="DG53" s="19">
        <f>현금흐름취합!CS53</f>
        <v>0</v>
      </c>
      <c r="DH53" s="19">
        <f>현금흐름취합!CT53</f>
        <v>0</v>
      </c>
      <c r="DI53" s="19">
        <f>현금흐름취합!CU53</f>
        <v>0</v>
      </c>
      <c r="DJ53" s="19">
        <f>현금흐름취합!CV53</f>
        <v>0</v>
      </c>
      <c r="DK53" s="19">
        <f>현금흐름취합!CW53</f>
        <v>0</v>
      </c>
      <c r="DL53" s="19">
        <f>현금흐름취합!CX53</f>
        <v>0</v>
      </c>
      <c r="DM53" s="19">
        <f>현금흐름취합!CY53</f>
        <v>0</v>
      </c>
      <c r="DN53" s="19">
        <f>현금흐름취합!CZ53</f>
        <v>0</v>
      </c>
      <c r="DO53" s="19">
        <f>현금흐름취합!DA53</f>
        <v>0</v>
      </c>
      <c r="DP53" s="19">
        <f>현금흐름취합!DB53</f>
        <v>0</v>
      </c>
      <c r="DQ53" s="19">
        <f>현금흐름취합!DC53</f>
        <v>0</v>
      </c>
      <c r="DR53" s="19">
        <f>현금흐름취합!DD53</f>
        <v>0</v>
      </c>
      <c r="DS53" s="19">
        <f>현금흐름취합!DE53</f>
        <v>0</v>
      </c>
      <c r="DT53" s="19">
        <f>현금흐름취합!DF53</f>
        <v>0</v>
      </c>
      <c r="DU53" s="19">
        <f>현금흐름취합!DG53</f>
        <v>0</v>
      </c>
      <c r="DV53" s="19">
        <f>현금흐름취합!DH53</f>
        <v>0</v>
      </c>
      <c r="DW53" s="19">
        <f>현금흐름취합!DI53</f>
        <v>0</v>
      </c>
      <c r="DX53" s="19">
        <f>현금흐름취합!DJ53</f>
        <v>0</v>
      </c>
      <c r="DY53" s="19">
        <f>현금흐름취합!DK53</f>
        <v>0</v>
      </c>
      <c r="DZ53" s="19">
        <f>현금흐름취합!DL53</f>
        <v>0</v>
      </c>
      <c r="EA53" s="19">
        <f>현금흐름취합!DM53</f>
        <v>0</v>
      </c>
      <c r="EB53" s="19">
        <f>현금흐름취합!DN53</f>
        <v>0</v>
      </c>
      <c r="EC53" s="19">
        <f>현금흐름취합!DO53</f>
        <v>0</v>
      </c>
      <c r="ED53" s="19">
        <f>현금흐름취합!DP53</f>
        <v>0</v>
      </c>
      <c r="EE53" s="19">
        <f>현금흐름취합!DQ53</f>
        <v>0</v>
      </c>
      <c r="EF53" s="19">
        <f>현금흐름취합!DR53</f>
        <v>0</v>
      </c>
      <c r="EG53" s="19">
        <f>현금흐름취합!DS53</f>
        <v>0</v>
      </c>
      <c r="EH53" s="19">
        <f>현금흐름취합!DT53</f>
        <v>0</v>
      </c>
      <c r="EI53" s="19">
        <f>현금흐름취합!DU53</f>
        <v>0</v>
      </c>
      <c r="EJ53" s="19">
        <f>현금흐름취합!DV53</f>
        <v>0</v>
      </c>
      <c r="EK53" s="19">
        <f>현금흐름취합!DW53</f>
        <v>0</v>
      </c>
      <c r="EL53" s="19">
        <f>현금흐름취합!DX53</f>
        <v>0</v>
      </c>
      <c r="EM53" s="19">
        <f>현금흐름취합!DY53</f>
        <v>0</v>
      </c>
      <c r="EN53" s="19">
        <f>현금흐름취합!DZ53</f>
        <v>0</v>
      </c>
      <c r="EO53" s="19">
        <f>현금흐름취합!EA53</f>
        <v>0</v>
      </c>
      <c r="EP53" s="19">
        <f>현금흐름취합!EB53</f>
        <v>0</v>
      </c>
      <c r="EQ53" s="19">
        <f>현금흐름취합!EC53</f>
        <v>0</v>
      </c>
      <c r="ER53" s="19">
        <f>현금흐름취합!ED53</f>
        <v>0</v>
      </c>
      <c r="ES53" s="19">
        <f>현금흐름취합!EE53</f>
        <v>0</v>
      </c>
    </row>
    <row r="54" spans="1:149" hidden="1">
      <c r="A54" s="7">
        <f>현금흐름취합!A54</f>
        <v>0</v>
      </c>
      <c r="B54" s="7">
        <f>현금흐름취합!B54</f>
        <v>0</v>
      </c>
      <c r="C54" s="7">
        <f>현금흐름취합!C54</f>
        <v>0</v>
      </c>
      <c r="D54" s="8">
        <f>현금흐름취합!D54</f>
        <v>0</v>
      </c>
      <c r="E54" s="37"/>
      <c r="F54" s="8">
        <f>현금흐름취합!E54</f>
        <v>0</v>
      </c>
      <c r="G54" s="37" t="str">
        <f t="shared" si="1"/>
        <v>pool 고치세요</v>
      </c>
      <c r="H54" s="9">
        <f>현금흐름취합!F54</f>
        <v>0</v>
      </c>
      <c r="I54" s="10">
        <f>현금흐름취합!G54</f>
        <v>0</v>
      </c>
      <c r="J54" s="39" t="e">
        <f t="shared" si="33"/>
        <v>#DIV/0!</v>
      </c>
      <c r="K54" s="11">
        <f>현금흐름취합!H54</f>
        <v>0</v>
      </c>
      <c r="L54" s="40" t="e">
        <f>VLOOKUP(A54,'Sheet A'!$E$11:$K$60,7,0)=K54</f>
        <v>#N/A</v>
      </c>
      <c r="M54" s="12">
        <f>현금흐름취합!I54</f>
        <v>0</v>
      </c>
      <c r="N54" s="40" t="str">
        <f t="shared" si="34"/>
        <v>검토요</v>
      </c>
      <c r="O54" s="13">
        <f>현금흐름취합!J54</f>
        <v>0</v>
      </c>
      <c r="P54" s="14">
        <f>현금흐름취합!K54</f>
        <v>0</v>
      </c>
      <c r="Q54" s="18">
        <f>현금흐름취합!L54</f>
        <v>0</v>
      </c>
      <c r="R54" s="15">
        <f>현금흐름취합!M54</f>
        <v>0</v>
      </c>
      <c r="S54" s="40" t="e">
        <f t="shared" si="35"/>
        <v>#NUM!</v>
      </c>
      <c r="T54" s="16">
        <f>현금흐름취합!N54</f>
        <v>0</v>
      </c>
      <c r="U54" s="40" t="b">
        <f t="shared" si="36"/>
        <v>1</v>
      </c>
      <c r="V54" s="46">
        <f>SUMIF(일반여신!$E$10:$E$35,검증!A54,일반여신!$O$10:$O$35)*0.985-SUMIF(가지급금!$E$10:$E$180,A54,가지급금!$K$10:$K$180)+SUMIF(가지급금!$E$10:$E$180,검증!A54,가지급금!$O$10:$O$180)*0.985</f>
        <v>0</v>
      </c>
      <c r="W54" s="47">
        <f t="shared" si="37"/>
        <v>0</v>
      </c>
      <c r="X54" s="48"/>
      <c r="Y54" s="49">
        <f>SUMIF('Sheet D'!$E$11:$E$60,A54,'Sheet D'!$P$11:$P$60)</f>
        <v>0</v>
      </c>
      <c r="Z54" s="48">
        <f>SUMIFS(일반여신!$M$10:$M$35,일반여신!$E$10:$E$35,A54,일반여신!$P$10:$P$35,"신옹보증서대위변제")</f>
        <v>0</v>
      </c>
      <c r="AA54" s="48">
        <f t="shared" si="38"/>
        <v>0</v>
      </c>
      <c r="AB54" s="50"/>
      <c r="AC54" s="19">
        <f>현금흐름취합!O54</f>
        <v>0</v>
      </c>
      <c r="AD54" s="19">
        <f>현금흐름취합!P54</f>
        <v>0</v>
      </c>
      <c r="AE54" s="19">
        <f>현금흐름취합!Q54</f>
        <v>0</v>
      </c>
      <c r="AF54" s="19">
        <f>현금흐름취합!R54</f>
        <v>0</v>
      </c>
      <c r="AG54" s="19">
        <f>현금흐름취합!S54</f>
        <v>0</v>
      </c>
      <c r="AH54" s="19">
        <f>현금흐름취합!T54</f>
        <v>0</v>
      </c>
      <c r="AI54" s="19">
        <f>현금흐름취합!U54</f>
        <v>0</v>
      </c>
      <c r="AJ54" s="19">
        <f>현금흐름취합!V54</f>
        <v>0</v>
      </c>
      <c r="AK54" s="19">
        <f>현금흐름취합!W54</f>
        <v>0</v>
      </c>
      <c r="AL54" s="19">
        <f>현금흐름취합!X54</f>
        <v>0</v>
      </c>
      <c r="AM54" s="19">
        <f>현금흐름취합!Y54</f>
        <v>0</v>
      </c>
      <c r="AN54" s="19">
        <f>현금흐름취합!Z54</f>
        <v>0</v>
      </c>
      <c r="AO54" s="19">
        <f>현금흐름취합!AA54</f>
        <v>0</v>
      </c>
      <c r="AP54" s="19">
        <f>현금흐름취합!AB54</f>
        <v>0</v>
      </c>
      <c r="AQ54" s="19">
        <f>현금흐름취합!AC54</f>
        <v>0</v>
      </c>
      <c r="AR54" s="19">
        <f>현금흐름취합!AD54</f>
        <v>0</v>
      </c>
      <c r="AS54" s="19">
        <f>현금흐름취합!AE54</f>
        <v>0</v>
      </c>
      <c r="AT54" s="19">
        <f>현금흐름취합!AF54</f>
        <v>0</v>
      </c>
      <c r="AU54" s="19">
        <f>현금흐름취합!AG54</f>
        <v>0</v>
      </c>
      <c r="AV54" s="19">
        <f>현금흐름취합!AH54</f>
        <v>0</v>
      </c>
      <c r="AW54" s="19">
        <f>현금흐름취합!AI54</f>
        <v>0</v>
      </c>
      <c r="AX54" s="19">
        <f>현금흐름취합!AJ54</f>
        <v>0</v>
      </c>
      <c r="AY54" s="19">
        <f>현금흐름취합!AK54</f>
        <v>0</v>
      </c>
      <c r="AZ54" s="19">
        <f>현금흐름취합!AL54</f>
        <v>0</v>
      </c>
      <c r="BA54" s="19">
        <f>현금흐름취합!AM54</f>
        <v>0</v>
      </c>
      <c r="BB54" s="19">
        <f>현금흐름취합!AN54</f>
        <v>0</v>
      </c>
      <c r="BC54" s="19">
        <f>현금흐름취합!AO54</f>
        <v>0</v>
      </c>
      <c r="BD54" s="19">
        <f>현금흐름취합!AP54</f>
        <v>0</v>
      </c>
      <c r="BE54" s="19">
        <f>현금흐름취합!AQ54</f>
        <v>0</v>
      </c>
      <c r="BF54" s="19">
        <f>현금흐름취합!AR54</f>
        <v>0</v>
      </c>
      <c r="BG54" s="19">
        <f>현금흐름취합!AS54</f>
        <v>0</v>
      </c>
      <c r="BH54" s="19">
        <f>현금흐름취합!AT54</f>
        <v>0</v>
      </c>
      <c r="BI54" s="19">
        <f>현금흐름취합!AU54</f>
        <v>0</v>
      </c>
      <c r="BJ54" s="19">
        <f>현금흐름취합!AV54</f>
        <v>0</v>
      </c>
      <c r="BK54" s="19">
        <f>현금흐름취합!AW54</f>
        <v>0</v>
      </c>
      <c r="BL54" s="19">
        <f>현금흐름취합!AX54</f>
        <v>0</v>
      </c>
      <c r="BM54" s="19">
        <f>현금흐름취합!AY54</f>
        <v>0</v>
      </c>
      <c r="BN54" s="19">
        <f>현금흐름취합!AZ54</f>
        <v>0</v>
      </c>
      <c r="BO54" s="19">
        <f>현금흐름취합!BA54</f>
        <v>0</v>
      </c>
      <c r="BP54" s="19">
        <f>현금흐름취합!BB54</f>
        <v>0</v>
      </c>
      <c r="BQ54" s="19">
        <f>현금흐름취합!BC54</f>
        <v>0</v>
      </c>
      <c r="BR54" s="19">
        <f>현금흐름취합!BD54</f>
        <v>0</v>
      </c>
      <c r="BS54" s="19">
        <f>현금흐름취합!BE54</f>
        <v>0</v>
      </c>
      <c r="BT54" s="19">
        <f>현금흐름취합!BF54</f>
        <v>0</v>
      </c>
      <c r="BU54" s="19">
        <f>현금흐름취합!BG54</f>
        <v>0</v>
      </c>
      <c r="BV54" s="19">
        <f>현금흐름취합!BH54</f>
        <v>0</v>
      </c>
      <c r="BW54" s="19">
        <f>현금흐름취합!BI54</f>
        <v>0</v>
      </c>
      <c r="BX54" s="19">
        <f>현금흐름취합!BJ54</f>
        <v>0</v>
      </c>
      <c r="BY54" s="19">
        <f>현금흐름취합!BK54</f>
        <v>0</v>
      </c>
      <c r="BZ54" s="19">
        <f>현금흐름취합!BL54</f>
        <v>0</v>
      </c>
      <c r="CA54" s="19">
        <f>현금흐름취합!BM54</f>
        <v>0</v>
      </c>
      <c r="CB54" s="19">
        <f>현금흐름취합!BN54</f>
        <v>0</v>
      </c>
      <c r="CC54" s="19">
        <f>현금흐름취합!BO54</f>
        <v>0</v>
      </c>
      <c r="CD54" s="19">
        <f>현금흐름취합!BP54</f>
        <v>0</v>
      </c>
      <c r="CE54" s="19">
        <f>현금흐름취합!BQ54</f>
        <v>0</v>
      </c>
      <c r="CF54" s="19">
        <f>현금흐름취합!BR54</f>
        <v>0</v>
      </c>
      <c r="CG54" s="19">
        <f>현금흐름취합!BS54</f>
        <v>0</v>
      </c>
      <c r="CH54" s="19">
        <f>현금흐름취합!BT54</f>
        <v>0</v>
      </c>
      <c r="CI54" s="19">
        <f>현금흐름취합!BU54</f>
        <v>0</v>
      </c>
      <c r="CJ54" s="19">
        <f>현금흐름취합!BV54</f>
        <v>0</v>
      </c>
      <c r="CK54" s="19">
        <f>현금흐름취합!BW54</f>
        <v>0</v>
      </c>
      <c r="CL54" s="19">
        <f>현금흐름취합!BX54</f>
        <v>0</v>
      </c>
      <c r="CM54" s="19">
        <f>현금흐름취합!BY54</f>
        <v>0</v>
      </c>
      <c r="CN54" s="19">
        <f>현금흐름취합!BZ54</f>
        <v>0</v>
      </c>
      <c r="CO54" s="19">
        <f>현금흐름취합!CA54</f>
        <v>0</v>
      </c>
      <c r="CP54" s="19">
        <f>현금흐름취합!CB54</f>
        <v>0</v>
      </c>
      <c r="CQ54" s="19">
        <f>현금흐름취합!CC54</f>
        <v>0</v>
      </c>
      <c r="CR54" s="19">
        <f>현금흐름취합!CD54</f>
        <v>0</v>
      </c>
      <c r="CS54" s="19">
        <f>현금흐름취합!CE54</f>
        <v>0</v>
      </c>
      <c r="CT54" s="19">
        <f>현금흐름취합!CF54</f>
        <v>0</v>
      </c>
      <c r="CU54" s="19">
        <f>현금흐름취합!CG54</f>
        <v>0</v>
      </c>
      <c r="CV54" s="19">
        <f>현금흐름취합!CH54</f>
        <v>0</v>
      </c>
      <c r="CW54" s="19">
        <f>현금흐름취합!CI54</f>
        <v>0</v>
      </c>
      <c r="CX54" s="19">
        <f>현금흐름취합!CJ54</f>
        <v>0</v>
      </c>
      <c r="CY54" s="19">
        <f>현금흐름취합!CK54</f>
        <v>0</v>
      </c>
      <c r="CZ54" s="19">
        <f>현금흐름취합!CL54</f>
        <v>0</v>
      </c>
      <c r="DA54" s="19">
        <f>현금흐름취합!CM54</f>
        <v>0</v>
      </c>
      <c r="DB54" s="19">
        <f>현금흐름취합!CN54</f>
        <v>0</v>
      </c>
      <c r="DC54" s="19">
        <f>현금흐름취합!CO54</f>
        <v>0</v>
      </c>
      <c r="DD54" s="19">
        <f>현금흐름취합!CP54</f>
        <v>0</v>
      </c>
      <c r="DE54" s="19">
        <f>현금흐름취합!CQ54</f>
        <v>0</v>
      </c>
      <c r="DF54" s="19">
        <f>현금흐름취합!CR54</f>
        <v>0</v>
      </c>
      <c r="DG54" s="19">
        <f>현금흐름취합!CS54</f>
        <v>0</v>
      </c>
      <c r="DH54" s="19">
        <f>현금흐름취합!CT54</f>
        <v>0</v>
      </c>
      <c r="DI54" s="19">
        <f>현금흐름취합!CU54</f>
        <v>0</v>
      </c>
      <c r="DJ54" s="19">
        <f>현금흐름취합!CV54</f>
        <v>0</v>
      </c>
      <c r="DK54" s="19">
        <f>현금흐름취합!CW54</f>
        <v>0</v>
      </c>
      <c r="DL54" s="19">
        <f>현금흐름취합!CX54</f>
        <v>0</v>
      </c>
      <c r="DM54" s="19">
        <f>현금흐름취합!CY54</f>
        <v>0</v>
      </c>
      <c r="DN54" s="19">
        <f>현금흐름취합!CZ54</f>
        <v>0</v>
      </c>
      <c r="DO54" s="19">
        <f>현금흐름취합!DA54</f>
        <v>0</v>
      </c>
      <c r="DP54" s="19">
        <f>현금흐름취합!DB54</f>
        <v>0</v>
      </c>
      <c r="DQ54" s="19">
        <f>현금흐름취합!DC54</f>
        <v>0</v>
      </c>
      <c r="DR54" s="19">
        <f>현금흐름취합!DD54</f>
        <v>0</v>
      </c>
      <c r="DS54" s="19">
        <f>현금흐름취합!DE54</f>
        <v>0</v>
      </c>
      <c r="DT54" s="19">
        <f>현금흐름취합!DF54</f>
        <v>0</v>
      </c>
      <c r="DU54" s="19">
        <f>현금흐름취합!DG54</f>
        <v>0</v>
      </c>
      <c r="DV54" s="19">
        <f>현금흐름취합!DH54</f>
        <v>0</v>
      </c>
      <c r="DW54" s="19">
        <f>현금흐름취합!DI54</f>
        <v>0</v>
      </c>
      <c r="DX54" s="19">
        <f>현금흐름취합!DJ54</f>
        <v>0</v>
      </c>
      <c r="DY54" s="19">
        <f>현금흐름취합!DK54</f>
        <v>0</v>
      </c>
      <c r="DZ54" s="19">
        <f>현금흐름취합!DL54</f>
        <v>0</v>
      </c>
      <c r="EA54" s="19">
        <f>현금흐름취합!DM54</f>
        <v>0</v>
      </c>
      <c r="EB54" s="19">
        <f>현금흐름취합!DN54</f>
        <v>0</v>
      </c>
      <c r="EC54" s="19">
        <f>현금흐름취합!DO54</f>
        <v>0</v>
      </c>
      <c r="ED54" s="19">
        <f>현금흐름취합!DP54</f>
        <v>0</v>
      </c>
      <c r="EE54" s="19">
        <f>현금흐름취합!DQ54</f>
        <v>0</v>
      </c>
      <c r="EF54" s="19">
        <f>현금흐름취합!DR54</f>
        <v>0</v>
      </c>
      <c r="EG54" s="19">
        <f>현금흐름취합!DS54</f>
        <v>0</v>
      </c>
      <c r="EH54" s="19">
        <f>현금흐름취합!DT54</f>
        <v>0</v>
      </c>
      <c r="EI54" s="19">
        <f>현금흐름취합!DU54</f>
        <v>0</v>
      </c>
      <c r="EJ54" s="19">
        <f>현금흐름취합!DV54</f>
        <v>0</v>
      </c>
      <c r="EK54" s="19">
        <f>현금흐름취합!DW54</f>
        <v>0</v>
      </c>
      <c r="EL54" s="19">
        <f>현금흐름취합!DX54</f>
        <v>0</v>
      </c>
      <c r="EM54" s="19">
        <f>현금흐름취합!DY54</f>
        <v>0</v>
      </c>
      <c r="EN54" s="19">
        <f>현금흐름취합!DZ54</f>
        <v>0</v>
      </c>
      <c r="EO54" s="19">
        <f>현금흐름취합!EA54</f>
        <v>0</v>
      </c>
      <c r="EP54" s="19">
        <f>현금흐름취합!EB54</f>
        <v>0</v>
      </c>
      <c r="EQ54" s="19">
        <f>현금흐름취합!EC54</f>
        <v>0</v>
      </c>
      <c r="ER54" s="19">
        <f>현금흐름취합!ED54</f>
        <v>0</v>
      </c>
      <c r="ES54" s="19">
        <f>현금흐름취합!EE54</f>
        <v>0</v>
      </c>
    </row>
    <row r="55" spans="1:149" hidden="1">
      <c r="A55" s="7">
        <f>현금흐름취합!A55</f>
        <v>0</v>
      </c>
      <c r="B55" s="7">
        <f>현금흐름취합!B55</f>
        <v>0</v>
      </c>
      <c r="C55" s="7">
        <f>현금흐름취합!C55</f>
        <v>0</v>
      </c>
      <c r="D55" s="8">
        <f>현금흐름취합!D55</f>
        <v>0</v>
      </c>
      <c r="E55" s="37" t="str">
        <f t="shared" ref="E55" si="43">IF(R54&gt;R55,"역전현상","이상없음")</f>
        <v>이상없음</v>
      </c>
      <c r="F55" s="8">
        <f>현금흐름취합!E55</f>
        <v>0</v>
      </c>
      <c r="G55" s="37" t="str">
        <f t="shared" si="1"/>
        <v>pool 고치세요</v>
      </c>
      <c r="H55" s="9">
        <f>현금흐름취합!F55</f>
        <v>0</v>
      </c>
      <c r="I55" s="10">
        <f>현금흐름취합!G55</f>
        <v>0</v>
      </c>
      <c r="J55" s="39" t="e">
        <f t="shared" si="33"/>
        <v>#DIV/0!</v>
      </c>
      <c r="K55" s="11">
        <f>현금흐름취합!H55</f>
        <v>0</v>
      </c>
      <c r="L55" s="40" t="e">
        <f>VLOOKUP(A55,'Sheet A'!$E$11:$K$60,7,0)=K55</f>
        <v>#N/A</v>
      </c>
      <c r="M55" s="12">
        <f>현금흐름취합!I55</f>
        <v>0</v>
      </c>
      <c r="N55" s="40" t="str">
        <f t="shared" si="34"/>
        <v>검토요</v>
      </c>
      <c r="O55" s="13">
        <f>현금흐름취합!J55</f>
        <v>0</v>
      </c>
      <c r="P55" s="14">
        <f>현금흐름취합!K55</f>
        <v>0</v>
      </c>
      <c r="Q55" s="18">
        <f>현금흐름취합!L55</f>
        <v>0</v>
      </c>
      <c r="R55" s="15">
        <f>현금흐름취합!M55</f>
        <v>0</v>
      </c>
      <c r="S55" s="40" t="e">
        <f t="shared" si="35"/>
        <v>#NUM!</v>
      </c>
      <c r="T55" s="16">
        <f>현금흐름취합!N55</f>
        <v>0</v>
      </c>
      <c r="U55" s="40" t="b">
        <f t="shared" si="36"/>
        <v>1</v>
      </c>
      <c r="V55" s="46">
        <f>SUMIF(일반여신!$E$10:$E$35,검증!A55,일반여신!$O$10:$O$35)*0.985-SUMIF(가지급금!$E$10:$E$180,A55,가지급금!$K$10:$K$180)+SUMIF(가지급금!$E$10:$E$180,검증!A55,가지급금!$O$10:$O$180)*0.985</f>
        <v>0</v>
      </c>
      <c r="W55" s="47">
        <f t="shared" si="37"/>
        <v>0</v>
      </c>
      <c r="X55" s="48"/>
      <c r="Y55" s="49">
        <f>SUMIF('Sheet D'!$E$11:$E$60,A55,'Sheet D'!$P$11:$P$60)</f>
        <v>0</v>
      </c>
      <c r="Z55" s="48">
        <f>SUMIFS(일반여신!$M$10:$M$35,일반여신!$E$10:$E$35,A55,일반여신!$P$10:$P$35,"신옹보증서대위변제")</f>
        <v>0</v>
      </c>
      <c r="AA55" s="48">
        <f t="shared" si="38"/>
        <v>0</v>
      </c>
      <c r="AB55" s="50"/>
      <c r="AC55" s="19">
        <f>현금흐름취합!O55</f>
        <v>0</v>
      </c>
      <c r="AD55" s="19">
        <f>현금흐름취합!P55</f>
        <v>0</v>
      </c>
      <c r="AE55" s="19">
        <f>현금흐름취합!Q55</f>
        <v>0</v>
      </c>
      <c r="AF55" s="19">
        <f>현금흐름취합!R55</f>
        <v>0</v>
      </c>
      <c r="AG55" s="19">
        <f>현금흐름취합!S55</f>
        <v>0</v>
      </c>
      <c r="AH55" s="19">
        <f>현금흐름취합!T55</f>
        <v>0</v>
      </c>
      <c r="AI55" s="19">
        <f>현금흐름취합!U55</f>
        <v>0</v>
      </c>
      <c r="AJ55" s="19">
        <f>현금흐름취합!V55</f>
        <v>0</v>
      </c>
      <c r="AK55" s="19">
        <f>현금흐름취합!W55</f>
        <v>0</v>
      </c>
      <c r="AL55" s="19">
        <f>현금흐름취합!X55</f>
        <v>0</v>
      </c>
      <c r="AM55" s="19">
        <f>현금흐름취합!Y55</f>
        <v>0</v>
      </c>
      <c r="AN55" s="19">
        <f>현금흐름취합!Z55</f>
        <v>0</v>
      </c>
      <c r="AO55" s="19">
        <f>현금흐름취합!AA55</f>
        <v>0</v>
      </c>
      <c r="AP55" s="19">
        <f>현금흐름취합!AB55</f>
        <v>0</v>
      </c>
      <c r="AQ55" s="19">
        <f>현금흐름취합!AC55</f>
        <v>0</v>
      </c>
      <c r="AR55" s="19">
        <f>현금흐름취합!AD55</f>
        <v>0</v>
      </c>
      <c r="AS55" s="19">
        <f>현금흐름취합!AE55</f>
        <v>0</v>
      </c>
      <c r="AT55" s="19">
        <f>현금흐름취합!AF55</f>
        <v>0</v>
      </c>
      <c r="AU55" s="19">
        <f>현금흐름취합!AG55</f>
        <v>0</v>
      </c>
      <c r="AV55" s="19">
        <f>현금흐름취합!AH55</f>
        <v>0</v>
      </c>
      <c r="AW55" s="19">
        <f>현금흐름취합!AI55</f>
        <v>0</v>
      </c>
      <c r="AX55" s="19">
        <f>현금흐름취합!AJ55</f>
        <v>0</v>
      </c>
      <c r="AY55" s="19">
        <f>현금흐름취합!AK55</f>
        <v>0</v>
      </c>
      <c r="AZ55" s="19">
        <f>현금흐름취합!AL55</f>
        <v>0</v>
      </c>
      <c r="BA55" s="19">
        <f>현금흐름취합!AM55</f>
        <v>0</v>
      </c>
      <c r="BB55" s="19">
        <f>현금흐름취합!AN55</f>
        <v>0</v>
      </c>
      <c r="BC55" s="19">
        <f>현금흐름취합!AO55</f>
        <v>0</v>
      </c>
      <c r="BD55" s="19">
        <f>현금흐름취합!AP55</f>
        <v>0</v>
      </c>
      <c r="BE55" s="19">
        <f>현금흐름취합!AQ55</f>
        <v>0</v>
      </c>
      <c r="BF55" s="19">
        <f>현금흐름취합!AR55</f>
        <v>0</v>
      </c>
      <c r="BG55" s="19">
        <f>현금흐름취합!AS55</f>
        <v>0</v>
      </c>
      <c r="BH55" s="19">
        <f>현금흐름취합!AT55</f>
        <v>0</v>
      </c>
      <c r="BI55" s="19">
        <f>현금흐름취합!AU55</f>
        <v>0</v>
      </c>
      <c r="BJ55" s="19">
        <f>현금흐름취합!AV55</f>
        <v>0</v>
      </c>
      <c r="BK55" s="19">
        <f>현금흐름취합!AW55</f>
        <v>0</v>
      </c>
      <c r="BL55" s="19">
        <f>현금흐름취합!AX55</f>
        <v>0</v>
      </c>
      <c r="BM55" s="19">
        <f>현금흐름취합!AY55</f>
        <v>0</v>
      </c>
      <c r="BN55" s="19">
        <f>현금흐름취합!AZ55</f>
        <v>0</v>
      </c>
      <c r="BO55" s="19">
        <f>현금흐름취합!BA55</f>
        <v>0</v>
      </c>
      <c r="BP55" s="19">
        <f>현금흐름취합!BB55</f>
        <v>0</v>
      </c>
      <c r="BQ55" s="19">
        <f>현금흐름취합!BC55</f>
        <v>0</v>
      </c>
      <c r="BR55" s="19">
        <f>현금흐름취합!BD55</f>
        <v>0</v>
      </c>
      <c r="BS55" s="19">
        <f>현금흐름취합!BE55</f>
        <v>0</v>
      </c>
      <c r="BT55" s="19">
        <f>현금흐름취합!BF55</f>
        <v>0</v>
      </c>
      <c r="BU55" s="19">
        <f>현금흐름취합!BG55</f>
        <v>0</v>
      </c>
      <c r="BV55" s="19">
        <f>현금흐름취합!BH55</f>
        <v>0</v>
      </c>
      <c r="BW55" s="19">
        <f>현금흐름취합!BI55</f>
        <v>0</v>
      </c>
      <c r="BX55" s="19">
        <f>현금흐름취합!BJ55</f>
        <v>0</v>
      </c>
      <c r="BY55" s="19">
        <f>현금흐름취합!BK55</f>
        <v>0</v>
      </c>
      <c r="BZ55" s="19">
        <f>현금흐름취합!BL55</f>
        <v>0</v>
      </c>
      <c r="CA55" s="19">
        <f>현금흐름취합!BM55</f>
        <v>0</v>
      </c>
      <c r="CB55" s="19">
        <f>현금흐름취합!BN55</f>
        <v>0</v>
      </c>
      <c r="CC55" s="19">
        <f>현금흐름취합!BO55</f>
        <v>0</v>
      </c>
      <c r="CD55" s="19">
        <f>현금흐름취합!BP55</f>
        <v>0</v>
      </c>
      <c r="CE55" s="19">
        <f>현금흐름취합!BQ55</f>
        <v>0</v>
      </c>
      <c r="CF55" s="19">
        <f>현금흐름취합!BR55</f>
        <v>0</v>
      </c>
      <c r="CG55" s="19">
        <f>현금흐름취합!BS55</f>
        <v>0</v>
      </c>
      <c r="CH55" s="19">
        <f>현금흐름취합!BT55</f>
        <v>0</v>
      </c>
      <c r="CI55" s="19">
        <f>현금흐름취합!BU55</f>
        <v>0</v>
      </c>
      <c r="CJ55" s="19">
        <f>현금흐름취합!BV55</f>
        <v>0</v>
      </c>
      <c r="CK55" s="19">
        <f>현금흐름취합!BW55</f>
        <v>0</v>
      </c>
      <c r="CL55" s="19">
        <f>현금흐름취합!BX55</f>
        <v>0</v>
      </c>
      <c r="CM55" s="19">
        <f>현금흐름취합!BY55</f>
        <v>0</v>
      </c>
      <c r="CN55" s="19">
        <f>현금흐름취합!BZ55</f>
        <v>0</v>
      </c>
      <c r="CO55" s="19">
        <f>현금흐름취합!CA55</f>
        <v>0</v>
      </c>
      <c r="CP55" s="19">
        <f>현금흐름취합!CB55</f>
        <v>0</v>
      </c>
      <c r="CQ55" s="19">
        <f>현금흐름취합!CC55</f>
        <v>0</v>
      </c>
      <c r="CR55" s="19">
        <f>현금흐름취합!CD55</f>
        <v>0</v>
      </c>
      <c r="CS55" s="19">
        <f>현금흐름취합!CE55</f>
        <v>0</v>
      </c>
      <c r="CT55" s="19">
        <f>현금흐름취합!CF55</f>
        <v>0</v>
      </c>
      <c r="CU55" s="19">
        <f>현금흐름취합!CG55</f>
        <v>0</v>
      </c>
      <c r="CV55" s="19">
        <f>현금흐름취합!CH55</f>
        <v>0</v>
      </c>
      <c r="CW55" s="19">
        <f>현금흐름취합!CI55</f>
        <v>0</v>
      </c>
      <c r="CX55" s="19">
        <f>현금흐름취합!CJ55</f>
        <v>0</v>
      </c>
      <c r="CY55" s="19">
        <f>현금흐름취합!CK55</f>
        <v>0</v>
      </c>
      <c r="CZ55" s="19">
        <f>현금흐름취합!CL55</f>
        <v>0</v>
      </c>
      <c r="DA55" s="19">
        <f>현금흐름취합!CM55</f>
        <v>0</v>
      </c>
      <c r="DB55" s="19">
        <f>현금흐름취합!CN55</f>
        <v>0</v>
      </c>
      <c r="DC55" s="19">
        <f>현금흐름취합!CO55</f>
        <v>0</v>
      </c>
      <c r="DD55" s="19">
        <f>현금흐름취합!CP55</f>
        <v>0</v>
      </c>
      <c r="DE55" s="19">
        <f>현금흐름취합!CQ55</f>
        <v>0</v>
      </c>
      <c r="DF55" s="19">
        <f>현금흐름취합!CR55</f>
        <v>0</v>
      </c>
      <c r="DG55" s="19">
        <f>현금흐름취합!CS55</f>
        <v>0</v>
      </c>
      <c r="DH55" s="19">
        <f>현금흐름취합!CT55</f>
        <v>0</v>
      </c>
      <c r="DI55" s="19">
        <f>현금흐름취합!CU55</f>
        <v>0</v>
      </c>
      <c r="DJ55" s="19">
        <f>현금흐름취합!CV55</f>
        <v>0</v>
      </c>
      <c r="DK55" s="19">
        <f>현금흐름취합!CW55</f>
        <v>0</v>
      </c>
      <c r="DL55" s="19">
        <f>현금흐름취합!CX55</f>
        <v>0</v>
      </c>
      <c r="DM55" s="19">
        <f>현금흐름취합!CY55</f>
        <v>0</v>
      </c>
      <c r="DN55" s="19">
        <f>현금흐름취합!CZ55</f>
        <v>0</v>
      </c>
      <c r="DO55" s="19">
        <f>현금흐름취합!DA55</f>
        <v>0</v>
      </c>
      <c r="DP55" s="19">
        <f>현금흐름취합!DB55</f>
        <v>0</v>
      </c>
      <c r="DQ55" s="19">
        <f>현금흐름취합!DC55</f>
        <v>0</v>
      </c>
      <c r="DR55" s="19">
        <f>현금흐름취합!DD55</f>
        <v>0</v>
      </c>
      <c r="DS55" s="19">
        <f>현금흐름취합!DE55</f>
        <v>0</v>
      </c>
      <c r="DT55" s="19">
        <f>현금흐름취합!DF55</f>
        <v>0</v>
      </c>
      <c r="DU55" s="19">
        <f>현금흐름취합!DG55</f>
        <v>0</v>
      </c>
      <c r="DV55" s="19">
        <f>현금흐름취합!DH55</f>
        <v>0</v>
      </c>
      <c r="DW55" s="19">
        <f>현금흐름취합!DI55</f>
        <v>0</v>
      </c>
      <c r="DX55" s="19">
        <f>현금흐름취합!DJ55</f>
        <v>0</v>
      </c>
      <c r="DY55" s="19">
        <f>현금흐름취합!DK55</f>
        <v>0</v>
      </c>
      <c r="DZ55" s="19">
        <f>현금흐름취합!DL55</f>
        <v>0</v>
      </c>
      <c r="EA55" s="19">
        <f>현금흐름취합!DM55</f>
        <v>0</v>
      </c>
      <c r="EB55" s="19">
        <f>현금흐름취합!DN55</f>
        <v>0</v>
      </c>
      <c r="EC55" s="19">
        <f>현금흐름취합!DO55</f>
        <v>0</v>
      </c>
      <c r="ED55" s="19">
        <f>현금흐름취합!DP55</f>
        <v>0</v>
      </c>
      <c r="EE55" s="19">
        <f>현금흐름취합!DQ55</f>
        <v>0</v>
      </c>
      <c r="EF55" s="19">
        <f>현금흐름취합!DR55</f>
        <v>0</v>
      </c>
      <c r="EG55" s="19">
        <f>현금흐름취합!DS55</f>
        <v>0</v>
      </c>
      <c r="EH55" s="19">
        <f>현금흐름취합!DT55</f>
        <v>0</v>
      </c>
      <c r="EI55" s="19">
        <f>현금흐름취합!DU55</f>
        <v>0</v>
      </c>
      <c r="EJ55" s="19">
        <f>현금흐름취합!DV55</f>
        <v>0</v>
      </c>
      <c r="EK55" s="19">
        <f>현금흐름취합!DW55</f>
        <v>0</v>
      </c>
      <c r="EL55" s="19">
        <f>현금흐름취합!DX55</f>
        <v>0</v>
      </c>
      <c r="EM55" s="19">
        <f>현금흐름취합!DY55</f>
        <v>0</v>
      </c>
      <c r="EN55" s="19">
        <f>현금흐름취합!DZ55</f>
        <v>0</v>
      </c>
      <c r="EO55" s="19">
        <f>현금흐름취합!EA55</f>
        <v>0</v>
      </c>
      <c r="EP55" s="19">
        <f>현금흐름취합!EB55</f>
        <v>0</v>
      </c>
      <c r="EQ55" s="19">
        <f>현금흐름취합!EC55</f>
        <v>0</v>
      </c>
      <c r="ER55" s="19">
        <f>현금흐름취합!ED55</f>
        <v>0</v>
      </c>
      <c r="ES55" s="19">
        <f>현금흐름취합!EE55</f>
        <v>0</v>
      </c>
    </row>
    <row r="56" spans="1:149" hidden="1">
      <c r="A56" s="7">
        <f>현금흐름취합!A56</f>
        <v>0</v>
      </c>
      <c r="B56" s="7">
        <f>현금흐름취합!B56</f>
        <v>0</v>
      </c>
      <c r="C56" s="7">
        <f>현금흐름취합!C56</f>
        <v>0</v>
      </c>
      <c r="D56" s="8">
        <f>현금흐름취합!D56</f>
        <v>0</v>
      </c>
      <c r="E56" s="37"/>
      <c r="F56" s="8">
        <f>현금흐름취합!E56</f>
        <v>0</v>
      </c>
      <c r="G56" s="37" t="str">
        <f t="shared" si="1"/>
        <v>pool 고치세요</v>
      </c>
      <c r="H56" s="9">
        <f>현금흐름취합!F56</f>
        <v>0</v>
      </c>
      <c r="I56" s="10">
        <f>현금흐름취합!G56</f>
        <v>0</v>
      </c>
      <c r="J56" s="39" t="e">
        <f t="shared" si="33"/>
        <v>#DIV/0!</v>
      </c>
      <c r="K56" s="11">
        <f>현금흐름취합!H56</f>
        <v>0</v>
      </c>
      <c r="L56" s="40" t="e">
        <f>VLOOKUP(A56,'Sheet A'!$E$11:$K$60,7,0)=K56</f>
        <v>#N/A</v>
      </c>
      <c r="M56" s="12">
        <f>현금흐름취합!I56</f>
        <v>0</v>
      </c>
      <c r="N56" s="40" t="str">
        <f t="shared" si="34"/>
        <v>검토요</v>
      </c>
      <c r="O56" s="13">
        <f>현금흐름취합!J56</f>
        <v>0</v>
      </c>
      <c r="P56" s="14">
        <f>현금흐름취합!K56</f>
        <v>0</v>
      </c>
      <c r="Q56" s="18">
        <f>현금흐름취합!L56</f>
        <v>0</v>
      </c>
      <c r="R56" s="15">
        <f>현금흐름취합!M56</f>
        <v>0</v>
      </c>
      <c r="S56" s="40" t="e">
        <f t="shared" si="35"/>
        <v>#NUM!</v>
      </c>
      <c r="T56" s="16">
        <f>현금흐름취합!N56</f>
        <v>0</v>
      </c>
      <c r="U56" s="40" t="b">
        <f t="shared" si="36"/>
        <v>1</v>
      </c>
      <c r="V56" s="46">
        <f>SUMIF(일반여신!$E$10:$E$35,검증!A56,일반여신!$O$10:$O$35)*0.985-SUMIF(가지급금!$E$10:$E$180,A56,가지급금!$K$10:$K$180)+SUMIF(가지급금!$E$10:$E$180,검증!A56,가지급금!$O$10:$O$180)*0.985</f>
        <v>0</v>
      </c>
      <c r="W56" s="47">
        <f t="shared" si="37"/>
        <v>0</v>
      </c>
      <c r="X56" s="48"/>
      <c r="Y56" s="49">
        <f>SUMIF('Sheet D'!$E$11:$E$60,A56,'Sheet D'!$P$11:$P$60)</f>
        <v>0</v>
      </c>
      <c r="Z56" s="48">
        <f>SUMIFS(일반여신!$M$10:$M$35,일반여신!$E$10:$E$35,A56,일반여신!$P$10:$P$35,"신옹보증서대위변제")</f>
        <v>0</v>
      </c>
      <c r="AA56" s="48">
        <f t="shared" si="38"/>
        <v>0</v>
      </c>
      <c r="AB56" s="50"/>
      <c r="AC56" s="19">
        <f>현금흐름취합!O56</f>
        <v>0</v>
      </c>
      <c r="AD56" s="19">
        <f>현금흐름취합!P56</f>
        <v>0</v>
      </c>
      <c r="AE56" s="19">
        <f>현금흐름취합!Q56</f>
        <v>0</v>
      </c>
      <c r="AF56" s="19">
        <f>현금흐름취합!R56</f>
        <v>0</v>
      </c>
      <c r="AG56" s="19">
        <f>현금흐름취합!S56</f>
        <v>0</v>
      </c>
      <c r="AH56" s="19">
        <f>현금흐름취합!T56</f>
        <v>0</v>
      </c>
      <c r="AI56" s="19">
        <f>현금흐름취합!U56</f>
        <v>0</v>
      </c>
      <c r="AJ56" s="19">
        <f>현금흐름취합!V56</f>
        <v>0</v>
      </c>
      <c r="AK56" s="19">
        <f>현금흐름취합!W56</f>
        <v>0</v>
      </c>
      <c r="AL56" s="19">
        <f>현금흐름취합!X56</f>
        <v>0</v>
      </c>
      <c r="AM56" s="19">
        <f>현금흐름취합!Y56</f>
        <v>0</v>
      </c>
      <c r="AN56" s="19">
        <f>현금흐름취합!Z56</f>
        <v>0</v>
      </c>
      <c r="AO56" s="19">
        <f>현금흐름취합!AA56</f>
        <v>0</v>
      </c>
      <c r="AP56" s="19">
        <f>현금흐름취합!AB56</f>
        <v>0</v>
      </c>
      <c r="AQ56" s="19">
        <f>현금흐름취합!AC56</f>
        <v>0</v>
      </c>
      <c r="AR56" s="19">
        <f>현금흐름취합!AD56</f>
        <v>0</v>
      </c>
      <c r="AS56" s="19">
        <f>현금흐름취합!AE56</f>
        <v>0</v>
      </c>
      <c r="AT56" s="19">
        <f>현금흐름취합!AF56</f>
        <v>0</v>
      </c>
      <c r="AU56" s="19">
        <f>현금흐름취합!AG56</f>
        <v>0</v>
      </c>
      <c r="AV56" s="19">
        <f>현금흐름취합!AH56</f>
        <v>0</v>
      </c>
      <c r="AW56" s="19">
        <f>현금흐름취합!AI56</f>
        <v>0</v>
      </c>
      <c r="AX56" s="19">
        <f>현금흐름취합!AJ56</f>
        <v>0</v>
      </c>
      <c r="AY56" s="19">
        <f>현금흐름취합!AK56</f>
        <v>0</v>
      </c>
      <c r="AZ56" s="19">
        <f>현금흐름취합!AL56</f>
        <v>0</v>
      </c>
      <c r="BA56" s="19">
        <f>현금흐름취합!AM56</f>
        <v>0</v>
      </c>
      <c r="BB56" s="19">
        <f>현금흐름취합!AN56</f>
        <v>0</v>
      </c>
      <c r="BC56" s="19">
        <f>현금흐름취합!AO56</f>
        <v>0</v>
      </c>
      <c r="BD56" s="19">
        <f>현금흐름취합!AP56</f>
        <v>0</v>
      </c>
      <c r="BE56" s="19">
        <f>현금흐름취합!AQ56</f>
        <v>0</v>
      </c>
      <c r="BF56" s="19">
        <f>현금흐름취합!AR56</f>
        <v>0</v>
      </c>
      <c r="BG56" s="19">
        <f>현금흐름취합!AS56</f>
        <v>0</v>
      </c>
      <c r="BH56" s="19">
        <f>현금흐름취합!AT56</f>
        <v>0</v>
      </c>
      <c r="BI56" s="19">
        <f>현금흐름취합!AU56</f>
        <v>0</v>
      </c>
      <c r="BJ56" s="19">
        <f>현금흐름취합!AV56</f>
        <v>0</v>
      </c>
      <c r="BK56" s="19">
        <f>현금흐름취합!AW56</f>
        <v>0</v>
      </c>
      <c r="BL56" s="19">
        <f>현금흐름취합!AX56</f>
        <v>0</v>
      </c>
      <c r="BM56" s="19">
        <f>현금흐름취합!AY56</f>
        <v>0</v>
      </c>
      <c r="BN56" s="19">
        <f>현금흐름취합!AZ56</f>
        <v>0</v>
      </c>
      <c r="BO56" s="19">
        <f>현금흐름취합!BA56</f>
        <v>0</v>
      </c>
      <c r="BP56" s="19">
        <f>현금흐름취합!BB56</f>
        <v>0</v>
      </c>
      <c r="BQ56" s="19">
        <f>현금흐름취합!BC56</f>
        <v>0</v>
      </c>
      <c r="BR56" s="19">
        <f>현금흐름취합!BD56</f>
        <v>0</v>
      </c>
      <c r="BS56" s="19">
        <f>현금흐름취합!BE56</f>
        <v>0</v>
      </c>
      <c r="BT56" s="19">
        <f>현금흐름취합!BF56</f>
        <v>0</v>
      </c>
      <c r="BU56" s="19">
        <f>현금흐름취합!BG56</f>
        <v>0</v>
      </c>
      <c r="BV56" s="19">
        <f>현금흐름취합!BH56</f>
        <v>0</v>
      </c>
      <c r="BW56" s="19">
        <f>현금흐름취합!BI56</f>
        <v>0</v>
      </c>
      <c r="BX56" s="19">
        <f>현금흐름취합!BJ56</f>
        <v>0</v>
      </c>
      <c r="BY56" s="19">
        <f>현금흐름취합!BK56</f>
        <v>0</v>
      </c>
      <c r="BZ56" s="19">
        <f>현금흐름취합!BL56</f>
        <v>0</v>
      </c>
      <c r="CA56" s="19">
        <f>현금흐름취합!BM56</f>
        <v>0</v>
      </c>
      <c r="CB56" s="19">
        <f>현금흐름취합!BN56</f>
        <v>0</v>
      </c>
      <c r="CC56" s="19">
        <f>현금흐름취합!BO56</f>
        <v>0</v>
      </c>
      <c r="CD56" s="19">
        <f>현금흐름취합!BP56</f>
        <v>0</v>
      </c>
      <c r="CE56" s="19">
        <f>현금흐름취합!BQ56</f>
        <v>0</v>
      </c>
      <c r="CF56" s="19">
        <f>현금흐름취합!BR56</f>
        <v>0</v>
      </c>
      <c r="CG56" s="19">
        <f>현금흐름취합!BS56</f>
        <v>0</v>
      </c>
      <c r="CH56" s="19">
        <f>현금흐름취합!BT56</f>
        <v>0</v>
      </c>
      <c r="CI56" s="19">
        <f>현금흐름취합!BU56</f>
        <v>0</v>
      </c>
      <c r="CJ56" s="19">
        <f>현금흐름취합!BV56</f>
        <v>0</v>
      </c>
      <c r="CK56" s="19">
        <f>현금흐름취합!BW56</f>
        <v>0</v>
      </c>
      <c r="CL56" s="19">
        <f>현금흐름취합!BX56</f>
        <v>0</v>
      </c>
      <c r="CM56" s="19">
        <f>현금흐름취합!BY56</f>
        <v>0</v>
      </c>
      <c r="CN56" s="19">
        <f>현금흐름취합!BZ56</f>
        <v>0</v>
      </c>
      <c r="CO56" s="19">
        <f>현금흐름취합!CA56</f>
        <v>0</v>
      </c>
      <c r="CP56" s="19">
        <f>현금흐름취합!CB56</f>
        <v>0</v>
      </c>
      <c r="CQ56" s="19">
        <f>현금흐름취합!CC56</f>
        <v>0</v>
      </c>
      <c r="CR56" s="19">
        <f>현금흐름취합!CD56</f>
        <v>0</v>
      </c>
      <c r="CS56" s="19">
        <f>현금흐름취합!CE56</f>
        <v>0</v>
      </c>
      <c r="CT56" s="19">
        <f>현금흐름취합!CF56</f>
        <v>0</v>
      </c>
      <c r="CU56" s="19">
        <f>현금흐름취합!CG56</f>
        <v>0</v>
      </c>
      <c r="CV56" s="19">
        <f>현금흐름취합!CH56</f>
        <v>0</v>
      </c>
      <c r="CW56" s="19">
        <f>현금흐름취합!CI56</f>
        <v>0</v>
      </c>
      <c r="CX56" s="19">
        <f>현금흐름취합!CJ56</f>
        <v>0</v>
      </c>
      <c r="CY56" s="19">
        <f>현금흐름취합!CK56</f>
        <v>0</v>
      </c>
      <c r="CZ56" s="19">
        <f>현금흐름취합!CL56</f>
        <v>0</v>
      </c>
      <c r="DA56" s="19">
        <f>현금흐름취합!CM56</f>
        <v>0</v>
      </c>
      <c r="DB56" s="19">
        <f>현금흐름취합!CN56</f>
        <v>0</v>
      </c>
      <c r="DC56" s="19">
        <f>현금흐름취합!CO56</f>
        <v>0</v>
      </c>
      <c r="DD56" s="19">
        <f>현금흐름취합!CP56</f>
        <v>0</v>
      </c>
      <c r="DE56" s="19">
        <f>현금흐름취합!CQ56</f>
        <v>0</v>
      </c>
      <c r="DF56" s="19">
        <f>현금흐름취합!CR56</f>
        <v>0</v>
      </c>
      <c r="DG56" s="19">
        <f>현금흐름취합!CS56</f>
        <v>0</v>
      </c>
      <c r="DH56" s="19">
        <f>현금흐름취합!CT56</f>
        <v>0</v>
      </c>
      <c r="DI56" s="19">
        <f>현금흐름취합!CU56</f>
        <v>0</v>
      </c>
      <c r="DJ56" s="19">
        <f>현금흐름취합!CV56</f>
        <v>0</v>
      </c>
      <c r="DK56" s="19">
        <f>현금흐름취합!CW56</f>
        <v>0</v>
      </c>
      <c r="DL56" s="19">
        <f>현금흐름취합!CX56</f>
        <v>0</v>
      </c>
      <c r="DM56" s="19">
        <f>현금흐름취합!CY56</f>
        <v>0</v>
      </c>
      <c r="DN56" s="19">
        <f>현금흐름취합!CZ56</f>
        <v>0</v>
      </c>
      <c r="DO56" s="19">
        <f>현금흐름취합!DA56</f>
        <v>0</v>
      </c>
      <c r="DP56" s="19">
        <f>현금흐름취합!DB56</f>
        <v>0</v>
      </c>
      <c r="DQ56" s="19">
        <f>현금흐름취합!DC56</f>
        <v>0</v>
      </c>
      <c r="DR56" s="19">
        <f>현금흐름취합!DD56</f>
        <v>0</v>
      </c>
      <c r="DS56" s="19">
        <f>현금흐름취합!DE56</f>
        <v>0</v>
      </c>
      <c r="DT56" s="19">
        <f>현금흐름취합!DF56</f>
        <v>0</v>
      </c>
      <c r="DU56" s="19">
        <f>현금흐름취합!DG56</f>
        <v>0</v>
      </c>
      <c r="DV56" s="19">
        <f>현금흐름취합!DH56</f>
        <v>0</v>
      </c>
      <c r="DW56" s="19">
        <f>현금흐름취합!DI56</f>
        <v>0</v>
      </c>
      <c r="DX56" s="19">
        <f>현금흐름취합!DJ56</f>
        <v>0</v>
      </c>
      <c r="DY56" s="19">
        <f>현금흐름취합!DK56</f>
        <v>0</v>
      </c>
      <c r="DZ56" s="19">
        <f>현금흐름취합!DL56</f>
        <v>0</v>
      </c>
      <c r="EA56" s="19">
        <f>현금흐름취합!DM56</f>
        <v>0</v>
      </c>
      <c r="EB56" s="19">
        <f>현금흐름취합!DN56</f>
        <v>0</v>
      </c>
      <c r="EC56" s="19">
        <f>현금흐름취합!DO56</f>
        <v>0</v>
      </c>
      <c r="ED56" s="19">
        <f>현금흐름취합!DP56</f>
        <v>0</v>
      </c>
      <c r="EE56" s="19">
        <f>현금흐름취합!DQ56</f>
        <v>0</v>
      </c>
      <c r="EF56" s="19">
        <f>현금흐름취합!DR56</f>
        <v>0</v>
      </c>
      <c r="EG56" s="19">
        <f>현금흐름취합!DS56</f>
        <v>0</v>
      </c>
      <c r="EH56" s="19">
        <f>현금흐름취합!DT56</f>
        <v>0</v>
      </c>
      <c r="EI56" s="19">
        <f>현금흐름취합!DU56</f>
        <v>0</v>
      </c>
      <c r="EJ56" s="19">
        <f>현금흐름취합!DV56</f>
        <v>0</v>
      </c>
      <c r="EK56" s="19">
        <f>현금흐름취합!DW56</f>
        <v>0</v>
      </c>
      <c r="EL56" s="19">
        <f>현금흐름취합!DX56</f>
        <v>0</v>
      </c>
      <c r="EM56" s="19">
        <f>현금흐름취합!DY56</f>
        <v>0</v>
      </c>
      <c r="EN56" s="19">
        <f>현금흐름취합!DZ56</f>
        <v>0</v>
      </c>
      <c r="EO56" s="19">
        <f>현금흐름취합!EA56</f>
        <v>0</v>
      </c>
      <c r="EP56" s="19">
        <f>현금흐름취합!EB56</f>
        <v>0</v>
      </c>
      <c r="EQ56" s="19">
        <f>현금흐름취합!EC56</f>
        <v>0</v>
      </c>
      <c r="ER56" s="19">
        <f>현금흐름취합!ED56</f>
        <v>0</v>
      </c>
      <c r="ES56" s="19">
        <f>현금흐름취합!EE56</f>
        <v>0</v>
      </c>
    </row>
    <row r="57" spans="1:149" hidden="1">
      <c r="A57" s="7">
        <f>현금흐름취합!A57</f>
        <v>0</v>
      </c>
      <c r="B57" s="7">
        <f>현금흐름취합!B57</f>
        <v>0</v>
      </c>
      <c r="C57" s="7">
        <f>현금흐름취합!C57</f>
        <v>0</v>
      </c>
      <c r="D57" s="8">
        <f>현금흐름취합!D57</f>
        <v>0</v>
      </c>
      <c r="E57" s="37" t="str">
        <f t="shared" ref="E57" si="44">IF(R56&gt;R57,"역전현상","이상없음")</f>
        <v>이상없음</v>
      </c>
      <c r="F57" s="8">
        <f>현금흐름취합!E57</f>
        <v>0</v>
      </c>
      <c r="G57" s="37" t="str">
        <f t="shared" si="1"/>
        <v>pool 고치세요</v>
      </c>
      <c r="H57" s="9">
        <f>현금흐름취합!F57</f>
        <v>0</v>
      </c>
      <c r="I57" s="10">
        <f>현금흐름취합!G57</f>
        <v>0</v>
      </c>
      <c r="J57" s="39" t="e">
        <f t="shared" si="33"/>
        <v>#DIV/0!</v>
      </c>
      <c r="K57" s="11">
        <f>현금흐름취합!H57</f>
        <v>0</v>
      </c>
      <c r="L57" s="40" t="e">
        <f>VLOOKUP(A57,'Sheet A'!$E$11:$K$60,7,0)=K57</f>
        <v>#N/A</v>
      </c>
      <c r="M57" s="12">
        <f>현금흐름취합!I57</f>
        <v>0</v>
      </c>
      <c r="N57" s="40" t="str">
        <f t="shared" si="34"/>
        <v>검토요</v>
      </c>
      <c r="O57" s="13">
        <f>현금흐름취합!J57</f>
        <v>0</v>
      </c>
      <c r="P57" s="14">
        <f>현금흐름취합!K57</f>
        <v>0</v>
      </c>
      <c r="Q57" s="18">
        <f>현금흐름취합!L57</f>
        <v>0</v>
      </c>
      <c r="R57" s="15">
        <f>현금흐름취합!M57</f>
        <v>0</v>
      </c>
      <c r="S57" s="40" t="e">
        <f t="shared" si="35"/>
        <v>#NUM!</v>
      </c>
      <c r="T57" s="16">
        <f>현금흐름취합!N57</f>
        <v>0</v>
      </c>
      <c r="U57" s="40" t="b">
        <f t="shared" si="36"/>
        <v>1</v>
      </c>
      <c r="V57" s="46">
        <f>SUMIF(일반여신!$E$10:$E$35,검증!A57,일반여신!$O$10:$O$35)*0.985-SUMIF(가지급금!$E$10:$E$180,A57,가지급금!$K$10:$K$180)+SUMIF(가지급금!$E$10:$E$180,검증!A57,가지급금!$O$10:$O$180)*0.985</f>
        <v>0</v>
      </c>
      <c r="W57" s="47">
        <f t="shared" si="37"/>
        <v>0</v>
      </c>
      <c r="X57" s="48"/>
      <c r="Y57" s="49">
        <f>SUMIF('Sheet D'!$E$11:$E$60,A57,'Sheet D'!$P$11:$P$60)</f>
        <v>0</v>
      </c>
      <c r="Z57" s="48">
        <f>SUMIFS(일반여신!$M$10:$M$35,일반여신!$E$10:$E$35,A57,일반여신!$P$10:$P$35,"신옹보증서대위변제")</f>
        <v>0</v>
      </c>
      <c r="AA57" s="48">
        <f t="shared" si="38"/>
        <v>0</v>
      </c>
      <c r="AB57" s="50"/>
      <c r="AC57" s="19">
        <f>현금흐름취합!O57</f>
        <v>0</v>
      </c>
      <c r="AD57" s="19">
        <f>현금흐름취합!P57</f>
        <v>0</v>
      </c>
      <c r="AE57" s="19">
        <f>현금흐름취합!Q57</f>
        <v>0</v>
      </c>
      <c r="AF57" s="19">
        <f>현금흐름취합!R57</f>
        <v>0</v>
      </c>
      <c r="AG57" s="19">
        <f>현금흐름취합!S57</f>
        <v>0</v>
      </c>
      <c r="AH57" s="19">
        <f>현금흐름취합!T57</f>
        <v>0</v>
      </c>
      <c r="AI57" s="19">
        <f>현금흐름취합!U57</f>
        <v>0</v>
      </c>
      <c r="AJ57" s="19">
        <f>현금흐름취합!V57</f>
        <v>0</v>
      </c>
      <c r="AK57" s="19">
        <f>현금흐름취합!W57</f>
        <v>0</v>
      </c>
      <c r="AL57" s="19">
        <f>현금흐름취합!X57</f>
        <v>0</v>
      </c>
      <c r="AM57" s="19">
        <f>현금흐름취합!Y57</f>
        <v>0</v>
      </c>
      <c r="AN57" s="19">
        <f>현금흐름취합!Z57</f>
        <v>0</v>
      </c>
      <c r="AO57" s="19">
        <f>현금흐름취합!AA57</f>
        <v>0</v>
      </c>
      <c r="AP57" s="19">
        <f>현금흐름취합!AB57</f>
        <v>0</v>
      </c>
      <c r="AQ57" s="19">
        <f>현금흐름취합!AC57</f>
        <v>0</v>
      </c>
      <c r="AR57" s="19">
        <f>현금흐름취합!AD57</f>
        <v>0</v>
      </c>
      <c r="AS57" s="19">
        <f>현금흐름취합!AE57</f>
        <v>0</v>
      </c>
      <c r="AT57" s="19">
        <f>현금흐름취합!AF57</f>
        <v>0</v>
      </c>
      <c r="AU57" s="19">
        <f>현금흐름취합!AG57</f>
        <v>0</v>
      </c>
      <c r="AV57" s="19">
        <f>현금흐름취합!AH57</f>
        <v>0</v>
      </c>
      <c r="AW57" s="19">
        <f>현금흐름취합!AI57</f>
        <v>0</v>
      </c>
      <c r="AX57" s="19">
        <f>현금흐름취합!AJ57</f>
        <v>0</v>
      </c>
      <c r="AY57" s="19">
        <f>현금흐름취합!AK57</f>
        <v>0</v>
      </c>
      <c r="AZ57" s="19">
        <f>현금흐름취합!AL57</f>
        <v>0</v>
      </c>
      <c r="BA57" s="19">
        <f>현금흐름취합!AM57</f>
        <v>0</v>
      </c>
      <c r="BB57" s="19">
        <f>현금흐름취합!AN57</f>
        <v>0</v>
      </c>
      <c r="BC57" s="19">
        <f>현금흐름취합!AO57</f>
        <v>0</v>
      </c>
      <c r="BD57" s="19">
        <f>현금흐름취합!AP57</f>
        <v>0</v>
      </c>
      <c r="BE57" s="19">
        <f>현금흐름취합!AQ57</f>
        <v>0</v>
      </c>
      <c r="BF57" s="19">
        <f>현금흐름취합!AR57</f>
        <v>0</v>
      </c>
      <c r="BG57" s="19">
        <f>현금흐름취합!AS57</f>
        <v>0</v>
      </c>
      <c r="BH57" s="19">
        <f>현금흐름취합!AT57</f>
        <v>0</v>
      </c>
      <c r="BI57" s="19">
        <f>현금흐름취합!AU57</f>
        <v>0</v>
      </c>
      <c r="BJ57" s="19">
        <f>현금흐름취합!AV57</f>
        <v>0</v>
      </c>
      <c r="BK57" s="19">
        <f>현금흐름취합!AW57</f>
        <v>0</v>
      </c>
      <c r="BL57" s="19">
        <f>현금흐름취합!AX57</f>
        <v>0</v>
      </c>
      <c r="BM57" s="19">
        <f>현금흐름취합!AY57</f>
        <v>0</v>
      </c>
      <c r="BN57" s="19">
        <f>현금흐름취합!AZ57</f>
        <v>0</v>
      </c>
      <c r="BO57" s="19">
        <f>현금흐름취합!BA57</f>
        <v>0</v>
      </c>
      <c r="BP57" s="19">
        <f>현금흐름취합!BB57</f>
        <v>0</v>
      </c>
      <c r="BQ57" s="19">
        <f>현금흐름취합!BC57</f>
        <v>0</v>
      </c>
      <c r="BR57" s="19">
        <f>현금흐름취합!BD57</f>
        <v>0</v>
      </c>
      <c r="BS57" s="19">
        <f>현금흐름취합!BE57</f>
        <v>0</v>
      </c>
      <c r="BT57" s="19">
        <f>현금흐름취합!BF57</f>
        <v>0</v>
      </c>
      <c r="BU57" s="19">
        <f>현금흐름취합!BG57</f>
        <v>0</v>
      </c>
      <c r="BV57" s="19">
        <f>현금흐름취합!BH57</f>
        <v>0</v>
      </c>
      <c r="BW57" s="19">
        <f>현금흐름취합!BI57</f>
        <v>0</v>
      </c>
      <c r="BX57" s="19">
        <f>현금흐름취합!BJ57</f>
        <v>0</v>
      </c>
      <c r="BY57" s="19">
        <f>현금흐름취합!BK57</f>
        <v>0</v>
      </c>
      <c r="BZ57" s="19">
        <f>현금흐름취합!BL57</f>
        <v>0</v>
      </c>
      <c r="CA57" s="19">
        <f>현금흐름취합!BM57</f>
        <v>0</v>
      </c>
      <c r="CB57" s="19">
        <f>현금흐름취합!BN57</f>
        <v>0</v>
      </c>
      <c r="CC57" s="19">
        <f>현금흐름취합!BO57</f>
        <v>0</v>
      </c>
      <c r="CD57" s="19">
        <f>현금흐름취합!BP57</f>
        <v>0</v>
      </c>
      <c r="CE57" s="19">
        <f>현금흐름취합!BQ57</f>
        <v>0</v>
      </c>
      <c r="CF57" s="19">
        <f>현금흐름취합!BR57</f>
        <v>0</v>
      </c>
      <c r="CG57" s="19">
        <f>현금흐름취합!BS57</f>
        <v>0</v>
      </c>
      <c r="CH57" s="19">
        <f>현금흐름취합!BT57</f>
        <v>0</v>
      </c>
      <c r="CI57" s="19">
        <f>현금흐름취합!BU57</f>
        <v>0</v>
      </c>
      <c r="CJ57" s="19">
        <f>현금흐름취합!BV57</f>
        <v>0</v>
      </c>
      <c r="CK57" s="19">
        <f>현금흐름취합!BW57</f>
        <v>0</v>
      </c>
      <c r="CL57" s="19">
        <f>현금흐름취합!BX57</f>
        <v>0</v>
      </c>
      <c r="CM57" s="19">
        <f>현금흐름취합!BY57</f>
        <v>0</v>
      </c>
      <c r="CN57" s="19">
        <f>현금흐름취합!BZ57</f>
        <v>0</v>
      </c>
      <c r="CO57" s="19">
        <f>현금흐름취합!CA57</f>
        <v>0</v>
      </c>
      <c r="CP57" s="19">
        <f>현금흐름취합!CB57</f>
        <v>0</v>
      </c>
      <c r="CQ57" s="19">
        <f>현금흐름취합!CC57</f>
        <v>0</v>
      </c>
      <c r="CR57" s="19">
        <f>현금흐름취합!CD57</f>
        <v>0</v>
      </c>
      <c r="CS57" s="19">
        <f>현금흐름취합!CE57</f>
        <v>0</v>
      </c>
      <c r="CT57" s="19">
        <f>현금흐름취합!CF57</f>
        <v>0</v>
      </c>
      <c r="CU57" s="19">
        <f>현금흐름취합!CG57</f>
        <v>0</v>
      </c>
      <c r="CV57" s="19">
        <f>현금흐름취합!CH57</f>
        <v>0</v>
      </c>
      <c r="CW57" s="19">
        <f>현금흐름취합!CI57</f>
        <v>0</v>
      </c>
      <c r="CX57" s="19">
        <f>현금흐름취합!CJ57</f>
        <v>0</v>
      </c>
      <c r="CY57" s="19">
        <f>현금흐름취합!CK57</f>
        <v>0</v>
      </c>
      <c r="CZ57" s="19">
        <f>현금흐름취합!CL57</f>
        <v>0</v>
      </c>
      <c r="DA57" s="19">
        <f>현금흐름취합!CM57</f>
        <v>0</v>
      </c>
      <c r="DB57" s="19">
        <f>현금흐름취합!CN57</f>
        <v>0</v>
      </c>
      <c r="DC57" s="19">
        <f>현금흐름취합!CO57</f>
        <v>0</v>
      </c>
      <c r="DD57" s="19">
        <f>현금흐름취합!CP57</f>
        <v>0</v>
      </c>
      <c r="DE57" s="19">
        <f>현금흐름취합!CQ57</f>
        <v>0</v>
      </c>
      <c r="DF57" s="19">
        <f>현금흐름취합!CR57</f>
        <v>0</v>
      </c>
      <c r="DG57" s="19">
        <f>현금흐름취합!CS57</f>
        <v>0</v>
      </c>
      <c r="DH57" s="19">
        <f>현금흐름취합!CT57</f>
        <v>0</v>
      </c>
      <c r="DI57" s="19">
        <f>현금흐름취합!CU57</f>
        <v>0</v>
      </c>
      <c r="DJ57" s="19">
        <f>현금흐름취합!CV57</f>
        <v>0</v>
      </c>
      <c r="DK57" s="19">
        <f>현금흐름취합!CW57</f>
        <v>0</v>
      </c>
      <c r="DL57" s="19">
        <f>현금흐름취합!CX57</f>
        <v>0</v>
      </c>
      <c r="DM57" s="19">
        <f>현금흐름취합!CY57</f>
        <v>0</v>
      </c>
      <c r="DN57" s="19">
        <f>현금흐름취합!CZ57</f>
        <v>0</v>
      </c>
      <c r="DO57" s="19">
        <f>현금흐름취합!DA57</f>
        <v>0</v>
      </c>
      <c r="DP57" s="19">
        <f>현금흐름취합!DB57</f>
        <v>0</v>
      </c>
      <c r="DQ57" s="19">
        <f>현금흐름취합!DC57</f>
        <v>0</v>
      </c>
      <c r="DR57" s="19">
        <f>현금흐름취합!DD57</f>
        <v>0</v>
      </c>
      <c r="DS57" s="19">
        <f>현금흐름취합!DE57</f>
        <v>0</v>
      </c>
      <c r="DT57" s="19">
        <f>현금흐름취합!DF57</f>
        <v>0</v>
      </c>
      <c r="DU57" s="19">
        <f>현금흐름취합!DG57</f>
        <v>0</v>
      </c>
      <c r="DV57" s="19">
        <f>현금흐름취합!DH57</f>
        <v>0</v>
      </c>
      <c r="DW57" s="19">
        <f>현금흐름취합!DI57</f>
        <v>0</v>
      </c>
      <c r="DX57" s="19">
        <f>현금흐름취합!DJ57</f>
        <v>0</v>
      </c>
      <c r="DY57" s="19">
        <f>현금흐름취합!DK57</f>
        <v>0</v>
      </c>
      <c r="DZ57" s="19">
        <f>현금흐름취합!DL57</f>
        <v>0</v>
      </c>
      <c r="EA57" s="19">
        <f>현금흐름취합!DM57</f>
        <v>0</v>
      </c>
      <c r="EB57" s="19">
        <f>현금흐름취합!DN57</f>
        <v>0</v>
      </c>
      <c r="EC57" s="19">
        <f>현금흐름취합!DO57</f>
        <v>0</v>
      </c>
      <c r="ED57" s="19">
        <f>현금흐름취합!DP57</f>
        <v>0</v>
      </c>
      <c r="EE57" s="19">
        <f>현금흐름취합!DQ57</f>
        <v>0</v>
      </c>
      <c r="EF57" s="19">
        <f>현금흐름취합!DR57</f>
        <v>0</v>
      </c>
      <c r="EG57" s="19">
        <f>현금흐름취합!DS57</f>
        <v>0</v>
      </c>
      <c r="EH57" s="19">
        <f>현금흐름취합!DT57</f>
        <v>0</v>
      </c>
      <c r="EI57" s="19">
        <f>현금흐름취합!DU57</f>
        <v>0</v>
      </c>
      <c r="EJ57" s="19">
        <f>현금흐름취합!DV57</f>
        <v>0</v>
      </c>
      <c r="EK57" s="19">
        <f>현금흐름취합!DW57</f>
        <v>0</v>
      </c>
      <c r="EL57" s="19">
        <f>현금흐름취합!DX57</f>
        <v>0</v>
      </c>
      <c r="EM57" s="19">
        <f>현금흐름취합!DY57</f>
        <v>0</v>
      </c>
      <c r="EN57" s="19">
        <f>현금흐름취합!DZ57</f>
        <v>0</v>
      </c>
      <c r="EO57" s="19">
        <f>현금흐름취합!EA57</f>
        <v>0</v>
      </c>
      <c r="EP57" s="19">
        <f>현금흐름취합!EB57</f>
        <v>0</v>
      </c>
      <c r="EQ57" s="19">
        <f>현금흐름취합!EC57</f>
        <v>0</v>
      </c>
      <c r="ER57" s="19">
        <f>현금흐름취합!ED57</f>
        <v>0</v>
      </c>
      <c r="ES57" s="19">
        <f>현금흐름취합!EE57</f>
        <v>0</v>
      </c>
    </row>
    <row r="58" spans="1:149" hidden="1">
      <c r="A58" s="7">
        <f>현금흐름취합!A58</f>
        <v>0</v>
      </c>
      <c r="B58" s="7">
        <f>현금흐름취합!B58</f>
        <v>0</v>
      </c>
      <c r="C58" s="7">
        <f>현금흐름취합!C58</f>
        <v>0</v>
      </c>
      <c r="D58" s="8">
        <f>현금흐름취합!D58</f>
        <v>0</v>
      </c>
      <c r="E58" s="37"/>
      <c r="F58" s="8">
        <f>현금흐름취합!E58</f>
        <v>0</v>
      </c>
      <c r="G58" s="37" t="str">
        <f t="shared" si="1"/>
        <v>pool 고치세요</v>
      </c>
      <c r="H58" s="9">
        <f>현금흐름취합!F58</f>
        <v>0</v>
      </c>
      <c r="I58" s="10">
        <f>현금흐름취합!G58</f>
        <v>0</v>
      </c>
      <c r="J58" s="39" t="e">
        <f t="shared" si="33"/>
        <v>#DIV/0!</v>
      </c>
      <c r="K58" s="11">
        <f>현금흐름취합!H58</f>
        <v>0</v>
      </c>
      <c r="L58" s="40" t="e">
        <f>VLOOKUP(A58,'Sheet A'!$E$11:$K$60,7,0)=K58</f>
        <v>#N/A</v>
      </c>
      <c r="M58" s="12">
        <f>현금흐름취합!I58</f>
        <v>0</v>
      </c>
      <c r="N58" s="40" t="str">
        <f t="shared" si="34"/>
        <v>검토요</v>
      </c>
      <c r="O58" s="13">
        <f>현금흐름취합!J58</f>
        <v>0</v>
      </c>
      <c r="P58" s="14">
        <f>현금흐름취합!K58</f>
        <v>0</v>
      </c>
      <c r="Q58" s="18">
        <f>현금흐름취합!L58</f>
        <v>0</v>
      </c>
      <c r="R58" s="15">
        <f>현금흐름취합!M58</f>
        <v>0</v>
      </c>
      <c r="S58" s="40" t="e">
        <f t="shared" si="35"/>
        <v>#NUM!</v>
      </c>
      <c r="T58" s="16">
        <f>현금흐름취합!N58</f>
        <v>0</v>
      </c>
      <c r="U58" s="40" t="b">
        <f t="shared" si="36"/>
        <v>1</v>
      </c>
      <c r="V58" s="46">
        <f>SUMIF(일반여신!$E$10:$E$35,검증!A58,일반여신!$O$10:$O$35)*0.985-SUMIF(가지급금!$E$10:$E$180,A58,가지급금!$K$10:$K$180)+SUMIF(가지급금!$E$10:$E$180,검증!A58,가지급금!$O$10:$O$180)*0.985</f>
        <v>0</v>
      </c>
      <c r="W58" s="47">
        <f t="shared" si="37"/>
        <v>0</v>
      </c>
      <c r="X58" s="48"/>
      <c r="Y58" s="49">
        <f>SUMIF('Sheet D'!$E$11:$E$60,A58,'Sheet D'!$P$11:$P$60)</f>
        <v>0</v>
      </c>
      <c r="Z58" s="48">
        <f>SUMIFS(일반여신!$M$10:$M$35,일반여신!$E$10:$E$35,A58,일반여신!$P$10:$P$35,"신옹보증서대위변제")</f>
        <v>0</v>
      </c>
      <c r="AA58" s="48">
        <f t="shared" si="38"/>
        <v>0</v>
      </c>
      <c r="AB58" s="50"/>
      <c r="AC58" s="19">
        <f>현금흐름취합!O58</f>
        <v>0</v>
      </c>
      <c r="AD58" s="19">
        <f>현금흐름취합!P58</f>
        <v>0</v>
      </c>
      <c r="AE58" s="19">
        <f>현금흐름취합!Q58</f>
        <v>0</v>
      </c>
      <c r="AF58" s="19">
        <f>현금흐름취합!R58</f>
        <v>0</v>
      </c>
      <c r="AG58" s="19">
        <f>현금흐름취합!S58</f>
        <v>0</v>
      </c>
      <c r="AH58" s="19">
        <f>현금흐름취합!T58</f>
        <v>0</v>
      </c>
      <c r="AI58" s="19">
        <f>현금흐름취합!U58</f>
        <v>0</v>
      </c>
      <c r="AJ58" s="19">
        <f>현금흐름취합!V58</f>
        <v>0</v>
      </c>
      <c r="AK58" s="19">
        <f>현금흐름취합!W58</f>
        <v>0</v>
      </c>
      <c r="AL58" s="19">
        <f>현금흐름취합!X58</f>
        <v>0</v>
      </c>
      <c r="AM58" s="19">
        <f>현금흐름취합!Y58</f>
        <v>0</v>
      </c>
      <c r="AN58" s="19">
        <f>현금흐름취합!Z58</f>
        <v>0</v>
      </c>
      <c r="AO58" s="19">
        <f>현금흐름취합!AA58</f>
        <v>0</v>
      </c>
      <c r="AP58" s="19">
        <f>현금흐름취합!AB58</f>
        <v>0</v>
      </c>
      <c r="AQ58" s="19">
        <f>현금흐름취합!AC58</f>
        <v>0</v>
      </c>
      <c r="AR58" s="19">
        <f>현금흐름취합!AD58</f>
        <v>0</v>
      </c>
      <c r="AS58" s="19">
        <f>현금흐름취합!AE58</f>
        <v>0</v>
      </c>
      <c r="AT58" s="19">
        <f>현금흐름취합!AF58</f>
        <v>0</v>
      </c>
      <c r="AU58" s="19">
        <f>현금흐름취합!AG58</f>
        <v>0</v>
      </c>
      <c r="AV58" s="19">
        <f>현금흐름취합!AH58</f>
        <v>0</v>
      </c>
      <c r="AW58" s="19">
        <f>현금흐름취합!AI58</f>
        <v>0</v>
      </c>
      <c r="AX58" s="19">
        <f>현금흐름취합!AJ58</f>
        <v>0</v>
      </c>
      <c r="AY58" s="19">
        <f>현금흐름취합!AK58</f>
        <v>0</v>
      </c>
      <c r="AZ58" s="19">
        <f>현금흐름취합!AL58</f>
        <v>0</v>
      </c>
      <c r="BA58" s="19">
        <f>현금흐름취합!AM58</f>
        <v>0</v>
      </c>
      <c r="BB58" s="19">
        <f>현금흐름취합!AN58</f>
        <v>0</v>
      </c>
      <c r="BC58" s="19">
        <f>현금흐름취합!AO58</f>
        <v>0</v>
      </c>
      <c r="BD58" s="19">
        <f>현금흐름취합!AP58</f>
        <v>0</v>
      </c>
      <c r="BE58" s="19">
        <f>현금흐름취합!AQ58</f>
        <v>0</v>
      </c>
      <c r="BF58" s="19">
        <f>현금흐름취합!AR58</f>
        <v>0</v>
      </c>
      <c r="BG58" s="19">
        <f>현금흐름취합!AS58</f>
        <v>0</v>
      </c>
      <c r="BH58" s="19">
        <f>현금흐름취합!AT58</f>
        <v>0</v>
      </c>
      <c r="BI58" s="19">
        <f>현금흐름취합!AU58</f>
        <v>0</v>
      </c>
      <c r="BJ58" s="19">
        <f>현금흐름취합!AV58</f>
        <v>0</v>
      </c>
      <c r="BK58" s="19">
        <f>현금흐름취합!AW58</f>
        <v>0</v>
      </c>
      <c r="BL58" s="19">
        <f>현금흐름취합!AX58</f>
        <v>0</v>
      </c>
      <c r="BM58" s="19">
        <f>현금흐름취합!AY58</f>
        <v>0</v>
      </c>
      <c r="BN58" s="19">
        <f>현금흐름취합!AZ58</f>
        <v>0</v>
      </c>
      <c r="BO58" s="19">
        <f>현금흐름취합!BA58</f>
        <v>0</v>
      </c>
      <c r="BP58" s="19">
        <f>현금흐름취합!BB58</f>
        <v>0</v>
      </c>
      <c r="BQ58" s="19">
        <f>현금흐름취합!BC58</f>
        <v>0</v>
      </c>
      <c r="BR58" s="19">
        <f>현금흐름취합!BD58</f>
        <v>0</v>
      </c>
      <c r="BS58" s="19">
        <f>현금흐름취합!BE58</f>
        <v>0</v>
      </c>
      <c r="BT58" s="19">
        <f>현금흐름취합!BF58</f>
        <v>0</v>
      </c>
      <c r="BU58" s="19">
        <f>현금흐름취합!BG58</f>
        <v>0</v>
      </c>
      <c r="BV58" s="19">
        <f>현금흐름취합!BH58</f>
        <v>0</v>
      </c>
      <c r="BW58" s="19">
        <f>현금흐름취합!BI58</f>
        <v>0</v>
      </c>
      <c r="BX58" s="19">
        <f>현금흐름취합!BJ58</f>
        <v>0</v>
      </c>
      <c r="BY58" s="19">
        <f>현금흐름취합!BK58</f>
        <v>0</v>
      </c>
      <c r="BZ58" s="19">
        <f>현금흐름취합!BL58</f>
        <v>0</v>
      </c>
      <c r="CA58" s="19">
        <f>현금흐름취합!BM58</f>
        <v>0</v>
      </c>
      <c r="CB58" s="19">
        <f>현금흐름취합!BN58</f>
        <v>0</v>
      </c>
      <c r="CC58" s="19">
        <f>현금흐름취합!BO58</f>
        <v>0</v>
      </c>
      <c r="CD58" s="19">
        <f>현금흐름취합!BP58</f>
        <v>0</v>
      </c>
      <c r="CE58" s="19">
        <f>현금흐름취합!BQ58</f>
        <v>0</v>
      </c>
      <c r="CF58" s="19">
        <f>현금흐름취합!BR58</f>
        <v>0</v>
      </c>
      <c r="CG58" s="19">
        <f>현금흐름취합!BS58</f>
        <v>0</v>
      </c>
      <c r="CH58" s="19">
        <f>현금흐름취합!BT58</f>
        <v>0</v>
      </c>
      <c r="CI58" s="19">
        <f>현금흐름취합!BU58</f>
        <v>0</v>
      </c>
      <c r="CJ58" s="19">
        <f>현금흐름취합!BV58</f>
        <v>0</v>
      </c>
      <c r="CK58" s="19">
        <f>현금흐름취합!BW58</f>
        <v>0</v>
      </c>
      <c r="CL58" s="19">
        <f>현금흐름취합!BX58</f>
        <v>0</v>
      </c>
      <c r="CM58" s="19">
        <f>현금흐름취합!BY58</f>
        <v>0</v>
      </c>
      <c r="CN58" s="19">
        <f>현금흐름취합!BZ58</f>
        <v>0</v>
      </c>
      <c r="CO58" s="19">
        <f>현금흐름취합!CA58</f>
        <v>0</v>
      </c>
      <c r="CP58" s="19">
        <f>현금흐름취합!CB58</f>
        <v>0</v>
      </c>
      <c r="CQ58" s="19">
        <f>현금흐름취합!CC58</f>
        <v>0</v>
      </c>
      <c r="CR58" s="19">
        <f>현금흐름취합!CD58</f>
        <v>0</v>
      </c>
      <c r="CS58" s="19">
        <f>현금흐름취합!CE58</f>
        <v>0</v>
      </c>
      <c r="CT58" s="19">
        <f>현금흐름취합!CF58</f>
        <v>0</v>
      </c>
      <c r="CU58" s="19">
        <f>현금흐름취합!CG58</f>
        <v>0</v>
      </c>
      <c r="CV58" s="19">
        <f>현금흐름취합!CH58</f>
        <v>0</v>
      </c>
      <c r="CW58" s="19">
        <f>현금흐름취합!CI58</f>
        <v>0</v>
      </c>
      <c r="CX58" s="19">
        <f>현금흐름취합!CJ58</f>
        <v>0</v>
      </c>
      <c r="CY58" s="19">
        <f>현금흐름취합!CK58</f>
        <v>0</v>
      </c>
      <c r="CZ58" s="19">
        <f>현금흐름취합!CL58</f>
        <v>0</v>
      </c>
      <c r="DA58" s="19">
        <f>현금흐름취합!CM58</f>
        <v>0</v>
      </c>
      <c r="DB58" s="19">
        <f>현금흐름취합!CN58</f>
        <v>0</v>
      </c>
      <c r="DC58" s="19">
        <f>현금흐름취합!CO58</f>
        <v>0</v>
      </c>
      <c r="DD58" s="19">
        <f>현금흐름취합!CP58</f>
        <v>0</v>
      </c>
      <c r="DE58" s="19">
        <f>현금흐름취합!CQ58</f>
        <v>0</v>
      </c>
      <c r="DF58" s="19">
        <f>현금흐름취합!CR58</f>
        <v>0</v>
      </c>
      <c r="DG58" s="19">
        <f>현금흐름취합!CS58</f>
        <v>0</v>
      </c>
      <c r="DH58" s="19">
        <f>현금흐름취합!CT58</f>
        <v>0</v>
      </c>
      <c r="DI58" s="19">
        <f>현금흐름취합!CU58</f>
        <v>0</v>
      </c>
      <c r="DJ58" s="19">
        <f>현금흐름취합!CV58</f>
        <v>0</v>
      </c>
      <c r="DK58" s="19">
        <f>현금흐름취합!CW58</f>
        <v>0</v>
      </c>
      <c r="DL58" s="19">
        <f>현금흐름취합!CX58</f>
        <v>0</v>
      </c>
      <c r="DM58" s="19">
        <f>현금흐름취합!CY58</f>
        <v>0</v>
      </c>
      <c r="DN58" s="19">
        <f>현금흐름취합!CZ58</f>
        <v>0</v>
      </c>
      <c r="DO58" s="19">
        <f>현금흐름취합!DA58</f>
        <v>0</v>
      </c>
      <c r="DP58" s="19">
        <f>현금흐름취합!DB58</f>
        <v>0</v>
      </c>
      <c r="DQ58" s="19">
        <f>현금흐름취합!DC58</f>
        <v>0</v>
      </c>
      <c r="DR58" s="19">
        <f>현금흐름취합!DD58</f>
        <v>0</v>
      </c>
      <c r="DS58" s="19">
        <f>현금흐름취합!DE58</f>
        <v>0</v>
      </c>
      <c r="DT58" s="19">
        <f>현금흐름취합!DF58</f>
        <v>0</v>
      </c>
      <c r="DU58" s="19">
        <f>현금흐름취합!DG58</f>
        <v>0</v>
      </c>
      <c r="DV58" s="19">
        <f>현금흐름취합!DH58</f>
        <v>0</v>
      </c>
      <c r="DW58" s="19">
        <f>현금흐름취합!DI58</f>
        <v>0</v>
      </c>
      <c r="DX58" s="19">
        <f>현금흐름취합!DJ58</f>
        <v>0</v>
      </c>
      <c r="DY58" s="19">
        <f>현금흐름취합!DK58</f>
        <v>0</v>
      </c>
      <c r="DZ58" s="19">
        <f>현금흐름취합!DL58</f>
        <v>0</v>
      </c>
      <c r="EA58" s="19">
        <f>현금흐름취합!DM58</f>
        <v>0</v>
      </c>
      <c r="EB58" s="19">
        <f>현금흐름취합!DN58</f>
        <v>0</v>
      </c>
      <c r="EC58" s="19">
        <f>현금흐름취합!DO58</f>
        <v>0</v>
      </c>
      <c r="ED58" s="19">
        <f>현금흐름취합!DP58</f>
        <v>0</v>
      </c>
      <c r="EE58" s="19">
        <f>현금흐름취합!DQ58</f>
        <v>0</v>
      </c>
      <c r="EF58" s="19">
        <f>현금흐름취합!DR58</f>
        <v>0</v>
      </c>
      <c r="EG58" s="19">
        <f>현금흐름취합!DS58</f>
        <v>0</v>
      </c>
      <c r="EH58" s="19">
        <f>현금흐름취합!DT58</f>
        <v>0</v>
      </c>
      <c r="EI58" s="19">
        <f>현금흐름취합!DU58</f>
        <v>0</v>
      </c>
      <c r="EJ58" s="19">
        <f>현금흐름취합!DV58</f>
        <v>0</v>
      </c>
      <c r="EK58" s="19">
        <f>현금흐름취합!DW58</f>
        <v>0</v>
      </c>
      <c r="EL58" s="19">
        <f>현금흐름취합!DX58</f>
        <v>0</v>
      </c>
      <c r="EM58" s="19">
        <f>현금흐름취합!DY58</f>
        <v>0</v>
      </c>
      <c r="EN58" s="19">
        <f>현금흐름취합!DZ58</f>
        <v>0</v>
      </c>
      <c r="EO58" s="19">
        <f>현금흐름취합!EA58</f>
        <v>0</v>
      </c>
      <c r="EP58" s="19">
        <f>현금흐름취합!EB58</f>
        <v>0</v>
      </c>
      <c r="EQ58" s="19">
        <f>현금흐름취합!EC58</f>
        <v>0</v>
      </c>
      <c r="ER58" s="19">
        <f>현금흐름취합!ED58</f>
        <v>0</v>
      </c>
      <c r="ES58" s="19">
        <f>현금흐름취합!EE58</f>
        <v>0</v>
      </c>
    </row>
    <row r="59" spans="1:149" hidden="1">
      <c r="A59" s="7">
        <f>현금흐름취합!A59</f>
        <v>0</v>
      </c>
      <c r="B59" s="7">
        <f>현금흐름취합!B59</f>
        <v>0</v>
      </c>
      <c r="C59" s="7">
        <f>현금흐름취합!C59</f>
        <v>0</v>
      </c>
      <c r="D59" s="8">
        <f>현금흐름취합!D59</f>
        <v>0</v>
      </c>
      <c r="E59" s="37" t="str">
        <f t="shared" ref="E59" si="45">IF(R58&gt;R59,"역전현상","이상없음")</f>
        <v>이상없음</v>
      </c>
      <c r="F59" s="8">
        <f>현금흐름취합!E59</f>
        <v>0</v>
      </c>
      <c r="G59" s="37" t="str">
        <f t="shared" si="1"/>
        <v>pool 고치세요</v>
      </c>
      <c r="H59" s="9">
        <f>현금흐름취합!F59</f>
        <v>0</v>
      </c>
      <c r="I59" s="10">
        <f>현금흐름취합!G59</f>
        <v>0</v>
      </c>
      <c r="J59" s="39" t="e">
        <f t="shared" si="33"/>
        <v>#DIV/0!</v>
      </c>
      <c r="K59" s="11">
        <f>현금흐름취합!H59</f>
        <v>0</v>
      </c>
      <c r="L59" s="40" t="e">
        <f>VLOOKUP(A59,'Sheet A'!$E$11:$K$60,7,0)=K59</f>
        <v>#N/A</v>
      </c>
      <c r="M59" s="12">
        <f>현금흐름취합!I59</f>
        <v>0</v>
      </c>
      <c r="N59" s="40" t="str">
        <f t="shared" si="34"/>
        <v>검토요</v>
      </c>
      <c r="O59" s="13">
        <f>현금흐름취합!J59</f>
        <v>0</v>
      </c>
      <c r="P59" s="14">
        <f>현금흐름취합!K59</f>
        <v>0</v>
      </c>
      <c r="Q59" s="18">
        <f>현금흐름취합!L59</f>
        <v>0</v>
      </c>
      <c r="R59" s="15">
        <f>현금흐름취합!M59</f>
        <v>0</v>
      </c>
      <c r="S59" s="40" t="e">
        <f t="shared" si="35"/>
        <v>#NUM!</v>
      </c>
      <c r="T59" s="16">
        <f>현금흐름취합!N59</f>
        <v>0</v>
      </c>
      <c r="U59" s="40" t="b">
        <f t="shared" si="36"/>
        <v>1</v>
      </c>
      <c r="V59" s="46">
        <f>SUMIF(일반여신!$E$10:$E$35,검증!A59,일반여신!$O$10:$O$35)*0.985-SUMIF(가지급금!$E$10:$E$180,A59,가지급금!$K$10:$K$180)+SUMIF(가지급금!$E$10:$E$180,검증!A59,가지급금!$O$10:$O$180)*0.985</f>
        <v>0</v>
      </c>
      <c r="W59" s="47">
        <f t="shared" si="37"/>
        <v>0</v>
      </c>
      <c r="X59" s="48"/>
      <c r="Y59" s="49">
        <f>SUMIF('Sheet D'!$E$11:$E$60,A59,'Sheet D'!$P$11:$P$60)</f>
        <v>0</v>
      </c>
      <c r="Z59" s="48">
        <f>SUMIFS(일반여신!$M$10:$M$35,일반여신!$E$10:$E$35,A59,일반여신!$P$10:$P$35,"신옹보증서대위변제")</f>
        <v>0</v>
      </c>
      <c r="AA59" s="48">
        <f t="shared" si="38"/>
        <v>0</v>
      </c>
      <c r="AB59" s="50"/>
      <c r="AC59" s="19">
        <f>현금흐름취합!O59</f>
        <v>0</v>
      </c>
      <c r="AD59" s="19">
        <f>현금흐름취합!P59</f>
        <v>0</v>
      </c>
      <c r="AE59" s="19">
        <f>현금흐름취합!Q59</f>
        <v>0</v>
      </c>
      <c r="AF59" s="19">
        <f>현금흐름취합!R59</f>
        <v>0</v>
      </c>
      <c r="AG59" s="19">
        <f>현금흐름취합!S59</f>
        <v>0</v>
      </c>
      <c r="AH59" s="19">
        <f>현금흐름취합!T59</f>
        <v>0</v>
      </c>
      <c r="AI59" s="19">
        <f>현금흐름취합!U59</f>
        <v>0</v>
      </c>
      <c r="AJ59" s="19">
        <f>현금흐름취합!V59</f>
        <v>0</v>
      </c>
      <c r="AK59" s="19">
        <f>현금흐름취합!W59</f>
        <v>0</v>
      </c>
      <c r="AL59" s="19">
        <f>현금흐름취합!X59</f>
        <v>0</v>
      </c>
      <c r="AM59" s="19">
        <f>현금흐름취합!Y59</f>
        <v>0</v>
      </c>
      <c r="AN59" s="19">
        <f>현금흐름취합!Z59</f>
        <v>0</v>
      </c>
      <c r="AO59" s="19">
        <f>현금흐름취합!AA59</f>
        <v>0</v>
      </c>
      <c r="AP59" s="19">
        <f>현금흐름취합!AB59</f>
        <v>0</v>
      </c>
      <c r="AQ59" s="19">
        <f>현금흐름취합!AC59</f>
        <v>0</v>
      </c>
      <c r="AR59" s="19">
        <f>현금흐름취합!AD59</f>
        <v>0</v>
      </c>
      <c r="AS59" s="19">
        <f>현금흐름취합!AE59</f>
        <v>0</v>
      </c>
      <c r="AT59" s="19">
        <f>현금흐름취합!AF59</f>
        <v>0</v>
      </c>
      <c r="AU59" s="19">
        <f>현금흐름취합!AG59</f>
        <v>0</v>
      </c>
      <c r="AV59" s="19">
        <f>현금흐름취합!AH59</f>
        <v>0</v>
      </c>
      <c r="AW59" s="19">
        <f>현금흐름취합!AI59</f>
        <v>0</v>
      </c>
      <c r="AX59" s="19">
        <f>현금흐름취합!AJ59</f>
        <v>0</v>
      </c>
      <c r="AY59" s="19">
        <f>현금흐름취합!AK59</f>
        <v>0</v>
      </c>
      <c r="AZ59" s="19">
        <f>현금흐름취합!AL59</f>
        <v>0</v>
      </c>
      <c r="BA59" s="19">
        <f>현금흐름취합!AM59</f>
        <v>0</v>
      </c>
      <c r="BB59" s="19">
        <f>현금흐름취합!AN59</f>
        <v>0</v>
      </c>
      <c r="BC59" s="19">
        <f>현금흐름취합!AO59</f>
        <v>0</v>
      </c>
      <c r="BD59" s="19">
        <f>현금흐름취합!AP59</f>
        <v>0</v>
      </c>
      <c r="BE59" s="19">
        <f>현금흐름취합!AQ59</f>
        <v>0</v>
      </c>
      <c r="BF59" s="19">
        <f>현금흐름취합!AR59</f>
        <v>0</v>
      </c>
      <c r="BG59" s="19">
        <f>현금흐름취합!AS59</f>
        <v>0</v>
      </c>
      <c r="BH59" s="19">
        <f>현금흐름취합!AT59</f>
        <v>0</v>
      </c>
      <c r="BI59" s="19">
        <f>현금흐름취합!AU59</f>
        <v>0</v>
      </c>
      <c r="BJ59" s="19">
        <f>현금흐름취합!AV59</f>
        <v>0</v>
      </c>
      <c r="BK59" s="19">
        <f>현금흐름취합!AW59</f>
        <v>0</v>
      </c>
      <c r="BL59" s="19">
        <f>현금흐름취합!AX59</f>
        <v>0</v>
      </c>
      <c r="BM59" s="19">
        <f>현금흐름취합!AY59</f>
        <v>0</v>
      </c>
      <c r="BN59" s="19">
        <f>현금흐름취합!AZ59</f>
        <v>0</v>
      </c>
      <c r="BO59" s="19">
        <f>현금흐름취합!BA59</f>
        <v>0</v>
      </c>
      <c r="BP59" s="19">
        <f>현금흐름취합!BB59</f>
        <v>0</v>
      </c>
      <c r="BQ59" s="19">
        <f>현금흐름취합!BC59</f>
        <v>0</v>
      </c>
      <c r="BR59" s="19">
        <f>현금흐름취합!BD59</f>
        <v>0</v>
      </c>
      <c r="BS59" s="19">
        <f>현금흐름취합!BE59</f>
        <v>0</v>
      </c>
      <c r="BT59" s="19">
        <f>현금흐름취합!BF59</f>
        <v>0</v>
      </c>
      <c r="BU59" s="19">
        <f>현금흐름취합!BG59</f>
        <v>0</v>
      </c>
      <c r="BV59" s="19">
        <f>현금흐름취합!BH59</f>
        <v>0</v>
      </c>
      <c r="BW59" s="19">
        <f>현금흐름취합!BI59</f>
        <v>0</v>
      </c>
      <c r="BX59" s="19">
        <f>현금흐름취합!BJ59</f>
        <v>0</v>
      </c>
      <c r="BY59" s="19">
        <f>현금흐름취합!BK59</f>
        <v>0</v>
      </c>
      <c r="BZ59" s="19">
        <f>현금흐름취합!BL59</f>
        <v>0</v>
      </c>
      <c r="CA59" s="19">
        <f>현금흐름취합!BM59</f>
        <v>0</v>
      </c>
      <c r="CB59" s="19">
        <f>현금흐름취합!BN59</f>
        <v>0</v>
      </c>
      <c r="CC59" s="19">
        <f>현금흐름취합!BO59</f>
        <v>0</v>
      </c>
      <c r="CD59" s="19">
        <f>현금흐름취합!BP59</f>
        <v>0</v>
      </c>
      <c r="CE59" s="19">
        <f>현금흐름취합!BQ59</f>
        <v>0</v>
      </c>
      <c r="CF59" s="19">
        <f>현금흐름취합!BR59</f>
        <v>0</v>
      </c>
      <c r="CG59" s="19">
        <f>현금흐름취합!BS59</f>
        <v>0</v>
      </c>
      <c r="CH59" s="19">
        <f>현금흐름취합!BT59</f>
        <v>0</v>
      </c>
      <c r="CI59" s="19">
        <f>현금흐름취합!BU59</f>
        <v>0</v>
      </c>
      <c r="CJ59" s="19">
        <f>현금흐름취합!BV59</f>
        <v>0</v>
      </c>
      <c r="CK59" s="19">
        <f>현금흐름취합!BW59</f>
        <v>0</v>
      </c>
      <c r="CL59" s="19">
        <f>현금흐름취합!BX59</f>
        <v>0</v>
      </c>
      <c r="CM59" s="19">
        <f>현금흐름취합!BY59</f>
        <v>0</v>
      </c>
      <c r="CN59" s="19">
        <f>현금흐름취합!BZ59</f>
        <v>0</v>
      </c>
      <c r="CO59" s="19">
        <f>현금흐름취합!CA59</f>
        <v>0</v>
      </c>
      <c r="CP59" s="19">
        <f>현금흐름취합!CB59</f>
        <v>0</v>
      </c>
      <c r="CQ59" s="19">
        <f>현금흐름취합!CC59</f>
        <v>0</v>
      </c>
      <c r="CR59" s="19">
        <f>현금흐름취합!CD59</f>
        <v>0</v>
      </c>
      <c r="CS59" s="19">
        <f>현금흐름취합!CE59</f>
        <v>0</v>
      </c>
      <c r="CT59" s="19">
        <f>현금흐름취합!CF59</f>
        <v>0</v>
      </c>
      <c r="CU59" s="19">
        <f>현금흐름취합!CG59</f>
        <v>0</v>
      </c>
      <c r="CV59" s="19">
        <f>현금흐름취합!CH59</f>
        <v>0</v>
      </c>
      <c r="CW59" s="19">
        <f>현금흐름취합!CI59</f>
        <v>0</v>
      </c>
      <c r="CX59" s="19">
        <f>현금흐름취합!CJ59</f>
        <v>0</v>
      </c>
      <c r="CY59" s="19">
        <f>현금흐름취합!CK59</f>
        <v>0</v>
      </c>
      <c r="CZ59" s="19">
        <f>현금흐름취합!CL59</f>
        <v>0</v>
      </c>
      <c r="DA59" s="19">
        <f>현금흐름취합!CM59</f>
        <v>0</v>
      </c>
      <c r="DB59" s="19">
        <f>현금흐름취합!CN59</f>
        <v>0</v>
      </c>
      <c r="DC59" s="19">
        <f>현금흐름취합!CO59</f>
        <v>0</v>
      </c>
      <c r="DD59" s="19">
        <f>현금흐름취합!CP59</f>
        <v>0</v>
      </c>
      <c r="DE59" s="19">
        <f>현금흐름취합!CQ59</f>
        <v>0</v>
      </c>
      <c r="DF59" s="19">
        <f>현금흐름취합!CR59</f>
        <v>0</v>
      </c>
      <c r="DG59" s="19">
        <f>현금흐름취합!CS59</f>
        <v>0</v>
      </c>
      <c r="DH59" s="19">
        <f>현금흐름취합!CT59</f>
        <v>0</v>
      </c>
      <c r="DI59" s="19">
        <f>현금흐름취합!CU59</f>
        <v>0</v>
      </c>
      <c r="DJ59" s="19">
        <f>현금흐름취합!CV59</f>
        <v>0</v>
      </c>
      <c r="DK59" s="19">
        <f>현금흐름취합!CW59</f>
        <v>0</v>
      </c>
      <c r="DL59" s="19">
        <f>현금흐름취합!CX59</f>
        <v>0</v>
      </c>
      <c r="DM59" s="19">
        <f>현금흐름취합!CY59</f>
        <v>0</v>
      </c>
      <c r="DN59" s="19">
        <f>현금흐름취합!CZ59</f>
        <v>0</v>
      </c>
      <c r="DO59" s="19">
        <f>현금흐름취합!DA59</f>
        <v>0</v>
      </c>
      <c r="DP59" s="19">
        <f>현금흐름취합!DB59</f>
        <v>0</v>
      </c>
      <c r="DQ59" s="19">
        <f>현금흐름취합!DC59</f>
        <v>0</v>
      </c>
      <c r="DR59" s="19">
        <f>현금흐름취합!DD59</f>
        <v>0</v>
      </c>
      <c r="DS59" s="19">
        <f>현금흐름취합!DE59</f>
        <v>0</v>
      </c>
      <c r="DT59" s="19">
        <f>현금흐름취합!DF59</f>
        <v>0</v>
      </c>
      <c r="DU59" s="19">
        <f>현금흐름취합!DG59</f>
        <v>0</v>
      </c>
      <c r="DV59" s="19">
        <f>현금흐름취합!DH59</f>
        <v>0</v>
      </c>
      <c r="DW59" s="19">
        <f>현금흐름취합!DI59</f>
        <v>0</v>
      </c>
      <c r="DX59" s="19">
        <f>현금흐름취합!DJ59</f>
        <v>0</v>
      </c>
      <c r="DY59" s="19">
        <f>현금흐름취합!DK59</f>
        <v>0</v>
      </c>
      <c r="DZ59" s="19">
        <f>현금흐름취합!DL59</f>
        <v>0</v>
      </c>
      <c r="EA59" s="19">
        <f>현금흐름취합!DM59</f>
        <v>0</v>
      </c>
      <c r="EB59" s="19">
        <f>현금흐름취합!DN59</f>
        <v>0</v>
      </c>
      <c r="EC59" s="19">
        <f>현금흐름취합!DO59</f>
        <v>0</v>
      </c>
      <c r="ED59" s="19">
        <f>현금흐름취합!DP59</f>
        <v>0</v>
      </c>
      <c r="EE59" s="19">
        <f>현금흐름취합!DQ59</f>
        <v>0</v>
      </c>
      <c r="EF59" s="19">
        <f>현금흐름취합!DR59</f>
        <v>0</v>
      </c>
      <c r="EG59" s="19">
        <f>현금흐름취합!DS59</f>
        <v>0</v>
      </c>
      <c r="EH59" s="19">
        <f>현금흐름취합!DT59</f>
        <v>0</v>
      </c>
      <c r="EI59" s="19">
        <f>현금흐름취합!DU59</f>
        <v>0</v>
      </c>
      <c r="EJ59" s="19">
        <f>현금흐름취합!DV59</f>
        <v>0</v>
      </c>
      <c r="EK59" s="19">
        <f>현금흐름취합!DW59</f>
        <v>0</v>
      </c>
      <c r="EL59" s="19">
        <f>현금흐름취합!DX59</f>
        <v>0</v>
      </c>
      <c r="EM59" s="19">
        <f>현금흐름취합!DY59</f>
        <v>0</v>
      </c>
      <c r="EN59" s="19">
        <f>현금흐름취합!DZ59</f>
        <v>0</v>
      </c>
      <c r="EO59" s="19">
        <f>현금흐름취합!EA59</f>
        <v>0</v>
      </c>
      <c r="EP59" s="19">
        <f>현금흐름취합!EB59</f>
        <v>0</v>
      </c>
      <c r="EQ59" s="19">
        <f>현금흐름취합!EC59</f>
        <v>0</v>
      </c>
      <c r="ER59" s="19">
        <f>현금흐름취합!ED59</f>
        <v>0</v>
      </c>
      <c r="ES59" s="19">
        <f>현금흐름취합!EE59</f>
        <v>0</v>
      </c>
    </row>
    <row r="60" spans="1:149" hidden="1">
      <c r="A60" s="7">
        <f>현금흐름취합!A60</f>
        <v>0</v>
      </c>
      <c r="B60" s="7">
        <f>현금흐름취합!B60</f>
        <v>0</v>
      </c>
      <c r="C60" s="7">
        <f>현금흐름취합!C60</f>
        <v>0</v>
      </c>
      <c r="D60" s="8">
        <f>현금흐름취합!D60</f>
        <v>0</v>
      </c>
      <c r="E60" s="37"/>
      <c r="F60" s="8">
        <f>현금흐름취합!E60</f>
        <v>0</v>
      </c>
      <c r="G60" s="37" t="str">
        <f t="shared" si="1"/>
        <v>pool 고치세요</v>
      </c>
      <c r="H60" s="9">
        <f>현금흐름취합!F60</f>
        <v>0</v>
      </c>
      <c r="I60" s="10">
        <f>현금흐름취합!G60</f>
        <v>0</v>
      </c>
      <c r="J60" s="39" t="e">
        <f t="shared" si="33"/>
        <v>#DIV/0!</v>
      </c>
      <c r="K60" s="11">
        <f>현금흐름취합!H60</f>
        <v>0</v>
      </c>
      <c r="L60" s="40" t="e">
        <f>VLOOKUP(A60,'Sheet A'!$E$11:$K$60,7,0)=K60</f>
        <v>#N/A</v>
      </c>
      <c r="M60" s="12">
        <f>현금흐름취합!I60</f>
        <v>0</v>
      </c>
      <c r="N60" s="40" t="str">
        <f t="shared" si="34"/>
        <v>검토요</v>
      </c>
      <c r="O60" s="13">
        <f>현금흐름취합!J60</f>
        <v>0</v>
      </c>
      <c r="P60" s="14">
        <f>현금흐름취합!K60</f>
        <v>0</v>
      </c>
      <c r="Q60" s="18">
        <f>현금흐름취합!L60</f>
        <v>0</v>
      </c>
      <c r="R60" s="15">
        <f>현금흐름취합!M60</f>
        <v>0</v>
      </c>
      <c r="S60" s="40" t="e">
        <f t="shared" si="35"/>
        <v>#NUM!</v>
      </c>
      <c r="T60" s="16">
        <f>현금흐름취합!N60</f>
        <v>0</v>
      </c>
      <c r="U60" s="40" t="b">
        <f t="shared" si="36"/>
        <v>1</v>
      </c>
      <c r="V60" s="46">
        <f>SUMIF(일반여신!$E$10:$E$35,검증!A60,일반여신!$O$10:$O$35)*0.985-SUMIF(가지급금!$E$10:$E$180,A60,가지급금!$K$10:$K$180)+SUMIF(가지급금!$E$10:$E$180,검증!A60,가지급금!$O$10:$O$180)*0.985</f>
        <v>0</v>
      </c>
      <c r="W60" s="47">
        <f t="shared" si="37"/>
        <v>0</v>
      </c>
      <c r="X60" s="48"/>
      <c r="Y60" s="49">
        <f>SUMIF('Sheet D'!$E$11:$E$60,A60,'Sheet D'!$P$11:$P$60)</f>
        <v>0</v>
      </c>
      <c r="Z60" s="48">
        <f>SUMIFS(일반여신!$M$10:$M$35,일반여신!$E$10:$E$35,A60,일반여신!$P$10:$P$35,"신옹보증서대위변제")</f>
        <v>0</v>
      </c>
      <c r="AA60" s="48">
        <f t="shared" si="38"/>
        <v>0</v>
      </c>
      <c r="AB60" s="50"/>
      <c r="AC60" s="19">
        <f>현금흐름취합!O60</f>
        <v>0</v>
      </c>
      <c r="AD60" s="19">
        <f>현금흐름취합!P60</f>
        <v>0</v>
      </c>
      <c r="AE60" s="19">
        <f>현금흐름취합!Q60</f>
        <v>0</v>
      </c>
      <c r="AF60" s="19">
        <f>현금흐름취합!R60</f>
        <v>0</v>
      </c>
      <c r="AG60" s="19">
        <f>현금흐름취합!S60</f>
        <v>0</v>
      </c>
      <c r="AH60" s="19">
        <f>현금흐름취합!T60</f>
        <v>0</v>
      </c>
      <c r="AI60" s="19">
        <f>현금흐름취합!U60</f>
        <v>0</v>
      </c>
      <c r="AJ60" s="19">
        <f>현금흐름취합!V60</f>
        <v>0</v>
      </c>
      <c r="AK60" s="19">
        <f>현금흐름취합!W60</f>
        <v>0</v>
      </c>
      <c r="AL60" s="19">
        <f>현금흐름취합!X60</f>
        <v>0</v>
      </c>
      <c r="AM60" s="19">
        <f>현금흐름취합!Y60</f>
        <v>0</v>
      </c>
      <c r="AN60" s="19">
        <f>현금흐름취합!Z60</f>
        <v>0</v>
      </c>
      <c r="AO60" s="19">
        <f>현금흐름취합!AA60</f>
        <v>0</v>
      </c>
      <c r="AP60" s="19">
        <f>현금흐름취합!AB60</f>
        <v>0</v>
      </c>
      <c r="AQ60" s="19">
        <f>현금흐름취합!AC60</f>
        <v>0</v>
      </c>
      <c r="AR60" s="19">
        <f>현금흐름취합!AD60</f>
        <v>0</v>
      </c>
      <c r="AS60" s="19">
        <f>현금흐름취합!AE60</f>
        <v>0</v>
      </c>
      <c r="AT60" s="19">
        <f>현금흐름취합!AF60</f>
        <v>0</v>
      </c>
      <c r="AU60" s="19">
        <f>현금흐름취합!AG60</f>
        <v>0</v>
      </c>
      <c r="AV60" s="19">
        <f>현금흐름취합!AH60</f>
        <v>0</v>
      </c>
      <c r="AW60" s="19">
        <f>현금흐름취합!AI60</f>
        <v>0</v>
      </c>
      <c r="AX60" s="19">
        <f>현금흐름취합!AJ60</f>
        <v>0</v>
      </c>
      <c r="AY60" s="19">
        <f>현금흐름취합!AK60</f>
        <v>0</v>
      </c>
      <c r="AZ60" s="19">
        <f>현금흐름취합!AL60</f>
        <v>0</v>
      </c>
      <c r="BA60" s="19">
        <f>현금흐름취합!AM60</f>
        <v>0</v>
      </c>
      <c r="BB60" s="19">
        <f>현금흐름취합!AN60</f>
        <v>0</v>
      </c>
      <c r="BC60" s="19">
        <f>현금흐름취합!AO60</f>
        <v>0</v>
      </c>
      <c r="BD60" s="19">
        <f>현금흐름취합!AP60</f>
        <v>0</v>
      </c>
      <c r="BE60" s="19">
        <f>현금흐름취합!AQ60</f>
        <v>0</v>
      </c>
      <c r="BF60" s="19">
        <f>현금흐름취합!AR60</f>
        <v>0</v>
      </c>
      <c r="BG60" s="19">
        <f>현금흐름취합!AS60</f>
        <v>0</v>
      </c>
      <c r="BH60" s="19">
        <f>현금흐름취합!AT60</f>
        <v>0</v>
      </c>
      <c r="BI60" s="19">
        <f>현금흐름취합!AU60</f>
        <v>0</v>
      </c>
      <c r="BJ60" s="19">
        <f>현금흐름취합!AV60</f>
        <v>0</v>
      </c>
      <c r="BK60" s="19">
        <f>현금흐름취합!AW60</f>
        <v>0</v>
      </c>
      <c r="BL60" s="19">
        <f>현금흐름취합!AX60</f>
        <v>0</v>
      </c>
      <c r="BM60" s="19">
        <f>현금흐름취합!AY60</f>
        <v>0</v>
      </c>
      <c r="BN60" s="19">
        <f>현금흐름취합!AZ60</f>
        <v>0</v>
      </c>
      <c r="BO60" s="19">
        <f>현금흐름취합!BA60</f>
        <v>0</v>
      </c>
      <c r="BP60" s="19">
        <f>현금흐름취합!BB60</f>
        <v>0</v>
      </c>
      <c r="BQ60" s="19">
        <f>현금흐름취합!BC60</f>
        <v>0</v>
      </c>
      <c r="BR60" s="19">
        <f>현금흐름취합!BD60</f>
        <v>0</v>
      </c>
      <c r="BS60" s="19">
        <f>현금흐름취합!BE60</f>
        <v>0</v>
      </c>
      <c r="BT60" s="19">
        <f>현금흐름취합!BF60</f>
        <v>0</v>
      </c>
      <c r="BU60" s="19">
        <f>현금흐름취합!BG60</f>
        <v>0</v>
      </c>
      <c r="BV60" s="19">
        <f>현금흐름취합!BH60</f>
        <v>0</v>
      </c>
      <c r="BW60" s="19">
        <f>현금흐름취합!BI60</f>
        <v>0</v>
      </c>
      <c r="BX60" s="19">
        <f>현금흐름취합!BJ60</f>
        <v>0</v>
      </c>
      <c r="BY60" s="19">
        <f>현금흐름취합!BK60</f>
        <v>0</v>
      </c>
      <c r="BZ60" s="19">
        <f>현금흐름취합!BL60</f>
        <v>0</v>
      </c>
      <c r="CA60" s="19">
        <f>현금흐름취합!BM60</f>
        <v>0</v>
      </c>
      <c r="CB60" s="19">
        <f>현금흐름취합!BN60</f>
        <v>0</v>
      </c>
      <c r="CC60" s="19">
        <f>현금흐름취합!BO60</f>
        <v>0</v>
      </c>
      <c r="CD60" s="19">
        <f>현금흐름취합!BP60</f>
        <v>0</v>
      </c>
      <c r="CE60" s="19">
        <f>현금흐름취합!BQ60</f>
        <v>0</v>
      </c>
      <c r="CF60" s="19">
        <f>현금흐름취합!BR60</f>
        <v>0</v>
      </c>
      <c r="CG60" s="19">
        <f>현금흐름취합!BS60</f>
        <v>0</v>
      </c>
      <c r="CH60" s="19">
        <f>현금흐름취합!BT60</f>
        <v>0</v>
      </c>
      <c r="CI60" s="19">
        <f>현금흐름취합!BU60</f>
        <v>0</v>
      </c>
      <c r="CJ60" s="19">
        <f>현금흐름취합!BV60</f>
        <v>0</v>
      </c>
      <c r="CK60" s="19">
        <f>현금흐름취합!BW60</f>
        <v>0</v>
      </c>
      <c r="CL60" s="19">
        <f>현금흐름취합!BX60</f>
        <v>0</v>
      </c>
      <c r="CM60" s="19">
        <f>현금흐름취합!BY60</f>
        <v>0</v>
      </c>
      <c r="CN60" s="19">
        <f>현금흐름취합!BZ60</f>
        <v>0</v>
      </c>
      <c r="CO60" s="19">
        <f>현금흐름취합!CA60</f>
        <v>0</v>
      </c>
      <c r="CP60" s="19">
        <f>현금흐름취합!CB60</f>
        <v>0</v>
      </c>
      <c r="CQ60" s="19">
        <f>현금흐름취합!CC60</f>
        <v>0</v>
      </c>
      <c r="CR60" s="19">
        <f>현금흐름취합!CD60</f>
        <v>0</v>
      </c>
      <c r="CS60" s="19">
        <f>현금흐름취합!CE60</f>
        <v>0</v>
      </c>
      <c r="CT60" s="19">
        <f>현금흐름취합!CF60</f>
        <v>0</v>
      </c>
      <c r="CU60" s="19">
        <f>현금흐름취합!CG60</f>
        <v>0</v>
      </c>
      <c r="CV60" s="19">
        <f>현금흐름취합!CH60</f>
        <v>0</v>
      </c>
      <c r="CW60" s="19">
        <f>현금흐름취합!CI60</f>
        <v>0</v>
      </c>
      <c r="CX60" s="19">
        <f>현금흐름취합!CJ60</f>
        <v>0</v>
      </c>
      <c r="CY60" s="19">
        <f>현금흐름취합!CK60</f>
        <v>0</v>
      </c>
      <c r="CZ60" s="19">
        <f>현금흐름취합!CL60</f>
        <v>0</v>
      </c>
      <c r="DA60" s="19">
        <f>현금흐름취합!CM60</f>
        <v>0</v>
      </c>
      <c r="DB60" s="19">
        <f>현금흐름취합!CN60</f>
        <v>0</v>
      </c>
      <c r="DC60" s="19">
        <f>현금흐름취합!CO60</f>
        <v>0</v>
      </c>
      <c r="DD60" s="19">
        <f>현금흐름취합!CP60</f>
        <v>0</v>
      </c>
      <c r="DE60" s="19">
        <f>현금흐름취합!CQ60</f>
        <v>0</v>
      </c>
      <c r="DF60" s="19">
        <f>현금흐름취합!CR60</f>
        <v>0</v>
      </c>
      <c r="DG60" s="19">
        <f>현금흐름취합!CS60</f>
        <v>0</v>
      </c>
      <c r="DH60" s="19">
        <f>현금흐름취합!CT60</f>
        <v>0</v>
      </c>
      <c r="DI60" s="19">
        <f>현금흐름취합!CU60</f>
        <v>0</v>
      </c>
      <c r="DJ60" s="19">
        <f>현금흐름취합!CV60</f>
        <v>0</v>
      </c>
      <c r="DK60" s="19">
        <f>현금흐름취합!CW60</f>
        <v>0</v>
      </c>
      <c r="DL60" s="19">
        <f>현금흐름취합!CX60</f>
        <v>0</v>
      </c>
      <c r="DM60" s="19">
        <f>현금흐름취합!CY60</f>
        <v>0</v>
      </c>
      <c r="DN60" s="19">
        <f>현금흐름취합!CZ60</f>
        <v>0</v>
      </c>
      <c r="DO60" s="19">
        <f>현금흐름취합!DA60</f>
        <v>0</v>
      </c>
      <c r="DP60" s="19">
        <f>현금흐름취합!DB60</f>
        <v>0</v>
      </c>
      <c r="DQ60" s="19">
        <f>현금흐름취합!DC60</f>
        <v>0</v>
      </c>
      <c r="DR60" s="19">
        <f>현금흐름취합!DD60</f>
        <v>0</v>
      </c>
      <c r="DS60" s="19">
        <f>현금흐름취합!DE60</f>
        <v>0</v>
      </c>
      <c r="DT60" s="19">
        <f>현금흐름취합!DF60</f>
        <v>0</v>
      </c>
      <c r="DU60" s="19">
        <f>현금흐름취합!DG60</f>
        <v>0</v>
      </c>
      <c r="DV60" s="19">
        <f>현금흐름취합!DH60</f>
        <v>0</v>
      </c>
      <c r="DW60" s="19">
        <f>현금흐름취합!DI60</f>
        <v>0</v>
      </c>
      <c r="DX60" s="19">
        <f>현금흐름취합!DJ60</f>
        <v>0</v>
      </c>
      <c r="DY60" s="19">
        <f>현금흐름취합!DK60</f>
        <v>0</v>
      </c>
      <c r="DZ60" s="19">
        <f>현금흐름취합!DL60</f>
        <v>0</v>
      </c>
      <c r="EA60" s="19">
        <f>현금흐름취합!DM60</f>
        <v>0</v>
      </c>
      <c r="EB60" s="19">
        <f>현금흐름취합!DN60</f>
        <v>0</v>
      </c>
      <c r="EC60" s="19">
        <f>현금흐름취합!DO60</f>
        <v>0</v>
      </c>
      <c r="ED60" s="19">
        <f>현금흐름취합!DP60</f>
        <v>0</v>
      </c>
      <c r="EE60" s="19">
        <f>현금흐름취합!DQ60</f>
        <v>0</v>
      </c>
      <c r="EF60" s="19">
        <f>현금흐름취합!DR60</f>
        <v>0</v>
      </c>
      <c r="EG60" s="19">
        <f>현금흐름취합!DS60</f>
        <v>0</v>
      </c>
      <c r="EH60" s="19">
        <f>현금흐름취합!DT60</f>
        <v>0</v>
      </c>
      <c r="EI60" s="19">
        <f>현금흐름취합!DU60</f>
        <v>0</v>
      </c>
      <c r="EJ60" s="19">
        <f>현금흐름취합!DV60</f>
        <v>0</v>
      </c>
      <c r="EK60" s="19">
        <f>현금흐름취합!DW60</f>
        <v>0</v>
      </c>
      <c r="EL60" s="19">
        <f>현금흐름취합!DX60</f>
        <v>0</v>
      </c>
      <c r="EM60" s="19">
        <f>현금흐름취합!DY60</f>
        <v>0</v>
      </c>
      <c r="EN60" s="19">
        <f>현금흐름취합!DZ60</f>
        <v>0</v>
      </c>
      <c r="EO60" s="19">
        <f>현금흐름취합!EA60</f>
        <v>0</v>
      </c>
      <c r="EP60" s="19">
        <f>현금흐름취합!EB60</f>
        <v>0</v>
      </c>
      <c r="EQ60" s="19">
        <f>현금흐름취합!EC60</f>
        <v>0</v>
      </c>
      <c r="ER60" s="19">
        <f>현금흐름취합!ED60</f>
        <v>0</v>
      </c>
      <c r="ES60" s="19">
        <f>현금흐름취합!EE60</f>
        <v>0</v>
      </c>
    </row>
    <row r="61" spans="1:149" hidden="1">
      <c r="A61" s="7">
        <f>현금흐름취합!A61</f>
        <v>0</v>
      </c>
      <c r="B61" s="7">
        <f>현금흐름취합!B61</f>
        <v>0</v>
      </c>
      <c r="C61" s="7">
        <f>현금흐름취합!C61</f>
        <v>0</v>
      </c>
      <c r="D61" s="8">
        <f>현금흐름취합!D61</f>
        <v>0</v>
      </c>
      <c r="E61" s="37" t="str">
        <f t="shared" ref="E61" si="46">IF(R60&gt;R61,"역전현상","이상없음")</f>
        <v>이상없음</v>
      </c>
      <c r="F61" s="8">
        <f>현금흐름취합!E61</f>
        <v>0</v>
      </c>
      <c r="G61" s="37" t="str">
        <f t="shared" si="1"/>
        <v>pool 고치세요</v>
      </c>
      <c r="H61" s="9">
        <f>현금흐름취합!F61</f>
        <v>0</v>
      </c>
      <c r="I61" s="10">
        <f>현금흐름취합!G61</f>
        <v>0</v>
      </c>
      <c r="J61" s="39" t="e">
        <f t="shared" si="33"/>
        <v>#DIV/0!</v>
      </c>
      <c r="K61" s="11">
        <f>현금흐름취합!H61</f>
        <v>0</v>
      </c>
      <c r="L61" s="40" t="e">
        <f>VLOOKUP(A61,'Sheet A'!$E$11:$K$60,7,0)=K61</f>
        <v>#N/A</v>
      </c>
      <c r="M61" s="12">
        <f>현금흐름취합!I61</f>
        <v>0</v>
      </c>
      <c r="N61" s="40" t="str">
        <f t="shared" si="34"/>
        <v>검토요</v>
      </c>
      <c r="O61" s="13">
        <f>현금흐름취합!J61</f>
        <v>0</v>
      </c>
      <c r="P61" s="14">
        <f>현금흐름취합!K61</f>
        <v>0</v>
      </c>
      <c r="Q61" s="18">
        <f>현금흐름취합!L61</f>
        <v>0</v>
      </c>
      <c r="R61" s="15">
        <f>현금흐름취합!M61</f>
        <v>0</v>
      </c>
      <c r="S61" s="40" t="e">
        <f t="shared" si="35"/>
        <v>#NUM!</v>
      </c>
      <c r="T61" s="16">
        <f>현금흐름취합!N61</f>
        <v>0</v>
      </c>
      <c r="U61" s="40" t="b">
        <f t="shared" si="36"/>
        <v>1</v>
      </c>
      <c r="V61" s="46">
        <f>SUMIF(일반여신!$E$10:$E$35,검증!A61,일반여신!$O$10:$O$35)*0.985-SUMIF(가지급금!$E$10:$E$180,A61,가지급금!$K$10:$K$180)+SUMIF(가지급금!$E$10:$E$180,검증!A61,가지급금!$O$10:$O$180)*0.985</f>
        <v>0</v>
      </c>
      <c r="W61" s="47">
        <f t="shared" si="37"/>
        <v>0</v>
      </c>
      <c r="X61" s="48"/>
      <c r="Y61" s="49">
        <f>SUMIF('Sheet D'!$E$11:$E$60,A61,'Sheet D'!$P$11:$P$60)</f>
        <v>0</v>
      </c>
      <c r="Z61" s="48">
        <f>SUMIFS(일반여신!$M$10:$M$35,일반여신!$E$10:$E$35,A61,일반여신!$P$10:$P$35,"신옹보증서대위변제")</f>
        <v>0</v>
      </c>
      <c r="AA61" s="48">
        <f t="shared" si="38"/>
        <v>0</v>
      </c>
      <c r="AB61" s="50"/>
      <c r="AC61" s="19">
        <f>현금흐름취합!O61</f>
        <v>0</v>
      </c>
      <c r="AD61" s="19">
        <f>현금흐름취합!P61</f>
        <v>0</v>
      </c>
      <c r="AE61" s="19">
        <f>현금흐름취합!Q61</f>
        <v>0</v>
      </c>
      <c r="AF61" s="19">
        <f>현금흐름취합!R61</f>
        <v>0</v>
      </c>
      <c r="AG61" s="19">
        <f>현금흐름취합!S61</f>
        <v>0</v>
      </c>
      <c r="AH61" s="19">
        <f>현금흐름취합!T61</f>
        <v>0</v>
      </c>
      <c r="AI61" s="19">
        <f>현금흐름취합!U61</f>
        <v>0</v>
      </c>
      <c r="AJ61" s="19">
        <f>현금흐름취합!V61</f>
        <v>0</v>
      </c>
      <c r="AK61" s="19">
        <f>현금흐름취합!W61</f>
        <v>0</v>
      </c>
      <c r="AL61" s="19">
        <f>현금흐름취합!X61</f>
        <v>0</v>
      </c>
      <c r="AM61" s="19">
        <f>현금흐름취합!Y61</f>
        <v>0</v>
      </c>
      <c r="AN61" s="19">
        <f>현금흐름취합!Z61</f>
        <v>0</v>
      </c>
      <c r="AO61" s="19">
        <f>현금흐름취합!AA61</f>
        <v>0</v>
      </c>
      <c r="AP61" s="19">
        <f>현금흐름취합!AB61</f>
        <v>0</v>
      </c>
      <c r="AQ61" s="19">
        <f>현금흐름취합!AC61</f>
        <v>0</v>
      </c>
      <c r="AR61" s="19">
        <f>현금흐름취합!AD61</f>
        <v>0</v>
      </c>
      <c r="AS61" s="19">
        <f>현금흐름취합!AE61</f>
        <v>0</v>
      </c>
      <c r="AT61" s="19">
        <f>현금흐름취합!AF61</f>
        <v>0</v>
      </c>
      <c r="AU61" s="19">
        <f>현금흐름취합!AG61</f>
        <v>0</v>
      </c>
      <c r="AV61" s="19">
        <f>현금흐름취합!AH61</f>
        <v>0</v>
      </c>
      <c r="AW61" s="19">
        <f>현금흐름취합!AI61</f>
        <v>0</v>
      </c>
      <c r="AX61" s="19">
        <f>현금흐름취합!AJ61</f>
        <v>0</v>
      </c>
      <c r="AY61" s="19">
        <f>현금흐름취합!AK61</f>
        <v>0</v>
      </c>
      <c r="AZ61" s="19">
        <f>현금흐름취합!AL61</f>
        <v>0</v>
      </c>
      <c r="BA61" s="19">
        <f>현금흐름취합!AM61</f>
        <v>0</v>
      </c>
      <c r="BB61" s="19">
        <f>현금흐름취합!AN61</f>
        <v>0</v>
      </c>
      <c r="BC61" s="19">
        <f>현금흐름취합!AO61</f>
        <v>0</v>
      </c>
      <c r="BD61" s="19">
        <f>현금흐름취합!AP61</f>
        <v>0</v>
      </c>
      <c r="BE61" s="19">
        <f>현금흐름취합!AQ61</f>
        <v>0</v>
      </c>
      <c r="BF61" s="19">
        <f>현금흐름취합!AR61</f>
        <v>0</v>
      </c>
      <c r="BG61" s="19">
        <f>현금흐름취합!AS61</f>
        <v>0</v>
      </c>
      <c r="BH61" s="19">
        <f>현금흐름취합!AT61</f>
        <v>0</v>
      </c>
      <c r="BI61" s="19">
        <f>현금흐름취합!AU61</f>
        <v>0</v>
      </c>
      <c r="BJ61" s="19">
        <f>현금흐름취합!AV61</f>
        <v>0</v>
      </c>
      <c r="BK61" s="19">
        <f>현금흐름취합!AW61</f>
        <v>0</v>
      </c>
      <c r="BL61" s="19">
        <f>현금흐름취합!AX61</f>
        <v>0</v>
      </c>
      <c r="BM61" s="19">
        <f>현금흐름취합!AY61</f>
        <v>0</v>
      </c>
      <c r="BN61" s="19">
        <f>현금흐름취합!AZ61</f>
        <v>0</v>
      </c>
      <c r="BO61" s="19">
        <f>현금흐름취합!BA61</f>
        <v>0</v>
      </c>
      <c r="BP61" s="19">
        <f>현금흐름취합!BB61</f>
        <v>0</v>
      </c>
      <c r="BQ61" s="19">
        <f>현금흐름취합!BC61</f>
        <v>0</v>
      </c>
      <c r="BR61" s="19">
        <f>현금흐름취합!BD61</f>
        <v>0</v>
      </c>
      <c r="BS61" s="19">
        <f>현금흐름취합!BE61</f>
        <v>0</v>
      </c>
      <c r="BT61" s="19">
        <f>현금흐름취합!BF61</f>
        <v>0</v>
      </c>
      <c r="BU61" s="19">
        <f>현금흐름취합!BG61</f>
        <v>0</v>
      </c>
      <c r="BV61" s="19">
        <f>현금흐름취합!BH61</f>
        <v>0</v>
      </c>
      <c r="BW61" s="19">
        <f>현금흐름취합!BI61</f>
        <v>0</v>
      </c>
      <c r="BX61" s="19">
        <f>현금흐름취합!BJ61</f>
        <v>0</v>
      </c>
      <c r="BY61" s="19">
        <f>현금흐름취합!BK61</f>
        <v>0</v>
      </c>
      <c r="BZ61" s="19">
        <f>현금흐름취합!BL61</f>
        <v>0</v>
      </c>
      <c r="CA61" s="19">
        <f>현금흐름취합!BM61</f>
        <v>0</v>
      </c>
      <c r="CB61" s="19">
        <f>현금흐름취합!BN61</f>
        <v>0</v>
      </c>
      <c r="CC61" s="19">
        <f>현금흐름취합!BO61</f>
        <v>0</v>
      </c>
      <c r="CD61" s="19">
        <f>현금흐름취합!BP61</f>
        <v>0</v>
      </c>
      <c r="CE61" s="19">
        <f>현금흐름취합!BQ61</f>
        <v>0</v>
      </c>
      <c r="CF61" s="19">
        <f>현금흐름취합!BR61</f>
        <v>0</v>
      </c>
      <c r="CG61" s="19">
        <f>현금흐름취합!BS61</f>
        <v>0</v>
      </c>
      <c r="CH61" s="19">
        <f>현금흐름취합!BT61</f>
        <v>0</v>
      </c>
      <c r="CI61" s="19">
        <f>현금흐름취합!BU61</f>
        <v>0</v>
      </c>
      <c r="CJ61" s="19">
        <f>현금흐름취합!BV61</f>
        <v>0</v>
      </c>
      <c r="CK61" s="19">
        <f>현금흐름취합!BW61</f>
        <v>0</v>
      </c>
      <c r="CL61" s="19">
        <f>현금흐름취합!BX61</f>
        <v>0</v>
      </c>
      <c r="CM61" s="19">
        <f>현금흐름취합!BY61</f>
        <v>0</v>
      </c>
      <c r="CN61" s="19">
        <f>현금흐름취합!BZ61</f>
        <v>0</v>
      </c>
      <c r="CO61" s="19">
        <f>현금흐름취합!CA61</f>
        <v>0</v>
      </c>
      <c r="CP61" s="19">
        <f>현금흐름취합!CB61</f>
        <v>0</v>
      </c>
      <c r="CQ61" s="19">
        <f>현금흐름취합!CC61</f>
        <v>0</v>
      </c>
      <c r="CR61" s="19">
        <f>현금흐름취합!CD61</f>
        <v>0</v>
      </c>
      <c r="CS61" s="19">
        <f>현금흐름취합!CE61</f>
        <v>0</v>
      </c>
      <c r="CT61" s="19">
        <f>현금흐름취합!CF61</f>
        <v>0</v>
      </c>
      <c r="CU61" s="19">
        <f>현금흐름취합!CG61</f>
        <v>0</v>
      </c>
      <c r="CV61" s="19">
        <f>현금흐름취합!CH61</f>
        <v>0</v>
      </c>
      <c r="CW61" s="19">
        <f>현금흐름취합!CI61</f>
        <v>0</v>
      </c>
      <c r="CX61" s="19">
        <f>현금흐름취합!CJ61</f>
        <v>0</v>
      </c>
      <c r="CY61" s="19">
        <f>현금흐름취합!CK61</f>
        <v>0</v>
      </c>
      <c r="CZ61" s="19">
        <f>현금흐름취합!CL61</f>
        <v>0</v>
      </c>
      <c r="DA61" s="19">
        <f>현금흐름취합!CM61</f>
        <v>0</v>
      </c>
      <c r="DB61" s="19">
        <f>현금흐름취합!CN61</f>
        <v>0</v>
      </c>
      <c r="DC61" s="19">
        <f>현금흐름취합!CO61</f>
        <v>0</v>
      </c>
      <c r="DD61" s="19">
        <f>현금흐름취합!CP61</f>
        <v>0</v>
      </c>
      <c r="DE61" s="19">
        <f>현금흐름취합!CQ61</f>
        <v>0</v>
      </c>
      <c r="DF61" s="19">
        <f>현금흐름취합!CR61</f>
        <v>0</v>
      </c>
      <c r="DG61" s="19">
        <f>현금흐름취합!CS61</f>
        <v>0</v>
      </c>
      <c r="DH61" s="19">
        <f>현금흐름취합!CT61</f>
        <v>0</v>
      </c>
      <c r="DI61" s="19">
        <f>현금흐름취합!CU61</f>
        <v>0</v>
      </c>
      <c r="DJ61" s="19">
        <f>현금흐름취합!CV61</f>
        <v>0</v>
      </c>
      <c r="DK61" s="19">
        <f>현금흐름취합!CW61</f>
        <v>0</v>
      </c>
      <c r="DL61" s="19">
        <f>현금흐름취합!CX61</f>
        <v>0</v>
      </c>
      <c r="DM61" s="19">
        <f>현금흐름취합!CY61</f>
        <v>0</v>
      </c>
      <c r="DN61" s="19">
        <f>현금흐름취합!CZ61</f>
        <v>0</v>
      </c>
      <c r="DO61" s="19">
        <f>현금흐름취합!DA61</f>
        <v>0</v>
      </c>
      <c r="DP61" s="19">
        <f>현금흐름취합!DB61</f>
        <v>0</v>
      </c>
      <c r="DQ61" s="19">
        <f>현금흐름취합!DC61</f>
        <v>0</v>
      </c>
      <c r="DR61" s="19">
        <f>현금흐름취합!DD61</f>
        <v>0</v>
      </c>
      <c r="DS61" s="19">
        <f>현금흐름취합!DE61</f>
        <v>0</v>
      </c>
      <c r="DT61" s="19">
        <f>현금흐름취합!DF61</f>
        <v>0</v>
      </c>
      <c r="DU61" s="19">
        <f>현금흐름취합!DG61</f>
        <v>0</v>
      </c>
      <c r="DV61" s="19">
        <f>현금흐름취합!DH61</f>
        <v>0</v>
      </c>
      <c r="DW61" s="19">
        <f>현금흐름취합!DI61</f>
        <v>0</v>
      </c>
      <c r="DX61" s="19">
        <f>현금흐름취합!DJ61</f>
        <v>0</v>
      </c>
      <c r="DY61" s="19">
        <f>현금흐름취합!DK61</f>
        <v>0</v>
      </c>
      <c r="DZ61" s="19">
        <f>현금흐름취합!DL61</f>
        <v>0</v>
      </c>
      <c r="EA61" s="19">
        <f>현금흐름취합!DM61</f>
        <v>0</v>
      </c>
      <c r="EB61" s="19">
        <f>현금흐름취합!DN61</f>
        <v>0</v>
      </c>
      <c r="EC61" s="19">
        <f>현금흐름취합!DO61</f>
        <v>0</v>
      </c>
      <c r="ED61" s="19">
        <f>현금흐름취합!DP61</f>
        <v>0</v>
      </c>
      <c r="EE61" s="19">
        <f>현금흐름취합!DQ61</f>
        <v>0</v>
      </c>
      <c r="EF61" s="19">
        <f>현금흐름취합!DR61</f>
        <v>0</v>
      </c>
      <c r="EG61" s="19">
        <f>현금흐름취합!DS61</f>
        <v>0</v>
      </c>
      <c r="EH61" s="19">
        <f>현금흐름취합!DT61</f>
        <v>0</v>
      </c>
      <c r="EI61" s="19">
        <f>현금흐름취합!DU61</f>
        <v>0</v>
      </c>
      <c r="EJ61" s="19">
        <f>현금흐름취합!DV61</f>
        <v>0</v>
      </c>
      <c r="EK61" s="19">
        <f>현금흐름취합!DW61</f>
        <v>0</v>
      </c>
      <c r="EL61" s="19">
        <f>현금흐름취합!DX61</f>
        <v>0</v>
      </c>
      <c r="EM61" s="19">
        <f>현금흐름취합!DY61</f>
        <v>0</v>
      </c>
      <c r="EN61" s="19">
        <f>현금흐름취합!DZ61</f>
        <v>0</v>
      </c>
      <c r="EO61" s="19">
        <f>현금흐름취합!EA61</f>
        <v>0</v>
      </c>
      <c r="EP61" s="19">
        <f>현금흐름취합!EB61</f>
        <v>0</v>
      </c>
      <c r="EQ61" s="19">
        <f>현금흐름취합!EC61</f>
        <v>0</v>
      </c>
      <c r="ER61" s="19">
        <f>현금흐름취합!ED61</f>
        <v>0</v>
      </c>
      <c r="ES61" s="19">
        <f>현금흐름취합!EE61</f>
        <v>0</v>
      </c>
    </row>
    <row r="62" spans="1:149" hidden="1">
      <c r="A62" s="7">
        <f>현금흐름취합!A62</f>
        <v>0</v>
      </c>
      <c r="B62" s="7">
        <f>현금흐름취합!B62</f>
        <v>0</v>
      </c>
      <c r="C62" s="7">
        <f>현금흐름취합!C62</f>
        <v>0</v>
      </c>
      <c r="D62" s="8">
        <f>현금흐름취합!D62</f>
        <v>0</v>
      </c>
      <c r="E62" s="37"/>
      <c r="F62" s="8">
        <f>현금흐름취합!E62</f>
        <v>0</v>
      </c>
      <c r="G62" s="37" t="str">
        <f t="shared" si="1"/>
        <v>pool 고치세요</v>
      </c>
      <c r="H62" s="9">
        <f>현금흐름취합!F62</f>
        <v>0</v>
      </c>
      <c r="I62" s="10">
        <f>현금흐름취합!G62</f>
        <v>0</v>
      </c>
      <c r="J62" s="39" t="e">
        <f t="shared" si="33"/>
        <v>#DIV/0!</v>
      </c>
      <c r="K62" s="11">
        <f>현금흐름취합!H62</f>
        <v>0</v>
      </c>
      <c r="L62" s="40" t="e">
        <f>VLOOKUP(A62,'Sheet A'!$E$11:$K$60,7,0)=K62</f>
        <v>#N/A</v>
      </c>
      <c r="M62" s="12">
        <f>현금흐름취합!I62</f>
        <v>0</v>
      </c>
      <c r="N62" s="40" t="str">
        <f t="shared" si="34"/>
        <v>검토요</v>
      </c>
      <c r="O62" s="13">
        <f>현금흐름취합!J62</f>
        <v>0</v>
      </c>
      <c r="P62" s="14">
        <f>현금흐름취합!K62</f>
        <v>0</v>
      </c>
      <c r="Q62" s="18">
        <f>현금흐름취합!L62</f>
        <v>0</v>
      </c>
      <c r="R62" s="15">
        <f>현금흐름취합!M62</f>
        <v>0</v>
      </c>
      <c r="S62" s="40" t="e">
        <f t="shared" si="35"/>
        <v>#NUM!</v>
      </c>
      <c r="T62" s="16">
        <f>현금흐름취합!N62</f>
        <v>0</v>
      </c>
      <c r="U62" s="40" t="b">
        <f t="shared" si="36"/>
        <v>1</v>
      </c>
      <c r="V62" s="46">
        <f>SUMIF(일반여신!$E$10:$E$35,검증!A62,일반여신!$O$10:$O$35)*0.985-SUMIF(가지급금!$E$10:$E$180,A62,가지급금!$K$10:$K$180)+SUMIF(가지급금!$E$10:$E$180,검증!A62,가지급금!$O$10:$O$180)*0.985</f>
        <v>0</v>
      </c>
      <c r="W62" s="47">
        <f t="shared" si="37"/>
        <v>0</v>
      </c>
      <c r="X62" s="48"/>
      <c r="Y62" s="49">
        <f>SUMIF('Sheet D'!$E$11:$E$60,A62,'Sheet D'!$P$11:$P$60)</f>
        <v>0</v>
      </c>
      <c r="Z62" s="48">
        <f>SUMIFS(일반여신!$M$10:$M$35,일반여신!$E$10:$E$35,A62,일반여신!$P$10:$P$35,"신옹보증서대위변제")</f>
        <v>0</v>
      </c>
      <c r="AA62" s="48">
        <f t="shared" si="38"/>
        <v>0</v>
      </c>
      <c r="AB62" s="50"/>
      <c r="AC62" s="19">
        <f>현금흐름취합!O62</f>
        <v>0</v>
      </c>
      <c r="AD62" s="19">
        <f>현금흐름취합!P62</f>
        <v>0</v>
      </c>
      <c r="AE62" s="19">
        <f>현금흐름취합!Q62</f>
        <v>0</v>
      </c>
      <c r="AF62" s="19">
        <f>현금흐름취합!R62</f>
        <v>0</v>
      </c>
      <c r="AG62" s="19">
        <f>현금흐름취합!S62</f>
        <v>0</v>
      </c>
      <c r="AH62" s="19">
        <f>현금흐름취합!T62</f>
        <v>0</v>
      </c>
      <c r="AI62" s="19">
        <f>현금흐름취합!U62</f>
        <v>0</v>
      </c>
      <c r="AJ62" s="19">
        <f>현금흐름취합!V62</f>
        <v>0</v>
      </c>
      <c r="AK62" s="19">
        <f>현금흐름취합!W62</f>
        <v>0</v>
      </c>
      <c r="AL62" s="19">
        <f>현금흐름취합!X62</f>
        <v>0</v>
      </c>
      <c r="AM62" s="19">
        <f>현금흐름취합!Y62</f>
        <v>0</v>
      </c>
      <c r="AN62" s="19">
        <f>현금흐름취합!Z62</f>
        <v>0</v>
      </c>
      <c r="AO62" s="19">
        <f>현금흐름취합!AA62</f>
        <v>0</v>
      </c>
      <c r="AP62" s="19">
        <f>현금흐름취합!AB62</f>
        <v>0</v>
      </c>
      <c r="AQ62" s="19">
        <f>현금흐름취합!AC62</f>
        <v>0</v>
      </c>
      <c r="AR62" s="19">
        <f>현금흐름취합!AD62</f>
        <v>0</v>
      </c>
      <c r="AS62" s="19">
        <f>현금흐름취합!AE62</f>
        <v>0</v>
      </c>
      <c r="AT62" s="19">
        <f>현금흐름취합!AF62</f>
        <v>0</v>
      </c>
      <c r="AU62" s="19">
        <f>현금흐름취합!AG62</f>
        <v>0</v>
      </c>
      <c r="AV62" s="19">
        <f>현금흐름취합!AH62</f>
        <v>0</v>
      </c>
      <c r="AW62" s="19">
        <f>현금흐름취합!AI62</f>
        <v>0</v>
      </c>
      <c r="AX62" s="19">
        <f>현금흐름취합!AJ62</f>
        <v>0</v>
      </c>
      <c r="AY62" s="19">
        <f>현금흐름취합!AK62</f>
        <v>0</v>
      </c>
      <c r="AZ62" s="19">
        <f>현금흐름취합!AL62</f>
        <v>0</v>
      </c>
      <c r="BA62" s="19">
        <f>현금흐름취합!AM62</f>
        <v>0</v>
      </c>
      <c r="BB62" s="19">
        <f>현금흐름취합!AN62</f>
        <v>0</v>
      </c>
      <c r="BC62" s="19">
        <f>현금흐름취합!AO62</f>
        <v>0</v>
      </c>
      <c r="BD62" s="19">
        <f>현금흐름취합!AP62</f>
        <v>0</v>
      </c>
      <c r="BE62" s="19">
        <f>현금흐름취합!AQ62</f>
        <v>0</v>
      </c>
      <c r="BF62" s="19">
        <f>현금흐름취합!AR62</f>
        <v>0</v>
      </c>
      <c r="BG62" s="19">
        <f>현금흐름취합!AS62</f>
        <v>0</v>
      </c>
      <c r="BH62" s="19">
        <f>현금흐름취합!AT62</f>
        <v>0</v>
      </c>
      <c r="BI62" s="19">
        <f>현금흐름취합!AU62</f>
        <v>0</v>
      </c>
      <c r="BJ62" s="19">
        <f>현금흐름취합!AV62</f>
        <v>0</v>
      </c>
      <c r="BK62" s="19">
        <f>현금흐름취합!AW62</f>
        <v>0</v>
      </c>
      <c r="BL62" s="19">
        <f>현금흐름취합!AX62</f>
        <v>0</v>
      </c>
      <c r="BM62" s="19">
        <f>현금흐름취합!AY62</f>
        <v>0</v>
      </c>
      <c r="BN62" s="19">
        <f>현금흐름취합!AZ62</f>
        <v>0</v>
      </c>
      <c r="BO62" s="19">
        <f>현금흐름취합!BA62</f>
        <v>0</v>
      </c>
      <c r="BP62" s="19">
        <f>현금흐름취합!BB62</f>
        <v>0</v>
      </c>
      <c r="BQ62" s="19">
        <f>현금흐름취합!BC62</f>
        <v>0</v>
      </c>
      <c r="BR62" s="19">
        <f>현금흐름취합!BD62</f>
        <v>0</v>
      </c>
      <c r="BS62" s="19">
        <f>현금흐름취합!BE62</f>
        <v>0</v>
      </c>
      <c r="BT62" s="19">
        <f>현금흐름취합!BF62</f>
        <v>0</v>
      </c>
      <c r="BU62" s="19">
        <f>현금흐름취합!BG62</f>
        <v>0</v>
      </c>
      <c r="BV62" s="19">
        <f>현금흐름취합!BH62</f>
        <v>0</v>
      </c>
      <c r="BW62" s="19">
        <f>현금흐름취합!BI62</f>
        <v>0</v>
      </c>
      <c r="BX62" s="19">
        <f>현금흐름취합!BJ62</f>
        <v>0</v>
      </c>
      <c r="BY62" s="19">
        <f>현금흐름취합!BK62</f>
        <v>0</v>
      </c>
      <c r="BZ62" s="19">
        <f>현금흐름취합!BL62</f>
        <v>0</v>
      </c>
      <c r="CA62" s="19">
        <f>현금흐름취합!BM62</f>
        <v>0</v>
      </c>
      <c r="CB62" s="19">
        <f>현금흐름취합!BN62</f>
        <v>0</v>
      </c>
      <c r="CC62" s="19">
        <f>현금흐름취합!BO62</f>
        <v>0</v>
      </c>
      <c r="CD62" s="19">
        <f>현금흐름취합!BP62</f>
        <v>0</v>
      </c>
      <c r="CE62" s="19">
        <f>현금흐름취합!BQ62</f>
        <v>0</v>
      </c>
      <c r="CF62" s="19">
        <f>현금흐름취합!BR62</f>
        <v>0</v>
      </c>
      <c r="CG62" s="19">
        <f>현금흐름취합!BS62</f>
        <v>0</v>
      </c>
      <c r="CH62" s="19">
        <f>현금흐름취합!BT62</f>
        <v>0</v>
      </c>
      <c r="CI62" s="19">
        <f>현금흐름취합!BU62</f>
        <v>0</v>
      </c>
      <c r="CJ62" s="19">
        <f>현금흐름취합!BV62</f>
        <v>0</v>
      </c>
      <c r="CK62" s="19">
        <f>현금흐름취합!BW62</f>
        <v>0</v>
      </c>
      <c r="CL62" s="19">
        <f>현금흐름취합!BX62</f>
        <v>0</v>
      </c>
      <c r="CM62" s="19">
        <f>현금흐름취합!BY62</f>
        <v>0</v>
      </c>
      <c r="CN62" s="19">
        <f>현금흐름취합!BZ62</f>
        <v>0</v>
      </c>
      <c r="CO62" s="19">
        <f>현금흐름취합!CA62</f>
        <v>0</v>
      </c>
      <c r="CP62" s="19">
        <f>현금흐름취합!CB62</f>
        <v>0</v>
      </c>
      <c r="CQ62" s="19">
        <f>현금흐름취합!CC62</f>
        <v>0</v>
      </c>
      <c r="CR62" s="19">
        <f>현금흐름취합!CD62</f>
        <v>0</v>
      </c>
      <c r="CS62" s="19">
        <f>현금흐름취합!CE62</f>
        <v>0</v>
      </c>
      <c r="CT62" s="19">
        <f>현금흐름취합!CF62</f>
        <v>0</v>
      </c>
      <c r="CU62" s="19">
        <f>현금흐름취합!CG62</f>
        <v>0</v>
      </c>
      <c r="CV62" s="19">
        <f>현금흐름취합!CH62</f>
        <v>0</v>
      </c>
      <c r="CW62" s="19">
        <f>현금흐름취합!CI62</f>
        <v>0</v>
      </c>
      <c r="CX62" s="19">
        <f>현금흐름취합!CJ62</f>
        <v>0</v>
      </c>
      <c r="CY62" s="19">
        <f>현금흐름취합!CK62</f>
        <v>0</v>
      </c>
      <c r="CZ62" s="19">
        <f>현금흐름취합!CL62</f>
        <v>0</v>
      </c>
      <c r="DA62" s="19">
        <f>현금흐름취합!CM62</f>
        <v>0</v>
      </c>
      <c r="DB62" s="19">
        <f>현금흐름취합!CN62</f>
        <v>0</v>
      </c>
      <c r="DC62" s="19">
        <f>현금흐름취합!CO62</f>
        <v>0</v>
      </c>
      <c r="DD62" s="19">
        <f>현금흐름취합!CP62</f>
        <v>0</v>
      </c>
      <c r="DE62" s="19">
        <f>현금흐름취합!CQ62</f>
        <v>0</v>
      </c>
      <c r="DF62" s="19">
        <f>현금흐름취합!CR62</f>
        <v>0</v>
      </c>
      <c r="DG62" s="19">
        <f>현금흐름취합!CS62</f>
        <v>0</v>
      </c>
      <c r="DH62" s="19">
        <f>현금흐름취합!CT62</f>
        <v>0</v>
      </c>
      <c r="DI62" s="19">
        <f>현금흐름취합!CU62</f>
        <v>0</v>
      </c>
      <c r="DJ62" s="19">
        <f>현금흐름취합!CV62</f>
        <v>0</v>
      </c>
      <c r="DK62" s="19">
        <f>현금흐름취합!CW62</f>
        <v>0</v>
      </c>
      <c r="DL62" s="19">
        <f>현금흐름취합!CX62</f>
        <v>0</v>
      </c>
      <c r="DM62" s="19">
        <f>현금흐름취합!CY62</f>
        <v>0</v>
      </c>
      <c r="DN62" s="19">
        <f>현금흐름취합!CZ62</f>
        <v>0</v>
      </c>
      <c r="DO62" s="19">
        <f>현금흐름취합!DA62</f>
        <v>0</v>
      </c>
      <c r="DP62" s="19">
        <f>현금흐름취합!DB62</f>
        <v>0</v>
      </c>
      <c r="DQ62" s="19">
        <f>현금흐름취합!DC62</f>
        <v>0</v>
      </c>
      <c r="DR62" s="19">
        <f>현금흐름취합!DD62</f>
        <v>0</v>
      </c>
      <c r="DS62" s="19">
        <f>현금흐름취합!DE62</f>
        <v>0</v>
      </c>
      <c r="DT62" s="19">
        <f>현금흐름취합!DF62</f>
        <v>0</v>
      </c>
      <c r="DU62" s="19">
        <f>현금흐름취합!DG62</f>
        <v>0</v>
      </c>
      <c r="DV62" s="19">
        <f>현금흐름취합!DH62</f>
        <v>0</v>
      </c>
      <c r="DW62" s="19">
        <f>현금흐름취합!DI62</f>
        <v>0</v>
      </c>
      <c r="DX62" s="19">
        <f>현금흐름취합!DJ62</f>
        <v>0</v>
      </c>
      <c r="DY62" s="19">
        <f>현금흐름취합!DK62</f>
        <v>0</v>
      </c>
      <c r="DZ62" s="19">
        <f>현금흐름취합!DL62</f>
        <v>0</v>
      </c>
      <c r="EA62" s="19">
        <f>현금흐름취합!DM62</f>
        <v>0</v>
      </c>
      <c r="EB62" s="19">
        <f>현금흐름취합!DN62</f>
        <v>0</v>
      </c>
      <c r="EC62" s="19">
        <f>현금흐름취합!DO62</f>
        <v>0</v>
      </c>
      <c r="ED62" s="19">
        <f>현금흐름취합!DP62</f>
        <v>0</v>
      </c>
      <c r="EE62" s="19">
        <f>현금흐름취합!DQ62</f>
        <v>0</v>
      </c>
      <c r="EF62" s="19">
        <f>현금흐름취합!DR62</f>
        <v>0</v>
      </c>
      <c r="EG62" s="19">
        <f>현금흐름취합!DS62</f>
        <v>0</v>
      </c>
      <c r="EH62" s="19">
        <f>현금흐름취합!DT62</f>
        <v>0</v>
      </c>
      <c r="EI62" s="19">
        <f>현금흐름취합!DU62</f>
        <v>0</v>
      </c>
      <c r="EJ62" s="19">
        <f>현금흐름취합!DV62</f>
        <v>0</v>
      </c>
      <c r="EK62" s="19">
        <f>현금흐름취합!DW62</f>
        <v>0</v>
      </c>
      <c r="EL62" s="19">
        <f>현금흐름취합!DX62</f>
        <v>0</v>
      </c>
      <c r="EM62" s="19">
        <f>현금흐름취합!DY62</f>
        <v>0</v>
      </c>
      <c r="EN62" s="19">
        <f>현금흐름취합!DZ62</f>
        <v>0</v>
      </c>
      <c r="EO62" s="19">
        <f>현금흐름취합!EA62</f>
        <v>0</v>
      </c>
      <c r="EP62" s="19">
        <f>현금흐름취합!EB62</f>
        <v>0</v>
      </c>
      <c r="EQ62" s="19">
        <f>현금흐름취합!EC62</f>
        <v>0</v>
      </c>
      <c r="ER62" s="19">
        <f>현금흐름취합!ED62</f>
        <v>0</v>
      </c>
      <c r="ES62" s="19">
        <f>현금흐름취합!EE62</f>
        <v>0</v>
      </c>
    </row>
    <row r="63" spans="1:149" hidden="1">
      <c r="A63" s="7">
        <f>현금흐름취합!A63</f>
        <v>0</v>
      </c>
      <c r="B63" s="7">
        <f>현금흐름취합!B63</f>
        <v>0</v>
      </c>
      <c r="C63" s="7">
        <f>현금흐름취합!C63</f>
        <v>0</v>
      </c>
      <c r="D63" s="8">
        <f>현금흐름취합!D63</f>
        <v>0</v>
      </c>
      <c r="E63" s="37" t="str">
        <f t="shared" ref="E63" si="47">IF(R62&gt;R63,"역전현상","이상없음")</f>
        <v>이상없음</v>
      </c>
      <c r="F63" s="8">
        <f>현금흐름취합!E63</f>
        <v>0</v>
      </c>
      <c r="G63" s="37" t="str">
        <f t="shared" si="1"/>
        <v>pool 고치세요</v>
      </c>
      <c r="H63" s="9">
        <f>현금흐름취합!F63</f>
        <v>0</v>
      </c>
      <c r="I63" s="10">
        <f>현금흐름취합!G63</f>
        <v>0</v>
      </c>
      <c r="J63" s="39" t="e">
        <f t="shared" si="33"/>
        <v>#DIV/0!</v>
      </c>
      <c r="K63" s="11">
        <f>현금흐름취합!H63</f>
        <v>0</v>
      </c>
      <c r="L63" s="40" t="e">
        <f>VLOOKUP(A63,'Sheet A'!$E$11:$K$60,7,0)=K63</f>
        <v>#N/A</v>
      </c>
      <c r="M63" s="12">
        <f>현금흐름취합!I63</f>
        <v>0</v>
      </c>
      <c r="N63" s="40" t="str">
        <f t="shared" si="34"/>
        <v>검토요</v>
      </c>
      <c r="O63" s="13">
        <f>현금흐름취합!J63</f>
        <v>0</v>
      </c>
      <c r="P63" s="14">
        <f>현금흐름취합!K63</f>
        <v>0</v>
      </c>
      <c r="Q63" s="18">
        <f>현금흐름취합!L63</f>
        <v>0</v>
      </c>
      <c r="R63" s="15">
        <f>현금흐름취합!M63</f>
        <v>0</v>
      </c>
      <c r="S63" s="40" t="e">
        <f t="shared" si="35"/>
        <v>#NUM!</v>
      </c>
      <c r="T63" s="16">
        <f>현금흐름취합!N63</f>
        <v>0</v>
      </c>
      <c r="U63" s="40" t="b">
        <f t="shared" si="36"/>
        <v>1</v>
      </c>
      <c r="V63" s="46">
        <f>SUMIF(일반여신!$E$10:$E$35,검증!A63,일반여신!$O$10:$O$35)*0.985-SUMIF(가지급금!$E$10:$E$180,A63,가지급금!$K$10:$K$180)+SUMIF(가지급금!$E$10:$E$180,검증!A63,가지급금!$O$10:$O$180)*0.985</f>
        <v>0</v>
      </c>
      <c r="W63" s="47">
        <f t="shared" si="37"/>
        <v>0</v>
      </c>
      <c r="X63" s="48"/>
      <c r="Y63" s="49">
        <f>SUMIF('Sheet D'!$E$11:$E$60,A63,'Sheet D'!$P$11:$P$60)</f>
        <v>0</v>
      </c>
      <c r="Z63" s="48">
        <f>SUMIFS(일반여신!$M$10:$M$35,일반여신!$E$10:$E$35,A63,일반여신!$P$10:$P$35,"신옹보증서대위변제")</f>
        <v>0</v>
      </c>
      <c r="AA63" s="48">
        <f t="shared" si="38"/>
        <v>0</v>
      </c>
      <c r="AB63" s="50"/>
      <c r="AC63" s="19">
        <f>현금흐름취합!O63</f>
        <v>0</v>
      </c>
      <c r="AD63" s="19">
        <f>현금흐름취합!P63</f>
        <v>0</v>
      </c>
      <c r="AE63" s="19">
        <f>현금흐름취합!Q63</f>
        <v>0</v>
      </c>
      <c r="AF63" s="19">
        <f>현금흐름취합!R63</f>
        <v>0</v>
      </c>
      <c r="AG63" s="19">
        <f>현금흐름취합!S63</f>
        <v>0</v>
      </c>
      <c r="AH63" s="19">
        <f>현금흐름취합!T63</f>
        <v>0</v>
      </c>
      <c r="AI63" s="19">
        <f>현금흐름취합!U63</f>
        <v>0</v>
      </c>
      <c r="AJ63" s="19">
        <f>현금흐름취합!V63</f>
        <v>0</v>
      </c>
      <c r="AK63" s="19">
        <f>현금흐름취합!W63</f>
        <v>0</v>
      </c>
      <c r="AL63" s="19">
        <f>현금흐름취합!X63</f>
        <v>0</v>
      </c>
      <c r="AM63" s="19">
        <f>현금흐름취합!Y63</f>
        <v>0</v>
      </c>
      <c r="AN63" s="19">
        <f>현금흐름취합!Z63</f>
        <v>0</v>
      </c>
      <c r="AO63" s="19">
        <f>현금흐름취합!AA63</f>
        <v>0</v>
      </c>
      <c r="AP63" s="19">
        <f>현금흐름취합!AB63</f>
        <v>0</v>
      </c>
      <c r="AQ63" s="19">
        <f>현금흐름취합!AC63</f>
        <v>0</v>
      </c>
      <c r="AR63" s="19">
        <f>현금흐름취합!AD63</f>
        <v>0</v>
      </c>
      <c r="AS63" s="19">
        <f>현금흐름취합!AE63</f>
        <v>0</v>
      </c>
      <c r="AT63" s="19">
        <f>현금흐름취합!AF63</f>
        <v>0</v>
      </c>
      <c r="AU63" s="19">
        <f>현금흐름취합!AG63</f>
        <v>0</v>
      </c>
      <c r="AV63" s="19">
        <f>현금흐름취합!AH63</f>
        <v>0</v>
      </c>
      <c r="AW63" s="19">
        <f>현금흐름취합!AI63</f>
        <v>0</v>
      </c>
      <c r="AX63" s="19">
        <f>현금흐름취합!AJ63</f>
        <v>0</v>
      </c>
      <c r="AY63" s="19">
        <f>현금흐름취합!AK63</f>
        <v>0</v>
      </c>
      <c r="AZ63" s="19">
        <f>현금흐름취합!AL63</f>
        <v>0</v>
      </c>
      <c r="BA63" s="19">
        <f>현금흐름취합!AM63</f>
        <v>0</v>
      </c>
      <c r="BB63" s="19">
        <f>현금흐름취합!AN63</f>
        <v>0</v>
      </c>
      <c r="BC63" s="19">
        <f>현금흐름취합!AO63</f>
        <v>0</v>
      </c>
      <c r="BD63" s="19">
        <f>현금흐름취합!AP63</f>
        <v>0</v>
      </c>
      <c r="BE63" s="19">
        <f>현금흐름취합!AQ63</f>
        <v>0</v>
      </c>
      <c r="BF63" s="19">
        <f>현금흐름취합!AR63</f>
        <v>0</v>
      </c>
      <c r="BG63" s="19">
        <f>현금흐름취합!AS63</f>
        <v>0</v>
      </c>
      <c r="BH63" s="19">
        <f>현금흐름취합!AT63</f>
        <v>0</v>
      </c>
      <c r="BI63" s="19">
        <f>현금흐름취합!AU63</f>
        <v>0</v>
      </c>
      <c r="BJ63" s="19">
        <f>현금흐름취합!AV63</f>
        <v>0</v>
      </c>
      <c r="BK63" s="19">
        <f>현금흐름취합!AW63</f>
        <v>0</v>
      </c>
      <c r="BL63" s="19">
        <f>현금흐름취합!AX63</f>
        <v>0</v>
      </c>
      <c r="BM63" s="19">
        <f>현금흐름취합!AY63</f>
        <v>0</v>
      </c>
      <c r="BN63" s="19">
        <f>현금흐름취합!AZ63</f>
        <v>0</v>
      </c>
      <c r="BO63" s="19">
        <f>현금흐름취합!BA63</f>
        <v>0</v>
      </c>
      <c r="BP63" s="19">
        <f>현금흐름취합!BB63</f>
        <v>0</v>
      </c>
      <c r="BQ63" s="19">
        <f>현금흐름취합!BC63</f>
        <v>0</v>
      </c>
      <c r="BR63" s="19">
        <f>현금흐름취합!BD63</f>
        <v>0</v>
      </c>
      <c r="BS63" s="19">
        <f>현금흐름취합!BE63</f>
        <v>0</v>
      </c>
      <c r="BT63" s="19">
        <f>현금흐름취합!BF63</f>
        <v>0</v>
      </c>
      <c r="BU63" s="19">
        <f>현금흐름취합!BG63</f>
        <v>0</v>
      </c>
      <c r="BV63" s="19">
        <f>현금흐름취합!BH63</f>
        <v>0</v>
      </c>
      <c r="BW63" s="19">
        <f>현금흐름취합!BI63</f>
        <v>0</v>
      </c>
      <c r="BX63" s="19">
        <f>현금흐름취합!BJ63</f>
        <v>0</v>
      </c>
      <c r="BY63" s="19">
        <f>현금흐름취합!BK63</f>
        <v>0</v>
      </c>
      <c r="BZ63" s="19">
        <f>현금흐름취합!BL63</f>
        <v>0</v>
      </c>
      <c r="CA63" s="19">
        <f>현금흐름취합!BM63</f>
        <v>0</v>
      </c>
      <c r="CB63" s="19">
        <f>현금흐름취합!BN63</f>
        <v>0</v>
      </c>
      <c r="CC63" s="19">
        <f>현금흐름취합!BO63</f>
        <v>0</v>
      </c>
      <c r="CD63" s="19">
        <f>현금흐름취합!BP63</f>
        <v>0</v>
      </c>
      <c r="CE63" s="19">
        <f>현금흐름취합!BQ63</f>
        <v>0</v>
      </c>
      <c r="CF63" s="19">
        <f>현금흐름취합!BR63</f>
        <v>0</v>
      </c>
      <c r="CG63" s="19">
        <f>현금흐름취합!BS63</f>
        <v>0</v>
      </c>
      <c r="CH63" s="19">
        <f>현금흐름취합!BT63</f>
        <v>0</v>
      </c>
      <c r="CI63" s="19">
        <f>현금흐름취합!BU63</f>
        <v>0</v>
      </c>
      <c r="CJ63" s="19">
        <f>현금흐름취합!BV63</f>
        <v>0</v>
      </c>
      <c r="CK63" s="19">
        <f>현금흐름취합!BW63</f>
        <v>0</v>
      </c>
      <c r="CL63" s="19">
        <f>현금흐름취합!BX63</f>
        <v>0</v>
      </c>
      <c r="CM63" s="19">
        <f>현금흐름취합!BY63</f>
        <v>0</v>
      </c>
      <c r="CN63" s="19">
        <f>현금흐름취합!BZ63</f>
        <v>0</v>
      </c>
      <c r="CO63" s="19">
        <f>현금흐름취합!CA63</f>
        <v>0</v>
      </c>
      <c r="CP63" s="19">
        <f>현금흐름취합!CB63</f>
        <v>0</v>
      </c>
      <c r="CQ63" s="19">
        <f>현금흐름취합!CC63</f>
        <v>0</v>
      </c>
      <c r="CR63" s="19">
        <f>현금흐름취합!CD63</f>
        <v>0</v>
      </c>
      <c r="CS63" s="19">
        <f>현금흐름취합!CE63</f>
        <v>0</v>
      </c>
      <c r="CT63" s="19">
        <f>현금흐름취합!CF63</f>
        <v>0</v>
      </c>
      <c r="CU63" s="19">
        <f>현금흐름취합!CG63</f>
        <v>0</v>
      </c>
      <c r="CV63" s="19">
        <f>현금흐름취합!CH63</f>
        <v>0</v>
      </c>
      <c r="CW63" s="19">
        <f>현금흐름취합!CI63</f>
        <v>0</v>
      </c>
      <c r="CX63" s="19">
        <f>현금흐름취합!CJ63</f>
        <v>0</v>
      </c>
      <c r="CY63" s="19">
        <f>현금흐름취합!CK63</f>
        <v>0</v>
      </c>
      <c r="CZ63" s="19">
        <f>현금흐름취합!CL63</f>
        <v>0</v>
      </c>
      <c r="DA63" s="19">
        <f>현금흐름취합!CM63</f>
        <v>0</v>
      </c>
      <c r="DB63" s="19">
        <f>현금흐름취합!CN63</f>
        <v>0</v>
      </c>
      <c r="DC63" s="19">
        <f>현금흐름취합!CO63</f>
        <v>0</v>
      </c>
      <c r="DD63" s="19">
        <f>현금흐름취합!CP63</f>
        <v>0</v>
      </c>
      <c r="DE63" s="19">
        <f>현금흐름취합!CQ63</f>
        <v>0</v>
      </c>
      <c r="DF63" s="19">
        <f>현금흐름취합!CR63</f>
        <v>0</v>
      </c>
      <c r="DG63" s="19">
        <f>현금흐름취합!CS63</f>
        <v>0</v>
      </c>
      <c r="DH63" s="19">
        <f>현금흐름취합!CT63</f>
        <v>0</v>
      </c>
      <c r="DI63" s="19">
        <f>현금흐름취합!CU63</f>
        <v>0</v>
      </c>
      <c r="DJ63" s="19">
        <f>현금흐름취합!CV63</f>
        <v>0</v>
      </c>
      <c r="DK63" s="19">
        <f>현금흐름취합!CW63</f>
        <v>0</v>
      </c>
      <c r="DL63" s="19">
        <f>현금흐름취합!CX63</f>
        <v>0</v>
      </c>
      <c r="DM63" s="19">
        <f>현금흐름취합!CY63</f>
        <v>0</v>
      </c>
      <c r="DN63" s="19">
        <f>현금흐름취합!CZ63</f>
        <v>0</v>
      </c>
      <c r="DO63" s="19">
        <f>현금흐름취합!DA63</f>
        <v>0</v>
      </c>
      <c r="DP63" s="19">
        <f>현금흐름취합!DB63</f>
        <v>0</v>
      </c>
      <c r="DQ63" s="19">
        <f>현금흐름취합!DC63</f>
        <v>0</v>
      </c>
      <c r="DR63" s="19">
        <f>현금흐름취합!DD63</f>
        <v>0</v>
      </c>
      <c r="DS63" s="19">
        <f>현금흐름취합!DE63</f>
        <v>0</v>
      </c>
      <c r="DT63" s="19">
        <f>현금흐름취합!DF63</f>
        <v>0</v>
      </c>
      <c r="DU63" s="19">
        <f>현금흐름취합!DG63</f>
        <v>0</v>
      </c>
      <c r="DV63" s="19">
        <f>현금흐름취합!DH63</f>
        <v>0</v>
      </c>
      <c r="DW63" s="19">
        <f>현금흐름취합!DI63</f>
        <v>0</v>
      </c>
      <c r="DX63" s="19">
        <f>현금흐름취합!DJ63</f>
        <v>0</v>
      </c>
      <c r="DY63" s="19">
        <f>현금흐름취합!DK63</f>
        <v>0</v>
      </c>
      <c r="DZ63" s="19">
        <f>현금흐름취합!DL63</f>
        <v>0</v>
      </c>
      <c r="EA63" s="19">
        <f>현금흐름취합!DM63</f>
        <v>0</v>
      </c>
      <c r="EB63" s="19">
        <f>현금흐름취합!DN63</f>
        <v>0</v>
      </c>
      <c r="EC63" s="19">
        <f>현금흐름취합!DO63</f>
        <v>0</v>
      </c>
      <c r="ED63" s="19">
        <f>현금흐름취합!DP63</f>
        <v>0</v>
      </c>
      <c r="EE63" s="19">
        <f>현금흐름취합!DQ63</f>
        <v>0</v>
      </c>
      <c r="EF63" s="19">
        <f>현금흐름취합!DR63</f>
        <v>0</v>
      </c>
      <c r="EG63" s="19">
        <f>현금흐름취합!DS63</f>
        <v>0</v>
      </c>
      <c r="EH63" s="19">
        <f>현금흐름취합!DT63</f>
        <v>0</v>
      </c>
      <c r="EI63" s="19">
        <f>현금흐름취합!DU63</f>
        <v>0</v>
      </c>
      <c r="EJ63" s="19">
        <f>현금흐름취합!DV63</f>
        <v>0</v>
      </c>
      <c r="EK63" s="19">
        <f>현금흐름취합!DW63</f>
        <v>0</v>
      </c>
      <c r="EL63" s="19">
        <f>현금흐름취합!DX63</f>
        <v>0</v>
      </c>
      <c r="EM63" s="19">
        <f>현금흐름취합!DY63</f>
        <v>0</v>
      </c>
      <c r="EN63" s="19">
        <f>현금흐름취합!DZ63</f>
        <v>0</v>
      </c>
      <c r="EO63" s="19">
        <f>현금흐름취합!EA63</f>
        <v>0</v>
      </c>
      <c r="EP63" s="19">
        <f>현금흐름취합!EB63</f>
        <v>0</v>
      </c>
      <c r="EQ63" s="19">
        <f>현금흐름취합!EC63</f>
        <v>0</v>
      </c>
      <c r="ER63" s="19">
        <f>현금흐름취합!ED63</f>
        <v>0</v>
      </c>
      <c r="ES63" s="19">
        <f>현금흐름취합!EE63</f>
        <v>0</v>
      </c>
    </row>
    <row r="64" spans="1:149" hidden="1">
      <c r="A64" s="7">
        <f>현금흐름취합!A64</f>
        <v>0</v>
      </c>
      <c r="B64" s="7">
        <f>현금흐름취합!B64</f>
        <v>0</v>
      </c>
      <c r="C64" s="7">
        <f>현금흐름취합!C64</f>
        <v>0</v>
      </c>
      <c r="D64" s="8">
        <f>현금흐름취합!D64</f>
        <v>0</v>
      </c>
      <c r="E64" s="37"/>
      <c r="F64" s="8">
        <f>현금흐름취합!E64</f>
        <v>0</v>
      </c>
      <c r="G64" s="37" t="str">
        <f t="shared" si="1"/>
        <v>pool 고치세요</v>
      </c>
      <c r="H64" s="9">
        <f>현금흐름취합!F64</f>
        <v>0</v>
      </c>
      <c r="I64" s="10">
        <f>현금흐름취합!G64</f>
        <v>0</v>
      </c>
      <c r="J64" s="39" t="e">
        <f t="shared" si="33"/>
        <v>#DIV/0!</v>
      </c>
      <c r="K64" s="11">
        <f>현금흐름취합!H64</f>
        <v>0</v>
      </c>
      <c r="L64" s="40" t="e">
        <f>VLOOKUP(A64,'Sheet A'!$E$11:$K$60,7,0)=K64</f>
        <v>#N/A</v>
      </c>
      <c r="M64" s="12">
        <f>현금흐름취합!I64</f>
        <v>0</v>
      </c>
      <c r="N64" s="40" t="str">
        <f t="shared" si="34"/>
        <v>검토요</v>
      </c>
      <c r="O64" s="13">
        <f>현금흐름취합!J64</f>
        <v>0</v>
      </c>
      <c r="P64" s="14">
        <f>현금흐름취합!K64</f>
        <v>0</v>
      </c>
      <c r="Q64" s="18">
        <f>현금흐름취합!L64</f>
        <v>0</v>
      </c>
      <c r="R64" s="15">
        <f>현금흐름취합!M64</f>
        <v>0</v>
      </c>
      <c r="S64" s="40" t="e">
        <f t="shared" si="35"/>
        <v>#NUM!</v>
      </c>
      <c r="T64" s="16">
        <f>현금흐름취합!N64</f>
        <v>0</v>
      </c>
      <c r="U64" s="40" t="b">
        <f t="shared" si="36"/>
        <v>1</v>
      </c>
      <c r="V64" s="46">
        <f>SUMIF(일반여신!$E$10:$E$35,검증!A64,일반여신!$O$10:$O$35)*0.985-SUMIF(가지급금!$E$10:$E$180,A64,가지급금!$K$10:$K$180)+SUMIF(가지급금!$E$10:$E$180,검증!A64,가지급금!$O$10:$O$180)*0.985</f>
        <v>0</v>
      </c>
      <c r="W64" s="47">
        <f t="shared" si="37"/>
        <v>0</v>
      </c>
      <c r="X64" s="48"/>
      <c r="Y64" s="49">
        <f>SUMIF('Sheet D'!$E$11:$E$60,A64,'Sheet D'!$P$11:$P$60)</f>
        <v>0</v>
      </c>
      <c r="Z64" s="48">
        <f>SUMIFS(일반여신!$M$10:$M$35,일반여신!$E$10:$E$35,A64,일반여신!$P$10:$P$35,"신옹보증서대위변제")</f>
        <v>0</v>
      </c>
      <c r="AA64" s="48">
        <f t="shared" si="38"/>
        <v>0</v>
      </c>
      <c r="AB64" s="50"/>
      <c r="AC64" s="19">
        <f>현금흐름취합!O64</f>
        <v>0</v>
      </c>
      <c r="AD64" s="19">
        <f>현금흐름취합!P64</f>
        <v>0</v>
      </c>
      <c r="AE64" s="19">
        <f>현금흐름취합!Q64</f>
        <v>0</v>
      </c>
      <c r="AF64" s="19">
        <f>현금흐름취합!R64</f>
        <v>0</v>
      </c>
      <c r="AG64" s="19">
        <f>현금흐름취합!S64</f>
        <v>0</v>
      </c>
      <c r="AH64" s="19">
        <f>현금흐름취합!T64</f>
        <v>0</v>
      </c>
      <c r="AI64" s="19">
        <f>현금흐름취합!U64</f>
        <v>0</v>
      </c>
      <c r="AJ64" s="19">
        <f>현금흐름취합!V64</f>
        <v>0</v>
      </c>
      <c r="AK64" s="19">
        <f>현금흐름취합!W64</f>
        <v>0</v>
      </c>
      <c r="AL64" s="19">
        <f>현금흐름취합!X64</f>
        <v>0</v>
      </c>
      <c r="AM64" s="19">
        <f>현금흐름취합!Y64</f>
        <v>0</v>
      </c>
      <c r="AN64" s="19">
        <f>현금흐름취합!Z64</f>
        <v>0</v>
      </c>
      <c r="AO64" s="19">
        <f>현금흐름취합!AA64</f>
        <v>0</v>
      </c>
      <c r="AP64" s="19">
        <f>현금흐름취합!AB64</f>
        <v>0</v>
      </c>
      <c r="AQ64" s="19">
        <f>현금흐름취합!AC64</f>
        <v>0</v>
      </c>
      <c r="AR64" s="19">
        <f>현금흐름취합!AD64</f>
        <v>0</v>
      </c>
      <c r="AS64" s="19">
        <f>현금흐름취합!AE64</f>
        <v>0</v>
      </c>
      <c r="AT64" s="19">
        <f>현금흐름취합!AF64</f>
        <v>0</v>
      </c>
      <c r="AU64" s="19">
        <f>현금흐름취합!AG64</f>
        <v>0</v>
      </c>
      <c r="AV64" s="19">
        <f>현금흐름취합!AH64</f>
        <v>0</v>
      </c>
      <c r="AW64" s="19">
        <f>현금흐름취합!AI64</f>
        <v>0</v>
      </c>
      <c r="AX64" s="19">
        <f>현금흐름취합!AJ64</f>
        <v>0</v>
      </c>
      <c r="AY64" s="19">
        <f>현금흐름취합!AK64</f>
        <v>0</v>
      </c>
      <c r="AZ64" s="19">
        <f>현금흐름취합!AL64</f>
        <v>0</v>
      </c>
      <c r="BA64" s="19">
        <f>현금흐름취합!AM64</f>
        <v>0</v>
      </c>
      <c r="BB64" s="19">
        <f>현금흐름취합!AN64</f>
        <v>0</v>
      </c>
      <c r="BC64" s="19">
        <f>현금흐름취합!AO64</f>
        <v>0</v>
      </c>
      <c r="BD64" s="19">
        <f>현금흐름취합!AP64</f>
        <v>0</v>
      </c>
      <c r="BE64" s="19">
        <f>현금흐름취합!AQ64</f>
        <v>0</v>
      </c>
      <c r="BF64" s="19">
        <f>현금흐름취합!AR64</f>
        <v>0</v>
      </c>
      <c r="BG64" s="19">
        <f>현금흐름취합!AS64</f>
        <v>0</v>
      </c>
      <c r="BH64" s="19">
        <f>현금흐름취합!AT64</f>
        <v>0</v>
      </c>
      <c r="BI64" s="19">
        <f>현금흐름취합!AU64</f>
        <v>0</v>
      </c>
      <c r="BJ64" s="19">
        <f>현금흐름취합!AV64</f>
        <v>0</v>
      </c>
      <c r="BK64" s="19">
        <f>현금흐름취합!AW64</f>
        <v>0</v>
      </c>
      <c r="BL64" s="19">
        <f>현금흐름취합!AX64</f>
        <v>0</v>
      </c>
      <c r="BM64" s="19">
        <f>현금흐름취합!AY64</f>
        <v>0</v>
      </c>
      <c r="BN64" s="19">
        <f>현금흐름취합!AZ64</f>
        <v>0</v>
      </c>
      <c r="BO64" s="19">
        <f>현금흐름취합!BA64</f>
        <v>0</v>
      </c>
      <c r="BP64" s="19">
        <f>현금흐름취합!BB64</f>
        <v>0</v>
      </c>
      <c r="BQ64" s="19">
        <f>현금흐름취합!BC64</f>
        <v>0</v>
      </c>
      <c r="BR64" s="19">
        <f>현금흐름취합!BD64</f>
        <v>0</v>
      </c>
      <c r="BS64" s="19">
        <f>현금흐름취합!BE64</f>
        <v>0</v>
      </c>
      <c r="BT64" s="19">
        <f>현금흐름취합!BF64</f>
        <v>0</v>
      </c>
      <c r="BU64" s="19">
        <f>현금흐름취합!BG64</f>
        <v>0</v>
      </c>
      <c r="BV64" s="19">
        <f>현금흐름취합!BH64</f>
        <v>0</v>
      </c>
      <c r="BW64" s="19">
        <f>현금흐름취합!BI64</f>
        <v>0</v>
      </c>
      <c r="BX64" s="19">
        <f>현금흐름취합!BJ64</f>
        <v>0</v>
      </c>
      <c r="BY64" s="19">
        <f>현금흐름취합!BK64</f>
        <v>0</v>
      </c>
      <c r="BZ64" s="19">
        <f>현금흐름취합!BL64</f>
        <v>0</v>
      </c>
      <c r="CA64" s="19">
        <f>현금흐름취합!BM64</f>
        <v>0</v>
      </c>
      <c r="CB64" s="19">
        <f>현금흐름취합!BN64</f>
        <v>0</v>
      </c>
      <c r="CC64" s="19">
        <f>현금흐름취합!BO64</f>
        <v>0</v>
      </c>
      <c r="CD64" s="19">
        <f>현금흐름취합!BP64</f>
        <v>0</v>
      </c>
      <c r="CE64" s="19">
        <f>현금흐름취합!BQ64</f>
        <v>0</v>
      </c>
      <c r="CF64" s="19">
        <f>현금흐름취합!BR64</f>
        <v>0</v>
      </c>
      <c r="CG64" s="19">
        <f>현금흐름취합!BS64</f>
        <v>0</v>
      </c>
      <c r="CH64" s="19">
        <f>현금흐름취합!BT64</f>
        <v>0</v>
      </c>
      <c r="CI64" s="19">
        <f>현금흐름취합!BU64</f>
        <v>0</v>
      </c>
      <c r="CJ64" s="19">
        <f>현금흐름취합!BV64</f>
        <v>0</v>
      </c>
      <c r="CK64" s="19">
        <f>현금흐름취합!BW64</f>
        <v>0</v>
      </c>
      <c r="CL64" s="19">
        <f>현금흐름취합!BX64</f>
        <v>0</v>
      </c>
      <c r="CM64" s="19">
        <f>현금흐름취합!BY64</f>
        <v>0</v>
      </c>
      <c r="CN64" s="19">
        <f>현금흐름취합!BZ64</f>
        <v>0</v>
      </c>
      <c r="CO64" s="19">
        <f>현금흐름취합!CA64</f>
        <v>0</v>
      </c>
      <c r="CP64" s="19">
        <f>현금흐름취합!CB64</f>
        <v>0</v>
      </c>
      <c r="CQ64" s="19">
        <f>현금흐름취합!CC64</f>
        <v>0</v>
      </c>
      <c r="CR64" s="19">
        <f>현금흐름취합!CD64</f>
        <v>0</v>
      </c>
      <c r="CS64" s="19">
        <f>현금흐름취합!CE64</f>
        <v>0</v>
      </c>
      <c r="CT64" s="19">
        <f>현금흐름취합!CF64</f>
        <v>0</v>
      </c>
      <c r="CU64" s="19">
        <f>현금흐름취합!CG64</f>
        <v>0</v>
      </c>
      <c r="CV64" s="19">
        <f>현금흐름취합!CH64</f>
        <v>0</v>
      </c>
      <c r="CW64" s="19">
        <f>현금흐름취합!CI64</f>
        <v>0</v>
      </c>
      <c r="CX64" s="19">
        <f>현금흐름취합!CJ64</f>
        <v>0</v>
      </c>
      <c r="CY64" s="19">
        <f>현금흐름취합!CK64</f>
        <v>0</v>
      </c>
      <c r="CZ64" s="19">
        <f>현금흐름취합!CL64</f>
        <v>0</v>
      </c>
      <c r="DA64" s="19">
        <f>현금흐름취합!CM64</f>
        <v>0</v>
      </c>
      <c r="DB64" s="19">
        <f>현금흐름취합!CN64</f>
        <v>0</v>
      </c>
      <c r="DC64" s="19">
        <f>현금흐름취합!CO64</f>
        <v>0</v>
      </c>
      <c r="DD64" s="19">
        <f>현금흐름취합!CP64</f>
        <v>0</v>
      </c>
      <c r="DE64" s="19">
        <f>현금흐름취합!CQ64</f>
        <v>0</v>
      </c>
      <c r="DF64" s="19">
        <f>현금흐름취합!CR64</f>
        <v>0</v>
      </c>
      <c r="DG64" s="19">
        <f>현금흐름취합!CS64</f>
        <v>0</v>
      </c>
      <c r="DH64" s="19">
        <f>현금흐름취합!CT64</f>
        <v>0</v>
      </c>
      <c r="DI64" s="19">
        <f>현금흐름취합!CU64</f>
        <v>0</v>
      </c>
      <c r="DJ64" s="19">
        <f>현금흐름취합!CV64</f>
        <v>0</v>
      </c>
      <c r="DK64" s="19">
        <f>현금흐름취합!CW64</f>
        <v>0</v>
      </c>
      <c r="DL64" s="19">
        <f>현금흐름취합!CX64</f>
        <v>0</v>
      </c>
      <c r="DM64" s="19">
        <f>현금흐름취합!CY64</f>
        <v>0</v>
      </c>
      <c r="DN64" s="19">
        <f>현금흐름취합!CZ64</f>
        <v>0</v>
      </c>
      <c r="DO64" s="19">
        <f>현금흐름취합!DA64</f>
        <v>0</v>
      </c>
      <c r="DP64" s="19">
        <f>현금흐름취합!DB64</f>
        <v>0</v>
      </c>
      <c r="DQ64" s="19">
        <f>현금흐름취합!DC64</f>
        <v>0</v>
      </c>
      <c r="DR64" s="19">
        <f>현금흐름취합!DD64</f>
        <v>0</v>
      </c>
      <c r="DS64" s="19">
        <f>현금흐름취합!DE64</f>
        <v>0</v>
      </c>
      <c r="DT64" s="19">
        <f>현금흐름취합!DF64</f>
        <v>0</v>
      </c>
      <c r="DU64" s="19">
        <f>현금흐름취합!DG64</f>
        <v>0</v>
      </c>
      <c r="DV64" s="19">
        <f>현금흐름취합!DH64</f>
        <v>0</v>
      </c>
      <c r="DW64" s="19">
        <f>현금흐름취합!DI64</f>
        <v>0</v>
      </c>
      <c r="DX64" s="19">
        <f>현금흐름취합!DJ64</f>
        <v>0</v>
      </c>
      <c r="DY64" s="19">
        <f>현금흐름취합!DK64</f>
        <v>0</v>
      </c>
      <c r="DZ64" s="19">
        <f>현금흐름취합!DL64</f>
        <v>0</v>
      </c>
      <c r="EA64" s="19">
        <f>현금흐름취합!DM64</f>
        <v>0</v>
      </c>
      <c r="EB64" s="19">
        <f>현금흐름취합!DN64</f>
        <v>0</v>
      </c>
      <c r="EC64" s="19">
        <f>현금흐름취합!DO64</f>
        <v>0</v>
      </c>
      <c r="ED64" s="19">
        <f>현금흐름취합!DP64</f>
        <v>0</v>
      </c>
      <c r="EE64" s="19">
        <f>현금흐름취합!DQ64</f>
        <v>0</v>
      </c>
      <c r="EF64" s="19">
        <f>현금흐름취합!DR64</f>
        <v>0</v>
      </c>
      <c r="EG64" s="19">
        <f>현금흐름취합!DS64</f>
        <v>0</v>
      </c>
      <c r="EH64" s="19">
        <f>현금흐름취합!DT64</f>
        <v>0</v>
      </c>
      <c r="EI64" s="19">
        <f>현금흐름취합!DU64</f>
        <v>0</v>
      </c>
      <c r="EJ64" s="19">
        <f>현금흐름취합!DV64</f>
        <v>0</v>
      </c>
      <c r="EK64" s="19">
        <f>현금흐름취합!DW64</f>
        <v>0</v>
      </c>
      <c r="EL64" s="19">
        <f>현금흐름취합!DX64</f>
        <v>0</v>
      </c>
      <c r="EM64" s="19">
        <f>현금흐름취합!DY64</f>
        <v>0</v>
      </c>
      <c r="EN64" s="19">
        <f>현금흐름취합!DZ64</f>
        <v>0</v>
      </c>
      <c r="EO64" s="19">
        <f>현금흐름취합!EA64</f>
        <v>0</v>
      </c>
      <c r="EP64" s="19">
        <f>현금흐름취합!EB64</f>
        <v>0</v>
      </c>
      <c r="EQ64" s="19">
        <f>현금흐름취합!EC64</f>
        <v>0</v>
      </c>
      <c r="ER64" s="19">
        <f>현금흐름취합!ED64</f>
        <v>0</v>
      </c>
      <c r="ES64" s="19">
        <f>현금흐름취합!EE64</f>
        <v>0</v>
      </c>
    </row>
    <row r="65" spans="1:149" hidden="1">
      <c r="A65" s="7">
        <f>현금흐름취합!A65</f>
        <v>0</v>
      </c>
      <c r="B65" s="7">
        <f>현금흐름취합!B65</f>
        <v>0</v>
      </c>
      <c r="C65" s="7">
        <f>현금흐름취합!C65</f>
        <v>0</v>
      </c>
      <c r="D65" s="8">
        <f>현금흐름취합!D65</f>
        <v>0</v>
      </c>
      <c r="E65" s="37" t="str">
        <f t="shared" ref="E65" si="48">IF(R64&gt;R65,"역전현상","이상없음")</f>
        <v>이상없음</v>
      </c>
      <c r="F65" s="8">
        <f>현금흐름취합!E65</f>
        <v>0</v>
      </c>
      <c r="G65" s="37" t="str">
        <f t="shared" si="1"/>
        <v>pool 고치세요</v>
      </c>
      <c r="H65" s="9">
        <f>현금흐름취합!F65</f>
        <v>0</v>
      </c>
      <c r="I65" s="10">
        <f>현금흐름취합!G65</f>
        <v>0</v>
      </c>
      <c r="J65" s="39" t="e">
        <f t="shared" si="33"/>
        <v>#DIV/0!</v>
      </c>
      <c r="K65" s="11">
        <f>현금흐름취합!H65</f>
        <v>0</v>
      </c>
      <c r="L65" s="40" t="e">
        <f>VLOOKUP(A65,'Sheet A'!$E$11:$K$60,7,0)=K65</f>
        <v>#N/A</v>
      </c>
      <c r="M65" s="12">
        <f>현금흐름취합!I65</f>
        <v>0</v>
      </c>
      <c r="N65" s="40" t="str">
        <f t="shared" si="34"/>
        <v>검토요</v>
      </c>
      <c r="O65" s="13">
        <f>현금흐름취합!J65</f>
        <v>0</v>
      </c>
      <c r="P65" s="14">
        <f>현금흐름취합!K65</f>
        <v>0</v>
      </c>
      <c r="Q65" s="18">
        <f>현금흐름취합!L65</f>
        <v>0</v>
      </c>
      <c r="R65" s="15">
        <f>현금흐름취합!M65</f>
        <v>0</v>
      </c>
      <c r="S65" s="40" t="e">
        <f t="shared" si="35"/>
        <v>#NUM!</v>
      </c>
      <c r="T65" s="16">
        <f>현금흐름취합!N65</f>
        <v>0</v>
      </c>
      <c r="U65" s="40" t="b">
        <f t="shared" si="36"/>
        <v>1</v>
      </c>
      <c r="V65" s="46">
        <f>SUMIF(일반여신!$E$10:$E$35,검증!A65,일반여신!$O$10:$O$35)*0.985-SUMIF(가지급금!$E$10:$E$180,A65,가지급금!$K$10:$K$180)+SUMIF(가지급금!$E$10:$E$180,검증!A65,가지급금!$O$10:$O$180)*0.985</f>
        <v>0</v>
      </c>
      <c r="W65" s="47">
        <f t="shared" si="37"/>
        <v>0</v>
      </c>
      <c r="X65" s="48"/>
      <c r="Y65" s="49">
        <f>SUMIF('Sheet D'!$E$11:$E$60,A65,'Sheet D'!$P$11:$P$60)</f>
        <v>0</v>
      </c>
      <c r="Z65" s="48">
        <f>SUMIFS(일반여신!$M$10:$M$35,일반여신!$E$10:$E$35,A65,일반여신!$P$10:$P$35,"신옹보증서대위변제")</f>
        <v>0</v>
      </c>
      <c r="AA65" s="48">
        <f t="shared" si="38"/>
        <v>0</v>
      </c>
      <c r="AB65" s="50"/>
      <c r="AC65" s="19">
        <f>현금흐름취합!O65</f>
        <v>0</v>
      </c>
      <c r="AD65" s="19">
        <f>현금흐름취합!P65</f>
        <v>0</v>
      </c>
      <c r="AE65" s="19">
        <f>현금흐름취합!Q65</f>
        <v>0</v>
      </c>
      <c r="AF65" s="19">
        <f>현금흐름취합!R65</f>
        <v>0</v>
      </c>
      <c r="AG65" s="19">
        <f>현금흐름취합!S65</f>
        <v>0</v>
      </c>
      <c r="AH65" s="19">
        <f>현금흐름취합!T65</f>
        <v>0</v>
      </c>
      <c r="AI65" s="19">
        <f>현금흐름취합!U65</f>
        <v>0</v>
      </c>
      <c r="AJ65" s="19">
        <f>현금흐름취합!V65</f>
        <v>0</v>
      </c>
      <c r="AK65" s="19">
        <f>현금흐름취합!W65</f>
        <v>0</v>
      </c>
      <c r="AL65" s="19">
        <f>현금흐름취합!X65</f>
        <v>0</v>
      </c>
      <c r="AM65" s="19">
        <f>현금흐름취합!Y65</f>
        <v>0</v>
      </c>
      <c r="AN65" s="19">
        <f>현금흐름취합!Z65</f>
        <v>0</v>
      </c>
      <c r="AO65" s="19">
        <f>현금흐름취합!AA65</f>
        <v>0</v>
      </c>
      <c r="AP65" s="19">
        <f>현금흐름취합!AB65</f>
        <v>0</v>
      </c>
      <c r="AQ65" s="19">
        <f>현금흐름취합!AC65</f>
        <v>0</v>
      </c>
      <c r="AR65" s="19">
        <f>현금흐름취합!AD65</f>
        <v>0</v>
      </c>
      <c r="AS65" s="19">
        <f>현금흐름취합!AE65</f>
        <v>0</v>
      </c>
      <c r="AT65" s="19">
        <f>현금흐름취합!AF65</f>
        <v>0</v>
      </c>
      <c r="AU65" s="19">
        <f>현금흐름취합!AG65</f>
        <v>0</v>
      </c>
      <c r="AV65" s="19">
        <f>현금흐름취합!AH65</f>
        <v>0</v>
      </c>
      <c r="AW65" s="19">
        <f>현금흐름취합!AI65</f>
        <v>0</v>
      </c>
      <c r="AX65" s="19">
        <f>현금흐름취합!AJ65</f>
        <v>0</v>
      </c>
      <c r="AY65" s="19">
        <f>현금흐름취합!AK65</f>
        <v>0</v>
      </c>
      <c r="AZ65" s="19">
        <f>현금흐름취합!AL65</f>
        <v>0</v>
      </c>
      <c r="BA65" s="19">
        <f>현금흐름취합!AM65</f>
        <v>0</v>
      </c>
      <c r="BB65" s="19">
        <f>현금흐름취합!AN65</f>
        <v>0</v>
      </c>
      <c r="BC65" s="19">
        <f>현금흐름취합!AO65</f>
        <v>0</v>
      </c>
      <c r="BD65" s="19">
        <f>현금흐름취합!AP65</f>
        <v>0</v>
      </c>
      <c r="BE65" s="19">
        <f>현금흐름취합!AQ65</f>
        <v>0</v>
      </c>
      <c r="BF65" s="19">
        <f>현금흐름취합!AR65</f>
        <v>0</v>
      </c>
      <c r="BG65" s="19">
        <f>현금흐름취합!AS65</f>
        <v>0</v>
      </c>
      <c r="BH65" s="19">
        <f>현금흐름취합!AT65</f>
        <v>0</v>
      </c>
      <c r="BI65" s="19">
        <f>현금흐름취합!AU65</f>
        <v>0</v>
      </c>
      <c r="BJ65" s="19">
        <f>현금흐름취합!AV65</f>
        <v>0</v>
      </c>
      <c r="BK65" s="19">
        <f>현금흐름취합!AW65</f>
        <v>0</v>
      </c>
      <c r="BL65" s="19">
        <f>현금흐름취합!AX65</f>
        <v>0</v>
      </c>
      <c r="BM65" s="19">
        <f>현금흐름취합!AY65</f>
        <v>0</v>
      </c>
      <c r="BN65" s="19">
        <f>현금흐름취합!AZ65</f>
        <v>0</v>
      </c>
      <c r="BO65" s="19">
        <f>현금흐름취합!BA65</f>
        <v>0</v>
      </c>
      <c r="BP65" s="19">
        <f>현금흐름취합!BB65</f>
        <v>0</v>
      </c>
      <c r="BQ65" s="19">
        <f>현금흐름취합!BC65</f>
        <v>0</v>
      </c>
      <c r="BR65" s="19">
        <f>현금흐름취합!BD65</f>
        <v>0</v>
      </c>
      <c r="BS65" s="19">
        <f>현금흐름취합!BE65</f>
        <v>0</v>
      </c>
      <c r="BT65" s="19">
        <f>현금흐름취합!BF65</f>
        <v>0</v>
      </c>
      <c r="BU65" s="19">
        <f>현금흐름취합!BG65</f>
        <v>0</v>
      </c>
      <c r="BV65" s="19">
        <f>현금흐름취합!BH65</f>
        <v>0</v>
      </c>
      <c r="BW65" s="19">
        <f>현금흐름취합!BI65</f>
        <v>0</v>
      </c>
      <c r="BX65" s="19">
        <f>현금흐름취합!BJ65</f>
        <v>0</v>
      </c>
      <c r="BY65" s="19">
        <f>현금흐름취합!BK65</f>
        <v>0</v>
      </c>
      <c r="BZ65" s="19">
        <f>현금흐름취합!BL65</f>
        <v>0</v>
      </c>
      <c r="CA65" s="19">
        <f>현금흐름취합!BM65</f>
        <v>0</v>
      </c>
      <c r="CB65" s="19">
        <f>현금흐름취합!BN65</f>
        <v>0</v>
      </c>
      <c r="CC65" s="19">
        <f>현금흐름취합!BO65</f>
        <v>0</v>
      </c>
      <c r="CD65" s="19">
        <f>현금흐름취합!BP65</f>
        <v>0</v>
      </c>
      <c r="CE65" s="19">
        <f>현금흐름취합!BQ65</f>
        <v>0</v>
      </c>
      <c r="CF65" s="19">
        <f>현금흐름취합!BR65</f>
        <v>0</v>
      </c>
      <c r="CG65" s="19">
        <f>현금흐름취합!BS65</f>
        <v>0</v>
      </c>
      <c r="CH65" s="19">
        <f>현금흐름취합!BT65</f>
        <v>0</v>
      </c>
      <c r="CI65" s="19">
        <f>현금흐름취합!BU65</f>
        <v>0</v>
      </c>
      <c r="CJ65" s="19">
        <f>현금흐름취합!BV65</f>
        <v>0</v>
      </c>
      <c r="CK65" s="19">
        <f>현금흐름취합!BW65</f>
        <v>0</v>
      </c>
      <c r="CL65" s="19">
        <f>현금흐름취합!BX65</f>
        <v>0</v>
      </c>
      <c r="CM65" s="19">
        <f>현금흐름취합!BY65</f>
        <v>0</v>
      </c>
      <c r="CN65" s="19">
        <f>현금흐름취합!BZ65</f>
        <v>0</v>
      </c>
      <c r="CO65" s="19">
        <f>현금흐름취합!CA65</f>
        <v>0</v>
      </c>
      <c r="CP65" s="19">
        <f>현금흐름취합!CB65</f>
        <v>0</v>
      </c>
      <c r="CQ65" s="19">
        <f>현금흐름취합!CC65</f>
        <v>0</v>
      </c>
      <c r="CR65" s="19">
        <f>현금흐름취합!CD65</f>
        <v>0</v>
      </c>
      <c r="CS65" s="19">
        <f>현금흐름취합!CE65</f>
        <v>0</v>
      </c>
      <c r="CT65" s="19">
        <f>현금흐름취합!CF65</f>
        <v>0</v>
      </c>
      <c r="CU65" s="19">
        <f>현금흐름취합!CG65</f>
        <v>0</v>
      </c>
      <c r="CV65" s="19">
        <f>현금흐름취합!CH65</f>
        <v>0</v>
      </c>
      <c r="CW65" s="19">
        <f>현금흐름취합!CI65</f>
        <v>0</v>
      </c>
      <c r="CX65" s="19">
        <f>현금흐름취합!CJ65</f>
        <v>0</v>
      </c>
      <c r="CY65" s="19">
        <f>현금흐름취합!CK65</f>
        <v>0</v>
      </c>
      <c r="CZ65" s="19">
        <f>현금흐름취합!CL65</f>
        <v>0</v>
      </c>
      <c r="DA65" s="19">
        <f>현금흐름취합!CM65</f>
        <v>0</v>
      </c>
      <c r="DB65" s="19">
        <f>현금흐름취합!CN65</f>
        <v>0</v>
      </c>
      <c r="DC65" s="19">
        <f>현금흐름취합!CO65</f>
        <v>0</v>
      </c>
      <c r="DD65" s="19">
        <f>현금흐름취합!CP65</f>
        <v>0</v>
      </c>
      <c r="DE65" s="19">
        <f>현금흐름취합!CQ65</f>
        <v>0</v>
      </c>
      <c r="DF65" s="19">
        <f>현금흐름취합!CR65</f>
        <v>0</v>
      </c>
      <c r="DG65" s="19">
        <f>현금흐름취합!CS65</f>
        <v>0</v>
      </c>
      <c r="DH65" s="19">
        <f>현금흐름취합!CT65</f>
        <v>0</v>
      </c>
      <c r="DI65" s="19">
        <f>현금흐름취합!CU65</f>
        <v>0</v>
      </c>
      <c r="DJ65" s="19">
        <f>현금흐름취합!CV65</f>
        <v>0</v>
      </c>
      <c r="DK65" s="19">
        <f>현금흐름취합!CW65</f>
        <v>0</v>
      </c>
      <c r="DL65" s="19">
        <f>현금흐름취합!CX65</f>
        <v>0</v>
      </c>
      <c r="DM65" s="19">
        <f>현금흐름취합!CY65</f>
        <v>0</v>
      </c>
      <c r="DN65" s="19">
        <f>현금흐름취합!CZ65</f>
        <v>0</v>
      </c>
      <c r="DO65" s="19">
        <f>현금흐름취합!DA65</f>
        <v>0</v>
      </c>
      <c r="DP65" s="19">
        <f>현금흐름취합!DB65</f>
        <v>0</v>
      </c>
      <c r="DQ65" s="19">
        <f>현금흐름취합!DC65</f>
        <v>0</v>
      </c>
      <c r="DR65" s="19">
        <f>현금흐름취합!DD65</f>
        <v>0</v>
      </c>
      <c r="DS65" s="19">
        <f>현금흐름취합!DE65</f>
        <v>0</v>
      </c>
      <c r="DT65" s="19">
        <f>현금흐름취합!DF65</f>
        <v>0</v>
      </c>
      <c r="DU65" s="19">
        <f>현금흐름취합!DG65</f>
        <v>0</v>
      </c>
      <c r="DV65" s="19">
        <f>현금흐름취합!DH65</f>
        <v>0</v>
      </c>
      <c r="DW65" s="19">
        <f>현금흐름취합!DI65</f>
        <v>0</v>
      </c>
      <c r="DX65" s="19">
        <f>현금흐름취합!DJ65</f>
        <v>0</v>
      </c>
      <c r="DY65" s="19">
        <f>현금흐름취합!DK65</f>
        <v>0</v>
      </c>
      <c r="DZ65" s="19">
        <f>현금흐름취합!DL65</f>
        <v>0</v>
      </c>
      <c r="EA65" s="19">
        <f>현금흐름취합!DM65</f>
        <v>0</v>
      </c>
      <c r="EB65" s="19">
        <f>현금흐름취합!DN65</f>
        <v>0</v>
      </c>
      <c r="EC65" s="19">
        <f>현금흐름취합!DO65</f>
        <v>0</v>
      </c>
      <c r="ED65" s="19">
        <f>현금흐름취합!DP65</f>
        <v>0</v>
      </c>
      <c r="EE65" s="19">
        <f>현금흐름취합!DQ65</f>
        <v>0</v>
      </c>
      <c r="EF65" s="19">
        <f>현금흐름취합!DR65</f>
        <v>0</v>
      </c>
      <c r="EG65" s="19">
        <f>현금흐름취합!DS65</f>
        <v>0</v>
      </c>
      <c r="EH65" s="19">
        <f>현금흐름취합!DT65</f>
        <v>0</v>
      </c>
      <c r="EI65" s="19">
        <f>현금흐름취합!DU65</f>
        <v>0</v>
      </c>
      <c r="EJ65" s="19">
        <f>현금흐름취합!DV65</f>
        <v>0</v>
      </c>
      <c r="EK65" s="19">
        <f>현금흐름취합!DW65</f>
        <v>0</v>
      </c>
      <c r="EL65" s="19">
        <f>현금흐름취합!DX65</f>
        <v>0</v>
      </c>
      <c r="EM65" s="19">
        <f>현금흐름취합!DY65</f>
        <v>0</v>
      </c>
      <c r="EN65" s="19">
        <f>현금흐름취합!DZ65</f>
        <v>0</v>
      </c>
      <c r="EO65" s="19">
        <f>현금흐름취합!EA65</f>
        <v>0</v>
      </c>
      <c r="EP65" s="19">
        <f>현금흐름취합!EB65</f>
        <v>0</v>
      </c>
      <c r="EQ65" s="19">
        <f>현금흐름취합!EC65</f>
        <v>0</v>
      </c>
      <c r="ER65" s="19">
        <f>현금흐름취합!ED65</f>
        <v>0</v>
      </c>
      <c r="ES65" s="19">
        <f>현금흐름취합!EE65</f>
        <v>0</v>
      </c>
    </row>
    <row r="66" spans="1:149" hidden="1">
      <c r="A66" s="7">
        <f>현금흐름취합!A66</f>
        <v>0</v>
      </c>
      <c r="B66" s="7">
        <f>현금흐름취합!B66</f>
        <v>0</v>
      </c>
      <c r="C66" s="7">
        <f>현금흐름취합!C66</f>
        <v>0</v>
      </c>
      <c r="D66" s="8">
        <f>현금흐름취합!D66</f>
        <v>0</v>
      </c>
      <c r="E66" s="37"/>
      <c r="F66" s="8">
        <f>현금흐름취합!E66</f>
        <v>0</v>
      </c>
      <c r="G66" s="37" t="str">
        <f t="shared" si="1"/>
        <v>pool 고치세요</v>
      </c>
      <c r="H66" s="9">
        <f>현금흐름취합!F66</f>
        <v>0</v>
      </c>
      <c r="I66" s="10">
        <f>현금흐름취합!G66</f>
        <v>0</v>
      </c>
      <c r="J66" s="39" t="e">
        <f t="shared" si="33"/>
        <v>#DIV/0!</v>
      </c>
      <c r="K66" s="11">
        <f>현금흐름취합!H66</f>
        <v>0</v>
      </c>
      <c r="L66" s="40" t="e">
        <f>VLOOKUP(A66,'Sheet A'!$E$11:$K$60,7,0)=K66</f>
        <v>#N/A</v>
      </c>
      <c r="M66" s="12">
        <f>현금흐름취합!I66</f>
        <v>0</v>
      </c>
      <c r="N66" s="40" t="str">
        <f t="shared" si="34"/>
        <v>검토요</v>
      </c>
      <c r="O66" s="13">
        <f>현금흐름취합!J66</f>
        <v>0</v>
      </c>
      <c r="P66" s="14">
        <f>현금흐름취합!K66</f>
        <v>0</v>
      </c>
      <c r="Q66" s="18">
        <f>현금흐름취합!L66</f>
        <v>0</v>
      </c>
      <c r="R66" s="15">
        <f>현금흐름취합!M66</f>
        <v>0</v>
      </c>
      <c r="S66" s="40" t="e">
        <f t="shared" si="35"/>
        <v>#NUM!</v>
      </c>
      <c r="T66" s="16">
        <f>현금흐름취합!N66</f>
        <v>0</v>
      </c>
      <c r="U66" s="40" t="b">
        <f t="shared" si="36"/>
        <v>1</v>
      </c>
      <c r="V66" s="46">
        <f>SUMIF(일반여신!$E$10:$E$35,검증!A66,일반여신!$O$10:$O$35)*0.985-SUMIF(가지급금!$E$10:$E$180,A66,가지급금!$K$10:$K$180)+SUMIF(가지급금!$E$10:$E$180,검증!A66,가지급금!$O$10:$O$180)*0.985</f>
        <v>0</v>
      </c>
      <c r="W66" s="47">
        <f t="shared" si="37"/>
        <v>0</v>
      </c>
      <c r="X66" s="48"/>
      <c r="Y66" s="49">
        <f>SUMIF('Sheet D'!$E$11:$E$60,A66,'Sheet D'!$P$11:$P$60)</f>
        <v>0</v>
      </c>
      <c r="Z66" s="48">
        <f>SUMIFS(일반여신!$M$10:$M$35,일반여신!$E$10:$E$35,A66,일반여신!$P$10:$P$35,"신옹보증서대위변제")</f>
        <v>0</v>
      </c>
      <c r="AA66" s="48">
        <f t="shared" si="38"/>
        <v>0</v>
      </c>
      <c r="AB66" s="50"/>
      <c r="AC66" s="19">
        <f>현금흐름취합!O66</f>
        <v>0</v>
      </c>
      <c r="AD66" s="19">
        <f>현금흐름취합!P66</f>
        <v>0</v>
      </c>
      <c r="AE66" s="19">
        <f>현금흐름취합!Q66</f>
        <v>0</v>
      </c>
      <c r="AF66" s="19">
        <f>현금흐름취합!R66</f>
        <v>0</v>
      </c>
      <c r="AG66" s="19">
        <f>현금흐름취합!S66</f>
        <v>0</v>
      </c>
      <c r="AH66" s="19">
        <f>현금흐름취합!T66</f>
        <v>0</v>
      </c>
      <c r="AI66" s="19">
        <f>현금흐름취합!U66</f>
        <v>0</v>
      </c>
      <c r="AJ66" s="19">
        <f>현금흐름취합!V66</f>
        <v>0</v>
      </c>
      <c r="AK66" s="19">
        <f>현금흐름취합!W66</f>
        <v>0</v>
      </c>
      <c r="AL66" s="19">
        <f>현금흐름취합!X66</f>
        <v>0</v>
      </c>
      <c r="AM66" s="19">
        <f>현금흐름취합!Y66</f>
        <v>0</v>
      </c>
      <c r="AN66" s="19">
        <f>현금흐름취합!Z66</f>
        <v>0</v>
      </c>
      <c r="AO66" s="19">
        <f>현금흐름취합!AA66</f>
        <v>0</v>
      </c>
      <c r="AP66" s="19">
        <f>현금흐름취합!AB66</f>
        <v>0</v>
      </c>
      <c r="AQ66" s="19">
        <f>현금흐름취합!AC66</f>
        <v>0</v>
      </c>
      <c r="AR66" s="19">
        <f>현금흐름취합!AD66</f>
        <v>0</v>
      </c>
      <c r="AS66" s="19">
        <f>현금흐름취합!AE66</f>
        <v>0</v>
      </c>
      <c r="AT66" s="19">
        <f>현금흐름취합!AF66</f>
        <v>0</v>
      </c>
      <c r="AU66" s="19">
        <f>현금흐름취합!AG66</f>
        <v>0</v>
      </c>
      <c r="AV66" s="19">
        <f>현금흐름취합!AH66</f>
        <v>0</v>
      </c>
      <c r="AW66" s="19">
        <f>현금흐름취합!AI66</f>
        <v>0</v>
      </c>
      <c r="AX66" s="19">
        <f>현금흐름취합!AJ66</f>
        <v>0</v>
      </c>
      <c r="AY66" s="19">
        <f>현금흐름취합!AK66</f>
        <v>0</v>
      </c>
      <c r="AZ66" s="19">
        <f>현금흐름취합!AL66</f>
        <v>0</v>
      </c>
      <c r="BA66" s="19">
        <f>현금흐름취합!AM66</f>
        <v>0</v>
      </c>
      <c r="BB66" s="19">
        <f>현금흐름취합!AN66</f>
        <v>0</v>
      </c>
      <c r="BC66" s="19">
        <f>현금흐름취합!AO66</f>
        <v>0</v>
      </c>
      <c r="BD66" s="19">
        <f>현금흐름취합!AP66</f>
        <v>0</v>
      </c>
      <c r="BE66" s="19">
        <f>현금흐름취합!AQ66</f>
        <v>0</v>
      </c>
      <c r="BF66" s="19">
        <f>현금흐름취합!AR66</f>
        <v>0</v>
      </c>
      <c r="BG66" s="19">
        <f>현금흐름취합!AS66</f>
        <v>0</v>
      </c>
      <c r="BH66" s="19">
        <f>현금흐름취합!AT66</f>
        <v>0</v>
      </c>
      <c r="BI66" s="19">
        <f>현금흐름취합!AU66</f>
        <v>0</v>
      </c>
      <c r="BJ66" s="19">
        <f>현금흐름취합!AV66</f>
        <v>0</v>
      </c>
      <c r="BK66" s="19">
        <f>현금흐름취합!AW66</f>
        <v>0</v>
      </c>
      <c r="BL66" s="19">
        <f>현금흐름취합!AX66</f>
        <v>0</v>
      </c>
      <c r="BM66" s="19">
        <f>현금흐름취합!AY66</f>
        <v>0</v>
      </c>
      <c r="BN66" s="19">
        <f>현금흐름취합!AZ66</f>
        <v>0</v>
      </c>
      <c r="BO66" s="19">
        <f>현금흐름취합!BA66</f>
        <v>0</v>
      </c>
      <c r="BP66" s="19">
        <f>현금흐름취합!BB66</f>
        <v>0</v>
      </c>
      <c r="BQ66" s="19">
        <f>현금흐름취합!BC66</f>
        <v>0</v>
      </c>
      <c r="BR66" s="19">
        <f>현금흐름취합!BD66</f>
        <v>0</v>
      </c>
      <c r="BS66" s="19">
        <f>현금흐름취합!BE66</f>
        <v>0</v>
      </c>
      <c r="BT66" s="19">
        <f>현금흐름취합!BF66</f>
        <v>0</v>
      </c>
      <c r="BU66" s="19">
        <f>현금흐름취합!BG66</f>
        <v>0</v>
      </c>
      <c r="BV66" s="19">
        <f>현금흐름취합!BH66</f>
        <v>0</v>
      </c>
      <c r="BW66" s="19">
        <f>현금흐름취합!BI66</f>
        <v>0</v>
      </c>
      <c r="BX66" s="19">
        <f>현금흐름취합!BJ66</f>
        <v>0</v>
      </c>
      <c r="BY66" s="19">
        <f>현금흐름취합!BK66</f>
        <v>0</v>
      </c>
      <c r="BZ66" s="19">
        <f>현금흐름취합!BL66</f>
        <v>0</v>
      </c>
      <c r="CA66" s="19">
        <f>현금흐름취합!BM66</f>
        <v>0</v>
      </c>
      <c r="CB66" s="19">
        <f>현금흐름취합!BN66</f>
        <v>0</v>
      </c>
      <c r="CC66" s="19">
        <f>현금흐름취합!BO66</f>
        <v>0</v>
      </c>
      <c r="CD66" s="19">
        <f>현금흐름취합!BP66</f>
        <v>0</v>
      </c>
      <c r="CE66" s="19">
        <f>현금흐름취합!BQ66</f>
        <v>0</v>
      </c>
      <c r="CF66" s="19">
        <f>현금흐름취합!BR66</f>
        <v>0</v>
      </c>
      <c r="CG66" s="19">
        <f>현금흐름취합!BS66</f>
        <v>0</v>
      </c>
      <c r="CH66" s="19">
        <f>현금흐름취합!BT66</f>
        <v>0</v>
      </c>
      <c r="CI66" s="19">
        <f>현금흐름취합!BU66</f>
        <v>0</v>
      </c>
      <c r="CJ66" s="19">
        <f>현금흐름취합!BV66</f>
        <v>0</v>
      </c>
      <c r="CK66" s="19">
        <f>현금흐름취합!BW66</f>
        <v>0</v>
      </c>
      <c r="CL66" s="19">
        <f>현금흐름취합!BX66</f>
        <v>0</v>
      </c>
      <c r="CM66" s="19">
        <f>현금흐름취합!BY66</f>
        <v>0</v>
      </c>
      <c r="CN66" s="19">
        <f>현금흐름취합!BZ66</f>
        <v>0</v>
      </c>
      <c r="CO66" s="19">
        <f>현금흐름취합!CA66</f>
        <v>0</v>
      </c>
      <c r="CP66" s="19">
        <f>현금흐름취합!CB66</f>
        <v>0</v>
      </c>
      <c r="CQ66" s="19">
        <f>현금흐름취합!CC66</f>
        <v>0</v>
      </c>
      <c r="CR66" s="19">
        <f>현금흐름취합!CD66</f>
        <v>0</v>
      </c>
      <c r="CS66" s="19">
        <f>현금흐름취합!CE66</f>
        <v>0</v>
      </c>
      <c r="CT66" s="19">
        <f>현금흐름취합!CF66</f>
        <v>0</v>
      </c>
      <c r="CU66" s="19">
        <f>현금흐름취합!CG66</f>
        <v>0</v>
      </c>
      <c r="CV66" s="19">
        <f>현금흐름취합!CH66</f>
        <v>0</v>
      </c>
      <c r="CW66" s="19">
        <f>현금흐름취합!CI66</f>
        <v>0</v>
      </c>
      <c r="CX66" s="19">
        <f>현금흐름취합!CJ66</f>
        <v>0</v>
      </c>
      <c r="CY66" s="19">
        <f>현금흐름취합!CK66</f>
        <v>0</v>
      </c>
      <c r="CZ66" s="19">
        <f>현금흐름취합!CL66</f>
        <v>0</v>
      </c>
      <c r="DA66" s="19">
        <f>현금흐름취합!CM66</f>
        <v>0</v>
      </c>
      <c r="DB66" s="19">
        <f>현금흐름취합!CN66</f>
        <v>0</v>
      </c>
      <c r="DC66" s="19">
        <f>현금흐름취합!CO66</f>
        <v>0</v>
      </c>
      <c r="DD66" s="19">
        <f>현금흐름취합!CP66</f>
        <v>0</v>
      </c>
      <c r="DE66" s="19">
        <f>현금흐름취합!CQ66</f>
        <v>0</v>
      </c>
      <c r="DF66" s="19">
        <f>현금흐름취합!CR66</f>
        <v>0</v>
      </c>
      <c r="DG66" s="19">
        <f>현금흐름취합!CS66</f>
        <v>0</v>
      </c>
      <c r="DH66" s="19">
        <f>현금흐름취합!CT66</f>
        <v>0</v>
      </c>
      <c r="DI66" s="19">
        <f>현금흐름취합!CU66</f>
        <v>0</v>
      </c>
      <c r="DJ66" s="19">
        <f>현금흐름취합!CV66</f>
        <v>0</v>
      </c>
      <c r="DK66" s="19">
        <f>현금흐름취합!CW66</f>
        <v>0</v>
      </c>
      <c r="DL66" s="19">
        <f>현금흐름취합!CX66</f>
        <v>0</v>
      </c>
      <c r="DM66" s="19">
        <f>현금흐름취합!CY66</f>
        <v>0</v>
      </c>
      <c r="DN66" s="19">
        <f>현금흐름취합!CZ66</f>
        <v>0</v>
      </c>
      <c r="DO66" s="19">
        <f>현금흐름취합!DA66</f>
        <v>0</v>
      </c>
      <c r="DP66" s="19">
        <f>현금흐름취합!DB66</f>
        <v>0</v>
      </c>
      <c r="DQ66" s="19">
        <f>현금흐름취합!DC66</f>
        <v>0</v>
      </c>
      <c r="DR66" s="19">
        <f>현금흐름취합!DD66</f>
        <v>0</v>
      </c>
      <c r="DS66" s="19">
        <f>현금흐름취합!DE66</f>
        <v>0</v>
      </c>
      <c r="DT66" s="19">
        <f>현금흐름취합!DF66</f>
        <v>0</v>
      </c>
      <c r="DU66" s="19">
        <f>현금흐름취합!DG66</f>
        <v>0</v>
      </c>
      <c r="DV66" s="19">
        <f>현금흐름취합!DH66</f>
        <v>0</v>
      </c>
      <c r="DW66" s="19">
        <f>현금흐름취합!DI66</f>
        <v>0</v>
      </c>
      <c r="DX66" s="19">
        <f>현금흐름취합!DJ66</f>
        <v>0</v>
      </c>
      <c r="DY66" s="19">
        <f>현금흐름취합!DK66</f>
        <v>0</v>
      </c>
      <c r="DZ66" s="19">
        <f>현금흐름취합!DL66</f>
        <v>0</v>
      </c>
      <c r="EA66" s="19">
        <f>현금흐름취합!DM66</f>
        <v>0</v>
      </c>
      <c r="EB66" s="19">
        <f>현금흐름취합!DN66</f>
        <v>0</v>
      </c>
      <c r="EC66" s="19">
        <f>현금흐름취합!DO66</f>
        <v>0</v>
      </c>
      <c r="ED66" s="19">
        <f>현금흐름취합!DP66</f>
        <v>0</v>
      </c>
      <c r="EE66" s="19">
        <f>현금흐름취합!DQ66</f>
        <v>0</v>
      </c>
      <c r="EF66" s="19">
        <f>현금흐름취합!DR66</f>
        <v>0</v>
      </c>
      <c r="EG66" s="19">
        <f>현금흐름취합!DS66</f>
        <v>0</v>
      </c>
      <c r="EH66" s="19">
        <f>현금흐름취합!DT66</f>
        <v>0</v>
      </c>
      <c r="EI66" s="19">
        <f>현금흐름취합!DU66</f>
        <v>0</v>
      </c>
      <c r="EJ66" s="19">
        <f>현금흐름취합!DV66</f>
        <v>0</v>
      </c>
      <c r="EK66" s="19">
        <f>현금흐름취합!DW66</f>
        <v>0</v>
      </c>
      <c r="EL66" s="19">
        <f>현금흐름취합!DX66</f>
        <v>0</v>
      </c>
      <c r="EM66" s="19">
        <f>현금흐름취합!DY66</f>
        <v>0</v>
      </c>
      <c r="EN66" s="19">
        <f>현금흐름취합!DZ66</f>
        <v>0</v>
      </c>
      <c r="EO66" s="19">
        <f>현금흐름취합!EA66</f>
        <v>0</v>
      </c>
      <c r="EP66" s="19">
        <f>현금흐름취합!EB66</f>
        <v>0</v>
      </c>
      <c r="EQ66" s="19">
        <f>현금흐름취합!EC66</f>
        <v>0</v>
      </c>
      <c r="ER66" s="19">
        <f>현금흐름취합!ED66</f>
        <v>0</v>
      </c>
      <c r="ES66" s="19">
        <f>현금흐름취합!EE66</f>
        <v>0</v>
      </c>
    </row>
    <row r="67" spans="1:149" hidden="1">
      <c r="A67" s="7">
        <f>현금흐름취합!A67</f>
        <v>0</v>
      </c>
      <c r="B67" s="7">
        <f>현금흐름취합!B67</f>
        <v>0</v>
      </c>
      <c r="C67" s="7">
        <f>현금흐름취합!C67</f>
        <v>0</v>
      </c>
      <c r="D67" s="8">
        <f>현금흐름취합!D67</f>
        <v>0</v>
      </c>
      <c r="E67" s="37" t="str">
        <f t="shared" ref="E67" si="49">IF(R66&gt;R67,"역전현상","이상없음")</f>
        <v>이상없음</v>
      </c>
      <c r="F67" s="8">
        <f>현금흐름취합!E67</f>
        <v>0</v>
      </c>
      <c r="G67" s="37" t="str">
        <f t="shared" ref="G67:G73" si="50">IF(F67="A","ok","pool 고치세요")</f>
        <v>pool 고치세요</v>
      </c>
      <c r="H67" s="9">
        <f>현금흐름취합!F67</f>
        <v>0</v>
      </c>
      <c r="I67" s="10">
        <f>현금흐름취합!G67</f>
        <v>0</v>
      </c>
      <c r="J67" s="39" t="e">
        <f t="shared" si="33"/>
        <v>#DIV/0!</v>
      </c>
      <c r="K67" s="11">
        <f>현금흐름취합!H67</f>
        <v>0</v>
      </c>
      <c r="L67" s="40" t="e">
        <f>VLOOKUP(A67,'Sheet A'!$E$11:$K$60,7,0)=K67</f>
        <v>#N/A</v>
      </c>
      <c r="M67" s="12">
        <f>현금흐름취합!I67</f>
        <v>0</v>
      </c>
      <c r="N67" s="40" t="str">
        <f t="shared" si="34"/>
        <v>검토요</v>
      </c>
      <c r="O67" s="13">
        <f>현금흐름취합!J67</f>
        <v>0</v>
      </c>
      <c r="P67" s="14">
        <f>현금흐름취합!K67</f>
        <v>0</v>
      </c>
      <c r="Q67" s="18">
        <f>현금흐름취합!L67</f>
        <v>0</v>
      </c>
      <c r="R67" s="15">
        <f>현금흐름취합!M67</f>
        <v>0</v>
      </c>
      <c r="S67" s="40" t="e">
        <f t="shared" si="35"/>
        <v>#NUM!</v>
      </c>
      <c r="T67" s="16">
        <f>현금흐름취합!N67</f>
        <v>0</v>
      </c>
      <c r="U67" s="40" t="b">
        <f t="shared" si="36"/>
        <v>1</v>
      </c>
      <c r="V67" s="46">
        <f>SUMIF(일반여신!$E$10:$E$35,검증!A67,일반여신!$O$10:$O$35)*0.985-SUMIF(가지급금!$E$10:$E$180,A67,가지급금!$K$10:$K$180)+SUMIF(가지급금!$E$10:$E$180,검증!A67,가지급금!$O$10:$O$180)*0.985</f>
        <v>0</v>
      </c>
      <c r="W67" s="47">
        <f t="shared" si="37"/>
        <v>0</v>
      </c>
      <c r="X67" s="48"/>
      <c r="Y67" s="49">
        <f>SUMIF('Sheet D'!$E$11:$E$60,A67,'Sheet D'!$P$11:$P$60)</f>
        <v>0</v>
      </c>
      <c r="Z67" s="48">
        <f>SUMIFS(일반여신!$M$10:$M$35,일반여신!$E$10:$E$35,A67,일반여신!$P$10:$P$35,"신옹보증서대위변제")</f>
        <v>0</v>
      </c>
      <c r="AA67" s="48">
        <f t="shared" si="38"/>
        <v>0</v>
      </c>
      <c r="AB67" s="50"/>
      <c r="AC67" s="19">
        <f>현금흐름취합!O67</f>
        <v>0</v>
      </c>
      <c r="AD67" s="19">
        <f>현금흐름취합!P67</f>
        <v>0</v>
      </c>
      <c r="AE67" s="19">
        <f>현금흐름취합!Q67</f>
        <v>0</v>
      </c>
      <c r="AF67" s="19">
        <f>현금흐름취합!R67</f>
        <v>0</v>
      </c>
      <c r="AG67" s="19">
        <f>현금흐름취합!S67</f>
        <v>0</v>
      </c>
      <c r="AH67" s="19">
        <f>현금흐름취합!T67</f>
        <v>0</v>
      </c>
      <c r="AI67" s="19">
        <f>현금흐름취합!U67</f>
        <v>0</v>
      </c>
      <c r="AJ67" s="19">
        <f>현금흐름취합!V67</f>
        <v>0</v>
      </c>
      <c r="AK67" s="19">
        <f>현금흐름취합!W67</f>
        <v>0</v>
      </c>
      <c r="AL67" s="19">
        <f>현금흐름취합!X67</f>
        <v>0</v>
      </c>
      <c r="AM67" s="19">
        <f>현금흐름취합!Y67</f>
        <v>0</v>
      </c>
      <c r="AN67" s="19">
        <f>현금흐름취합!Z67</f>
        <v>0</v>
      </c>
      <c r="AO67" s="19">
        <f>현금흐름취합!AA67</f>
        <v>0</v>
      </c>
      <c r="AP67" s="19">
        <f>현금흐름취합!AB67</f>
        <v>0</v>
      </c>
      <c r="AQ67" s="19">
        <f>현금흐름취합!AC67</f>
        <v>0</v>
      </c>
      <c r="AR67" s="19">
        <f>현금흐름취합!AD67</f>
        <v>0</v>
      </c>
      <c r="AS67" s="19">
        <f>현금흐름취합!AE67</f>
        <v>0</v>
      </c>
      <c r="AT67" s="19">
        <f>현금흐름취합!AF67</f>
        <v>0</v>
      </c>
      <c r="AU67" s="19">
        <f>현금흐름취합!AG67</f>
        <v>0</v>
      </c>
      <c r="AV67" s="19">
        <f>현금흐름취합!AH67</f>
        <v>0</v>
      </c>
      <c r="AW67" s="19">
        <f>현금흐름취합!AI67</f>
        <v>0</v>
      </c>
      <c r="AX67" s="19">
        <f>현금흐름취합!AJ67</f>
        <v>0</v>
      </c>
      <c r="AY67" s="19">
        <f>현금흐름취합!AK67</f>
        <v>0</v>
      </c>
      <c r="AZ67" s="19">
        <f>현금흐름취합!AL67</f>
        <v>0</v>
      </c>
      <c r="BA67" s="19">
        <f>현금흐름취합!AM67</f>
        <v>0</v>
      </c>
      <c r="BB67" s="19">
        <f>현금흐름취합!AN67</f>
        <v>0</v>
      </c>
      <c r="BC67" s="19">
        <f>현금흐름취합!AO67</f>
        <v>0</v>
      </c>
      <c r="BD67" s="19">
        <f>현금흐름취합!AP67</f>
        <v>0</v>
      </c>
      <c r="BE67" s="19">
        <f>현금흐름취합!AQ67</f>
        <v>0</v>
      </c>
      <c r="BF67" s="19">
        <f>현금흐름취합!AR67</f>
        <v>0</v>
      </c>
      <c r="BG67" s="19">
        <f>현금흐름취합!AS67</f>
        <v>0</v>
      </c>
      <c r="BH67" s="19">
        <f>현금흐름취합!AT67</f>
        <v>0</v>
      </c>
      <c r="BI67" s="19">
        <f>현금흐름취합!AU67</f>
        <v>0</v>
      </c>
      <c r="BJ67" s="19">
        <f>현금흐름취합!AV67</f>
        <v>0</v>
      </c>
      <c r="BK67" s="19">
        <f>현금흐름취합!AW67</f>
        <v>0</v>
      </c>
      <c r="BL67" s="19">
        <f>현금흐름취합!AX67</f>
        <v>0</v>
      </c>
      <c r="BM67" s="19">
        <f>현금흐름취합!AY67</f>
        <v>0</v>
      </c>
      <c r="BN67" s="19">
        <f>현금흐름취합!AZ67</f>
        <v>0</v>
      </c>
      <c r="BO67" s="19">
        <f>현금흐름취합!BA67</f>
        <v>0</v>
      </c>
      <c r="BP67" s="19">
        <f>현금흐름취합!BB67</f>
        <v>0</v>
      </c>
      <c r="BQ67" s="19">
        <f>현금흐름취합!BC67</f>
        <v>0</v>
      </c>
      <c r="BR67" s="19">
        <f>현금흐름취합!BD67</f>
        <v>0</v>
      </c>
      <c r="BS67" s="19">
        <f>현금흐름취합!BE67</f>
        <v>0</v>
      </c>
      <c r="BT67" s="19">
        <f>현금흐름취합!BF67</f>
        <v>0</v>
      </c>
      <c r="BU67" s="19">
        <f>현금흐름취합!BG67</f>
        <v>0</v>
      </c>
      <c r="BV67" s="19">
        <f>현금흐름취합!BH67</f>
        <v>0</v>
      </c>
      <c r="BW67" s="19">
        <f>현금흐름취합!BI67</f>
        <v>0</v>
      </c>
      <c r="BX67" s="19">
        <f>현금흐름취합!BJ67</f>
        <v>0</v>
      </c>
      <c r="BY67" s="19">
        <f>현금흐름취합!BK67</f>
        <v>0</v>
      </c>
      <c r="BZ67" s="19">
        <f>현금흐름취합!BL67</f>
        <v>0</v>
      </c>
      <c r="CA67" s="19">
        <f>현금흐름취합!BM67</f>
        <v>0</v>
      </c>
      <c r="CB67" s="19">
        <f>현금흐름취합!BN67</f>
        <v>0</v>
      </c>
      <c r="CC67" s="19">
        <f>현금흐름취합!BO67</f>
        <v>0</v>
      </c>
      <c r="CD67" s="19">
        <f>현금흐름취합!BP67</f>
        <v>0</v>
      </c>
      <c r="CE67" s="19">
        <f>현금흐름취합!BQ67</f>
        <v>0</v>
      </c>
      <c r="CF67" s="19">
        <f>현금흐름취합!BR67</f>
        <v>0</v>
      </c>
      <c r="CG67" s="19">
        <f>현금흐름취합!BS67</f>
        <v>0</v>
      </c>
      <c r="CH67" s="19">
        <f>현금흐름취합!BT67</f>
        <v>0</v>
      </c>
      <c r="CI67" s="19">
        <f>현금흐름취합!BU67</f>
        <v>0</v>
      </c>
      <c r="CJ67" s="19">
        <f>현금흐름취합!BV67</f>
        <v>0</v>
      </c>
      <c r="CK67" s="19">
        <f>현금흐름취합!BW67</f>
        <v>0</v>
      </c>
      <c r="CL67" s="19">
        <f>현금흐름취합!BX67</f>
        <v>0</v>
      </c>
      <c r="CM67" s="19">
        <f>현금흐름취합!BY67</f>
        <v>0</v>
      </c>
      <c r="CN67" s="19">
        <f>현금흐름취합!BZ67</f>
        <v>0</v>
      </c>
      <c r="CO67" s="19">
        <f>현금흐름취합!CA67</f>
        <v>0</v>
      </c>
      <c r="CP67" s="19">
        <f>현금흐름취합!CB67</f>
        <v>0</v>
      </c>
      <c r="CQ67" s="19">
        <f>현금흐름취합!CC67</f>
        <v>0</v>
      </c>
      <c r="CR67" s="19">
        <f>현금흐름취합!CD67</f>
        <v>0</v>
      </c>
      <c r="CS67" s="19">
        <f>현금흐름취합!CE67</f>
        <v>0</v>
      </c>
      <c r="CT67" s="19">
        <f>현금흐름취합!CF67</f>
        <v>0</v>
      </c>
      <c r="CU67" s="19">
        <f>현금흐름취합!CG67</f>
        <v>0</v>
      </c>
      <c r="CV67" s="19">
        <f>현금흐름취합!CH67</f>
        <v>0</v>
      </c>
      <c r="CW67" s="19">
        <f>현금흐름취합!CI67</f>
        <v>0</v>
      </c>
      <c r="CX67" s="19">
        <f>현금흐름취합!CJ67</f>
        <v>0</v>
      </c>
      <c r="CY67" s="19">
        <f>현금흐름취합!CK67</f>
        <v>0</v>
      </c>
      <c r="CZ67" s="19">
        <f>현금흐름취합!CL67</f>
        <v>0</v>
      </c>
      <c r="DA67" s="19">
        <f>현금흐름취합!CM67</f>
        <v>0</v>
      </c>
      <c r="DB67" s="19">
        <f>현금흐름취합!CN67</f>
        <v>0</v>
      </c>
      <c r="DC67" s="19">
        <f>현금흐름취합!CO67</f>
        <v>0</v>
      </c>
      <c r="DD67" s="19">
        <f>현금흐름취합!CP67</f>
        <v>0</v>
      </c>
      <c r="DE67" s="19">
        <f>현금흐름취합!CQ67</f>
        <v>0</v>
      </c>
      <c r="DF67" s="19">
        <f>현금흐름취합!CR67</f>
        <v>0</v>
      </c>
      <c r="DG67" s="19">
        <f>현금흐름취합!CS67</f>
        <v>0</v>
      </c>
      <c r="DH67" s="19">
        <f>현금흐름취합!CT67</f>
        <v>0</v>
      </c>
      <c r="DI67" s="19">
        <f>현금흐름취합!CU67</f>
        <v>0</v>
      </c>
      <c r="DJ67" s="19">
        <f>현금흐름취합!CV67</f>
        <v>0</v>
      </c>
      <c r="DK67" s="19">
        <f>현금흐름취합!CW67</f>
        <v>0</v>
      </c>
      <c r="DL67" s="19">
        <f>현금흐름취합!CX67</f>
        <v>0</v>
      </c>
      <c r="DM67" s="19">
        <f>현금흐름취합!CY67</f>
        <v>0</v>
      </c>
      <c r="DN67" s="19">
        <f>현금흐름취합!CZ67</f>
        <v>0</v>
      </c>
      <c r="DO67" s="19">
        <f>현금흐름취합!DA67</f>
        <v>0</v>
      </c>
      <c r="DP67" s="19">
        <f>현금흐름취합!DB67</f>
        <v>0</v>
      </c>
      <c r="DQ67" s="19">
        <f>현금흐름취합!DC67</f>
        <v>0</v>
      </c>
      <c r="DR67" s="19">
        <f>현금흐름취합!DD67</f>
        <v>0</v>
      </c>
      <c r="DS67" s="19">
        <f>현금흐름취합!DE67</f>
        <v>0</v>
      </c>
      <c r="DT67" s="19">
        <f>현금흐름취합!DF67</f>
        <v>0</v>
      </c>
      <c r="DU67" s="19">
        <f>현금흐름취합!DG67</f>
        <v>0</v>
      </c>
      <c r="DV67" s="19">
        <f>현금흐름취합!DH67</f>
        <v>0</v>
      </c>
      <c r="DW67" s="19">
        <f>현금흐름취합!DI67</f>
        <v>0</v>
      </c>
      <c r="DX67" s="19">
        <f>현금흐름취합!DJ67</f>
        <v>0</v>
      </c>
      <c r="DY67" s="19">
        <f>현금흐름취합!DK67</f>
        <v>0</v>
      </c>
      <c r="DZ67" s="19">
        <f>현금흐름취합!DL67</f>
        <v>0</v>
      </c>
      <c r="EA67" s="19">
        <f>현금흐름취합!DM67</f>
        <v>0</v>
      </c>
      <c r="EB67" s="19">
        <f>현금흐름취합!DN67</f>
        <v>0</v>
      </c>
      <c r="EC67" s="19">
        <f>현금흐름취합!DO67</f>
        <v>0</v>
      </c>
      <c r="ED67" s="19">
        <f>현금흐름취합!DP67</f>
        <v>0</v>
      </c>
      <c r="EE67" s="19">
        <f>현금흐름취합!DQ67</f>
        <v>0</v>
      </c>
      <c r="EF67" s="19">
        <f>현금흐름취합!DR67</f>
        <v>0</v>
      </c>
      <c r="EG67" s="19">
        <f>현금흐름취합!DS67</f>
        <v>0</v>
      </c>
      <c r="EH67" s="19">
        <f>현금흐름취합!DT67</f>
        <v>0</v>
      </c>
      <c r="EI67" s="19">
        <f>현금흐름취합!DU67</f>
        <v>0</v>
      </c>
      <c r="EJ67" s="19">
        <f>현금흐름취합!DV67</f>
        <v>0</v>
      </c>
      <c r="EK67" s="19">
        <f>현금흐름취합!DW67</f>
        <v>0</v>
      </c>
      <c r="EL67" s="19">
        <f>현금흐름취합!DX67</f>
        <v>0</v>
      </c>
      <c r="EM67" s="19">
        <f>현금흐름취합!DY67</f>
        <v>0</v>
      </c>
      <c r="EN67" s="19">
        <f>현금흐름취합!DZ67</f>
        <v>0</v>
      </c>
      <c r="EO67" s="19">
        <f>현금흐름취합!EA67</f>
        <v>0</v>
      </c>
      <c r="EP67" s="19">
        <f>현금흐름취합!EB67</f>
        <v>0</v>
      </c>
      <c r="EQ67" s="19">
        <f>현금흐름취합!EC67</f>
        <v>0</v>
      </c>
      <c r="ER67" s="19">
        <f>현금흐름취합!ED67</f>
        <v>0</v>
      </c>
      <c r="ES67" s="19">
        <f>현금흐름취합!EE67</f>
        <v>0</v>
      </c>
    </row>
    <row r="68" spans="1:149" hidden="1">
      <c r="A68" s="7">
        <f>현금흐름취합!A68</f>
        <v>0</v>
      </c>
      <c r="B68" s="7">
        <f>현금흐름취합!B68</f>
        <v>0</v>
      </c>
      <c r="C68" s="7">
        <f>현금흐름취합!C68</f>
        <v>0</v>
      </c>
      <c r="D68" s="8">
        <f>현금흐름취합!D68</f>
        <v>0</v>
      </c>
      <c r="E68" s="37"/>
      <c r="F68" s="8">
        <f>현금흐름취합!E68</f>
        <v>0</v>
      </c>
      <c r="G68" s="37" t="str">
        <f t="shared" si="50"/>
        <v>pool 고치세요</v>
      </c>
      <c r="H68" s="9">
        <f>현금흐름취합!F68</f>
        <v>0</v>
      </c>
      <c r="I68" s="10">
        <f>현금흐름취합!G68</f>
        <v>0</v>
      </c>
      <c r="J68" s="39" t="e">
        <f t="shared" si="33"/>
        <v>#DIV/0!</v>
      </c>
      <c r="K68" s="11">
        <f>현금흐름취합!H68</f>
        <v>0</v>
      </c>
      <c r="L68" s="40" t="e">
        <f>VLOOKUP(A68,'Sheet A'!$E$11:$K$60,7,0)=K68</f>
        <v>#N/A</v>
      </c>
      <c r="M68" s="12">
        <f>현금흐름취합!I68</f>
        <v>0</v>
      </c>
      <c r="N68" s="40" t="str">
        <f t="shared" si="34"/>
        <v>검토요</v>
      </c>
      <c r="O68" s="13">
        <f>현금흐름취합!J68</f>
        <v>0</v>
      </c>
      <c r="P68" s="14">
        <f>현금흐름취합!K68</f>
        <v>0</v>
      </c>
      <c r="Q68" s="18">
        <f>현금흐름취합!L68</f>
        <v>0</v>
      </c>
      <c r="R68" s="15">
        <f>현금흐름취합!M68</f>
        <v>0</v>
      </c>
      <c r="S68" s="40" t="e">
        <f t="shared" si="35"/>
        <v>#NUM!</v>
      </c>
      <c r="T68" s="16">
        <f>현금흐름취합!N68</f>
        <v>0</v>
      </c>
      <c r="U68" s="40" t="b">
        <f t="shared" si="36"/>
        <v>1</v>
      </c>
      <c r="V68" s="46">
        <f>SUMIF(일반여신!$E$10:$E$35,검증!A68,일반여신!$O$10:$O$35)*0.985-SUMIF(가지급금!$E$10:$E$180,A68,가지급금!$K$10:$K$180)+SUMIF(가지급금!$E$10:$E$180,검증!A68,가지급금!$O$10:$O$180)*0.985</f>
        <v>0</v>
      </c>
      <c r="W68" s="47">
        <f t="shared" si="37"/>
        <v>0</v>
      </c>
      <c r="X68" s="48"/>
      <c r="Y68" s="49">
        <f>SUMIF('Sheet D'!$E$11:$E$60,A68,'Sheet D'!$P$11:$P$60)</f>
        <v>0</v>
      </c>
      <c r="Z68" s="48">
        <f>SUMIFS(일반여신!$M$10:$M$35,일반여신!$E$10:$E$35,A68,일반여신!$P$10:$P$35,"신옹보증서대위변제")</f>
        <v>0</v>
      </c>
      <c r="AA68" s="48">
        <f t="shared" si="38"/>
        <v>0</v>
      </c>
      <c r="AB68" s="50"/>
      <c r="AC68" s="19">
        <f>현금흐름취합!O68</f>
        <v>0</v>
      </c>
      <c r="AD68" s="19">
        <f>현금흐름취합!P68</f>
        <v>0</v>
      </c>
      <c r="AE68" s="19">
        <f>현금흐름취합!Q68</f>
        <v>0</v>
      </c>
      <c r="AF68" s="19">
        <f>현금흐름취합!R68</f>
        <v>0</v>
      </c>
      <c r="AG68" s="19">
        <f>현금흐름취합!S68</f>
        <v>0</v>
      </c>
      <c r="AH68" s="19">
        <f>현금흐름취합!T68</f>
        <v>0</v>
      </c>
      <c r="AI68" s="19">
        <f>현금흐름취합!U68</f>
        <v>0</v>
      </c>
      <c r="AJ68" s="19">
        <f>현금흐름취합!V68</f>
        <v>0</v>
      </c>
      <c r="AK68" s="19">
        <f>현금흐름취합!W68</f>
        <v>0</v>
      </c>
      <c r="AL68" s="19">
        <f>현금흐름취합!X68</f>
        <v>0</v>
      </c>
      <c r="AM68" s="19">
        <f>현금흐름취합!Y68</f>
        <v>0</v>
      </c>
      <c r="AN68" s="19">
        <f>현금흐름취합!Z68</f>
        <v>0</v>
      </c>
      <c r="AO68" s="19">
        <f>현금흐름취합!AA68</f>
        <v>0</v>
      </c>
      <c r="AP68" s="19">
        <f>현금흐름취합!AB68</f>
        <v>0</v>
      </c>
      <c r="AQ68" s="19">
        <f>현금흐름취합!AC68</f>
        <v>0</v>
      </c>
      <c r="AR68" s="19">
        <f>현금흐름취합!AD68</f>
        <v>0</v>
      </c>
      <c r="AS68" s="19">
        <f>현금흐름취합!AE68</f>
        <v>0</v>
      </c>
      <c r="AT68" s="19">
        <f>현금흐름취합!AF68</f>
        <v>0</v>
      </c>
      <c r="AU68" s="19">
        <f>현금흐름취합!AG68</f>
        <v>0</v>
      </c>
      <c r="AV68" s="19">
        <f>현금흐름취합!AH68</f>
        <v>0</v>
      </c>
      <c r="AW68" s="19">
        <f>현금흐름취합!AI68</f>
        <v>0</v>
      </c>
      <c r="AX68" s="19">
        <f>현금흐름취합!AJ68</f>
        <v>0</v>
      </c>
      <c r="AY68" s="19">
        <f>현금흐름취합!AK68</f>
        <v>0</v>
      </c>
      <c r="AZ68" s="19">
        <f>현금흐름취합!AL68</f>
        <v>0</v>
      </c>
      <c r="BA68" s="19">
        <f>현금흐름취합!AM68</f>
        <v>0</v>
      </c>
      <c r="BB68" s="19">
        <f>현금흐름취합!AN68</f>
        <v>0</v>
      </c>
      <c r="BC68" s="19">
        <f>현금흐름취합!AO68</f>
        <v>0</v>
      </c>
      <c r="BD68" s="19">
        <f>현금흐름취합!AP68</f>
        <v>0</v>
      </c>
      <c r="BE68" s="19">
        <f>현금흐름취합!AQ68</f>
        <v>0</v>
      </c>
      <c r="BF68" s="19">
        <f>현금흐름취합!AR68</f>
        <v>0</v>
      </c>
      <c r="BG68" s="19">
        <f>현금흐름취합!AS68</f>
        <v>0</v>
      </c>
      <c r="BH68" s="19">
        <f>현금흐름취합!AT68</f>
        <v>0</v>
      </c>
      <c r="BI68" s="19">
        <f>현금흐름취합!AU68</f>
        <v>0</v>
      </c>
      <c r="BJ68" s="19">
        <f>현금흐름취합!AV68</f>
        <v>0</v>
      </c>
      <c r="BK68" s="19">
        <f>현금흐름취합!AW68</f>
        <v>0</v>
      </c>
      <c r="BL68" s="19">
        <f>현금흐름취합!AX68</f>
        <v>0</v>
      </c>
      <c r="BM68" s="19">
        <f>현금흐름취합!AY68</f>
        <v>0</v>
      </c>
      <c r="BN68" s="19">
        <f>현금흐름취합!AZ68</f>
        <v>0</v>
      </c>
      <c r="BO68" s="19">
        <f>현금흐름취합!BA68</f>
        <v>0</v>
      </c>
      <c r="BP68" s="19">
        <f>현금흐름취합!BB68</f>
        <v>0</v>
      </c>
      <c r="BQ68" s="19">
        <f>현금흐름취합!BC68</f>
        <v>0</v>
      </c>
      <c r="BR68" s="19">
        <f>현금흐름취합!BD68</f>
        <v>0</v>
      </c>
      <c r="BS68" s="19">
        <f>현금흐름취합!BE68</f>
        <v>0</v>
      </c>
      <c r="BT68" s="19">
        <f>현금흐름취합!BF68</f>
        <v>0</v>
      </c>
      <c r="BU68" s="19">
        <f>현금흐름취합!BG68</f>
        <v>0</v>
      </c>
      <c r="BV68" s="19">
        <f>현금흐름취합!BH68</f>
        <v>0</v>
      </c>
      <c r="BW68" s="19">
        <f>현금흐름취합!BI68</f>
        <v>0</v>
      </c>
      <c r="BX68" s="19">
        <f>현금흐름취합!BJ68</f>
        <v>0</v>
      </c>
      <c r="BY68" s="19">
        <f>현금흐름취합!BK68</f>
        <v>0</v>
      </c>
      <c r="BZ68" s="19">
        <f>현금흐름취합!BL68</f>
        <v>0</v>
      </c>
      <c r="CA68" s="19">
        <f>현금흐름취합!BM68</f>
        <v>0</v>
      </c>
      <c r="CB68" s="19">
        <f>현금흐름취합!BN68</f>
        <v>0</v>
      </c>
      <c r="CC68" s="19">
        <f>현금흐름취합!BO68</f>
        <v>0</v>
      </c>
      <c r="CD68" s="19">
        <f>현금흐름취합!BP68</f>
        <v>0</v>
      </c>
      <c r="CE68" s="19">
        <f>현금흐름취합!BQ68</f>
        <v>0</v>
      </c>
      <c r="CF68" s="19">
        <f>현금흐름취합!BR68</f>
        <v>0</v>
      </c>
      <c r="CG68" s="19">
        <f>현금흐름취합!BS68</f>
        <v>0</v>
      </c>
      <c r="CH68" s="19">
        <f>현금흐름취합!BT68</f>
        <v>0</v>
      </c>
      <c r="CI68" s="19">
        <f>현금흐름취합!BU68</f>
        <v>0</v>
      </c>
      <c r="CJ68" s="19">
        <f>현금흐름취합!BV68</f>
        <v>0</v>
      </c>
      <c r="CK68" s="19">
        <f>현금흐름취합!BW68</f>
        <v>0</v>
      </c>
      <c r="CL68" s="19">
        <f>현금흐름취합!BX68</f>
        <v>0</v>
      </c>
      <c r="CM68" s="19">
        <f>현금흐름취합!BY68</f>
        <v>0</v>
      </c>
      <c r="CN68" s="19">
        <f>현금흐름취합!BZ68</f>
        <v>0</v>
      </c>
      <c r="CO68" s="19">
        <f>현금흐름취합!CA68</f>
        <v>0</v>
      </c>
      <c r="CP68" s="19">
        <f>현금흐름취합!CB68</f>
        <v>0</v>
      </c>
      <c r="CQ68" s="19">
        <f>현금흐름취합!CC68</f>
        <v>0</v>
      </c>
      <c r="CR68" s="19">
        <f>현금흐름취합!CD68</f>
        <v>0</v>
      </c>
      <c r="CS68" s="19">
        <f>현금흐름취합!CE68</f>
        <v>0</v>
      </c>
      <c r="CT68" s="19">
        <f>현금흐름취합!CF68</f>
        <v>0</v>
      </c>
      <c r="CU68" s="19">
        <f>현금흐름취합!CG68</f>
        <v>0</v>
      </c>
      <c r="CV68" s="19">
        <f>현금흐름취합!CH68</f>
        <v>0</v>
      </c>
      <c r="CW68" s="19">
        <f>현금흐름취합!CI68</f>
        <v>0</v>
      </c>
      <c r="CX68" s="19">
        <f>현금흐름취합!CJ68</f>
        <v>0</v>
      </c>
      <c r="CY68" s="19">
        <f>현금흐름취합!CK68</f>
        <v>0</v>
      </c>
      <c r="CZ68" s="19">
        <f>현금흐름취합!CL68</f>
        <v>0</v>
      </c>
      <c r="DA68" s="19">
        <f>현금흐름취합!CM68</f>
        <v>0</v>
      </c>
      <c r="DB68" s="19">
        <f>현금흐름취합!CN68</f>
        <v>0</v>
      </c>
      <c r="DC68" s="19">
        <f>현금흐름취합!CO68</f>
        <v>0</v>
      </c>
      <c r="DD68" s="19">
        <f>현금흐름취합!CP68</f>
        <v>0</v>
      </c>
      <c r="DE68" s="19">
        <f>현금흐름취합!CQ68</f>
        <v>0</v>
      </c>
      <c r="DF68" s="19">
        <f>현금흐름취합!CR68</f>
        <v>0</v>
      </c>
      <c r="DG68" s="19">
        <f>현금흐름취합!CS68</f>
        <v>0</v>
      </c>
      <c r="DH68" s="19">
        <f>현금흐름취합!CT68</f>
        <v>0</v>
      </c>
      <c r="DI68" s="19">
        <f>현금흐름취합!CU68</f>
        <v>0</v>
      </c>
      <c r="DJ68" s="19">
        <f>현금흐름취합!CV68</f>
        <v>0</v>
      </c>
      <c r="DK68" s="19">
        <f>현금흐름취합!CW68</f>
        <v>0</v>
      </c>
      <c r="DL68" s="19">
        <f>현금흐름취합!CX68</f>
        <v>0</v>
      </c>
      <c r="DM68" s="19">
        <f>현금흐름취합!CY68</f>
        <v>0</v>
      </c>
      <c r="DN68" s="19">
        <f>현금흐름취합!CZ68</f>
        <v>0</v>
      </c>
      <c r="DO68" s="19">
        <f>현금흐름취합!DA68</f>
        <v>0</v>
      </c>
      <c r="DP68" s="19">
        <f>현금흐름취합!DB68</f>
        <v>0</v>
      </c>
      <c r="DQ68" s="19">
        <f>현금흐름취합!DC68</f>
        <v>0</v>
      </c>
      <c r="DR68" s="19">
        <f>현금흐름취합!DD68</f>
        <v>0</v>
      </c>
      <c r="DS68" s="19">
        <f>현금흐름취합!DE68</f>
        <v>0</v>
      </c>
      <c r="DT68" s="19">
        <f>현금흐름취합!DF68</f>
        <v>0</v>
      </c>
      <c r="DU68" s="19">
        <f>현금흐름취합!DG68</f>
        <v>0</v>
      </c>
      <c r="DV68" s="19">
        <f>현금흐름취합!DH68</f>
        <v>0</v>
      </c>
      <c r="DW68" s="19">
        <f>현금흐름취합!DI68</f>
        <v>0</v>
      </c>
      <c r="DX68" s="19">
        <f>현금흐름취합!DJ68</f>
        <v>0</v>
      </c>
      <c r="DY68" s="19">
        <f>현금흐름취합!DK68</f>
        <v>0</v>
      </c>
      <c r="DZ68" s="19">
        <f>현금흐름취합!DL68</f>
        <v>0</v>
      </c>
      <c r="EA68" s="19">
        <f>현금흐름취합!DM68</f>
        <v>0</v>
      </c>
      <c r="EB68" s="19">
        <f>현금흐름취합!DN68</f>
        <v>0</v>
      </c>
      <c r="EC68" s="19">
        <f>현금흐름취합!DO68</f>
        <v>0</v>
      </c>
      <c r="ED68" s="19">
        <f>현금흐름취합!DP68</f>
        <v>0</v>
      </c>
      <c r="EE68" s="19">
        <f>현금흐름취합!DQ68</f>
        <v>0</v>
      </c>
      <c r="EF68" s="19">
        <f>현금흐름취합!DR68</f>
        <v>0</v>
      </c>
      <c r="EG68" s="19">
        <f>현금흐름취합!DS68</f>
        <v>0</v>
      </c>
      <c r="EH68" s="19">
        <f>현금흐름취합!DT68</f>
        <v>0</v>
      </c>
      <c r="EI68" s="19">
        <f>현금흐름취합!DU68</f>
        <v>0</v>
      </c>
      <c r="EJ68" s="19">
        <f>현금흐름취합!DV68</f>
        <v>0</v>
      </c>
      <c r="EK68" s="19">
        <f>현금흐름취합!DW68</f>
        <v>0</v>
      </c>
      <c r="EL68" s="19">
        <f>현금흐름취합!DX68</f>
        <v>0</v>
      </c>
      <c r="EM68" s="19">
        <f>현금흐름취합!DY68</f>
        <v>0</v>
      </c>
      <c r="EN68" s="19">
        <f>현금흐름취합!DZ68</f>
        <v>0</v>
      </c>
      <c r="EO68" s="19">
        <f>현금흐름취합!EA68</f>
        <v>0</v>
      </c>
      <c r="EP68" s="19">
        <f>현금흐름취합!EB68</f>
        <v>0</v>
      </c>
      <c r="EQ68" s="19">
        <f>현금흐름취합!EC68</f>
        <v>0</v>
      </c>
      <c r="ER68" s="19">
        <f>현금흐름취합!ED68</f>
        <v>0</v>
      </c>
      <c r="ES68" s="19">
        <f>현금흐름취합!EE68</f>
        <v>0</v>
      </c>
    </row>
    <row r="69" spans="1:149" hidden="1">
      <c r="A69" s="7">
        <f>현금흐름취합!A69</f>
        <v>0</v>
      </c>
      <c r="B69" s="7">
        <f>현금흐름취합!B69</f>
        <v>0</v>
      </c>
      <c r="C69" s="7">
        <f>현금흐름취합!C69</f>
        <v>0</v>
      </c>
      <c r="D69" s="8">
        <f>현금흐름취합!D69</f>
        <v>0</v>
      </c>
      <c r="E69" s="37" t="str">
        <f t="shared" ref="E69" si="51">IF(R68&gt;R69,"역전현상","이상없음")</f>
        <v>이상없음</v>
      </c>
      <c r="F69" s="8">
        <f>현금흐름취합!E69</f>
        <v>0</v>
      </c>
      <c r="G69" s="37" t="str">
        <f t="shared" si="50"/>
        <v>pool 고치세요</v>
      </c>
      <c r="H69" s="9">
        <f>현금흐름취합!F69</f>
        <v>0</v>
      </c>
      <c r="I69" s="10">
        <f>현금흐름취합!G69</f>
        <v>0</v>
      </c>
      <c r="J69" s="39" t="e">
        <f t="shared" si="33"/>
        <v>#DIV/0!</v>
      </c>
      <c r="K69" s="11">
        <f>현금흐름취합!H69</f>
        <v>0</v>
      </c>
      <c r="L69" s="40" t="e">
        <f>VLOOKUP(A69,'Sheet A'!$E$11:$K$60,7,0)=K69</f>
        <v>#N/A</v>
      </c>
      <c r="M69" s="12">
        <f>현금흐름취합!I69</f>
        <v>0</v>
      </c>
      <c r="N69" s="40" t="str">
        <f t="shared" si="34"/>
        <v>검토요</v>
      </c>
      <c r="O69" s="13">
        <f>현금흐름취합!J69</f>
        <v>0</v>
      </c>
      <c r="P69" s="14">
        <f>현금흐름취합!K69</f>
        <v>0</v>
      </c>
      <c r="Q69" s="18">
        <f>현금흐름취합!L69</f>
        <v>0</v>
      </c>
      <c r="R69" s="15">
        <f>현금흐름취합!M69</f>
        <v>0</v>
      </c>
      <c r="S69" s="40" t="e">
        <f t="shared" si="35"/>
        <v>#NUM!</v>
      </c>
      <c r="T69" s="16">
        <f>현금흐름취합!N69</f>
        <v>0</v>
      </c>
      <c r="U69" s="40" t="b">
        <f t="shared" si="36"/>
        <v>1</v>
      </c>
      <c r="V69" s="46">
        <f>SUMIF(일반여신!$E$10:$E$35,검증!A69,일반여신!$O$10:$O$35)*0.985-SUMIF(가지급금!$E$10:$E$180,A69,가지급금!$K$10:$K$180)+SUMIF(가지급금!$E$10:$E$180,검증!A69,가지급금!$O$10:$O$180)*0.985</f>
        <v>0</v>
      </c>
      <c r="W69" s="47">
        <f t="shared" si="37"/>
        <v>0</v>
      </c>
      <c r="X69" s="48"/>
      <c r="Y69" s="49">
        <f>SUMIF('Sheet D'!$E$11:$E$60,A69,'Sheet D'!$P$11:$P$60)</f>
        <v>0</v>
      </c>
      <c r="Z69" s="48">
        <f>SUMIFS(일반여신!$M$10:$M$35,일반여신!$E$10:$E$35,A69,일반여신!$P$10:$P$35,"신옹보증서대위변제")</f>
        <v>0</v>
      </c>
      <c r="AA69" s="48">
        <f t="shared" si="38"/>
        <v>0</v>
      </c>
      <c r="AB69" s="50"/>
      <c r="AC69" s="19">
        <f>현금흐름취합!O69</f>
        <v>0</v>
      </c>
      <c r="AD69" s="19">
        <f>현금흐름취합!P69</f>
        <v>0</v>
      </c>
      <c r="AE69" s="19">
        <f>현금흐름취합!Q69</f>
        <v>0</v>
      </c>
      <c r="AF69" s="19">
        <f>현금흐름취합!R69</f>
        <v>0</v>
      </c>
      <c r="AG69" s="19">
        <f>현금흐름취합!S69</f>
        <v>0</v>
      </c>
      <c r="AH69" s="19">
        <f>현금흐름취합!T69</f>
        <v>0</v>
      </c>
      <c r="AI69" s="19">
        <f>현금흐름취합!U69</f>
        <v>0</v>
      </c>
      <c r="AJ69" s="19">
        <f>현금흐름취합!V69</f>
        <v>0</v>
      </c>
      <c r="AK69" s="19">
        <f>현금흐름취합!W69</f>
        <v>0</v>
      </c>
      <c r="AL69" s="19">
        <f>현금흐름취합!X69</f>
        <v>0</v>
      </c>
      <c r="AM69" s="19">
        <f>현금흐름취합!Y69</f>
        <v>0</v>
      </c>
      <c r="AN69" s="19">
        <f>현금흐름취합!Z69</f>
        <v>0</v>
      </c>
      <c r="AO69" s="19">
        <f>현금흐름취합!AA69</f>
        <v>0</v>
      </c>
      <c r="AP69" s="19">
        <f>현금흐름취합!AB69</f>
        <v>0</v>
      </c>
      <c r="AQ69" s="19">
        <f>현금흐름취합!AC69</f>
        <v>0</v>
      </c>
      <c r="AR69" s="19">
        <f>현금흐름취합!AD69</f>
        <v>0</v>
      </c>
      <c r="AS69" s="19">
        <f>현금흐름취합!AE69</f>
        <v>0</v>
      </c>
      <c r="AT69" s="19">
        <f>현금흐름취합!AF69</f>
        <v>0</v>
      </c>
      <c r="AU69" s="19">
        <f>현금흐름취합!AG69</f>
        <v>0</v>
      </c>
      <c r="AV69" s="19">
        <f>현금흐름취합!AH69</f>
        <v>0</v>
      </c>
      <c r="AW69" s="19">
        <f>현금흐름취합!AI69</f>
        <v>0</v>
      </c>
      <c r="AX69" s="19">
        <f>현금흐름취합!AJ69</f>
        <v>0</v>
      </c>
      <c r="AY69" s="19">
        <f>현금흐름취합!AK69</f>
        <v>0</v>
      </c>
      <c r="AZ69" s="19">
        <f>현금흐름취합!AL69</f>
        <v>0</v>
      </c>
      <c r="BA69" s="19">
        <f>현금흐름취합!AM69</f>
        <v>0</v>
      </c>
      <c r="BB69" s="19">
        <f>현금흐름취합!AN69</f>
        <v>0</v>
      </c>
      <c r="BC69" s="19">
        <f>현금흐름취합!AO69</f>
        <v>0</v>
      </c>
      <c r="BD69" s="19">
        <f>현금흐름취합!AP69</f>
        <v>0</v>
      </c>
      <c r="BE69" s="19">
        <f>현금흐름취합!AQ69</f>
        <v>0</v>
      </c>
      <c r="BF69" s="19">
        <f>현금흐름취합!AR69</f>
        <v>0</v>
      </c>
      <c r="BG69" s="19">
        <f>현금흐름취합!AS69</f>
        <v>0</v>
      </c>
      <c r="BH69" s="19">
        <f>현금흐름취합!AT69</f>
        <v>0</v>
      </c>
      <c r="BI69" s="19">
        <f>현금흐름취합!AU69</f>
        <v>0</v>
      </c>
      <c r="BJ69" s="19">
        <f>현금흐름취합!AV69</f>
        <v>0</v>
      </c>
      <c r="BK69" s="19">
        <f>현금흐름취합!AW69</f>
        <v>0</v>
      </c>
      <c r="BL69" s="19">
        <f>현금흐름취합!AX69</f>
        <v>0</v>
      </c>
      <c r="BM69" s="19">
        <f>현금흐름취합!AY69</f>
        <v>0</v>
      </c>
      <c r="BN69" s="19">
        <f>현금흐름취합!AZ69</f>
        <v>0</v>
      </c>
      <c r="BO69" s="19">
        <f>현금흐름취합!BA69</f>
        <v>0</v>
      </c>
      <c r="BP69" s="19">
        <f>현금흐름취합!BB69</f>
        <v>0</v>
      </c>
      <c r="BQ69" s="19">
        <f>현금흐름취합!BC69</f>
        <v>0</v>
      </c>
      <c r="BR69" s="19">
        <f>현금흐름취합!BD69</f>
        <v>0</v>
      </c>
      <c r="BS69" s="19">
        <f>현금흐름취합!BE69</f>
        <v>0</v>
      </c>
      <c r="BT69" s="19">
        <f>현금흐름취합!BF69</f>
        <v>0</v>
      </c>
      <c r="BU69" s="19">
        <f>현금흐름취합!BG69</f>
        <v>0</v>
      </c>
      <c r="BV69" s="19">
        <f>현금흐름취합!BH69</f>
        <v>0</v>
      </c>
      <c r="BW69" s="19">
        <f>현금흐름취합!BI69</f>
        <v>0</v>
      </c>
      <c r="BX69" s="19">
        <f>현금흐름취합!BJ69</f>
        <v>0</v>
      </c>
      <c r="BY69" s="19">
        <f>현금흐름취합!BK69</f>
        <v>0</v>
      </c>
      <c r="BZ69" s="19">
        <f>현금흐름취합!BL69</f>
        <v>0</v>
      </c>
      <c r="CA69" s="19">
        <f>현금흐름취합!BM69</f>
        <v>0</v>
      </c>
      <c r="CB69" s="19">
        <f>현금흐름취합!BN69</f>
        <v>0</v>
      </c>
      <c r="CC69" s="19">
        <f>현금흐름취합!BO69</f>
        <v>0</v>
      </c>
      <c r="CD69" s="19">
        <f>현금흐름취합!BP69</f>
        <v>0</v>
      </c>
      <c r="CE69" s="19">
        <f>현금흐름취합!BQ69</f>
        <v>0</v>
      </c>
      <c r="CF69" s="19">
        <f>현금흐름취합!BR69</f>
        <v>0</v>
      </c>
      <c r="CG69" s="19">
        <f>현금흐름취합!BS69</f>
        <v>0</v>
      </c>
      <c r="CH69" s="19">
        <f>현금흐름취합!BT69</f>
        <v>0</v>
      </c>
      <c r="CI69" s="19">
        <f>현금흐름취합!BU69</f>
        <v>0</v>
      </c>
      <c r="CJ69" s="19">
        <f>현금흐름취합!BV69</f>
        <v>0</v>
      </c>
      <c r="CK69" s="19">
        <f>현금흐름취합!BW69</f>
        <v>0</v>
      </c>
      <c r="CL69" s="19">
        <f>현금흐름취합!BX69</f>
        <v>0</v>
      </c>
      <c r="CM69" s="19">
        <f>현금흐름취합!BY69</f>
        <v>0</v>
      </c>
      <c r="CN69" s="19">
        <f>현금흐름취합!BZ69</f>
        <v>0</v>
      </c>
      <c r="CO69" s="19">
        <f>현금흐름취합!CA69</f>
        <v>0</v>
      </c>
      <c r="CP69" s="19">
        <f>현금흐름취합!CB69</f>
        <v>0</v>
      </c>
      <c r="CQ69" s="19">
        <f>현금흐름취합!CC69</f>
        <v>0</v>
      </c>
      <c r="CR69" s="19">
        <f>현금흐름취합!CD69</f>
        <v>0</v>
      </c>
      <c r="CS69" s="19">
        <f>현금흐름취합!CE69</f>
        <v>0</v>
      </c>
      <c r="CT69" s="19">
        <f>현금흐름취합!CF69</f>
        <v>0</v>
      </c>
      <c r="CU69" s="19">
        <f>현금흐름취합!CG69</f>
        <v>0</v>
      </c>
      <c r="CV69" s="19">
        <f>현금흐름취합!CH69</f>
        <v>0</v>
      </c>
      <c r="CW69" s="19">
        <f>현금흐름취합!CI69</f>
        <v>0</v>
      </c>
      <c r="CX69" s="19">
        <f>현금흐름취합!CJ69</f>
        <v>0</v>
      </c>
      <c r="CY69" s="19">
        <f>현금흐름취합!CK69</f>
        <v>0</v>
      </c>
      <c r="CZ69" s="19">
        <f>현금흐름취합!CL69</f>
        <v>0</v>
      </c>
      <c r="DA69" s="19">
        <f>현금흐름취합!CM69</f>
        <v>0</v>
      </c>
      <c r="DB69" s="19">
        <f>현금흐름취합!CN69</f>
        <v>0</v>
      </c>
      <c r="DC69" s="19">
        <f>현금흐름취합!CO69</f>
        <v>0</v>
      </c>
      <c r="DD69" s="19">
        <f>현금흐름취합!CP69</f>
        <v>0</v>
      </c>
      <c r="DE69" s="19">
        <f>현금흐름취합!CQ69</f>
        <v>0</v>
      </c>
      <c r="DF69" s="19">
        <f>현금흐름취합!CR69</f>
        <v>0</v>
      </c>
      <c r="DG69" s="19">
        <f>현금흐름취합!CS69</f>
        <v>0</v>
      </c>
      <c r="DH69" s="19">
        <f>현금흐름취합!CT69</f>
        <v>0</v>
      </c>
      <c r="DI69" s="19">
        <f>현금흐름취합!CU69</f>
        <v>0</v>
      </c>
      <c r="DJ69" s="19">
        <f>현금흐름취합!CV69</f>
        <v>0</v>
      </c>
      <c r="DK69" s="19">
        <f>현금흐름취합!CW69</f>
        <v>0</v>
      </c>
      <c r="DL69" s="19">
        <f>현금흐름취합!CX69</f>
        <v>0</v>
      </c>
      <c r="DM69" s="19">
        <f>현금흐름취합!CY69</f>
        <v>0</v>
      </c>
      <c r="DN69" s="19">
        <f>현금흐름취합!CZ69</f>
        <v>0</v>
      </c>
      <c r="DO69" s="19">
        <f>현금흐름취합!DA69</f>
        <v>0</v>
      </c>
      <c r="DP69" s="19">
        <f>현금흐름취합!DB69</f>
        <v>0</v>
      </c>
      <c r="DQ69" s="19">
        <f>현금흐름취합!DC69</f>
        <v>0</v>
      </c>
      <c r="DR69" s="19">
        <f>현금흐름취합!DD69</f>
        <v>0</v>
      </c>
      <c r="DS69" s="19">
        <f>현금흐름취합!DE69</f>
        <v>0</v>
      </c>
      <c r="DT69" s="19">
        <f>현금흐름취합!DF69</f>
        <v>0</v>
      </c>
      <c r="DU69" s="19">
        <f>현금흐름취합!DG69</f>
        <v>0</v>
      </c>
      <c r="DV69" s="19">
        <f>현금흐름취합!DH69</f>
        <v>0</v>
      </c>
      <c r="DW69" s="19">
        <f>현금흐름취합!DI69</f>
        <v>0</v>
      </c>
      <c r="DX69" s="19">
        <f>현금흐름취합!DJ69</f>
        <v>0</v>
      </c>
      <c r="DY69" s="19">
        <f>현금흐름취합!DK69</f>
        <v>0</v>
      </c>
      <c r="DZ69" s="19">
        <f>현금흐름취합!DL69</f>
        <v>0</v>
      </c>
      <c r="EA69" s="19">
        <f>현금흐름취합!DM69</f>
        <v>0</v>
      </c>
      <c r="EB69" s="19">
        <f>현금흐름취합!DN69</f>
        <v>0</v>
      </c>
      <c r="EC69" s="19">
        <f>현금흐름취합!DO69</f>
        <v>0</v>
      </c>
      <c r="ED69" s="19">
        <f>현금흐름취합!DP69</f>
        <v>0</v>
      </c>
      <c r="EE69" s="19">
        <f>현금흐름취합!DQ69</f>
        <v>0</v>
      </c>
      <c r="EF69" s="19">
        <f>현금흐름취합!DR69</f>
        <v>0</v>
      </c>
      <c r="EG69" s="19">
        <f>현금흐름취합!DS69</f>
        <v>0</v>
      </c>
      <c r="EH69" s="19">
        <f>현금흐름취합!DT69</f>
        <v>0</v>
      </c>
      <c r="EI69" s="19">
        <f>현금흐름취합!DU69</f>
        <v>0</v>
      </c>
      <c r="EJ69" s="19">
        <f>현금흐름취합!DV69</f>
        <v>0</v>
      </c>
      <c r="EK69" s="19">
        <f>현금흐름취합!DW69</f>
        <v>0</v>
      </c>
      <c r="EL69" s="19">
        <f>현금흐름취합!DX69</f>
        <v>0</v>
      </c>
      <c r="EM69" s="19">
        <f>현금흐름취합!DY69</f>
        <v>0</v>
      </c>
      <c r="EN69" s="19">
        <f>현금흐름취합!DZ69</f>
        <v>0</v>
      </c>
      <c r="EO69" s="19">
        <f>현금흐름취합!EA69</f>
        <v>0</v>
      </c>
      <c r="EP69" s="19">
        <f>현금흐름취합!EB69</f>
        <v>0</v>
      </c>
      <c r="EQ69" s="19">
        <f>현금흐름취합!EC69</f>
        <v>0</v>
      </c>
      <c r="ER69" s="19">
        <f>현금흐름취합!ED69</f>
        <v>0</v>
      </c>
      <c r="ES69" s="19">
        <f>현금흐름취합!EE69</f>
        <v>0</v>
      </c>
    </row>
    <row r="70" spans="1:149" hidden="1">
      <c r="A70" s="7">
        <f>현금흐름취합!A70</f>
        <v>0</v>
      </c>
      <c r="B70" s="7">
        <f>현금흐름취합!B70</f>
        <v>0</v>
      </c>
      <c r="C70" s="7">
        <f>현금흐름취합!C70</f>
        <v>0</v>
      </c>
      <c r="D70" s="8">
        <f>현금흐름취합!D70</f>
        <v>0</v>
      </c>
      <c r="E70" s="37"/>
      <c r="F70" s="8">
        <f>현금흐름취합!E70</f>
        <v>0</v>
      </c>
      <c r="G70" s="37" t="str">
        <f t="shared" si="50"/>
        <v>pool 고치세요</v>
      </c>
      <c r="H70" s="9">
        <f>현금흐름취합!F70</f>
        <v>0</v>
      </c>
      <c r="I70" s="10">
        <f>현금흐름취합!G70</f>
        <v>0</v>
      </c>
      <c r="J70" s="39" t="e">
        <f t="shared" si="33"/>
        <v>#DIV/0!</v>
      </c>
      <c r="K70" s="11">
        <f>현금흐름취합!H70</f>
        <v>0</v>
      </c>
      <c r="L70" s="40" t="e">
        <f>VLOOKUP(A70,'Sheet A'!$E$11:$K$60,7,0)=K70</f>
        <v>#N/A</v>
      </c>
      <c r="M70" s="12">
        <f>현금흐름취합!I70</f>
        <v>0</v>
      </c>
      <c r="N70" s="40" t="str">
        <f t="shared" si="34"/>
        <v>검토요</v>
      </c>
      <c r="O70" s="13">
        <f>현금흐름취합!J70</f>
        <v>0</v>
      </c>
      <c r="P70" s="14">
        <f>현금흐름취합!K70</f>
        <v>0</v>
      </c>
      <c r="Q70" s="18">
        <f>현금흐름취합!L70</f>
        <v>0</v>
      </c>
      <c r="R70" s="15">
        <f>현금흐름취합!M70</f>
        <v>0</v>
      </c>
      <c r="S70" s="40" t="e">
        <f t="shared" si="35"/>
        <v>#NUM!</v>
      </c>
      <c r="T70" s="16">
        <f>현금흐름취합!N70</f>
        <v>0</v>
      </c>
      <c r="U70" s="40" t="b">
        <f t="shared" si="36"/>
        <v>1</v>
      </c>
      <c r="V70" s="46">
        <f>SUMIF(일반여신!$E$10:$E$35,검증!A70,일반여신!$O$10:$O$35)*0.985-SUMIF(가지급금!$E$10:$E$180,A70,가지급금!$K$10:$K$180)+SUMIF(가지급금!$E$10:$E$180,검증!A70,가지급금!$O$10:$O$180)*0.985</f>
        <v>0</v>
      </c>
      <c r="W70" s="47">
        <f t="shared" si="37"/>
        <v>0</v>
      </c>
      <c r="X70" s="48"/>
      <c r="Y70" s="49">
        <f>SUMIF('Sheet D'!$E$11:$E$60,A70,'Sheet D'!$P$11:$P$60)</f>
        <v>0</v>
      </c>
      <c r="Z70" s="48">
        <f>SUMIFS(일반여신!$M$10:$M$35,일반여신!$E$10:$E$35,A70,일반여신!$P$10:$P$35,"신옹보증서대위변제")</f>
        <v>0</v>
      </c>
      <c r="AA70" s="48">
        <f t="shared" si="38"/>
        <v>0</v>
      </c>
      <c r="AB70" s="50"/>
      <c r="AC70" s="19">
        <f>현금흐름취합!O70</f>
        <v>0</v>
      </c>
      <c r="AD70" s="19">
        <f>현금흐름취합!P70</f>
        <v>0</v>
      </c>
      <c r="AE70" s="19">
        <f>현금흐름취합!Q70</f>
        <v>0</v>
      </c>
      <c r="AF70" s="19">
        <f>현금흐름취합!R70</f>
        <v>0</v>
      </c>
      <c r="AG70" s="19">
        <f>현금흐름취합!S70</f>
        <v>0</v>
      </c>
      <c r="AH70" s="19">
        <f>현금흐름취합!T70</f>
        <v>0</v>
      </c>
      <c r="AI70" s="19">
        <f>현금흐름취합!U70</f>
        <v>0</v>
      </c>
      <c r="AJ70" s="19">
        <f>현금흐름취합!V70</f>
        <v>0</v>
      </c>
      <c r="AK70" s="19">
        <f>현금흐름취합!W70</f>
        <v>0</v>
      </c>
      <c r="AL70" s="19">
        <f>현금흐름취합!X70</f>
        <v>0</v>
      </c>
      <c r="AM70" s="19">
        <f>현금흐름취합!Y70</f>
        <v>0</v>
      </c>
      <c r="AN70" s="19">
        <f>현금흐름취합!Z70</f>
        <v>0</v>
      </c>
      <c r="AO70" s="19">
        <f>현금흐름취합!AA70</f>
        <v>0</v>
      </c>
      <c r="AP70" s="19">
        <f>현금흐름취합!AB70</f>
        <v>0</v>
      </c>
      <c r="AQ70" s="19">
        <f>현금흐름취합!AC70</f>
        <v>0</v>
      </c>
      <c r="AR70" s="19">
        <f>현금흐름취합!AD70</f>
        <v>0</v>
      </c>
      <c r="AS70" s="19">
        <f>현금흐름취합!AE70</f>
        <v>0</v>
      </c>
      <c r="AT70" s="19">
        <f>현금흐름취합!AF70</f>
        <v>0</v>
      </c>
      <c r="AU70" s="19">
        <f>현금흐름취합!AG70</f>
        <v>0</v>
      </c>
      <c r="AV70" s="19">
        <f>현금흐름취합!AH70</f>
        <v>0</v>
      </c>
      <c r="AW70" s="19">
        <f>현금흐름취합!AI70</f>
        <v>0</v>
      </c>
      <c r="AX70" s="19">
        <f>현금흐름취합!AJ70</f>
        <v>0</v>
      </c>
      <c r="AY70" s="19">
        <f>현금흐름취합!AK70</f>
        <v>0</v>
      </c>
      <c r="AZ70" s="19">
        <f>현금흐름취합!AL70</f>
        <v>0</v>
      </c>
      <c r="BA70" s="19">
        <f>현금흐름취합!AM70</f>
        <v>0</v>
      </c>
      <c r="BB70" s="19">
        <f>현금흐름취합!AN70</f>
        <v>0</v>
      </c>
      <c r="BC70" s="19">
        <f>현금흐름취합!AO70</f>
        <v>0</v>
      </c>
      <c r="BD70" s="19">
        <f>현금흐름취합!AP70</f>
        <v>0</v>
      </c>
      <c r="BE70" s="19">
        <f>현금흐름취합!AQ70</f>
        <v>0</v>
      </c>
      <c r="BF70" s="19">
        <f>현금흐름취합!AR70</f>
        <v>0</v>
      </c>
      <c r="BG70" s="19">
        <f>현금흐름취합!AS70</f>
        <v>0</v>
      </c>
      <c r="BH70" s="19">
        <f>현금흐름취합!AT70</f>
        <v>0</v>
      </c>
      <c r="BI70" s="19">
        <f>현금흐름취합!AU70</f>
        <v>0</v>
      </c>
      <c r="BJ70" s="19">
        <f>현금흐름취합!AV70</f>
        <v>0</v>
      </c>
      <c r="BK70" s="19">
        <f>현금흐름취합!AW70</f>
        <v>0</v>
      </c>
      <c r="BL70" s="19">
        <f>현금흐름취합!AX70</f>
        <v>0</v>
      </c>
      <c r="BM70" s="19">
        <f>현금흐름취합!AY70</f>
        <v>0</v>
      </c>
      <c r="BN70" s="19">
        <f>현금흐름취합!AZ70</f>
        <v>0</v>
      </c>
      <c r="BO70" s="19">
        <f>현금흐름취합!BA70</f>
        <v>0</v>
      </c>
      <c r="BP70" s="19">
        <f>현금흐름취합!BB70</f>
        <v>0</v>
      </c>
      <c r="BQ70" s="19">
        <f>현금흐름취합!BC70</f>
        <v>0</v>
      </c>
      <c r="BR70" s="19">
        <f>현금흐름취합!BD70</f>
        <v>0</v>
      </c>
      <c r="BS70" s="19">
        <f>현금흐름취합!BE70</f>
        <v>0</v>
      </c>
      <c r="BT70" s="19">
        <f>현금흐름취합!BF70</f>
        <v>0</v>
      </c>
      <c r="BU70" s="19">
        <f>현금흐름취합!BG70</f>
        <v>0</v>
      </c>
      <c r="BV70" s="19">
        <f>현금흐름취합!BH70</f>
        <v>0</v>
      </c>
      <c r="BW70" s="19">
        <f>현금흐름취합!BI70</f>
        <v>0</v>
      </c>
      <c r="BX70" s="19">
        <f>현금흐름취합!BJ70</f>
        <v>0</v>
      </c>
      <c r="BY70" s="19">
        <f>현금흐름취합!BK70</f>
        <v>0</v>
      </c>
      <c r="BZ70" s="19">
        <f>현금흐름취합!BL70</f>
        <v>0</v>
      </c>
      <c r="CA70" s="19">
        <f>현금흐름취합!BM70</f>
        <v>0</v>
      </c>
      <c r="CB70" s="19">
        <f>현금흐름취합!BN70</f>
        <v>0</v>
      </c>
      <c r="CC70" s="19">
        <f>현금흐름취합!BO70</f>
        <v>0</v>
      </c>
      <c r="CD70" s="19">
        <f>현금흐름취합!BP70</f>
        <v>0</v>
      </c>
      <c r="CE70" s="19">
        <f>현금흐름취합!BQ70</f>
        <v>0</v>
      </c>
      <c r="CF70" s="19">
        <f>현금흐름취합!BR70</f>
        <v>0</v>
      </c>
      <c r="CG70" s="19">
        <f>현금흐름취합!BS70</f>
        <v>0</v>
      </c>
      <c r="CH70" s="19">
        <f>현금흐름취합!BT70</f>
        <v>0</v>
      </c>
      <c r="CI70" s="19">
        <f>현금흐름취합!BU70</f>
        <v>0</v>
      </c>
      <c r="CJ70" s="19">
        <f>현금흐름취합!BV70</f>
        <v>0</v>
      </c>
      <c r="CK70" s="19">
        <f>현금흐름취합!BW70</f>
        <v>0</v>
      </c>
      <c r="CL70" s="19">
        <f>현금흐름취합!BX70</f>
        <v>0</v>
      </c>
      <c r="CM70" s="19">
        <f>현금흐름취합!BY70</f>
        <v>0</v>
      </c>
      <c r="CN70" s="19">
        <f>현금흐름취합!BZ70</f>
        <v>0</v>
      </c>
      <c r="CO70" s="19">
        <f>현금흐름취합!CA70</f>
        <v>0</v>
      </c>
      <c r="CP70" s="19">
        <f>현금흐름취합!CB70</f>
        <v>0</v>
      </c>
      <c r="CQ70" s="19">
        <f>현금흐름취합!CC70</f>
        <v>0</v>
      </c>
      <c r="CR70" s="19">
        <f>현금흐름취합!CD70</f>
        <v>0</v>
      </c>
      <c r="CS70" s="19">
        <f>현금흐름취합!CE70</f>
        <v>0</v>
      </c>
      <c r="CT70" s="19">
        <f>현금흐름취합!CF70</f>
        <v>0</v>
      </c>
      <c r="CU70" s="19">
        <f>현금흐름취합!CG70</f>
        <v>0</v>
      </c>
      <c r="CV70" s="19">
        <f>현금흐름취합!CH70</f>
        <v>0</v>
      </c>
      <c r="CW70" s="19">
        <f>현금흐름취합!CI70</f>
        <v>0</v>
      </c>
      <c r="CX70" s="19">
        <f>현금흐름취합!CJ70</f>
        <v>0</v>
      </c>
      <c r="CY70" s="19">
        <f>현금흐름취합!CK70</f>
        <v>0</v>
      </c>
      <c r="CZ70" s="19">
        <f>현금흐름취합!CL70</f>
        <v>0</v>
      </c>
      <c r="DA70" s="19">
        <f>현금흐름취합!CM70</f>
        <v>0</v>
      </c>
      <c r="DB70" s="19">
        <f>현금흐름취합!CN70</f>
        <v>0</v>
      </c>
      <c r="DC70" s="19">
        <f>현금흐름취합!CO70</f>
        <v>0</v>
      </c>
      <c r="DD70" s="19">
        <f>현금흐름취합!CP70</f>
        <v>0</v>
      </c>
      <c r="DE70" s="19">
        <f>현금흐름취합!CQ70</f>
        <v>0</v>
      </c>
      <c r="DF70" s="19">
        <f>현금흐름취합!CR70</f>
        <v>0</v>
      </c>
      <c r="DG70" s="19">
        <f>현금흐름취합!CS70</f>
        <v>0</v>
      </c>
      <c r="DH70" s="19">
        <f>현금흐름취합!CT70</f>
        <v>0</v>
      </c>
      <c r="DI70" s="19">
        <f>현금흐름취합!CU70</f>
        <v>0</v>
      </c>
      <c r="DJ70" s="19">
        <f>현금흐름취합!CV70</f>
        <v>0</v>
      </c>
      <c r="DK70" s="19">
        <f>현금흐름취합!CW70</f>
        <v>0</v>
      </c>
      <c r="DL70" s="19">
        <f>현금흐름취합!CX70</f>
        <v>0</v>
      </c>
      <c r="DM70" s="19">
        <f>현금흐름취합!CY70</f>
        <v>0</v>
      </c>
      <c r="DN70" s="19">
        <f>현금흐름취합!CZ70</f>
        <v>0</v>
      </c>
      <c r="DO70" s="19">
        <f>현금흐름취합!DA70</f>
        <v>0</v>
      </c>
      <c r="DP70" s="19">
        <f>현금흐름취합!DB70</f>
        <v>0</v>
      </c>
      <c r="DQ70" s="19">
        <f>현금흐름취합!DC70</f>
        <v>0</v>
      </c>
      <c r="DR70" s="19">
        <f>현금흐름취합!DD70</f>
        <v>0</v>
      </c>
      <c r="DS70" s="19">
        <f>현금흐름취합!DE70</f>
        <v>0</v>
      </c>
      <c r="DT70" s="19">
        <f>현금흐름취합!DF70</f>
        <v>0</v>
      </c>
      <c r="DU70" s="19">
        <f>현금흐름취합!DG70</f>
        <v>0</v>
      </c>
      <c r="DV70" s="19">
        <f>현금흐름취합!DH70</f>
        <v>0</v>
      </c>
      <c r="DW70" s="19">
        <f>현금흐름취합!DI70</f>
        <v>0</v>
      </c>
      <c r="DX70" s="19">
        <f>현금흐름취합!DJ70</f>
        <v>0</v>
      </c>
      <c r="DY70" s="19">
        <f>현금흐름취합!DK70</f>
        <v>0</v>
      </c>
      <c r="DZ70" s="19">
        <f>현금흐름취합!DL70</f>
        <v>0</v>
      </c>
      <c r="EA70" s="19">
        <f>현금흐름취합!DM70</f>
        <v>0</v>
      </c>
      <c r="EB70" s="19">
        <f>현금흐름취합!DN70</f>
        <v>0</v>
      </c>
      <c r="EC70" s="19">
        <f>현금흐름취합!DO70</f>
        <v>0</v>
      </c>
      <c r="ED70" s="19">
        <f>현금흐름취합!DP70</f>
        <v>0</v>
      </c>
      <c r="EE70" s="19">
        <f>현금흐름취합!DQ70</f>
        <v>0</v>
      </c>
      <c r="EF70" s="19">
        <f>현금흐름취합!DR70</f>
        <v>0</v>
      </c>
      <c r="EG70" s="19">
        <f>현금흐름취합!DS70</f>
        <v>0</v>
      </c>
      <c r="EH70" s="19">
        <f>현금흐름취합!DT70</f>
        <v>0</v>
      </c>
      <c r="EI70" s="19">
        <f>현금흐름취합!DU70</f>
        <v>0</v>
      </c>
      <c r="EJ70" s="19">
        <f>현금흐름취합!DV70</f>
        <v>0</v>
      </c>
      <c r="EK70" s="19">
        <f>현금흐름취합!DW70</f>
        <v>0</v>
      </c>
      <c r="EL70" s="19">
        <f>현금흐름취합!DX70</f>
        <v>0</v>
      </c>
      <c r="EM70" s="19">
        <f>현금흐름취합!DY70</f>
        <v>0</v>
      </c>
      <c r="EN70" s="19">
        <f>현금흐름취합!DZ70</f>
        <v>0</v>
      </c>
      <c r="EO70" s="19">
        <f>현금흐름취합!EA70</f>
        <v>0</v>
      </c>
      <c r="EP70" s="19">
        <f>현금흐름취합!EB70</f>
        <v>0</v>
      </c>
      <c r="EQ70" s="19">
        <f>현금흐름취합!EC70</f>
        <v>0</v>
      </c>
      <c r="ER70" s="19">
        <f>현금흐름취합!ED70</f>
        <v>0</v>
      </c>
      <c r="ES70" s="19">
        <f>현금흐름취합!EE70</f>
        <v>0</v>
      </c>
    </row>
    <row r="71" spans="1:149" hidden="1">
      <c r="A71" s="7">
        <f>현금흐름취합!A71</f>
        <v>0</v>
      </c>
      <c r="B71" s="7">
        <f>현금흐름취합!B71</f>
        <v>0</v>
      </c>
      <c r="C71" s="7">
        <f>현금흐름취합!C71</f>
        <v>0</v>
      </c>
      <c r="D71" s="8">
        <f>현금흐름취합!D71</f>
        <v>0</v>
      </c>
      <c r="E71" s="37" t="str">
        <f t="shared" ref="E71" si="52">IF(R70&gt;R71,"역전현상","이상없음")</f>
        <v>이상없음</v>
      </c>
      <c r="F71" s="8">
        <f>현금흐름취합!E71</f>
        <v>0</v>
      </c>
      <c r="G71" s="37" t="str">
        <f t="shared" si="50"/>
        <v>pool 고치세요</v>
      </c>
      <c r="H71" s="9">
        <f>현금흐름취합!F71</f>
        <v>0</v>
      </c>
      <c r="I71" s="10">
        <f>현금흐름취합!G71</f>
        <v>0</v>
      </c>
      <c r="J71" s="39" t="e">
        <f t="shared" si="33"/>
        <v>#DIV/0!</v>
      </c>
      <c r="K71" s="11">
        <f>현금흐름취합!H71</f>
        <v>0</v>
      </c>
      <c r="L71" s="40" t="e">
        <f>VLOOKUP(A71,'Sheet A'!$E$11:$K$60,7,0)=K71</f>
        <v>#N/A</v>
      </c>
      <c r="M71" s="12">
        <f>현금흐름취합!I71</f>
        <v>0</v>
      </c>
      <c r="N71" s="40" t="str">
        <f t="shared" si="34"/>
        <v>검토요</v>
      </c>
      <c r="O71" s="13">
        <f>현금흐름취합!J71</f>
        <v>0</v>
      </c>
      <c r="P71" s="14">
        <f>현금흐름취합!K71</f>
        <v>0</v>
      </c>
      <c r="Q71" s="18">
        <f>현금흐름취합!L71</f>
        <v>0</v>
      </c>
      <c r="R71" s="15">
        <f>현금흐름취합!M71</f>
        <v>0</v>
      </c>
      <c r="S71" s="40" t="e">
        <f t="shared" si="35"/>
        <v>#NUM!</v>
      </c>
      <c r="T71" s="16">
        <f>현금흐름취합!N71</f>
        <v>0</v>
      </c>
      <c r="U71" s="40" t="b">
        <f t="shared" si="36"/>
        <v>1</v>
      </c>
      <c r="V71" s="46">
        <f>SUMIF(일반여신!$E$10:$E$35,검증!A71,일반여신!$O$10:$O$35)*0.985-SUMIF(가지급금!$E$10:$E$180,A71,가지급금!$K$10:$K$180)+SUMIF(가지급금!$E$10:$E$180,검증!A71,가지급금!$O$10:$O$180)*0.985</f>
        <v>0</v>
      </c>
      <c r="W71" s="47">
        <f t="shared" si="37"/>
        <v>0</v>
      </c>
      <c r="X71" s="48"/>
      <c r="Y71" s="49">
        <f>SUMIF('Sheet D'!$E$11:$E$60,A71,'Sheet D'!$P$11:$P$60)</f>
        <v>0</v>
      </c>
      <c r="Z71" s="48">
        <f>SUMIFS(일반여신!$M$10:$M$35,일반여신!$E$10:$E$35,A71,일반여신!$P$10:$P$35,"신옹보증서대위변제")</f>
        <v>0</v>
      </c>
      <c r="AA71" s="48">
        <f t="shared" si="38"/>
        <v>0</v>
      </c>
      <c r="AB71" s="50"/>
      <c r="AC71" s="19">
        <f>현금흐름취합!O71</f>
        <v>0</v>
      </c>
      <c r="AD71" s="19">
        <f>현금흐름취합!P71</f>
        <v>0</v>
      </c>
      <c r="AE71" s="19">
        <f>현금흐름취합!Q71</f>
        <v>0</v>
      </c>
      <c r="AF71" s="19">
        <f>현금흐름취합!R71</f>
        <v>0</v>
      </c>
      <c r="AG71" s="19">
        <f>현금흐름취합!S71</f>
        <v>0</v>
      </c>
      <c r="AH71" s="19">
        <f>현금흐름취합!T71</f>
        <v>0</v>
      </c>
      <c r="AI71" s="19">
        <f>현금흐름취합!U71</f>
        <v>0</v>
      </c>
      <c r="AJ71" s="19">
        <f>현금흐름취합!V71</f>
        <v>0</v>
      </c>
      <c r="AK71" s="19">
        <f>현금흐름취합!W71</f>
        <v>0</v>
      </c>
      <c r="AL71" s="19">
        <f>현금흐름취합!X71</f>
        <v>0</v>
      </c>
      <c r="AM71" s="19">
        <f>현금흐름취합!Y71</f>
        <v>0</v>
      </c>
      <c r="AN71" s="19">
        <f>현금흐름취합!Z71</f>
        <v>0</v>
      </c>
      <c r="AO71" s="19">
        <f>현금흐름취합!AA71</f>
        <v>0</v>
      </c>
      <c r="AP71" s="19">
        <f>현금흐름취합!AB71</f>
        <v>0</v>
      </c>
      <c r="AQ71" s="19">
        <f>현금흐름취합!AC71</f>
        <v>0</v>
      </c>
      <c r="AR71" s="19">
        <f>현금흐름취합!AD71</f>
        <v>0</v>
      </c>
      <c r="AS71" s="19">
        <f>현금흐름취합!AE71</f>
        <v>0</v>
      </c>
      <c r="AT71" s="19">
        <f>현금흐름취합!AF71</f>
        <v>0</v>
      </c>
      <c r="AU71" s="19">
        <f>현금흐름취합!AG71</f>
        <v>0</v>
      </c>
      <c r="AV71" s="19">
        <f>현금흐름취합!AH71</f>
        <v>0</v>
      </c>
      <c r="AW71" s="19">
        <f>현금흐름취합!AI71</f>
        <v>0</v>
      </c>
      <c r="AX71" s="19">
        <f>현금흐름취합!AJ71</f>
        <v>0</v>
      </c>
      <c r="AY71" s="19">
        <f>현금흐름취합!AK71</f>
        <v>0</v>
      </c>
      <c r="AZ71" s="19">
        <f>현금흐름취합!AL71</f>
        <v>0</v>
      </c>
      <c r="BA71" s="19">
        <f>현금흐름취합!AM71</f>
        <v>0</v>
      </c>
      <c r="BB71" s="19">
        <f>현금흐름취합!AN71</f>
        <v>0</v>
      </c>
      <c r="BC71" s="19">
        <f>현금흐름취합!AO71</f>
        <v>0</v>
      </c>
      <c r="BD71" s="19">
        <f>현금흐름취합!AP71</f>
        <v>0</v>
      </c>
      <c r="BE71" s="19">
        <f>현금흐름취합!AQ71</f>
        <v>0</v>
      </c>
      <c r="BF71" s="19">
        <f>현금흐름취합!AR71</f>
        <v>0</v>
      </c>
      <c r="BG71" s="19">
        <f>현금흐름취합!AS71</f>
        <v>0</v>
      </c>
      <c r="BH71" s="19">
        <f>현금흐름취합!AT71</f>
        <v>0</v>
      </c>
      <c r="BI71" s="19">
        <f>현금흐름취합!AU71</f>
        <v>0</v>
      </c>
      <c r="BJ71" s="19">
        <f>현금흐름취합!AV71</f>
        <v>0</v>
      </c>
      <c r="BK71" s="19">
        <f>현금흐름취합!AW71</f>
        <v>0</v>
      </c>
      <c r="BL71" s="19">
        <f>현금흐름취합!AX71</f>
        <v>0</v>
      </c>
      <c r="BM71" s="19">
        <f>현금흐름취합!AY71</f>
        <v>0</v>
      </c>
      <c r="BN71" s="19">
        <f>현금흐름취합!AZ71</f>
        <v>0</v>
      </c>
      <c r="BO71" s="19">
        <f>현금흐름취합!BA71</f>
        <v>0</v>
      </c>
      <c r="BP71" s="19">
        <f>현금흐름취합!BB71</f>
        <v>0</v>
      </c>
      <c r="BQ71" s="19">
        <f>현금흐름취합!BC71</f>
        <v>0</v>
      </c>
      <c r="BR71" s="19">
        <f>현금흐름취합!BD71</f>
        <v>0</v>
      </c>
      <c r="BS71" s="19">
        <f>현금흐름취합!BE71</f>
        <v>0</v>
      </c>
      <c r="BT71" s="19">
        <f>현금흐름취합!BF71</f>
        <v>0</v>
      </c>
      <c r="BU71" s="19">
        <f>현금흐름취합!BG71</f>
        <v>0</v>
      </c>
      <c r="BV71" s="19">
        <f>현금흐름취합!BH71</f>
        <v>0</v>
      </c>
      <c r="BW71" s="19">
        <f>현금흐름취합!BI71</f>
        <v>0</v>
      </c>
      <c r="BX71" s="19">
        <f>현금흐름취합!BJ71</f>
        <v>0</v>
      </c>
      <c r="BY71" s="19">
        <f>현금흐름취합!BK71</f>
        <v>0</v>
      </c>
      <c r="BZ71" s="19">
        <f>현금흐름취합!BL71</f>
        <v>0</v>
      </c>
      <c r="CA71" s="19">
        <f>현금흐름취합!BM71</f>
        <v>0</v>
      </c>
      <c r="CB71" s="19">
        <f>현금흐름취합!BN71</f>
        <v>0</v>
      </c>
      <c r="CC71" s="19">
        <f>현금흐름취합!BO71</f>
        <v>0</v>
      </c>
      <c r="CD71" s="19">
        <f>현금흐름취합!BP71</f>
        <v>0</v>
      </c>
      <c r="CE71" s="19">
        <f>현금흐름취합!BQ71</f>
        <v>0</v>
      </c>
      <c r="CF71" s="19">
        <f>현금흐름취합!BR71</f>
        <v>0</v>
      </c>
      <c r="CG71" s="19">
        <f>현금흐름취합!BS71</f>
        <v>0</v>
      </c>
      <c r="CH71" s="19">
        <f>현금흐름취합!BT71</f>
        <v>0</v>
      </c>
      <c r="CI71" s="19">
        <f>현금흐름취합!BU71</f>
        <v>0</v>
      </c>
      <c r="CJ71" s="19">
        <f>현금흐름취합!BV71</f>
        <v>0</v>
      </c>
      <c r="CK71" s="19">
        <f>현금흐름취합!BW71</f>
        <v>0</v>
      </c>
      <c r="CL71" s="19">
        <f>현금흐름취합!BX71</f>
        <v>0</v>
      </c>
      <c r="CM71" s="19">
        <f>현금흐름취합!BY71</f>
        <v>0</v>
      </c>
      <c r="CN71" s="19">
        <f>현금흐름취합!BZ71</f>
        <v>0</v>
      </c>
      <c r="CO71" s="19">
        <f>현금흐름취합!CA71</f>
        <v>0</v>
      </c>
      <c r="CP71" s="19">
        <f>현금흐름취합!CB71</f>
        <v>0</v>
      </c>
      <c r="CQ71" s="19">
        <f>현금흐름취합!CC71</f>
        <v>0</v>
      </c>
      <c r="CR71" s="19">
        <f>현금흐름취합!CD71</f>
        <v>0</v>
      </c>
      <c r="CS71" s="19">
        <f>현금흐름취합!CE71</f>
        <v>0</v>
      </c>
      <c r="CT71" s="19">
        <f>현금흐름취합!CF71</f>
        <v>0</v>
      </c>
      <c r="CU71" s="19">
        <f>현금흐름취합!CG71</f>
        <v>0</v>
      </c>
      <c r="CV71" s="19">
        <f>현금흐름취합!CH71</f>
        <v>0</v>
      </c>
      <c r="CW71" s="19">
        <f>현금흐름취합!CI71</f>
        <v>0</v>
      </c>
      <c r="CX71" s="19">
        <f>현금흐름취합!CJ71</f>
        <v>0</v>
      </c>
      <c r="CY71" s="19">
        <f>현금흐름취합!CK71</f>
        <v>0</v>
      </c>
      <c r="CZ71" s="19">
        <f>현금흐름취합!CL71</f>
        <v>0</v>
      </c>
      <c r="DA71" s="19">
        <f>현금흐름취합!CM71</f>
        <v>0</v>
      </c>
      <c r="DB71" s="19">
        <f>현금흐름취합!CN71</f>
        <v>0</v>
      </c>
      <c r="DC71" s="19">
        <f>현금흐름취합!CO71</f>
        <v>0</v>
      </c>
      <c r="DD71" s="19">
        <f>현금흐름취합!CP71</f>
        <v>0</v>
      </c>
      <c r="DE71" s="19">
        <f>현금흐름취합!CQ71</f>
        <v>0</v>
      </c>
      <c r="DF71" s="19">
        <f>현금흐름취합!CR71</f>
        <v>0</v>
      </c>
      <c r="DG71" s="19">
        <f>현금흐름취합!CS71</f>
        <v>0</v>
      </c>
      <c r="DH71" s="19">
        <f>현금흐름취합!CT71</f>
        <v>0</v>
      </c>
      <c r="DI71" s="19">
        <f>현금흐름취합!CU71</f>
        <v>0</v>
      </c>
      <c r="DJ71" s="19">
        <f>현금흐름취합!CV71</f>
        <v>0</v>
      </c>
      <c r="DK71" s="19">
        <f>현금흐름취합!CW71</f>
        <v>0</v>
      </c>
      <c r="DL71" s="19">
        <f>현금흐름취합!CX71</f>
        <v>0</v>
      </c>
      <c r="DM71" s="19">
        <f>현금흐름취합!CY71</f>
        <v>0</v>
      </c>
      <c r="DN71" s="19">
        <f>현금흐름취합!CZ71</f>
        <v>0</v>
      </c>
      <c r="DO71" s="19">
        <f>현금흐름취합!DA71</f>
        <v>0</v>
      </c>
      <c r="DP71" s="19">
        <f>현금흐름취합!DB71</f>
        <v>0</v>
      </c>
      <c r="DQ71" s="19">
        <f>현금흐름취합!DC71</f>
        <v>0</v>
      </c>
      <c r="DR71" s="19">
        <f>현금흐름취합!DD71</f>
        <v>0</v>
      </c>
      <c r="DS71" s="19">
        <f>현금흐름취합!DE71</f>
        <v>0</v>
      </c>
      <c r="DT71" s="19">
        <f>현금흐름취합!DF71</f>
        <v>0</v>
      </c>
      <c r="DU71" s="19">
        <f>현금흐름취합!DG71</f>
        <v>0</v>
      </c>
      <c r="DV71" s="19">
        <f>현금흐름취합!DH71</f>
        <v>0</v>
      </c>
      <c r="DW71" s="19">
        <f>현금흐름취합!DI71</f>
        <v>0</v>
      </c>
      <c r="DX71" s="19">
        <f>현금흐름취합!DJ71</f>
        <v>0</v>
      </c>
      <c r="DY71" s="19">
        <f>현금흐름취합!DK71</f>
        <v>0</v>
      </c>
      <c r="DZ71" s="19">
        <f>현금흐름취합!DL71</f>
        <v>0</v>
      </c>
      <c r="EA71" s="19">
        <f>현금흐름취합!DM71</f>
        <v>0</v>
      </c>
      <c r="EB71" s="19">
        <f>현금흐름취합!DN71</f>
        <v>0</v>
      </c>
      <c r="EC71" s="19">
        <f>현금흐름취합!DO71</f>
        <v>0</v>
      </c>
      <c r="ED71" s="19">
        <f>현금흐름취합!DP71</f>
        <v>0</v>
      </c>
      <c r="EE71" s="19">
        <f>현금흐름취합!DQ71</f>
        <v>0</v>
      </c>
      <c r="EF71" s="19">
        <f>현금흐름취합!DR71</f>
        <v>0</v>
      </c>
      <c r="EG71" s="19">
        <f>현금흐름취합!DS71</f>
        <v>0</v>
      </c>
      <c r="EH71" s="19">
        <f>현금흐름취합!DT71</f>
        <v>0</v>
      </c>
      <c r="EI71" s="19">
        <f>현금흐름취합!DU71</f>
        <v>0</v>
      </c>
      <c r="EJ71" s="19">
        <f>현금흐름취합!DV71</f>
        <v>0</v>
      </c>
      <c r="EK71" s="19">
        <f>현금흐름취합!DW71</f>
        <v>0</v>
      </c>
      <c r="EL71" s="19">
        <f>현금흐름취합!DX71</f>
        <v>0</v>
      </c>
      <c r="EM71" s="19">
        <f>현금흐름취합!DY71</f>
        <v>0</v>
      </c>
      <c r="EN71" s="19">
        <f>현금흐름취합!DZ71</f>
        <v>0</v>
      </c>
      <c r="EO71" s="19">
        <f>현금흐름취합!EA71</f>
        <v>0</v>
      </c>
      <c r="EP71" s="19">
        <f>현금흐름취합!EB71</f>
        <v>0</v>
      </c>
      <c r="EQ71" s="19">
        <f>현금흐름취합!EC71</f>
        <v>0</v>
      </c>
      <c r="ER71" s="19">
        <f>현금흐름취합!ED71</f>
        <v>0</v>
      </c>
      <c r="ES71" s="19">
        <f>현금흐름취합!EE71</f>
        <v>0</v>
      </c>
    </row>
    <row r="72" spans="1:149" hidden="1">
      <c r="A72" s="7">
        <f>현금흐름취합!A72</f>
        <v>0</v>
      </c>
      <c r="B72" s="7">
        <f>현금흐름취합!B72</f>
        <v>0</v>
      </c>
      <c r="C72" s="7">
        <f>현금흐름취합!C72</f>
        <v>0</v>
      </c>
      <c r="D72" s="8">
        <f>현금흐름취합!D72</f>
        <v>0</v>
      </c>
      <c r="E72" s="37"/>
      <c r="F72" s="8">
        <f>현금흐름취합!E72</f>
        <v>0</v>
      </c>
      <c r="G72" s="37" t="str">
        <f t="shared" si="50"/>
        <v>pool 고치세요</v>
      </c>
      <c r="H72" s="9">
        <f>현금흐름취합!F72</f>
        <v>0</v>
      </c>
      <c r="I72" s="10">
        <f>현금흐름취합!G72</f>
        <v>0</v>
      </c>
      <c r="J72" s="39" t="e">
        <f t="shared" si="33"/>
        <v>#DIV/0!</v>
      </c>
      <c r="K72" s="11">
        <f>현금흐름취합!H72</f>
        <v>0</v>
      </c>
      <c r="L72" s="40" t="e">
        <f>VLOOKUP(A72,'Sheet A'!$E$11:$K$60,7,0)=K72</f>
        <v>#N/A</v>
      </c>
      <c r="M72" s="12">
        <f>현금흐름취합!I72</f>
        <v>0</v>
      </c>
      <c r="N72" s="40" t="str">
        <f t="shared" si="34"/>
        <v>검토요</v>
      </c>
      <c r="O72" s="13">
        <f>현금흐름취합!J72</f>
        <v>0</v>
      </c>
      <c r="P72" s="14">
        <f>현금흐름취합!K72</f>
        <v>0</v>
      </c>
      <c r="Q72" s="18">
        <f>현금흐름취합!L72</f>
        <v>0</v>
      </c>
      <c r="R72" s="15">
        <f>현금흐름취합!M72</f>
        <v>0</v>
      </c>
      <c r="S72" s="40" t="e">
        <f t="shared" si="35"/>
        <v>#NUM!</v>
      </c>
      <c r="T72" s="16">
        <f>현금흐름취합!N72</f>
        <v>0</v>
      </c>
      <c r="U72" s="40" t="b">
        <f t="shared" si="36"/>
        <v>1</v>
      </c>
      <c r="V72" s="46">
        <f>SUMIF(일반여신!$E$10:$E$35,검증!A72,일반여신!$O$10:$O$35)*0.985-SUMIF(가지급금!$E$10:$E$180,A72,가지급금!$K$10:$K$180)+SUMIF(가지급금!$E$10:$E$180,검증!A72,가지급금!$O$10:$O$180)*0.985</f>
        <v>0</v>
      </c>
      <c r="W72" s="47">
        <f t="shared" si="37"/>
        <v>0</v>
      </c>
      <c r="X72" s="48"/>
      <c r="Y72" s="49">
        <f>SUMIF('Sheet D'!$E$11:$E$60,A72,'Sheet D'!$P$11:$P$60)</f>
        <v>0</v>
      </c>
      <c r="Z72" s="48">
        <f>SUMIFS(일반여신!$M$10:$M$35,일반여신!$E$10:$E$35,A72,일반여신!$P$10:$P$35,"신옹보증서대위변제")</f>
        <v>0</v>
      </c>
      <c r="AA72" s="48">
        <f t="shared" si="38"/>
        <v>0</v>
      </c>
      <c r="AB72" s="50"/>
      <c r="AC72" s="19">
        <f>현금흐름취합!O72</f>
        <v>0</v>
      </c>
      <c r="AD72" s="19">
        <f>현금흐름취합!P72</f>
        <v>0</v>
      </c>
      <c r="AE72" s="19">
        <f>현금흐름취합!Q72</f>
        <v>0</v>
      </c>
      <c r="AF72" s="19">
        <f>현금흐름취합!R72</f>
        <v>0</v>
      </c>
      <c r="AG72" s="19">
        <f>현금흐름취합!S72</f>
        <v>0</v>
      </c>
      <c r="AH72" s="19">
        <f>현금흐름취합!T72</f>
        <v>0</v>
      </c>
      <c r="AI72" s="19">
        <f>현금흐름취합!U72</f>
        <v>0</v>
      </c>
      <c r="AJ72" s="19">
        <f>현금흐름취합!V72</f>
        <v>0</v>
      </c>
      <c r="AK72" s="19">
        <f>현금흐름취합!W72</f>
        <v>0</v>
      </c>
      <c r="AL72" s="19">
        <f>현금흐름취합!X72</f>
        <v>0</v>
      </c>
      <c r="AM72" s="19">
        <f>현금흐름취합!Y72</f>
        <v>0</v>
      </c>
      <c r="AN72" s="19">
        <f>현금흐름취합!Z72</f>
        <v>0</v>
      </c>
      <c r="AO72" s="19">
        <f>현금흐름취합!AA72</f>
        <v>0</v>
      </c>
      <c r="AP72" s="19">
        <f>현금흐름취합!AB72</f>
        <v>0</v>
      </c>
      <c r="AQ72" s="19">
        <f>현금흐름취합!AC72</f>
        <v>0</v>
      </c>
      <c r="AR72" s="19">
        <f>현금흐름취합!AD72</f>
        <v>0</v>
      </c>
      <c r="AS72" s="19">
        <f>현금흐름취합!AE72</f>
        <v>0</v>
      </c>
      <c r="AT72" s="19">
        <f>현금흐름취합!AF72</f>
        <v>0</v>
      </c>
      <c r="AU72" s="19">
        <f>현금흐름취합!AG72</f>
        <v>0</v>
      </c>
      <c r="AV72" s="19">
        <f>현금흐름취합!AH72</f>
        <v>0</v>
      </c>
      <c r="AW72" s="19">
        <f>현금흐름취합!AI72</f>
        <v>0</v>
      </c>
      <c r="AX72" s="19">
        <f>현금흐름취합!AJ72</f>
        <v>0</v>
      </c>
      <c r="AY72" s="19">
        <f>현금흐름취합!AK72</f>
        <v>0</v>
      </c>
      <c r="AZ72" s="19">
        <f>현금흐름취합!AL72</f>
        <v>0</v>
      </c>
      <c r="BA72" s="19">
        <f>현금흐름취합!AM72</f>
        <v>0</v>
      </c>
      <c r="BB72" s="19">
        <f>현금흐름취합!AN72</f>
        <v>0</v>
      </c>
      <c r="BC72" s="19">
        <f>현금흐름취합!AO72</f>
        <v>0</v>
      </c>
      <c r="BD72" s="19">
        <f>현금흐름취합!AP72</f>
        <v>0</v>
      </c>
      <c r="BE72" s="19">
        <f>현금흐름취합!AQ72</f>
        <v>0</v>
      </c>
      <c r="BF72" s="19">
        <f>현금흐름취합!AR72</f>
        <v>0</v>
      </c>
      <c r="BG72" s="19">
        <f>현금흐름취합!AS72</f>
        <v>0</v>
      </c>
      <c r="BH72" s="19">
        <f>현금흐름취합!AT72</f>
        <v>0</v>
      </c>
      <c r="BI72" s="19">
        <f>현금흐름취합!AU72</f>
        <v>0</v>
      </c>
      <c r="BJ72" s="19">
        <f>현금흐름취합!AV72</f>
        <v>0</v>
      </c>
      <c r="BK72" s="19">
        <f>현금흐름취합!AW72</f>
        <v>0</v>
      </c>
      <c r="BL72" s="19">
        <f>현금흐름취합!AX72</f>
        <v>0</v>
      </c>
      <c r="BM72" s="19">
        <f>현금흐름취합!AY72</f>
        <v>0</v>
      </c>
      <c r="BN72" s="19">
        <f>현금흐름취합!AZ72</f>
        <v>0</v>
      </c>
      <c r="BO72" s="19">
        <f>현금흐름취합!BA72</f>
        <v>0</v>
      </c>
      <c r="BP72" s="19">
        <f>현금흐름취합!BB72</f>
        <v>0</v>
      </c>
      <c r="BQ72" s="19">
        <f>현금흐름취합!BC72</f>
        <v>0</v>
      </c>
      <c r="BR72" s="19">
        <f>현금흐름취합!BD72</f>
        <v>0</v>
      </c>
      <c r="BS72" s="19">
        <f>현금흐름취합!BE72</f>
        <v>0</v>
      </c>
      <c r="BT72" s="19">
        <f>현금흐름취합!BF72</f>
        <v>0</v>
      </c>
      <c r="BU72" s="19">
        <f>현금흐름취합!BG72</f>
        <v>0</v>
      </c>
      <c r="BV72" s="19">
        <f>현금흐름취합!BH72</f>
        <v>0</v>
      </c>
      <c r="BW72" s="19">
        <f>현금흐름취합!BI72</f>
        <v>0</v>
      </c>
      <c r="BX72" s="19">
        <f>현금흐름취합!BJ72</f>
        <v>0</v>
      </c>
      <c r="BY72" s="19">
        <f>현금흐름취합!BK72</f>
        <v>0</v>
      </c>
      <c r="BZ72" s="19">
        <f>현금흐름취합!BL72</f>
        <v>0</v>
      </c>
      <c r="CA72" s="19">
        <f>현금흐름취합!BM72</f>
        <v>0</v>
      </c>
      <c r="CB72" s="19">
        <f>현금흐름취합!BN72</f>
        <v>0</v>
      </c>
      <c r="CC72" s="19">
        <f>현금흐름취합!BO72</f>
        <v>0</v>
      </c>
      <c r="CD72" s="19">
        <f>현금흐름취합!BP72</f>
        <v>0</v>
      </c>
      <c r="CE72" s="19">
        <f>현금흐름취합!BQ72</f>
        <v>0</v>
      </c>
      <c r="CF72" s="19">
        <f>현금흐름취합!BR72</f>
        <v>0</v>
      </c>
      <c r="CG72" s="19">
        <f>현금흐름취합!BS72</f>
        <v>0</v>
      </c>
      <c r="CH72" s="19">
        <f>현금흐름취합!BT72</f>
        <v>0</v>
      </c>
      <c r="CI72" s="19">
        <f>현금흐름취합!BU72</f>
        <v>0</v>
      </c>
      <c r="CJ72" s="19">
        <f>현금흐름취합!BV72</f>
        <v>0</v>
      </c>
      <c r="CK72" s="19">
        <f>현금흐름취합!BW72</f>
        <v>0</v>
      </c>
      <c r="CL72" s="19">
        <f>현금흐름취합!BX72</f>
        <v>0</v>
      </c>
      <c r="CM72" s="19">
        <f>현금흐름취합!BY72</f>
        <v>0</v>
      </c>
      <c r="CN72" s="19">
        <f>현금흐름취합!BZ72</f>
        <v>0</v>
      </c>
      <c r="CO72" s="19">
        <f>현금흐름취합!CA72</f>
        <v>0</v>
      </c>
      <c r="CP72" s="19">
        <f>현금흐름취합!CB72</f>
        <v>0</v>
      </c>
      <c r="CQ72" s="19">
        <f>현금흐름취합!CC72</f>
        <v>0</v>
      </c>
      <c r="CR72" s="19">
        <f>현금흐름취합!CD72</f>
        <v>0</v>
      </c>
      <c r="CS72" s="19">
        <f>현금흐름취합!CE72</f>
        <v>0</v>
      </c>
      <c r="CT72" s="19">
        <f>현금흐름취합!CF72</f>
        <v>0</v>
      </c>
      <c r="CU72" s="19">
        <f>현금흐름취합!CG72</f>
        <v>0</v>
      </c>
      <c r="CV72" s="19">
        <f>현금흐름취합!CH72</f>
        <v>0</v>
      </c>
      <c r="CW72" s="19">
        <f>현금흐름취합!CI72</f>
        <v>0</v>
      </c>
      <c r="CX72" s="19">
        <f>현금흐름취합!CJ72</f>
        <v>0</v>
      </c>
      <c r="CY72" s="19">
        <f>현금흐름취합!CK72</f>
        <v>0</v>
      </c>
      <c r="CZ72" s="19">
        <f>현금흐름취합!CL72</f>
        <v>0</v>
      </c>
      <c r="DA72" s="19">
        <f>현금흐름취합!CM72</f>
        <v>0</v>
      </c>
      <c r="DB72" s="19">
        <f>현금흐름취합!CN72</f>
        <v>0</v>
      </c>
      <c r="DC72" s="19">
        <f>현금흐름취합!CO72</f>
        <v>0</v>
      </c>
      <c r="DD72" s="19">
        <f>현금흐름취합!CP72</f>
        <v>0</v>
      </c>
      <c r="DE72" s="19">
        <f>현금흐름취합!CQ72</f>
        <v>0</v>
      </c>
      <c r="DF72" s="19">
        <f>현금흐름취합!CR72</f>
        <v>0</v>
      </c>
      <c r="DG72" s="19">
        <f>현금흐름취합!CS72</f>
        <v>0</v>
      </c>
      <c r="DH72" s="19">
        <f>현금흐름취합!CT72</f>
        <v>0</v>
      </c>
      <c r="DI72" s="19">
        <f>현금흐름취합!CU72</f>
        <v>0</v>
      </c>
      <c r="DJ72" s="19">
        <f>현금흐름취합!CV72</f>
        <v>0</v>
      </c>
      <c r="DK72" s="19">
        <f>현금흐름취합!CW72</f>
        <v>0</v>
      </c>
      <c r="DL72" s="19">
        <f>현금흐름취합!CX72</f>
        <v>0</v>
      </c>
      <c r="DM72" s="19">
        <f>현금흐름취합!CY72</f>
        <v>0</v>
      </c>
      <c r="DN72" s="19">
        <f>현금흐름취합!CZ72</f>
        <v>0</v>
      </c>
      <c r="DO72" s="19">
        <f>현금흐름취합!DA72</f>
        <v>0</v>
      </c>
      <c r="DP72" s="19">
        <f>현금흐름취합!DB72</f>
        <v>0</v>
      </c>
      <c r="DQ72" s="19">
        <f>현금흐름취합!DC72</f>
        <v>0</v>
      </c>
      <c r="DR72" s="19">
        <f>현금흐름취합!DD72</f>
        <v>0</v>
      </c>
      <c r="DS72" s="19">
        <f>현금흐름취합!DE72</f>
        <v>0</v>
      </c>
      <c r="DT72" s="19">
        <f>현금흐름취합!DF72</f>
        <v>0</v>
      </c>
      <c r="DU72" s="19">
        <f>현금흐름취합!DG72</f>
        <v>0</v>
      </c>
      <c r="DV72" s="19">
        <f>현금흐름취합!DH72</f>
        <v>0</v>
      </c>
      <c r="DW72" s="19">
        <f>현금흐름취합!DI72</f>
        <v>0</v>
      </c>
      <c r="DX72" s="19">
        <f>현금흐름취합!DJ72</f>
        <v>0</v>
      </c>
      <c r="DY72" s="19">
        <f>현금흐름취합!DK72</f>
        <v>0</v>
      </c>
      <c r="DZ72" s="19">
        <f>현금흐름취합!DL72</f>
        <v>0</v>
      </c>
      <c r="EA72" s="19">
        <f>현금흐름취합!DM72</f>
        <v>0</v>
      </c>
      <c r="EB72" s="19">
        <f>현금흐름취합!DN72</f>
        <v>0</v>
      </c>
      <c r="EC72" s="19">
        <f>현금흐름취합!DO72</f>
        <v>0</v>
      </c>
      <c r="ED72" s="19">
        <f>현금흐름취합!DP72</f>
        <v>0</v>
      </c>
      <c r="EE72" s="19">
        <f>현금흐름취합!DQ72</f>
        <v>0</v>
      </c>
      <c r="EF72" s="19">
        <f>현금흐름취합!DR72</f>
        <v>0</v>
      </c>
      <c r="EG72" s="19">
        <f>현금흐름취합!DS72</f>
        <v>0</v>
      </c>
      <c r="EH72" s="19">
        <f>현금흐름취합!DT72</f>
        <v>0</v>
      </c>
      <c r="EI72" s="19">
        <f>현금흐름취합!DU72</f>
        <v>0</v>
      </c>
      <c r="EJ72" s="19">
        <f>현금흐름취합!DV72</f>
        <v>0</v>
      </c>
      <c r="EK72" s="19">
        <f>현금흐름취합!DW72</f>
        <v>0</v>
      </c>
      <c r="EL72" s="19">
        <f>현금흐름취합!DX72</f>
        <v>0</v>
      </c>
      <c r="EM72" s="19">
        <f>현금흐름취합!DY72</f>
        <v>0</v>
      </c>
      <c r="EN72" s="19">
        <f>현금흐름취합!DZ72</f>
        <v>0</v>
      </c>
      <c r="EO72" s="19">
        <f>현금흐름취합!EA72</f>
        <v>0</v>
      </c>
      <c r="EP72" s="19">
        <f>현금흐름취합!EB72</f>
        <v>0</v>
      </c>
      <c r="EQ72" s="19">
        <f>현금흐름취합!EC72</f>
        <v>0</v>
      </c>
      <c r="ER72" s="19">
        <f>현금흐름취합!ED72</f>
        <v>0</v>
      </c>
      <c r="ES72" s="19">
        <f>현금흐름취합!EE72</f>
        <v>0</v>
      </c>
    </row>
    <row r="73" spans="1:149" hidden="1">
      <c r="A73" s="7">
        <f>현금흐름취합!A73</f>
        <v>0</v>
      </c>
      <c r="B73" s="7">
        <f>현금흐름취합!B73</f>
        <v>0</v>
      </c>
      <c r="C73" s="7">
        <f>현금흐름취합!C73</f>
        <v>0</v>
      </c>
      <c r="D73" s="8">
        <f>현금흐름취합!D73</f>
        <v>0</v>
      </c>
      <c r="E73" s="37" t="str">
        <f t="shared" ref="E73" si="53">IF(R72&gt;R73,"역전현상","이상없음")</f>
        <v>이상없음</v>
      </c>
      <c r="F73" s="8">
        <f>현금흐름취합!E73</f>
        <v>0</v>
      </c>
      <c r="G73" s="37" t="str">
        <f t="shared" si="50"/>
        <v>pool 고치세요</v>
      </c>
      <c r="H73" s="9">
        <f>현금흐름취합!F73</f>
        <v>0</v>
      </c>
      <c r="I73" s="10">
        <f>현금흐름취합!G73</f>
        <v>0</v>
      </c>
      <c r="J73" s="39" t="e">
        <f t="shared" si="33"/>
        <v>#DIV/0!</v>
      </c>
      <c r="K73" s="11">
        <f>현금흐름취합!H73</f>
        <v>0</v>
      </c>
      <c r="L73" s="40" t="e">
        <f>VLOOKUP(A73,'Sheet A'!$E$11:$K$60,7,0)=K73</f>
        <v>#N/A</v>
      </c>
      <c r="M73" s="12">
        <f>현금흐름취합!I73</f>
        <v>0</v>
      </c>
      <c r="N73" s="40" t="str">
        <f t="shared" si="34"/>
        <v>검토요</v>
      </c>
      <c r="O73" s="13">
        <f>현금흐름취합!J73</f>
        <v>0</v>
      </c>
      <c r="P73" s="14">
        <f>현금흐름취합!K73</f>
        <v>0</v>
      </c>
      <c r="Q73" s="18">
        <f>현금흐름취합!L73</f>
        <v>0</v>
      </c>
      <c r="R73" s="15">
        <f>현금흐름취합!M73</f>
        <v>0</v>
      </c>
      <c r="S73" s="40" t="e">
        <f t="shared" si="35"/>
        <v>#NUM!</v>
      </c>
      <c r="T73" s="16">
        <f>현금흐름취합!N73</f>
        <v>0</v>
      </c>
      <c r="U73" s="40" t="b">
        <f t="shared" si="36"/>
        <v>1</v>
      </c>
      <c r="V73" s="46">
        <f>SUMIF(일반여신!$E$10:$E$35,검증!A73,일반여신!$O$10:$O$35)*0.985-SUMIF(가지급금!$E$10:$E$180,A73,가지급금!$K$10:$K$180)+SUMIF(가지급금!$E$10:$E$180,검증!A73,가지급금!$O$10:$O$180)*0.985</f>
        <v>0</v>
      </c>
      <c r="W73" s="47">
        <f t="shared" si="37"/>
        <v>0</v>
      </c>
      <c r="X73" s="48"/>
      <c r="Y73" s="49">
        <f>SUMIF('Sheet D'!$E$11:$E$60,A73,'Sheet D'!$P$11:$P$60)</f>
        <v>0</v>
      </c>
      <c r="Z73" s="48">
        <f>SUMIFS(일반여신!$M$10:$M$35,일반여신!$E$10:$E$35,A73,일반여신!$P$10:$P$35,"신옹보증서대위변제")</f>
        <v>0</v>
      </c>
      <c r="AA73" s="48">
        <f t="shared" si="38"/>
        <v>0</v>
      </c>
      <c r="AB73" s="50"/>
      <c r="AC73" s="19">
        <f>현금흐름취합!O73</f>
        <v>0</v>
      </c>
      <c r="AD73" s="19">
        <f>현금흐름취합!P73</f>
        <v>0</v>
      </c>
      <c r="AE73" s="19">
        <f>현금흐름취합!Q73</f>
        <v>0</v>
      </c>
      <c r="AF73" s="19">
        <f>현금흐름취합!R73</f>
        <v>0</v>
      </c>
      <c r="AG73" s="19">
        <f>현금흐름취합!S73</f>
        <v>0</v>
      </c>
      <c r="AH73" s="19">
        <f>현금흐름취합!T73</f>
        <v>0</v>
      </c>
      <c r="AI73" s="19">
        <f>현금흐름취합!U73</f>
        <v>0</v>
      </c>
      <c r="AJ73" s="19">
        <f>현금흐름취합!V73</f>
        <v>0</v>
      </c>
      <c r="AK73" s="19">
        <f>현금흐름취합!W73</f>
        <v>0</v>
      </c>
      <c r="AL73" s="19">
        <f>현금흐름취합!X73</f>
        <v>0</v>
      </c>
      <c r="AM73" s="19">
        <f>현금흐름취합!Y73</f>
        <v>0</v>
      </c>
      <c r="AN73" s="19">
        <f>현금흐름취합!Z73</f>
        <v>0</v>
      </c>
      <c r="AO73" s="19">
        <f>현금흐름취합!AA73</f>
        <v>0</v>
      </c>
      <c r="AP73" s="19">
        <f>현금흐름취합!AB73</f>
        <v>0</v>
      </c>
      <c r="AQ73" s="19">
        <f>현금흐름취합!AC73</f>
        <v>0</v>
      </c>
      <c r="AR73" s="19">
        <f>현금흐름취합!AD73</f>
        <v>0</v>
      </c>
      <c r="AS73" s="19">
        <f>현금흐름취합!AE73</f>
        <v>0</v>
      </c>
      <c r="AT73" s="19">
        <f>현금흐름취합!AF73</f>
        <v>0</v>
      </c>
      <c r="AU73" s="19">
        <f>현금흐름취합!AG73</f>
        <v>0</v>
      </c>
      <c r="AV73" s="19">
        <f>현금흐름취합!AH73</f>
        <v>0</v>
      </c>
      <c r="AW73" s="19">
        <f>현금흐름취합!AI73</f>
        <v>0</v>
      </c>
      <c r="AX73" s="19">
        <f>현금흐름취합!AJ73</f>
        <v>0</v>
      </c>
      <c r="AY73" s="19">
        <f>현금흐름취합!AK73</f>
        <v>0</v>
      </c>
      <c r="AZ73" s="19">
        <f>현금흐름취합!AL73</f>
        <v>0</v>
      </c>
      <c r="BA73" s="19">
        <f>현금흐름취합!AM73</f>
        <v>0</v>
      </c>
      <c r="BB73" s="19">
        <f>현금흐름취합!AN73</f>
        <v>0</v>
      </c>
      <c r="BC73" s="19">
        <f>현금흐름취합!AO73</f>
        <v>0</v>
      </c>
      <c r="BD73" s="19">
        <f>현금흐름취합!AP73</f>
        <v>0</v>
      </c>
      <c r="BE73" s="19">
        <f>현금흐름취합!AQ73</f>
        <v>0</v>
      </c>
      <c r="BF73" s="19">
        <f>현금흐름취합!AR73</f>
        <v>0</v>
      </c>
      <c r="BG73" s="19">
        <f>현금흐름취합!AS73</f>
        <v>0</v>
      </c>
      <c r="BH73" s="19">
        <f>현금흐름취합!AT73</f>
        <v>0</v>
      </c>
      <c r="BI73" s="19">
        <f>현금흐름취합!AU73</f>
        <v>0</v>
      </c>
      <c r="BJ73" s="19">
        <f>현금흐름취합!AV73</f>
        <v>0</v>
      </c>
      <c r="BK73" s="19">
        <f>현금흐름취합!AW73</f>
        <v>0</v>
      </c>
      <c r="BL73" s="19">
        <f>현금흐름취합!AX73</f>
        <v>0</v>
      </c>
      <c r="BM73" s="19">
        <f>현금흐름취합!AY73</f>
        <v>0</v>
      </c>
      <c r="BN73" s="19">
        <f>현금흐름취합!AZ73</f>
        <v>0</v>
      </c>
      <c r="BO73" s="19">
        <f>현금흐름취합!BA73</f>
        <v>0</v>
      </c>
      <c r="BP73" s="19">
        <f>현금흐름취합!BB73</f>
        <v>0</v>
      </c>
      <c r="BQ73" s="19">
        <f>현금흐름취합!BC73</f>
        <v>0</v>
      </c>
      <c r="BR73" s="19">
        <f>현금흐름취합!BD73</f>
        <v>0</v>
      </c>
      <c r="BS73" s="19">
        <f>현금흐름취합!BE73</f>
        <v>0</v>
      </c>
      <c r="BT73" s="19">
        <f>현금흐름취합!BF73</f>
        <v>0</v>
      </c>
      <c r="BU73" s="19">
        <f>현금흐름취합!BG73</f>
        <v>0</v>
      </c>
      <c r="BV73" s="19">
        <f>현금흐름취합!BH73</f>
        <v>0</v>
      </c>
      <c r="BW73" s="19">
        <f>현금흐름취합!BI73</f>
        <v>0</v>
      </c>
      <c r="BX73" s="19">
        <f>현금흐름취합!BJ73</f>
        <v>0</v>
      </c>
      <c r="BY73" s="19">
        <f>현금흐름취합!BK73</f>
        <v>0</v>
      </c>
      <c r="BZ73" s="19">
        <f>현금흐름취합!BL73</f>
        <v>0</v>
      </c>
      <c r="CA73" s="19">
        <f>현금흐름취합!BM73</f>
        <v>0</v>
      </c>
      <c r="CB73" s="19">
        <f>현금흐름취합!BN73</f>
        <v>0</v>
      </c>
      <c r="CC73" s="19">
        <f>현금흐름취합!BO73</f>
        <v>0</v>
      </c>
      <c r="CD73" s="19">
        <f>현금흐름취합!BP73</f>
        <v>0</v>
      </c>
      <c r="CE73" s="19">
        <f>현금흐름취합!BQ73</f>
        <v>0</v>
      </c>
      <c r="CF73" s="19">
        <f>현금흐름취합!BR73</f>
        <v>0</v>
      </c>
      <c r="CG73" s="19">
        <f>현금흐름취합!BS73</f>
        <v>0</v>
      </c>
      <c r="CH73" s="19">
        <f>현금흐름취합!BT73</f>
        <v>0</v>
      </c>
      <c r="CI73" s="19">
        <f>현금흐름취합!BU73</f>
        <v>0</v>
      </c>
      <c r="CJ73" s="19">
        <f>현금흐름취합!BV73</f>
        <v>0</v>
      </c>
      <c r="CK73" s="19">
        <f>현금흐름취합!BW73</f>
        <v>0</v>
      </c>
      <c r="CL73" s="19">
        <f>현금흐름취합!BX73</f>
        <v>0</v>
      </c>
      <c r="CM73" s="19">
        <f>현금흐름취합!BY73</f>
        <v>0</v>
      </c>
      <c r="CN73" s="19">
        <f>현금흐름취합!BZ73</f>
        <v>0</v>
      </c>
      <c r="CO73" s="19">
        <f>현금흐름취합!CA73</f>
        <v>0</v>
      </c>
      <c r="CP73" s="19">
        <f>현금흐름취합!CB73</f>
        <v>0</v>
      </c>
      <c r="CQ73" s="19">
        <f>현금흐름취합!CC73</f>
        <v>0</v>
      </c>
      <c r="CR73" s="19">
        <f>현금흐름취합!CD73</f>
        <v>0</v>
      </c>
      <c r="CS73" s="19">
        <f>현금흐름취합!CE73</f>
        <v>0</v>
      </c>
      <c r="CT73" s="19">
        <f>현금흐름취합!CF73</f>
        <v>0</v>
      </c>
      <c r="CU73" s="19">
        <f>현금흐름취합!CG73</f>
        <v>0</v>
      </c>
      <c r="CV73" s="19">
        <f>현금흐름취합!CH73</f>
        <v>0</v>
      </c>
      <c r="CW73" s="19">
        <f>현금흐름취합!CI73</f>
        <v>0</v>
      </c>
      <c r="CX73" s="19">
        <f>현금흐름취합!CJ73</f>
        <v>0</v>
      </c>
      <c r="CY73" s="19">
        <f>현금흐름취합!CK73</f>
        <v>0</v>
      </c>
      <c r="CZ73" s="19">
        <f>현금흐름취합!CL73</f>
        <v>0</v>
      </c>
      <c r="DA73" s="19">
        <f>현금흐름취합!CM73</f>
        <v>0</v>
      </c>
      <c r="DB73" s="19">
        <f>현금흐름취합!CN73</f>
        <v>0</v>
      </c>
      <c r="DC73" s="19">
        <f>현금흐름취합!CO73</f>
        <v>0</v>
      </c>
      <c r="DD73" s="19">
        <f>현금흐름취합!CP73</f>
        <v>0</v>
      </c>
      <c r="DE73" s="19">
        <f>현금흐름취합!CQ73</f>
        <v>0</v>
      </c>
      <c r="DF73" s="19">
        <f>현금흐름취합!CR73</f>
        <v>0</v>
      </c>
      <c r="DG73" s="19">
        <f>현금흐름취합!CS73</f>
        <v>0</v>
      </c>
      <c r="DH73" s="19">
        <f>현금흐름취합!CT73</f>
        <v>0</v>
      </c>
      <c r="DI73" s="19">
        <f>현금흐름취합!CU73</f>
        <v>0</v>
      </c>
      <c r="DJ73" s="19">
        <f>현금흐름취합!CV73</f>
        <v>0</v>
      </c>
      <c r="DK73" s="19">
        <f>현금흐름취합!CW73</f>
        <v>0</v>
      </c>
      <c r="DL73" s="19">
        <f>현금흐름취합!CX73</f>
        <v>0</v>
      </c>
      <c r="DM73" s="19">
        <f>현금흐름취합!CY73</f>
        <v>0</v>
      </c>
      <c r="DN73" s="19">
        <f>현금흐름취합!CZ73</f>
        <v>0</v>
      </c>
      <c r="DO73" s="19">
        <f>현금흐름취합!DA73</f>
        <v>0</v>
      </c>
      <c r="DP73" s="19">
        <f>현금흐름취합!DB73</f>
        <v>0</v>
      </c>
      <c r="DQ73" s="19">
        <f>현금흐름취합!DC73</f>
        <v>0</v>
      </c>
      <c r="DR73" s="19">
        <f>현금흐름취합!DD73</f>
        <v>0</v>
      </c>
      <c r="DS73" s="19">
        <f>현금흐름취합!DE73</f>
        <v>0</v>
      </c>
      <c r="DT73" s="19">
        <f>현금흐름취합!DF73</f>
        <v>0</v>
      </c>
      <c r="DU73" s="19">
        <f>현금흐름취합!DG73</f>
        <v>0</v>
      </c>
      <c r="DV73" s="19">
        <f>현금흐름취합!DH73</f>
        <v>0</v>
      </c>
      <c r="DW73" s="19">
        <f>현금흐름취합!DI73</f>
        <v>0</v>
      </c>
      <c r="DX73" s="19">
        <f>현금흐름취합!DJ73</f>
        <v>0</v>
      </c>
      <c r="DY73" s="19">
        <f>현금흐름취합!DK73</f>
        <v>0</v>
      </c>
      <c r="DZ73" s="19">
        <f>현금흐름취합!DL73</f>
        <v>0</v>
      </c>
      <c r="EA73" s="19">
        <f>현금흐름취합!DM73</f>
        <v>0</v>
      </c>
      <c r="EB73" s="19">
        <f>현금흐름취합!DN73</f>
        <v>0</v>
      </c>
      <c r="EC73" s="19">
        <f>현금흐름취합!DO73</f>
        <v>0</v>
      </c>
      <c r="ED73" s="19">
        <f>현금흐름취합!DP73</f>
        <v>0</v>
      </c>
      <c r="EE73" s="19">
        <f>현금흐름취합!DQ73</f>
        <v>0</v>
      </c>
      <c r="EF73" s="19">
        <f>현금흐름취합!DR73</f>
        <v>0</v>
      </c>
      <c r="EG73" s="19">
        <f>현금흐름취합!DS73</f>
        <v>0</v>
      </c>
      <c r="EH73" s="19">
        <f>현금흐름취합!DT73</f>
        <v>0</v>
      </c>
      <c r="EI73" s="19">
        <f>현금흐름취합!DU73</f>
        <v>0</v>
      </c>
      <c r="EJ73" s="19">
        <f>현금흐름취합!DV73</f>
        <v>0</v>
      </c>
      <c r="EK73" s="19">
        <f>현금흐름취합!DW73</f>
        <v>0</v>
      </c>
      <c r="EL73" s="19">
        <f>현금흐름취합!DX73</f>
        <v>0</v>
      </c>
      <c r="EM73" s="19">
        <f>현금흐름취합!DY73</f>
        <v>0</v>
      </c>
      <c r="EN73" s="19">
        <f>현금흐름취합!DZ73</f>
        <v>0</v>
      </c>
      <c r="EO73" s="19">
        <f>현금흐름취합!EA73</f>
        <v>0</v>
      </c>
      <c r="EP73" s="19">
        <f>현금흐름취합!EB73</f>
        <v>0</v>
      </c>
      <c r="EQ73" s="19">
        <f>현금흐름취합!EC73</f>
        <v>0</v>
      </c>
      <c r="ER73" s="19">
        <f>현금흐름취합!ED73</f>
        <v>0</v>
      </c>
      <c r="ES73" s="19">
        <f>현금흐름취합!EE73</f>
        <v>0</v>
      </c>
    </row>
  </sheetData>
  <autoFilter ref="A1:ES73"/>
  <phoneticPr fontId="4" type="noConversion"/>
  <dataValidations count="2">
    <dataValidation type="list" allowBlank="1" showInputMessage="1" showErrorMessage="1" sqref="P2:P3">
      <formula1>"Loan cap, Mortgage cap, N/A"</formula1>
    </dataValidation>
    <dataValidation type="list" allowBlank="1" showInputMessage="1" showErrorMessage="1" sqref="Q2:Q3">
      <formula1>"Y, N"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showGridLines="0" topLeftCell="A27" zoomScale="85" zoomScaleNormal="85" workbookViewId="0">
      <selection activeCell="I18" sqref="I18"/>
    </sheetView>
  </sheetViews>
  <sheetFormatPr defaultColWidth="9" defaultRowHeight="12" customHeight="1"/>
  <cols>
    <col min="1" max="1" width="1.6640625" style="245" customWidth="1"/>
    <col min="2" max="5" width="10.6640625" style="245" customWidth="1"/>
    <col min="6" max="6" width="17.6640625" style="245" customWidth="1"/>
    <col min="7" max="7" width="10.6640625" style="254" bestFit="1" customWidth="1"/>
    <col min="8" max="8" width="10.6640625" style="245" customWidth="1"/>
    <col min="9" max="14" width="15.6640625" style="245" customWidth="1"/>
    <col min="15" max="15" width="30.6640625" style="254" customWidth="1"/>
    <col min="16" max="16384" width="9" style="245"/>
  </cols>
  <sheetData>
    <row r="1" spans="1:15" s="51" customFormat="1" ht="15" customHeight="1">
      <c r="G1" s="52"/>
    </row>
    <row r="2" spans="1:15" s="58" customFormat="1" ht="26.25" customHeight="1" thickBot="1">
      <c r="A2" s="231" t="s">
        <v>104</v>
      </c>
      <c r="B2" s="53"/>
      <c r="C2" s="54"/>
      <c r="D2" s="54"/>
      <c r="E2" s="54"/>
      <c r="F2" s="54"/>
      <c r="G2" s="55"/>
      <c r="H2" s="54"/>
      <c r="I2" s="56"/>
      <c r="J2" s="57"/>
      <c r="K2" s="54"/>
      <c r="L2" s="54"/>
      <c r="M2" s="54"/>
    </row>
    <row r="3" spans="1:15" s="58" customFormat="1" ht="20.25" customHeight="1">
      <c r="A3" s="232" t="s">
        <v>105</v>
      </c>
      <c r="B3" s="59"/>
      <c r="C3" s="54"/>
      <c r="D3" s="54"/>
      <c r="E3" s="54"/>
      <c r="H3" s="60"/>
      <c r="I3" s="61" t="s">
        <v>15</v>
      </c>
      <c r="J3" s="62">
        <v>45688</v>
      </c>
      <c r="L3" s="63"/>
    </row>
    <row r="4" spans="1:15" s="66" customFormat="1" ht="20.25" customHeight="1">
      <c r="A4" s="233" t="s">
        <v>64</v>
      </c>
      <c r="B4" s="64"/>
      <c r="C4" s="65"/>
      <c r="D4" s="65"/>
      <c r="E4" s="65"/>
      <c r="H4" s="65"/>
      <c r="I4" s="67" t="s">
        <v>106</v>
      </c>
      <c r="J4" s="68">
        <v>1446.9</v>
      </c>
      <c r="K4" s="69"/>
      <c r="L4" s="65"/>
    </row>
    <row r="5" spans="1:15" s="66" customFormat="1" ht="20.25" customHeight="1">
      <c r="A5" s="233" t="s">
        <v>16</v>
      </c>
      <c r="B5" s="70"/>
      <c r="C5" s="65"/>
      <c r="D5" s="65"/>
      <c r="E5" s="65"/>
      <c r="H5" s="71"/>
      <c r="I5" s="67" t="s">
        <v>107</v>
      </c>
      <c r="J5" s="68">
        <v>1502.98</v>
      </c>
      <c r="K5" s="72"/>
      <c r="L5" s="73"/>
      <c r="O5" s="74"/>
    </row>
    <row r="6" spans="1:15" s="66" customFormat="1" ht="20.25" customHeight="1" thickBot="1">
      <c r="A6" s="233"/>
      <c r="B6" s="70"/>
      <c r="C6" s="65"/>
      <c r="D6" s="65"/>
      <c r="E6" s="65"/>
      <c r="H6" s="71"/>
      <c r="I6" s="198" t="s">
        <v>108</v>
      </c>
      <c r="J6" s="234">
        <v>936.69</v>
      </c>
      <c r="K6" s="72"/>
      <c r="L6" s="73"/>
      <c r="O6" s="74"/>
    </row>
    <row r="7" spans="1:15" s="77" customFormat="1" ht="12" customHeight="1" thickBot="1">
      <c r="A7" s="235"/>
      <c r="B7" s="75"/>
      <c r="C7" s="76"/>
      <c r="D7" s="76"/>
      <c r="E7" s="76"/>
      <c r="F7" s="80"/>
      <c r="G7" s="81"/>
      <c r="H7" s="78"/>
      <c r="I7" s="236"/>
      <c r="J7" s="236"/>
      <c r="K7" s="236"/>
      <c r="L7" s="236"/>
      <c r="M7" s="78"/>
      <c r="N7" s="78"/>
      <c r="O7" s="79"/>
    </row>
    <row r="8" spans="1:15" s="66" customFormat="1" ht="15" customHeight="1">
      <c r="B8" s="82" t="s">
        <v>17</v>
      </c>
      <c r="C8" s="83"/>
      <c r="D8" s="83"/>
      <c r="E8" s="83"/>
      <c r="F8" s="83"/>
      <c r="G8" s="84"/>
      <c r="H8" s="83"/>
      <c r="I8" s="83" t="s">
        <v>18</v>
      </c>
      <c r="J8" s="83"/>
      <c r="K8" s="83"/>
      <c r="L8" s="83"/>
      <c r="M8" s="83" t="s">
        <v>65</v>
      </c>
      <c r="N8" s="83"/>
      <c r="O8" s="237" t="s">
        <v>19</v>
      </c>
    </row>
    <row r="9" spans="1:15" s="66" customFormat="1" ht="15" customHeight="1" thickBot="1">
      <c r="B9" s="85" t="str">
        <f>"Field "&amp;COLUMN()-1</f>
        <v>Field 1</v>
      </c>
      <c r="C9" s="86" t="str">
        <f>"Field "&amp;COLUMN()-1-COUNTBLANK($B$9:B9)</f>
        <v>Field 2</v>
      </c>
      <c r="D9" s="86" t="str">
        <f>"Field "&amp;COLUMN()-1-COUNTBLANK($B$9:C9)</f>
        <v>Field 3</v>
      </c>
      <c r="E9" s="86" t="str">
        <f>"Field "&amp;COLUMN()-1-COUNTBLANK($B$9:D9)</f>
        <v>Field 4</v>
      </c>
      <c r="F9" s="86" t="str">
        <f>"Field "&amp;COLUMN()-1-COUNTBLANK($B$9:E9)</f>
        <v>Field 5</v>
      </c>
      <c r="G9" s="86" t="str">
        <f>"Field "&amp;COLUMN()-1-COUNTBLANK($B$9:F9)</f>
        <v>Field 6</v>
      </c>
      <c r="H9" s="86" t="str">
        <f>"Field "&amp;COLUMN()-1-COUNTBLANK($B$9:G9)</f>
        <v>Field 7</v>
      </c>
      <c r="I9" s="86" t="str">
        <f>"Field "&amp;COLUMN()-1-COUNTBLANK($B$9:H9)</f>
        <v>Field 8</v>
      </c>
      <c r="J9" s="86" t="str">
        <f>"Field "&amp;COLUMN()-1-COUNTBLANK($B$9:I9)</f>
        <v>Field 9</v>
      </c>
      <c r="K9" s="86" t="str">
        <f>"Field "&amp;COLUMN()-1-COUNTBLANK($B$9:J9)</f>
        <v>Field 10</v>
      </c>
      <c r="L9" s="86" t="str">
        <f>"Field "&amp;COLUMN()-1-COUNTBLANK($B$9:K9)</f>
        <v>Field 11</v>
      </c>
      <c r="M9" s="86" t="str">
        <f>"Field "&amp;COLUMN()-1-COUNTBLANK($B$9:L9)</f>
        <v>Field 12</v>
      </c>
      <c r="N9" s="86" t="str">
        <f>"Field "&amp;COLUMN()-1-COUNTBLANK($B$9:M9)</f>
        <v>Field 13</v>
      </c>
      <c r="O9" s="238" t="str">
        <f>"Field "&amp;COLUMN()-1-COUNTBLANK($B$9:N9)</f>
        <v>Field 14</v>
      </c>
    </row>
    <row r="10" spans="1:15" s="240" customFormat="1" ht="37.5" customHeight="1" thickBot="1">
      <c r="A10" s="239"/>
      <c r="B10" s="87" t="s">
        <v>20</v>
      </c>
      <c r="C10" s="88" t="s">
        <v>66</v>
      </c>
      <c r="D10" s="89" t="s">
        <v>67</v>
      </c>
      <c r="E10" s="89" t="s">
        <v>109</v>
      </c>
      <c r="F10" s="90" t="s">
        <v>110</v>
      </c>
      <c r="G10" s="91" t="s">
        <v>22</v>
      </c>
      <c r="H10" s="89" t="s">
        <v>23</v>
      </c>
      <c r="I10" s="92" t="s">
        <v>24</v>
      </c>
      <c r="J10" s="89" t="s">
        <v>25</v>
      </c>
      <c r="K10" s="89" t="s">
        <v>68</v>
      </c>
      <c r="L10" s="93" t="s">
        <v>26</v>
      </c>
      <c r="M10" s="89" t="s">
        <v>111</v>
      </c>
      <c r="N10" s="89" t="s">
        <v>69</v>
      </c>
      <c r="O10" s="94" t="s">
        <v>19</v>
      </c>
    </row>
    <row r="11" spans="1:15" s="244" customFormat="1" ht="15" customHeight="1">
      <c r="A11" s="241"/>
      <c r="B11" s="95">
        <f t="shared" ref="B11:B60" si="0">ROW()-10</f>
        <v>1</v>
      </c>
      <c r="C11" s="96" t="s">
        <v>112</v>
      </c>
      <c r="D11" s="97" t="s">
        <v>48</v>
      </c>
      <c r="E11" s="96" t="s">
        <v>27</v>
      </c>
      <c r="F11" s="96" t="s">
        <v>113</v>
      </c>
      <c r="G11" s="96"/>
      <c r="H11" s="96" t="s">
        <v>70</v>
      </c>
      <c r="I11" s="242">
        <v>16141808100</v>
      </c>
      <c r="J11" s="20">
        <v>46335980</v>
      </c>
      <c r="K11" s="22">
        <v>16188144080</v>
      </c>
      <c r="L11" s="23">
        <v>325389717</v>
      </c>
      <c r="M11" s="21">
        <v>21245884000</v>
      </c>
      <c r="N11" s="243">
        <v>2000000000</v>
      </c>
      <c r="O11" s="98"/>
    </row>
    <row r="12" spans="1:15" s="244" customFormat="1" ht="15" customHeight="1">
      <c r="A12" s="241"/>
      <c r="B12" s="95">
        <f t="shared" si="0"/>
        <v>2</v>
      </c>
      <c r="C12" s="96" t="s">
        <v>112</v>
      </c>
      <c r="D12" s="97" t="s">
        <v>48</v>
      </c>
      <c r="E12" s="96" t="s">
        <v>114</v>
      </c>
      <c r="F12" s="96" t="s">
        <v>115</v>
      </c>
      <c r="G12" s="96"/>
      <c r="H12" s="96" t="s">
        <v>70</v>
      </c>
      <c r="I12" s="21">
        <v>5758756000</v>
      </c>
      <c r="J12" s="22">
        <v>0</v>
      </c>
      <c r="K12" s="22">
        <v>5758756000</v>
      </c>
      <c r="L12" s="23">
        <v>210584313</v>
      </c>
      <c r="M12" s="21">
        <v>3880000000</v>
      </c>
      <c r="N12" s="23">
        <v>0</v>
      </c>
      <c r="O12" s="98"/>
    </row>
    <row r="13" spans="1:15" s="244" customFormat="1" ht="15" customHeight="1">
      <c r="A13" s="241"/>
      <c r="B13" s="95">
        <f t="shared" si="0"/>
        <v>3</v>
      </c>
      <c r="C13" s="96" t="s">
        <v>112</v>
      </c>
      <c r="D13" s="97" t="s">
        <v>48</v>
      </c>
      <c r="E13" s="96" t="s">
        <v>28</v>
      </c>
      <c r="F13" s="96" t="s">
        <v>116</v>
      </c>
      <c r="G13" s="96"/>
      <c r="H13" s="96" t="s">
        <v>70</v>
      </c>
      <c r="I13" s="21">
        <v>5134210466</v>
      </c>
      <c r="J13" s="22">
        <v>24894830</v>
      </c>
      <c r="K13" s="22">
        <v>5159105296</v>
      </c>
      <c r="L13" s="23">
        <v>246990863</v>
      </c>
      <c r="M13" s="21">
        <v>5480000000</v>
      </c>
      <c r="N13" s="23">
        <v>360000000</v>
      </c>
      <c r="O13" s="98"/>
    </row>
    <row r="14" spans="1:15" s="244" customFormat="1" ht="15" customHeight="1">
      <c r="A14" s="241"/>
      <c r="B14" s="95">
        <f t="shared" si="0"/>
        <v>4</v>
      </c>
      <c r="C14" s="96" t="s">
        <v>112</v>
      </c>
      <c r="D14" s="97" t="s">
        <v>48</v>
      </c>
      <c r="E14" s="96" t="s">
        <v>117</v>
      </c>
      <c r="F14" s="96" t="s">
        <v>118</v>
      </c>
      <c r="G14" s="96"/>
      <c r="H14" s="96" t="s">
        <v>70</v>
      </c>
      <c r="I14" s="21">
        <v>4293521912</v>
      </c>
      <c r="J14" s="22">
        <v>34038250</v>
      </c>
      <c r="K14" s="22">
        <v>4327560162</v>
      </c>
      <c r="L14" s="23">
        <v>158296661</v>
      </c>
      <c r="M14" s="21">
        <v>5340000000</v>
      </c>
      <c r="N14" s="23">
        <v>0</v>
      </c>
      <c r="O14" s="98"/>
    </row>
    <row r="15" spans="1:15" s="244" customFormat="1" ht="15" customHeight="1">
      <c r="A15" s="241"/>
      <c r="B15" s="95">
        <f t="shared" si="0"/>
        <v>5</v>
      </c>
      <c r="C15" s="96" t="s">
        <v>112</v>
      </c>
      <c r="D15" s="97" t="s">
        <v>48</v>
      </c>
      <c r="E15" s="96" t="s">
        <v>119</v>
      </c>
      <c r="F15" s="96" t="s">
        <v>120</v>
      </c>
      <c r="G15" s="97" t="s">
        <v>121</v>
      </c>
      <c r="H15" s="96" t="s">
        <v>70</v>
      </c>
      <c r="I15" s="21">
        <v>3900000000</v>
      </c>
      <c r="J15" s="22">
        <v>0</v>
      </c>
      <c r="K15" s="22">
        <v>3900000000</v>
      </c>
      <c r="L15" s="23">
        <v>62773971</v>
      </c>
      <c r="M15" s="21">
        <v>6222827520</v>
      </c>
      <c r="N15" s="23">
        <v>0</v>
      </c>
      <c r="O15" s="98"/>
    </row>
    <row r="16" spans="1:15" s="244" customFormat="1" ht="15" customHeight="1">
      <c r="A16" s="241"/>
      <c r="B16" s="95">
        <f t="shared" si="0"/>
        <v>6</v>
      </c>
      <c r="C16" s="96" t="s">
        <v>112</v>
      </c>
      <c r="D16" s="97" t="s">
        <v>48</v>
      </c>
      <c r="E16" s="96" t="s">
        <v>29</v>
      </c>
      <c r="F16" s="96" t="s">
        <v>122</v>
      </c>
      <c r="G16" s="96"/>
      <c r="H16" s="96" t="s">
        <v>70</v>
      </c>
      <c r="I16" s="21">
        <v>3300000000</v>
      </c>
      <c r="J16" s="22">
        <v>15411600</v>
      </c>
      <c r="K16" s="22">
        <v>3315411600</v>
      </c>
      <c r="L16" s="23">
        <v>125689506</v>
      </c>
      <c r="M16" s="21">
        <v>3960000000</v>
      </c>
      <c r="N16" s="23">
        <v>0</v>
      </c>
      <c r="O16" s="98"/>
    </row>
    <row r="17" spans="1:15" s="244" customFormat="1" ht="15" customHeight="1">
      <c r="A17" s="241"/>
      <c r="B17" s="95">
        <f t="shared" si="0"/>
        <v>7</v>
      </c>
      <c r="C17" s="96" t="s">
        <v>112</v>
      </c>
      <c r="D17" s="97" t="s">
        <v>48</v>
      </c>
      <c r="E17" s="96" t="s">
        <v>123</v>
      </c>
      <c r="F17" s="96" t="s">
        <v>124</v>
      </c>
      <c r="G17" s="96"/>
      <c r="H17" s="96" t="s">
        <v>71</v>
      </c>
      <c r="I17" s="21">
        <v>3188165915</v>
      </c>
      <c r="J17" s="22">
        <v>16196840</v>
      </c>
      <c r="K17" s="22">
        <v>3204362755</v>
      </c>
      <c r="L17" s="23">
        <v>95637520</v>
      </c>
      <c r="M17" s="21">
        <v>2967600000</v>
      </c>
      <c r="N17" s="23">
        <v>0</v>
      </c>
      <c r="O17" s="98"/>
    </row>
    <row r="18" spans="1:15" s="244" customFormat="1" ht="15" customHeight="1">
      <c r="A18" s="241"/>
      <c r="B18" s="95">
        <f t="shared" si="0"/>
        <v>8</v>
      </c>
      <c r="C18" s="96" t="s">
        <v>112</v>
      </c>
      <c r="D18" s="97" t="s">
        <v>48</v>
      </c>
      <c r="E18" s="96" t="s">
        <v>125</v>
      </c>
      <c r="F18" s="96" t="s">
        <v>126</v>
      </c>
      <c r="G18" s="96"/>
      <c r="H18" s="96" t="s">
        <v>71</v>
      </c>
      <c r="I18" s="21">
        <v>3209700000</v>
      </c>
      <c r="J18" s="22">
        <v>16112792</v>
      </c>
      <c r="K18" s="22">
        <v>3225812792</v>
      </c>
      <c r="L18" s="23">
        <v>220317993</v>
      </c>
      <c r="M18" s="21">
        <v>4200000000</v>
      </c>
      <c r="N18" s="23">
        <v>0</v>
      </c>
      <c r="O18" s="98"/>
    </row>
    <row r="19" spans="1:15" s="244" customFormat="1" ht="15" customHeight="1">
      <c r="A19" s="241"/>
      <c r="B19" s="95">
        <f t="shared" si="0"/>
        <v>9</v>
      </c>
      <c r="C19" s="96" t="s">
        <v>112</v>
      </c>
      <c r="D19" s="97" t="s">
        <v>48</v>
      </c>
      <c r="E19" s="96" t="s">
        <v>127</v>
      </c>
      <c r="F19" s="96" t="s">
        <v>128</v>
      </c>
      <c r="G19" s="96"/>
      <c r="H19" s="96" t="s">
        <v>70</v>
      </c>
      <c r="I19" s="21">
        <v>2600000000</v>
      </c>
      <c r="J19" s="22">
        <v>6098870</v>
      </c>
      <c r="K19" s="22">
        <v>2606098870</v>
      </c>
      <c r="L19" s="23">
        <v>108566493</v>
      </c>
      <c r="M19" s="21">
        <v>2760000000</v>
      </c>
      <c r="N19" s="23">
        <v>0</v>
      </c>
      <c r="O19" s="98"/>
    </row>
    <row r="20" spans="1:15" s="244" customFormat="1" ht="15" customHeight="1">
      <c r="A20" s="241"/>
      <c r="B20" s="95">
        <f t="shared" si="0"/>
        <v>10</v>
      </c>
      <c r="C20" s="96" t="s">
        <v>112</v>
      </c>
      <c r="D20" s="97" t="s">
        <v>48</v>
      </c>
      <c r="E20" s="96" t="s">
        <v>129</v>
      </c>
      <c r="F20" s="96" t="s">
        <v>130</v>
      </c>
      <c r="G20" s="96"/>
      <c r="H20" s="96" t="s">
        <v>71</v>
      </c>
      <c r="I20" s="21">
        <v>2625908500</v>
      </c>
      <c r="J20" s="22">
        <v>1540000</v>
      </c>
      <c r="K20" s="22">
        <v>2627448500</v>
      </c>
      <c r="L20" s="23">
        <v>76153956</v>
      </c>
      <c r="M20" s="21">
        <v>1414000000</v>
      </c>
      <c r="N20" s="23">
        <v>288600000</v>
      </c>
      <c r="O20" s="98"/>
    </row>
    <row r="21" spans="1:15" s="244" customFormat="1" ht="15" customHeight="1">
      <c r="A21" s="241"/>
      <c r="B21" s="95">
        <f t="shared" si="0"/>
        <v>11</v>
      </c>
      <c r="C21" s="96" t="s">
        <v>112</v>
      </c>
      <c r="D21" s="97" t="s">
        <v>48</v>
      </c>
      <c r="E21" s="96" t="s">
        <v>131</v>
      </c>
      <c r="F21" s="96" t="s">
        <v>132</v>
      </c>
      <c r="G21" s="96"/>
      <c r="H21" s="96" t="s">
        <v>70</v>
      </c>
      <c r="I21" s="21">
        <v>2230000000</v>
      </c>
      <c r="J21" s="22">
        <v>508115</v>
      </c>
      <c r="K21" s="22">
        <v>2230508115</v>
      </c>
      <c r="L21" s="23">
        <v>82869561</v>
      </c>
      <c r="M21" s="21">
        <v>2330000000</v>
      </c>
      <c r="N21" s="23">
        <v>0</v>
      </c>
      <c r="O21" s="98"/>
    </row>
    <row r="22" spans="1:15" s="244" customFormat="1" ht="15" customHeight="1">
      <c r="A22" s="241"/>
      <c r="B22" s="95">
        <f t="shared" si="0"/>
        <v>12</v>
      </c>
      <c r="C22" s="96" t="s">
        <v>112</v>
      </c>
      <c r="D22" s="97" t="s">
        <v>48</v>
      </c>
      <c r="E22" s="96" t="s">
        <v>133</v>
      </c>
      <c r="F22" s="96" t="s">
        <v>134</v>
      </c>
      <c r="G22" s="96"/>
      <c r="H22" s="96" t="s">
        <v>71</v>
      </c>
      <c r="I22" s="21">
        <v>2185971070</v>
      </c>
      <c r="J22" s="22">
        <v>14665280</v>
      </c>
      <c r="K22" s="22">
        <v>2200636350</v>
      </c>
      <c r="L22" s="23">
        <v>299374037</v>
      </c>
      <c r="M22" s="21">
        <v>2232000000</v>
      </c>
      <c r="N22" s="23">
        <v>0</v>
      </c>
      <c r="O22" s="98"/>
    </row>
    <row r="23" spans="1:15" s="244" customFormat="1" ht="15" customHeight="1">
      <c r="A23" s="241"/>
      <c r="B23" s="95">
        <f t="shared" si="0"/>
        <v>13</v>
      </c>
      <c r="C23" s="96" t="s">
        <v>112</v>
      </c>
      <c r="D23" s="97" t="s">
        <v>48</v>
      </c>
      <c r="E23" s="96" t="s">
        <v>30</v>
      </c>
      <c r="F23" s="96" t="s">
        <v>135</v>
      </c>
      <c r="G23" s="96" t="s">
        <v>136</v>
      </c>
      <c r="H23" s="96" t="s">
        <v>71</v>
      </c>
      <c r="I23" s="21">
        <v>2166390000</v>
      </c>
      <c r="J23" s="22">
        <v>1219790</v>
      </c>
      <c r="K23" s="22">
        <v>2167609790</v>
      </c>
      <c r="L23" s="23">
        <v>69761149</v>
      </c>
      <c r="M23" s="21">
        <v>2400000000</v>
      </c>
      <c r="N23" s="23">
        <v>0</v>
      </c>
      <c r="O23" s="98"/>
    </row>
    <row r="24" spans="1:15" s="244" customFormat="1" ht="15" customHeight="1">
      <c r="A24" s="241"/>
      <c r="B24" s="95">
        <f t="shared" si="0"/>
        <v>14</v>
      </c>
      <c r="C24" s="96" t="s">
        <v>112</v>
      </c>
      <c r="D24" s="97" t="s">
        <v>48</v>
      </c>
      <c r="E24" s="96" t="s">
        <v>137</v>
      </c>
      <c r="F24" s="96" t="s">
        <v>138</v>
      </c>
      <c r="G24" s="96"/>
      <c r="H24" s="96" t="s">
        <v>70</v>
      </c>
      <c r="I24" s="21">
        <v>2035820000</v>
      </c>
      <c r="J24" s="22">
        <v>0</v>
      </c>
      <c r="K24" s="22">
        <v>2035820000</v>
      </c>
      <c r="L24" s="23">
        <v>73778804</v>
      </c>
      <c r="M24" s="21">
        <v>1130000000</v>
      </c>
      <c r="N24" s="23">
        <v>0</v>
      </c>
      <c r="O24" s="98"/>
    </row>
    <row r="25" spans="1:15" s="244" customFormat="1" ht="15" customHeight="1">
      <c r="A25" s="241"/>
      <c r="B25" s="95">
        <f t="shared" si="0"/>
        <v>15</v>
      </c>
      <c r="C25" s="96" t="s">
        <v>112</v>
      </c>
      <c r="D25" s="97" t="s">
        <v>48</v>
      </c>
      <c r="E25" s="96" t="s">
        <v>139</v>
      </c>
      <c r="F25" s="96" t="s">
        <v>140</v>
      </c>
      <c r="G25" s="96"/>
      <c r="H25" s="96" t="s">
        <v>70</v>
      </c>
      <c r="I25" s="21">
        <v>657165722</v>
      </c>
      <c r="J25" s="22">
        <v>9762072</v>
      </c>
      <c r="K25" s="22">
        <v>666927794</v>
      </c>
      <c r="L25" s="23">
        <v>44639109</v>
      </c>
      <c r="M25" s="21">
        <v>636000000</v>
      </c>
      <c r="N25" s="23">
        <v>0</v>
      </c>
      <c r="O25" s="98"/>
    </row>
    <row r="26" spans="1:15" s="244" customFormat="1" ht="15" customHeight="1">
      <c r="A26" s="241"/>
      <c r="B26" s="95">
        <f t="shared" si="0"/>
        <v>16</v>
      </c>
      <c r="C26" s="96" t="s">
        <v>112</v>
      </c>
      <c r="D26" s="97" t="s">
        <v>48</v>
      </c>
      <c r="E26" s="96" t="s">
        <v>31</v>
      </c>
      <c r="F26" s="96" t="s">
        <v>141</v>
      </c>
      <c r="G26" s="96"/>
      <c r="H26" s="96" t="s">
        <v>71</v>
      </c>
      <c r="I26" s="21">
        <v>1839855984</v>
      </c>
      <c r="J26" s="22">
        <v>1290300</v>
      </c>
      <c r="K26" s="22">
        <v>1841146284</v>
      </c>
      <c r="L26" s="23">
        <v>57108854</v>
      </c>
      <c r="M26" s="21">
        <v>2220000000</v>
      </c>
      <c r="N26" s="23">
        <v>0</v>
      </c>
      <c r="O26" s="98"/>
    </row>
    <row r="27" spans="1:15" s="244" customFormat="1" ht="15" customHeight="1">
      <c r="A27" s="241"/>
      <c r="B27" s="95">
        <f t="shared" si="0"/>
        <v>17</v>
      </c>
      <c r="C27" s="96" t="s">
        <v>112</v>
      </c>
      <c r="D27" s="97" t="s">
        <v>48</v>
      </c>
      <c r="E27" s="96" t="s">
        <v>32</v>
      </c>
      <c r="F27" s="96" t="s">
        <v>142</v>
      </c>
      <c r="G27" s="96"/>
      <c r="H27" s="96" t="s">
        <v>70</v>
      </c>
      <c r="I27" s="21">
        <v>1550374731</v>
      </c>
      <c r="J27" s="22">
        <v>1189100</v>
      </c>
      <c r="K27" s="22">
        <v>1551563831</v>
      </c>
      <c r="L27" s="23">
        <v>36431234</v>
      </c>
      <c r="M27" s="21">
        <v>1450000000</v>
      </c>
      <c r="N27" s="23">
        <v>0</v>
      </c>
      <c r="O27" s="98"/>
    </row>
    <row r="28" spans="1:15" s="244" customFormat="1" ht="15" customHeight="1">
      <c r="A28" s="241"/>
      <c r="B28" s="95">
        <f t="shared" si="0"/>
        <v>18</v>
      </c>
      <c r="C28" s="96" t="s">
        <v>112</v>
      </c>
      <c r="D28" s="97" t="s">
        <v>48</v>
      </c>
      <c r="E28" s="96" t="s">
        <v>143</v>
      </c>
      <c r="F28" s="96" t="s">
        <v>144</v>
      </c>
      <c r="G28" s="96" t="s">
        <v>145</v>
      </c>
      <c r="H28" s="96" t="s">
        <v>70</v>
      </c>
      <c r="I28" s="21">
        <v>1429895634</v>
      </c>
      <c r="J28" s="22">
        <v>10353972</v>
      </c>
      <c r="K28" s="22">
        <v>1440249606</v>
      </c>
      <c r="L28" s="23">
        <v>90877323</v>
      </c>
      <c r="M28" s="21">
        <v>1128000000</v>
      </c>
      <c r="N28" s="23">
        <v>1313700000</v>
      </c>
      <c r="O28" s="98"/>
    </row>
    <row r="29" spans="1:15" s="244" customFormat="1" ht="15" customHeight="1">
      <c r="A29" s="241"/>
      <c r="B29" s="95">
        <f t="shared" si="0"/>
        <v>19</v>
      </c>
      <c r="C29" s="96" t="s">
        <v>112</v>
      </c>
      <c r="D29" s="97" t="s">
        <v>48</v>
      </c>
      <c r="E29" s="96" t="s">
        <v>33</v>
      </c>
      <c r="F29" s="96" t="s">
        <v>146</v>
      </c>
      <c r="G29" s="96"/>
      <c r="H29" s="96" t="s">
        <v>70</v>
      </c>
      <c r="I29" s="21">
        <v>1506050709</v>
      </c>
      <c r="J29" s="22">
        <v>26783300</v>
      </c>
      <c r="K29" s="22">
        <v>1532834009</v>
      </c>
      <c r="L29" s="23">
        <v>228186087</v>
      </c>
      <c r="M29" s="21">
        <v>1824000000</v>
      </c>
      <c r="N29" s="23">
        <v>0</v>
      </c>
      <c r="O29" s="98"/>
    </row>
    <row r="30" spans="1:15" s="244" customFormat="1" ht="15" customHeight="1">
      <c r="A30" s="241"/>
      <c r="B30" s="95">
        <f t="shared" si="0"/>
        <v>20</v>
      </c>
      <c r="C30" s="96" t="s">
        <v>112</v>
      </c>
      <c r="D30" s="97" t="s">
        <v>48</v>
      </c>
      <c r="E30" s="96" t="s">
        <v>147</v>
      </c>
      <c r="F30" s="96" t="s">
        <v>148</v>
      </c>
      <c r="G30" s="96"/>
      <c r="H30" s="96" t="s">
        <v>70</v>
      </c>
      <c r="I30" s="21">
        <v>1500000000</v>
      </c>
      <c r="J30" s="22">
        <v>12761390</v>
      </c>
      <c r="K30" s="22">
        <v>1512761390</v>
      </c>
      <c r="L30" s="23">
        <v>55620219</v>
      </c>
      <c r="M30" s="21">
        <v>1800000000</v>
      </c>
      <c r="N30" s="23">
        <v>0</v>
      </c>
      <c r="O30" s="98"/>
    </row>
    <row r="31" spans="1:15" s="244" customFormat="1" ht="15" customHeight="1">
      <c r="A31" s="241"/>
      <c r="B31" s="95">
        <f t="shared" si="0"/>
        <v>21</v>
      </c>
      <c r="C31" s="96" t="s">
        <v>112</v>
      </c>
      <c r="D31" s="97" t="s">
        <v>48</v>
      </c>
      <c r="E31" s="96" t="s">
        <v>149</v>
      </c>
      <c r="F31" s="96" t="s">
        <v>150</v>
      </c>
      <c r="G31" s="96"/>
      <c r="H31" s="96" t="s">
        <v>71</v>
      </c>
      <c r="I31" s="21">
        <v>1020000000</v>
      </c>
      <c r="J31" s="22">
        <v>11892320</v>
      </c>
      <c r="K31" s="22">
        <v>1031892320</v>
      </c>
      <c r="L31" s="23">
        <v>56838699</v>
      </c>
      <c r="M31" s="21">
        <v>1188000000</v>
      </c>
      <c r="N31" s="23">
        <v>0</v>
      </c>
      <c r="O31" s="98"/>
    </row>
    <row r="32" spans="1:15" s="244" customFormat="1" ht="15" customHeight="1">
      <c r="A32" s="241"/>
      <c r="B32" s="95">
        <f t="shared" si="0"/>
        <v>22</v>
      </c>
      <c r="C32" s="96" t="s">
        <v>112</v>
      </c>
      <c r="D32" s="97" t="s">
        <v>48</v>
      </c>
      <c r="E32" s="96" t="s">
        <v>34</v>
      </c>
      <c r="F32" s="96" t="s">
        <v>151</v>
      </c>
      <c r="G32" s="96"/>
      <c r="H32" s="96" t="s">
        <v>70</v>
      </c>
      <c r="I32" s="21">
        <v>1060764940</v>
      </c>
      <c r="J32" s="22">
        <v>21281059</v>
      </c>
      <c r="K32" s="22">
        <v>1082045999</v>
      </c>
      <c r="L32" s="23">
        <v>143158535</v>
      </c>
      <c r="M32" s="21">
        <v>1404000000</v>
      </c>
      <c r="N32" s="23">
        <v>0</v>
      </c>
      <c r="O32" s="98"/>
    </row>
    <row r="33" spans="1:15" s="244" customFormat="1" ht="15" customHeight="1">
      <c r="A33" s="241"/>
      <c r="B33" s="95">
        <f t="shared" si="0"/>
        <v>23</v>
      </c>
      <c r="C33" s="96" t="s">
        <v>112</v>
      </c>
      <c r="D33" s="97" t="s">
        <v>48</v>
      </c>
      <c r="E33" s="96" t="s">
        <v>152</v>
      </c>
      <c r="F33" s="96" t="s">
        <v>153</v>
      </c>
      <c r="G33" s="96"/>
      <c r="H33" s="96" t="s">
        <v>71</v>
      </c>
      <c r="I33" s="21">
        <v>1180240447</v>
      </c>
      <c r="J33" s="22">
        <v>3361970</v>
      </c>
      <c r="K33" s="22">
        <v>1183602417</v>
      </c>
      <c r="L33" s="23">
        <v>33324262</v>
      </c>
      <c r="M33" s="21">
        <v>894000000</v>
      </c>
      <c r="N33" s="23">
        <v>0</v>
      </c>
      <c r="O33" s="98"/>
    </row>
    <row r="34" spans="1:15" s="244" customFormat="1" ht="15" customHeight="1">
      <c r="A34" s="241"/>
      <c r="B34" s="95">
        <f t="shared" si="0"/>
        <v>24</v>
      </c>
      <c r="C34" s="96" t="s">
        <v>112</v>
      </c>
      <c r="D34" s="97" t="s">
        <v>48</v>
      </c>
      <c r="E34" s="96" t="s">
        <v>35</v>
      </c>
      <c r="F34" s="96" t="s">
        <v>154</v>
      </c>
      <c r="G34" s="96"/>
      <c r="H34" s="96" t="s">
        <v>70</v>
      </c>
      <c r="I34" s="21">
        <v>1120000000</v>
      </c>
      <c r="J34" s="22">
        <v>743350</v>
      </c>
      <c r="K34" s="22">
        <v>1120743350</v>
      </c>
      <c r="L34" s="23">
        <v>27504998</v>
      </c>
      <c r="M34" s="21">
        <v>744000000</v>
      </c>
      <c r="N34" s="23">
        <v>0</v>
      </c>
      <c r="O34" s="98"/>
    </row>
    <row r="35" spans="1:15" s="244" customFormat="1" ht="15" customHeight="1">
      <c r="A35" s="241"/>
      <c r="B35" s="95">
        <f t="shared" si="0"/>
        <v>25</v>
      </c>
      <c r="C35" s="96" t="s">
        <v>112</v>
      </c>
      <c r="D35" s="97" t="s">
        <v>48</v>
      </c>
      <c r="E35" s="96" t="s">
        <v>36</v>
      </c>
      <c r="F35" s="96" t="s">
        <v>155</v>
      </c>
      <c r="G35" s="96"/>
      <c r="H35" s="96" t="s">
        <v>70</v>
      </c>
      <c r="I35" s="21">
        <v>1099935086</v>
      </c>
      <c r="J35" s="22">
        <v>759000</v>
      </c>
      <c r="K35" s="22">
        <v>1100694086</v>
      </c>
      <c r="L35" s="23">
        <v>36914679</v>
      </c>
      <c r="M35" s="21">
        <v>1200000000</v>
      </c>
      <c r="N35" s="23">
        <v>0</v>
      </c>
      <c r="O35" s="98"/>
    </row>
    <row r="36" spans="1:15" s="244" customFormat="1" ht="15" customHeight="1">
      <c r="A36" s="241"/>
      <c r="B36" s="95">
        <f t="shared" si="0"/>
        <v>26</v>
      </c>
      <c r="C36" s="96" t="s">
        <v>112</v>
      </c>
      <c r="D36" s="97" t="s">
        <v>48</v>
      </c>
      <c r="E36" s="96" t="s">
        <v>37</v>
      </c>
      <c r="F36" s="96" t="s">
        <v>156</v>
      </c>
      <c r="G36" s="96"/>
      <c r="H36" s="96" t="s">
        <v>70</v>
      </c>
      <c r="I36" s="21">
        <v>819205850</v>
      </c>
      <c r="J36" s="22">
        <v>10581641</v>
      </c>
      <c r="K36" s="22">
        <v>829787491</v>
      </c>
      <c r="L36" s="23">
        <v>128249733</v>
      </c>
      <c r="M36" s="21">
        <v>468000000</v>
      </c>
      <c r="N36" s="23">
        <v>0</v>
      </c>
      <c r="O36" s="98"/>
    </row>
    <row r="37" spans="1:15" s="244" customFormat="1" ht="15" customHeight="1">
      <c r="A37" s="241"/>
      <c r="B37" s="95">
        <f t="shared" si="0"/>
        <v>27</v>
      </c>
      <c r="C37" s="96" t="s">
        <v>112</v>
      </c>
      <c r="D37" s="97" t="s">
        <v>48</v>
      </c>
      <c r="E37" s="96" t="s">
        <v>157</v>
      </c>
      <c r="F37" s="96" t="s">
        <v>158</v>
      </c>
      <c r="G37" s="96"/>
      <c r="H37" s="96" t="s">
        <v>70</v>
      </c>
      <c r="I37" s="21">
        <v>671120000</v>
      </c>
      <c r="J37" s="22">
        <v>1335490</v>
      </c>
      <c r="K37" s="22">
        <v>672455490</v>
      </c>
      <c r="L37" s="23">
        <v>22923675</v>
      </c>
      <c r="M37" s="21">
        <v>828000000</v>
      </c>
      <c r="N37" s="23">
        <v>1020000000</v>
      </c>
      <c r="O37" s="98"/>
    </row>
    <row r="38" spans="1:15" s="244" customFormat="1" ht="15" customHeight="1">
      <c r="A38" s="241"/>
      <c r="B38" s="95">
        <f t="shared" si="0"/>
        <v>28</v>
      </c>
      <c r="C38" s="96" t="s">
        <v>112</v>
      </c>
      <c r="D38" s="97" t="s">
        <v>48</v>
      </c>
      <c r="E38" s="96" t="s">
        <v>159</v>
      </c>
      <c r="F38" s="96" t="s">
        <v>160</v>
      </c>
      <c r="G38" s="96"/>
      <c r="H38" s="96" t="s">
        <v>70</v>
      </c>
      <c r="I38" s="21">
        <v>450000000</v>
      </c>
      <c r="J38" s="22">
        <v>2102290</v>
      </c>
      <c r="K38" s="22">
        <v>452102290</v>
      </c>
      <c r="L38" s="23">
        <v>31595615</v>
      </c>
      <c r="M38" s="21">
        <v>540000000</v>
      </c>
      <c r="N38" s="23">
        <v>315200000</v>
      </c>
      <c r="O38" s="98"/>
    </row>
    <row r="39" spans="1:15" s="244" customFormat="1" ht="15" customHeight="1">
      <c r="A39" s="241"/>
      <c r="B39" s="95">
        <f t="shared" si="0"/>
        <v>29</v>
      </c>
      <c r="C39" s="96" t="s">
        <v>112</v>
      </c>
      <c r="D39" s="97" t="s">
        <v>48</v>
      </c>
      <c r="E39" s="96" t="s">
        <v>161</v>
      </c>
      <c r="F39" s="96" t="s">
        <v>162</v>
      </c>
      <c r="G39" s="96"/>
      <c r="H39" s="96" t="s">
        <v>70</v>
      </c>
      <c r="I39" s="21">
        <v>350000000</v>
      </c>
      <c r="J39" s="22">
        <v>173500</v>
      </c>
      <c r="K39" s="22">
        <v>350173500</v>
      </c>
      <c r="L39" s="23">
        <v>14872504</v>
      </c>
      <c r="M39" s="21">
        <v>420000000</v>
      </c>
      <c r="N39" s="23">
        <v>0</v>
      </c>
      <c r="O39" s="98"/>
    </row>
    <row r="40" spans="1:15" s="244" customFormat="1" ht="15" customHeight="1">
      <c r="A40" s="241"/>
      <c r="B40" s="95">
        <f t="shared" si="0"/>
        <v>30</v>
      </c>
      <c r="C40" s="96" t="s">
        <v>112</v>
      </c>
      <c r="D40" s="97" t="s">
        <v>48</v>
      </c>
      <c r="E40" s="96" t="s">
        <v>38</v>
      </c>
      <c r="F40" s="96" t="s">
        <v>163</v>
      </c>
      <c r="G40" s="96"/>
      <c r="H40" s="96" t="s">
        <v>72</v>
      </c>
      <c r="I40" s="21">
        <v>350000000</v>
      </c>
      <c r="J40" s="22">
        <v>4982570</v>
      </c>
      <c r="K40" s="22">
        <v>354982570</v>
      </c>
      <c r="L40" s="23">
        <v>9915960</v>
      </c>
      <c r="M40" s="21">
        <v>420000000</v>
      </c>
      <c r="N40" s="23">
        <v>480000000</v>
      </c>
      <c r="O40" s="98"/>
    </row>
    <row r="41" spans="1:15" s="244" customFormat="1" ht="15" customHeight="1">
      <c r="A41" s="241"/>
      <c r="B41" s="95">
        <f t="shared" si="0"/>
        <v>31</v>
      </c>
      <c r="C41" s="96" t="s">
        <v>112</v>
      </c>
      <c r="D41" s="97" t="s">
        <v>48</v>
      </c>
      <c r="E41" s="96" t="s">
        <v>164</v>
      </c>
      <c r="F41" s="96" t="s">
        <v>165</v>
      </c>
      <c r="G41" s="96" t="s">
        <v>166</v>
      </c>
      <c r="H41" s="96" t="s">
        <v>72</v>
      </c>
      <c r="I41" s="21">
        <v>334981715</v>
      </c>
      <c r="J41" s="22">
        <v>0</v>
      </c>
      <c r="K41" s="22">
        <v>334981715</v>
      </c>
      <c r="L41" s="23">
        <v>16481518</v>
      </c>
      <c r="M41" s="21">
        <v>408000000</v>
      </c>
      <c r="N41" s="23">
        <v>0</v>
      </c>
      <c r="O41" s="98"/>
    </row>
    <row r="42" spans="1:15" s="244" customFormat="1" ht="15" customHeight="1">
      <c r="A42" s="241"/>
      <c r="B42" s="95">
        <f t="shared" si="0"/>
        <v>32</v>
      </c>
      <c r="C42" s="96" t="s">
        <v>112</v>
      </c>
      <c r="D42" s="97" t="s">
        <v>48</v>
      </c>
      <c r="E42" s="96" t="s">
        <v>39</v>
      </c>
      <c r="F42" s="96" t="s">
        <v>165</v>
      </c>
      <c r="G42" s="96" t="s">
        <v>167</v>
      </c>
      <c r="H42" s="96" t="s">
        <v>71</v>
      </c>
      <c r="I42" s="21">
        <v>268040000</v>
      </c>
      <c r="J42" s="22">
        <v>0</v>
      </c>
      <c r="K42" s="22">
        <v>268040000</v>
      </c>
      <c r="L42" s="23">
        <v>14652601</v>
      </c>
      <c r="M42" s="21">
        <v>505700000</v>
      </c>
      <c r="N42" s="23">
        <v>0</v>
      </c>
      <c r="O42" s="98"/>
    </row>
    <row r="43" spans="1:15" s="244" customFormat="1" ht="15" customHeight="1">
      <c r="A43" s="241"/>
      <c r="B43" s="95">
        <f t="shared" si="0"/>
        <v>33</v>
      </c>
      <c r="C43" s="96" t="s">
        <v>112</v>
      </c>
      <c r="D43" s="97" t="s">
        <v>48</v>
      </c>
      <c r="E43" s="96" t="s">
        <v>168</v>
      </c>
      <c r="F43" s="96" t="s">
        <v>169</v>
      </c>
      <c r="G43" s="96"/>
      <c r="H43" s="96" t="s">
        <v>72</v>
      </c>
      <c r="I43" s="21">
        <v>263050000</v>
      </c>
      <c r="J43" s="22">
        <v>0</v>
      </c>
      <c r="K43" s="22">
        <v>263050000</v>
      </c>
      <c r="L43" s="23">
        <v>7861824</v>
      </c>
      <c r="M43" s="21">
        <v>314400000</v>
      </c>
      <c r="N43" s="23">
        <v>0</v>
      </c>
      <c r="O43" s="98"/>
    </row>
    <row r="44" spans="1:15" s="244" customFormat="1" ht="15" customHeight="1">
      <c r="A44" s="241"/>
      <c r="B44" s="95">
        <f t="shared" si="0"/>
        <v>34</v>
      </c>
      <c r="C44" s="96" t="s">
        <v>112</v>
      </c>
      <c r="D44" s="97" t="s">
        <v>48</v>
      </c>
      <c r="E44" s="96" t="s">
        <v>170</v>
      </c>
      <c r="F44" s="96" t="s">
        <v>171</v>
      </c>
      <c r="G44" s="96"/>
      <c r="H44" s="96" t="s">
        <v>70</v>
      </c>
      <c r="I44" s="21">
        <v>200000000</v>
      </c>
      <c r="J44" s="22">
        <v>4153400</v>
      </c>
      <c r="K44" s="22">
        <v>204153400</v>
      </c>
      <c r="L44" s="23">
        <v>11603669</v>
      </c>
      <c r="M44" s="21">
        <v>200000000</v>
      </c>
      <c r="N44" s="23">
        <v>0</v>
      </c>
      <c r="O44" s="98"/>
    </row>
    <row r="45" spans="1:15" s="244" customFormat="1" ht="15" customHeight="1">
      <c r="A45" s="241"/>
      <c r="B45" s="95">
        <f t="shared" si="0"/>
        <v>35</v>
      </c>
      <c r="C45" s="96" t="s">
        <v>112</v>
      </c>
      <c r="D45" s="97" t="s">
        <v>48</v>
      </c>
      <c r="E45" s="96" t="s">
        <v>172</v>
      </c>
      <c r="F45" s="96" t="s">
        <v>173</v>
      </c>
      <c r="G45" s="96"/>
      <c r="H45" s="96" t="s">
        <v>72</v>
      </c>
      <c r="I45" s="21">
        <v>144992391</v>
      </c>
      <c r="J45" s="22">
        <v>1749262</v>
      </c>
      <c r="K45" s="22">
        <v>146741653</v>
      </c>
      <c r="L45" s="23">
        <v>7767165</v>
      </c>
      <c r="M45" s="21">
        <v>172800000</v>
      </c>
      <c r="N45" s="23">
        <v>113000000</v>
      </c>
      <c r="O45" s="98"/>
    </row>
    <row r="46" spans="1:15" s="244" customFormat="1" ht="15" customHeight="1">
      <c r="A46" s="241"/>
      <c r="B46" s="95">
        <f t="shared" si="0"/>
        <v>36</v>
      </c>
      <c r="C46" s="96" t="s">
        <v>112</v>
      </c>
      <c r="D46" s="97" t="s">
        <v>48</v>
      </c>
      <c r="E46" s="96" t="s">
        <v>136</v>
      </c>
      <c r="F46" s="96" t="s">
        <v>174</v>
      </c>
      <c r="G46" s="96" t="s">
        <v>30</v>
      </c>
      <c r="H46" s="96" t="s">
        <v>72</v>
      </c>
      <c r="I46" s="21">
        <v>132683216</v>
      </c>
      <c r="J46" s="22">
        <v>668261</v>
      </c>
      <c r="K46" s="22">
        <v>133351477</v>
      </c>
      <c r="L46" s="23">
        <v>3851771</v>
      </c>
      <c r="M46" s="21">
        <v>0</v>
      </c>
      <c r="N46" s="23">
        <v>0</v>
      </c>
      <c r="O46" s="98" t="s">
        <v>175</v>
      </c>
    </row>
    <row r="47" spans="1:15" s="244" customFormat="1" ht="15" customHeight="1">
      <c r="A47" s="241"/>
      <c r="B47" s="95">
        <f t="shared" si="0"/>
        <v>37</v>
      </c>
      <c r="C47" s="96" t="s">
        <v>112</v>
      </c>
      <c r="D47" s="97" t="s">
        <v>48</v>
      </c>
      <c r="E47" s="96" t="s">
        <v>40</v>
      </c>
      <c r="F47" s="96" t="s">
        <v>176</v>
      </c>
      <c r="G47" s="96"/>
      <c r="H47" s="96" t="s">
        <v>70</v>
      </c>
      <c r="I47" s="21">
        <v>138000000</v>
      </c>
      <c r="J47" s="22">
        <v>1018612</v>
      </c>
      <c r="K47" s="22">
        <v>139018612</v>
      </c>
      <c r="L47" s="23">
        <v>14135445</v>
      </c>
      <c r="M47" s="21">
        <v>360000000</v>
      </c>
      <c r="N47" s="23">
        <v>0</v>
      </c>
      <c r="O47" s="98"/>
    </row>
    <row r="48" spans="1:15" s="244" customFormat="1" ht="15" customHeight="1">
      <c r="A48" s="241"/>
      <c r="B48" s="95">
        <f t="shared" si="0"/>
        <v>38</v>
      </c>
      <c r="C48" s="96" t="s">
        <v>112</v>
      </c>
      <c r="D48" s="97" t="s">
        <v>48</v>
      </c>
      <c r="E48" s="96" t="s">
        <v>41</v>
      </c>
      <c r="F48" s="96" t="s">
        <v>177</v>
      </c>
      <c r="G48" s="96"/>
      <c r="H48" s="96" t="s">
        <v>72</v>
      </c>
      <c r="I48" s="21">
        <v>116004352</v>
      </c>
      <c r="J48" s="22">
        <v>0</v>
      </c>
      <c r="K48" s="22">
        <v>116004352</v>
      </c>
      <c r="L48" s="23">
        <v>2938545</v>
      </c>
      <c r="M48" s="21">
        <v>139920000</v>
      </c>
      <c r="N48" s="23">
        <v>0</v>
      </c>
      <c r="O48" s="98"/>
    </row>
    <row r="49" spans="1:15" s="244" customFormat="1" ht="15" customHeight="1">
      <c r="A49" s="241"/>
      <c r="B49" s="95">
        <f t="shared" si="0"/>
        <v>39</v>
      </c>
      <c r="C49" s="96" t="s">
        <v>112</v>
      </c>
      <c r="D49" s="97" t="s">
        <v>48</v>
      </c>
      <c r="E49" s="96" t="s">
        <v>42</v>
      </c>
      <c r="F49" s="96" t="s">
        <v>178</v>
      </c>
      <c r="G49" s="96"/>
      <c r="H49" s="96" t="s">
        <v>72</v>
      </c>
      <c r="I49" s="21">
        <v>99690595</v>
      </c>
      <c r="J49" s="22">
        <v>0</v>
      </c>
      <c r="K49" s="22">
        <v>99690595</v>
      </c>
      <c r="L49" s="23">
        <v>3111062</v>
      </c>
      <c r="M49" s="21">
        <v>120000000</v>
      </c>
      <c r="N49" s="23">
        <v>0</v>
      </c>
      <c r="O49" s="98"/>
    </row>
    <row r="50" spans="1:15" s="244" customFormat="1" ht="15" customHeight="1">
      <c r="A50" s="241"/>
      <c r="B50" s="95">
        <f t="shared" si="0"/>
        <v>40</v>
      </c>
      <c r="C50" s="96" t="s">
        <v>112</v>
      </c>
      <c r="D50" s="97" t="s">
        <v>48</v>
      </c>
      <c r="E50" s="96" t="s">
        <v>179</v>
      </c>
      <c r="F50" s="96" t="s">
        <v>180</v>
      </c>
      <c r="G50" s="96"/>
      <c r="H50" s="96" t="s">
        <v>72</v>
      </c>
      <c r="I50" s="21">
        <v>100000000</v>
      </c>
      <c r="J50" s="22">
        <v>0</v>
      </c>
      <c r="K50" s="22">
        <v>100000000</v>
      </c>
      <c r="L50" s="23">
        <v>5659015</v>
      </c>
      <c r="M50" s="21">
        <v>120000000</v>
      </c>
      <c r="N50" s="23">
        <v>0</v>
      </c>
      <c r="O50" s="98"/>
    </row>
    <row r="51" spans="1:15" s="244" customFormat="1" ht="15" customHeight="1">
      <c r="A51" s="241"/>
      <c r="B51" s="95">
        <f t="shared" si="0"/>
        <v>41</v>
      </c>
      <c r="C51" s="96" t="s">
        <v>112</v>
      </c>
      <c r="D51" s="97" t="s">
        <v>48</v>
      </c>
      <c r="E51" s="96" t="s">
        <v>181</v>
      </c>
      <c r="F51" s="96" t="s">
        <v>182</v>
      </c>
      <c r="G51" s="96"/>
      <c r="H51" s="96" t="s">
        <v>71</v>
      </c>
      <c r="I51" s="21">
        <v>54051773</v>
      </c>
      <c r="J51" s="22">
        <v>337120</v>
      </c>
      <c r="K51" s="22">
        <v>54388893</v>
      </c>
      <c r="L51" s="23">
        <v>2043949</v>
      </c>
      <c r="M51" s="21">
        <v>31200000</v>
      </c>
      <c r="N51" s="23">
        <v>55900000</v>
      </c>
      <c r="O51" s="98"/>
    </row>
    <row r="52" spans="1:15" s="244" customFormat="1" ht="15" customHeight="1">
      <c r="A52" s="241"/>
      <c r="B52" s="95">
        <f t="shared" si="0"/>
        <v>42</v>
      </c>
      <c r="C52" s="96" t="s">
        <v>112</v>
      </c>
      <c r="D52" s="97" t="s">
        <v>48</v>
      </c>
      <c r="E52" s="96" t="s">
        <v>183</v>
      </c>
      <c r="F52" s="96" t="s">
        <v>184</v>
      </c>
      <c r="G52" s="96"/>
      <c r="H52" s="96" t="s">
        <v>72</v>
      </c>
      <c r="I52" s="21">
        <v>30000000</v>
      </c>
      <c r="J52" s="22">
        <v>0</v>
      </c>
      <c r="K52" s="22">
        <v>30000000</v>
      </c>
      <c r="L52" s="23">
        <v>1198138</v>
      </c>
      <c r="M52" s="21">
        <v>36000000</v>
      </c>
      <c r="N52" s="23">
        <v>162000000</v>
      </c>
      <c r="O52" s="98"/>
    </row>
    <row r="53" spans="1:15" s="244" customFormat="1" ht="15" customHeight="1">
      <c r="A53" s="241"/>
      <c r="B53" s="95">
        <f t="shared" si="0"/>
        <v>43</v>
      </c>
      <c r="C53" s="96" t="s">
        <v>112</v>
      </c>
      <c r="D53" s="97" t="s">
        <v>48</v>
      </c>
      <c r="E53" s="96" t="s">
        <v>185</v>
      </c>
      <c r="F53" s="96" t="s">
        <v>186</v>
      </c>
      <c r="G53" s="96"/>
      <c r="H53" s="96" t="s">
        <v>72</v>
      </c>
      <c r="I53" s="21">
        <v>29813954</v>
      </c>
      <c r="J53" s="22">
        <v>0</v>
      </c>
      <c r="K53" s="22">
        <v>29813954</v>
      </c>
      <c r="L53" s="23">
        <v>1140736</v>
      </c>
      <c r="M53" s="21">
        <v>36000000</v>
      </c>
      <c r="N53" s="23">
        <v>0</v>
      </c>
      <c r="O53" s="98"/>
    </row>
    <row r="54" spans="1:15" s="244" customFormat="1" ht="15" customHeight="1">
      <c r="A54" s="241"/>
      <c r="B54" s="95">
        <f t="shared" si="0"/>
        <v>44</v>
      </c>
      <c r="C54" s="96" t="s">
        <v>112</v>
      </c>
      <c r="D54" s="97" t="s">
        <v>49</v>
      </c>
      <c r="E54" s="96" t="s">
        <v>121</v>
      </c>
      <c r="F54" s="96" t="s">
        <v>187</v>
      </c>
      <c r="G54" s="97" t="s">
        <v>188</v>
      </c>
      <c r="H54" s="96" t="s">
        <v>70</v>
      </c>
      <c r="I54" s="21">
        <v>8379246071</v>
      </c>
      <c r="J54" s="22">
        <v>1518000</v>
      </c>
      <c r="K54" s="22">
        <v>8380764071</v>
      </c>
      <c r="L54" s="23">
        <v>145731833</v>
      </c>
      <c r="M54" s="21">
        <v>16584420000</v>
      </c>
      <c r="N54" s="23">
        <v>0</v>
      </c>
      <c r="O54" s="98" t="s">
        <v>189</v>
      </c>
    </row>
    <row r="55" spans="1:15" s="244" customFormat="1" ht="15" customHeight="1">
      <c r="A55" s="241"/>
      <c r="B55" s="95">
        <f t="shared" si="0"/>
        <v>45</v>
      </c>
      <c r="C55" s="96" t="s">
        <v>112</v>
      </c>
      <c r="D55" s="97" t="s">
        <v>49</v>
      </c>
      <c r="E55" s="96" t="s">
        <v>190</v>
      </c>
      <c r="F55" s="96" t="s">
        <v>191</v>
      </c>
      <c r="G55" s="96"/>
      <c r="H55" s="96" t="s">
        <v>70</v>
      </c>
      <c r="I55" s="21">
        <v>2507267904</v>
      </c>
      <c r="J55" s="22">
        <v>0</v>
      </c>
      <c r="K55" s="22">
        <v>2507267904</v>
      </c>
      <c r="L55" s="23">
        <v>40724237</v>
      </c>
      <c r="M55" s="21">
        <v>2268653730.8800001</v>
      </c>
      <c r="N55" s="23">
        <v>86500000</v>
      </c>
      <c r="O55" s="98" t="s">
        <v>192</v>
      </c>
    </row>
    <row r="56" spans="1:15" s="244" customFormat="1" ht="15" customHeight="1">
      <c r="A56" s="241"/>
      <c r="B56" s="95">
        <f t="shared" si="0"/>
        <v>46</v>
      </c>
      <c r="C56" s="96" t="s">
        <v>112</v>
      </c>
      <c r="D56" s="97" t="s">
        <v>49</v>
      </c>
      <c r="E56" s="96" t="s">
        <v>193</v>
      </c>
      <c r="F56" s="96" t="s">
        <v>194</v>
      </c>
      <c r="G56" s="96"/>
      <c r="H56" s="96" t="s">
        <v>70</v>
      </c>
      <c r="I56" s="21">
        <v>1880851103</v>
      </c>
      <c r="J56" s="22">
        <v>733700</v>
      </c>
      <c r="K56" s="22">
        <v>1881584803</v>
      </c>
      <c r="L56" s="23">
        <v>48905516</v>
      </c>
      <c r="M56" s="21">
        <v>1872000000</v>
      </c>
      <c r="N56" s="23">
        <v>0</v>
      </c>
      <c r="O56" s="98" t="s">
        <v>195</v>
      </c>
    </row>
    <row r="57" spans="1:15" s="244" customFormat="1" ht="15" customHeight="1">
      <c r="A57" s="241"/>
      <c r="B57" s="95">
        <f t="shared" si="0"/>
        <v>47</v>
      </c>
      <c r="C57" s="96" t="s">
        <v>112</v>
      </c>
      <c r="D57" s="97" t="s">
        <v>49</v>
      </c>
      <c r="E57" s="96" t="s">
        <v>196</v>
      </c>
      <c r="F57" s="96" t="s">
        <v>197</v>
      </c>
      <c r="G57" s="96"/>
      <c r="H57" s="96" t="s">
        <v>70</v>
      </c>
      <c r="I57" s="21">
        <v>1657069935</v>
      </c>
      <c r="J57" s="22">
        <v>3345982</v>
      </c>
      <c r="K57" s="22">
        <v>1660415917</v>
      </c>
      <c r="L57" s="23">
        <v>86081899</v>
      </c>
      <c r="M57" s="21">
        <v>1700000000</v>
      </c>
      <c r="N57" s="23">
        <v>200000000</v>
      </c>
      <c r="O57" s="98" t="s">
        <v>198</v>
      </c>
    </row>
    <row r="58" spans="1:15" s="244" customFormat="1" ht="15" customHeight="1">
      <c r="A58" s="241"/>
      <c r="B58" s="95">
        <f t="shared" si="0"/>
        <v>48</v>
      </c>
      <c r="C58" s="96" t="s">
        <v>112</v>
      </c>
      <c r="D58" s="97" t="s">
        <v>49</v>
      </c>
      <c r="E58" s="96" t="s">
        <v>199</v>
      </c>
      <c r="F58" s="96" t="s">
        <v>200</v>
      </c>
      <c r="G58" s="96"/>
      <c r="H58" s="96" t="s">
        <v>70</v>
      </c>
      <c r="I58" s="21">
        <v>1171746964</v>
      </c>
      <c r="J58" s="22">
        <v>0</v>
      </c>
      <c r="K58" s="22">
        <v>1171746964</v>
      </c>
      <c r="L58" s="23">
        <v>21526727</v>
      </c>
      <c r="M58" s="21">
        <v>648000000</v>
      </c>
      <c r="N58" s="23">
        <v>204000000</v>
      </c>
      <c r="O58" s="98" t="s">
        <v>201</v>
      </c>
    </row>
    <row r="59" spans="1:15" s="244" customFormat="1" ht="15" customHeight="1">
      <c r="A59" s="241"/>
      <c r="B59" s="95">
        <f t="shared" si="0"/>
        <v>49</v>
      </c>
      <c r="C59" s="96" t="s">
        <v>112</v>
      </c>
      <c r="D59" s="97" t="s">
        <v>49</v>
      </c>
      <c r="E59" s="96" t="s">
        <v>202</v>
      </c>
      <c r="F59" s="96" t="s">
        <v>203</v>
      </c>
      <c r="G59" s="96" t="s">
        <v>73</v>
      </c>
      <c r="H59" s="96" t="s">
        <v>71</v>
      </c>
      <c r="I59" s="21">
        <v>775202071</v>
      </c>
      <c r="J59" s="22">
        <v>0</v>
      </c>
      <c r="K59" s="22">
        <v>775202071</v>
      </c>
      <c r="L59" s="23">
        <v>22266745</v>
      </c>
      <c r="M59" s="21">
        <v>777000000</v>
      </c>
      <c r="N59" s="23">
        <v>0</v>
      </c>
      <c r="O59" s="98" t="s">
        <v>204</v>
      </c>
    </row>
    <row r="60" spans="1:15" s="244" customFormat="1" ht="15" customHeight="1">
      <c r="A60" s="241"/>
      <c r="B60" s="95">
        <f t="shared" si="0"/>
        <v>50</v>
      </c>
      <c r="C60" s="96" t="s">
        <v>112</v>
      </c>
      <c r="D60" s="97" t="s">
        <v>49</v>
      </c>
      <c r="E60" s="96" t="s">
        <v>73</v>
      </c>
      <c r="F60" s="96" t="s">
        <v>205</v>
      </c>
      <c r="G60" s="96" t="s">
        <v>202</v>
      </c>
      <c r="H60" s="96" t="s">
        <v>72</v>
      </c>
      <c r="I60" s="21">
        <v>22429672</v>
      </c>
      <c r="J60" s="22">
        <v>0</v>
      </c>
      <c r="K60" s="22">
        <v>22429672</v>
      </c>
      <c r="L60" s="23">
        <v>1263540</v>
      </c>
      <c r="M60" s="21">
        <v>0</v>
      </c>
      <c r="N60" s="23">
        <v>0</v>
      </c>
      <c r="O60" s="98" t="s">
        <v>175</v>
      </c>
    </row>
    <row r="61" spans="1:15" ht="12" customHeight="1" thickBot="1">
      <c r="B61" s="246"/>
      <c r="C61" s="247"/>
      <c r="D61" s="248"/>
      <c r="E61" s="247"/>
      <c r="F61" s="249"/>
      <c r="G61" s="249"/>
      <c r="H61" s="250"/>
      <c r="I61" s="251"/>
      <c r="J61" s="24"/>
      <c r="K61" s="24"/>
      <c r="L61" s="252"/>
      <c r="M61" s="251"/>
      <c r="N61" s="252"/>
      <c r="O61" s="25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90" zoomScaleNormal="90" workbookViewId="0">
      <selection activeCell="G33" sqref="G33:G34"/>
    </sheetView>
  </sheetViews>
  <sheetFormatPr defaultColWidth="9" defaultRowHeight="15" customHeight="1"/>
  <cols>
    <col min="1" max="1" width="2" style="26" customWidth="1"/>
    <col min="2" max="4" width="8.75" style="27" customWidth="1"/>
    <col min="5" max="5" width="11" style="27" customWidth="1"/>
    <col min="6" max="6" width="18.33203125" style="27" customWidth="1"/>
    <col min="7" max="7" width="12" style="27" customWidth="1"/>
    <col min="8" max="8" width="10.6640625" style="27" customWidth="1"/>
    <col min="9" max="9" width="23.5" style="27" customWidth="1"/>
    <col min="10" max="10" width="17.6640625" style="152" customWidth="1"/>
    <col min="11" max="11" width="11" style="152" customWidth="1"/>
    <col min="12" max="12" width="13.83203125" style="152" customWidth="1"/>
    <col min="13" max="13" width="13" style="27" customWidth="1"/>
    <col min="14" max="14" width="13.25" style="27" customWidth="1"/>
    <col min="15" max="15" width="13.5" style="34" customWidth="1"/>
    <col min="16" max="16" width="23.5" style="26" customWidth="1"/>
    <col min="17" max="16384" width="9" style="26"/>
  </cols>
  <sheetData>
    <row r="1" spans="1:16" s="99" customFormat="1" ht="15" customHeight="1">
      <c r="B1" s="100"/>
      <c r="C1" s="100"/>
      <c r="D1" s="100"/>
      <c r="E1" s="100"/>
      <c r="F1" s="100"/>
      <c r="G1" s="100"/>
      <c r="H1" s="101"/>
      <c r="I1" s="101"/>
      <c r="J1" s="102"/>
      <c r="K1" s="102"/>
      <c r="L1" s="102"/>
      <c r="M1" s="101"/>
      <c r="N1" s="100"/>
      <c r="O1" s="25"/>
    </row>
    <row r="2" spans="1:16" s="106" customFormat="1" ht="27" customHeight="1">
      <c r="A2" s="103" t="s">
        <v>206</v>
      </c>
      <c r="B2" s="104"/>
      <c r="C2" s="105"/>
      <c r="D2" s="105"/>
      <c r="E2" s="105"/>
      <c r="F2" s="105"/>
      <c r="G2" s="105"/>
      <c r="O2" s="107"/>
    </row>
    <row r="3" spans="1:16" s="108" customFormat="1" ht="7.5" customHeight="1">
      <c r="B3" s="109"/>
      <c r="C3" s="109"/>
      <c r="D3" s="109"/>
      <c r="E3" s="109"/>
      <c r="F3" s="109"/>
      <c r="G3" s="109"/>
      <c r="O3" s="110"/>
    </row>
    <row r="4" spans="1:16" s="113" customFormat="1" ht="24" customHeight="1">
      <c r="A4" s="111" t="s">
        <v>207</v>
      </c>
      <c r="B4" s="112"/>
      <c r="C4" s="112"/>
      <c r="D4" s="112"/>
      <c r="E4" s="112"/>
      <c r="F4" s="112"/>
      <c r="G4" s="112"/>
      <c r="H4" s="106"/>
      <c r="I4" s="106"/>
      <c r="J4" s="106"/>
      <c r="K4" s="106"/>
      <c r="O4" s="114"/>
    </row>
    <row r="5" spans="1:16" s="117" customFormat="1" ht="24" customHeight="1">
      <c r="A5" s="115" t="s">
        <v>208</v>
      </c>
      <c r="B5" s="116"/>
      <c r="C5" s="116"/>
      <c r="D5" s="116"/>
      <c r="E5" s="116"/>
      <c r="F5" s="116"/>
      <c r="G5" s="116"/>
      <c r="H5" s="106"/>
      <c r="M5" s="118"/>
      <c r="N5" s="118"/>
      <c r="O5" s="118"/>
      <c r="P5" s="118"/>
    </row>
    <row r="6" spans="1:16" s="99" customFormat="1" ht="7.5" customHeight="1" thickBot="1">
      <c r="B6" s="100"/>
      <c r="C6" s="100"/>
      <c r="D6" s="100"/>
      <c r="E6" s="100"/>
      <c r="F6" s="100"/>
      <c r="G6" s="100"/>
      <c r="H6" s="101"/>
      <c r="I6" s="101"/>
      <c r="J6" s="102"/>
      <c r="K6" s="102"/>
      <c r="L6" s="102"/>
      <c r="M6" s="101"/>
      <c r="N6" s="101"/>
      <c r="O6" s="101"/>
    </row>
    <row r="7" spans="1:16" ht="15" customHeight="1">
      <c r="B7" s="119" t="s">
        <v>17</v>
      </c>
      <c r="C7" s="120"/>
      <c r="D7" s="120"/>
      <c r="E7" s="121"/>
      <c r="F7" s="122"/>
      <c r="G7" s="122"/>
      <c r="H7" s="123" t="s">
        <v>74</v>
      </c>
      <c r="I7" s="120"/>
      <c r="J7" s="124"/>
      <c r="K7" s="124"/>
      <c r="L7" s="124"/>
      <c r="M7" s="120"/>
      <c r="N7" s="125"/>
      <c r="O7" s="125"/>
      <c r="P7" s="126" t="s">
        <v>19</v>
      </c>
    </row>
    <row r="8" spans="1:16" s="27" customFormat="1" ht="15" customHeight="1">
      <c r="B8" s="28" t="str">
        <f t="shared" ref="B8:P8" si="0">"Field "&amp; COLUMN()-1</f>
        <v>Field 1</v>
      </c>
      <c r="C8" s="29" t="str">
        <f t="shared" si="0"/>
        <v>Field 2</v>
      </c>
      <c r="D8" s="29" t="str">
        <f t="shared" si="0"/>
        <v>Field 3</v>
      </c>
      <c r="E8" s="29" t="str">
        <f t="shared" si="0"/>
        <v>Field 4</v>
      </c>
      <c r="F8" s="29" t="str">
        <f t="shared" si="0"/>
        <v>Field 5</v>
      </c>
      <c r="G8" s="255"/>
      <c r="H8" s="29" t="str">
        <f t="shared" si="0"/>
        <v>Field 7</v>
      </c>
      <c r="I8" s="29" t="str">
        <f t="shared" si="0"/>
        <v>Field 8</v>
      </c>
      <c r="J8" s="29" t="str">
        <f t="shared" si="0"/>
        <v>Field 9</v>
      </c>
      <c r="K8" s="29" t="str">
        <f t="shared" si="0"/>
        <v>Field 10</v>
      </c>
      <c r="L8" s="29" t="str">
        <f t="shared" si="0"/>
        <v>Field 11</v>
      </c>
      <c r="M8" s="29" t="str">
        <f t="shared" si="0"/>
        <v>Field 12</v>
      </c>
      <c r="N8" s="29" t="str">
        <f t="shared" si="0"/>
        <v>Field 13</v>
      </c>
      <c r="O8" s="29" t="str">
        <f t="shared" si="0"/>
        <v>Field 14</v>
      </c>
      <c r="P8" s="127" t="str">
        <f t="shared" si="0"/>
        <v>Field 15</v>
      </c>
    </row>
    <row r="9" spans="1:16" s="132" customFormat="1" ht="37" customHeight="1" thickBot="1">
      <c r="A9" s="128"/>
      <c r="B9" s="30" t="s">
        <v>20</v>
      </c>
      <c r="C9" s="31" t="s">
        <v>75</v>
      </c>
      <c r="D9" s="31" t="s">
        <v>209</v>
      </c>
      <c r="E9" s="129" t="s">
        <v>46</v>
      </c>
      <c r="F9" s="129" t="s">
        <v>21</v>
      </c>
      <c r="G9" s="256" t="s">
        <v>210</v>
      </c>
      <c r="H9" s="31" t="s">
        <v>47</v>
      </c>
      <c r="I9" s="31" t="s">
        <v>76</v>
      </c>
      <c r="J9" s="130" t="s">
        <v>50</v>
      </c>
      <c r="K9" s="131" t="s">
        <v>211</v>
      </c>
      <c r="L9" s="130" t="s">
        <v>77</v>
      </c>
      <c r="M9" s="31" t="s">
        <v>78</v>
      </c>
      <c r="N9" s="32" t="s">
        <v>79</v>
      </c>
      <c r="O9" s="31" t="s">
        <v>80</v>
      </c>
      <c r="P9" s="33" t="s">
        <v>19</v>
      </c>
    </row>
    <row r="10" spans="1:16" s="133" customFormat="1" ht="15" customHeight="1">
      <c r="B10" s="134">
        <f t="shared" ref="B10:B41" si="1">ROW()-9</f>
        <v>1</v>
      </c>
      <c r="C10" s="135" t="s">
        <v>112</v>
      </c>
      <c r="D10" s="135" t="s">
        <v>48</v>
      </c>
      <c r="E10" s="135" t="s">
        <v>114</v>
      </c>
      <c r="F10" s="136" t="s">
        <v>115</v>
      </c>
      <c r="G10" s="257" t="s">
        <v>419</v>
      </c>
      <c r="H10" s="258">
        <v>20</v>
      </c>
      <c r="I10" s="135" t="s">
        <v>224</v>
      </c>
      <c r="J10" s="137" t="s">
        <v>225</v>
      </c>
      <c r="K10" s="138" t="s">
        <v>14</v>
      </c>
      <c r="L10" s="139" t="s">
        <v>226</v>
      </c>
      <c r="M10" s="140">
        <v>0</v>
      </c>
      <c r="N10" s="140">
        <v>1811670</v>
      </c>
      <c r="O10" s="141">
        <v>1811670</v>
      </c>
      <c r="P10" s="142" t="s">
        <v>227</v>
      </c>
    </row>
    <row r="11" spans="1:16" s="133" customFormat="1" ht="15" customHeight="1">
      <c r="B11" s="134">
        <f t="shared" si="1"/>
        <v>2</v>
      </c>
      <c r="C11" s="135" t="s">
        <v>112</v>
      </c>
      <c r="D11" s="135" t="s">
        <v>48</v>
      </c>
      <c r="E11" s="135" t="s">
        <v>114</v>
      </c>
      <c r="F11" s="136" t="s">
        <v>115</v>
      </c>
      <c r="G11" s="257" t="s">
        <v>419</v>
      </c>
      <c r="H11" s="258">
        <v>20</v>
      </c>
      <c r="I11" s="135" t="s">
        <v>224</v>
      </c>
      <c r="J11" s="137" t="s">
        <v>225</v>
      </c>
      <c r="K11" s="138" t="s">
        <v>14</v>
      </c>
      <c r="L11" s="139" t="s">
        <v>226</v>
      </c>
      <c r="M11" s="140">
        <v>120756000</v>
      </c>
      <c r="N11" s="140">
        <v>0</v>
      </c>
      <c r="O11" s="141">
        <v>120756000</v>
      </c>
      <c r="P11" s="142" t="s">
        <v>227</v>
      </c>
    </row>
    <row r="12" spans="1:16" s="133" customFormat="1" ht="15" customHeight="1">
      <c r="B12" s="134">
        <f t="shared" si="1"/>
        <v>3</v>
      </c>
      <c r="C12" s="135" t="s">
        <v>112</v>
      </c>
      <c r="D12" s="135" t="s">
        <v>48</v>
      </c>
      <c r="E12" s="135" t="s">
        <v>28</v>
      </c>
      <c r="F12" s="136" t="s">
        <v>116</v>
      </c>
      <c r="G12" s="257" t="s">
        <v>420</v>
      </c>
      <c r="H12" s="258" t="s">
        <v>228</v>
      </c>
      <c r="I12" s="135" t="s">
        <v>81</v>
      </c>
      <c r="J12" s="137" t="s">
        <v>229</v>
      </c>
      <c r="K12" s="138" t="s">
        <v>14</v>
      </c>
      <c r="L12" s="139" t="s">
        <v>217</v>
      </c>
      <c r="M12" s="140">
        <v>320000000</v>
      </c>
      <c r="N12" s="140">
        <v>0</v>
      </c>
      <c r="O12" s="141">
        <v>320000000</v>
      </c>
      <c r="P12" s="142" t="s">
        <v>230</v>
      </c>
    </row>
    <row r="13" spans="1:16" s="133" customFormat="1" ht="15" customHeight="1">
      <c r="B13" s="134">
        <f t="shared" si="1"/>
        <v>4</v>
      </c>
      <c r="C13" s="135" t="s">
        <v>112</v>
      </c>
      <c r="D13" s="135" t="s">
        <v>48</v>
      </c>
      <c r="E13" s="135" t="s">
        <v>28</v>
      </c>
      <c r="F13" s="136" t="s">
        <v>116</v>
      </c>
      <c r="G13" s="257" t="s">
        <v>420</v>
      </c>
      <c r="H13" s="258" t="s">
        <v>231</v>
      </c>
      <c r="I13" s="135" t="s">
        <v>81</v>
      </c>
      <c r="J13" s="137" t="s">
        <v>229</v>
      </c>
      <c r="K13" s="138" t="s">
        <v>14</v>
      </c>
      <c r="L13" s="139" t="s">
        <v>217</v>
      </c>
      <c r="M13" s="140">
        <v>0</v>
      </c>
      <c r="N13" s="140">
        <v>12474943</v>
      </c>
      <c r="O13" s="141">
        <v>12474943</v>
      </c>
      <c r="P13" s="142" t="s">
        <v>230</v>
      </c>
    </row>
    <row r="14" spans="1:16" s="133" customFormat="1" ht="15" customHeight="1">
      <c r="B14" s="134">
        <f t="shared" si="1"/>
        <v>5</v>
      </c>
      <c r="C14" s="135" t="s">
        <v>112</v>
      </c>
      <c r="D14" s="135" t="s">
        <v>48</v>
      </c>
      <c r="E14" s="135" t="s">
        <v>28</v>
      </c>
      <c r="F14" s="136" t="s">
        <v>116</v>
      </c>
      <c r="G14" s="257" t="s">
        <v>420</v>
      </c>
      <c r="H14" s="258" t="s">
        <v>232</v>
      </c>
      <c r="I14" s="135" t="s">
        <v>81</v>
      </c>
      <c r="J14" s="137" t="s">
        <v>233</v>
      </c>
      <c r="K14" s="138" t="s">
        <v>14</v>
      </c>
      <c r="L14" s="139" t="s">
        <v>217</v>
      </c>
      <c r="M14" s="140">
        <v>96000000</v>
      </c>
      <c r="N14" s="140">
        <v>0</v>
      </c>
      <c r="O14" s="141">
        <v>96000000</v>
      </c>
      <c r="P14" s="142" t="s">
        <v>230</v>
      </c>
    </row>
    <row r="15" spans="1:16" s="133" customFormat="1" ht="15" customHeight="1">
      <c r="B15" s="134">
        <f t="shared" si="1"/>
        <v>6</v>
      </c>
      <c r="C15" s="135" t="s">
        <v>112</v>
      </c>
      <c r="D15" s="135" t="s">
        <v>48</v>
      </c>
      <c r="E15" s="135" t="s">
        <v>28</v>
      </c>
      <c r="F15" s="136" t="s">
        <v>116</v>
      </c>
      <c r="G15" s="257" t="s">
        <v>420</v>
      </c>
      <c r="H15" s="258" t="s">
        <v>234</v>
      </c>
      <c r="I15" s="135" t="s">
        <v>81</v>
      </c>
      <c r="J15" s="137" t="s">
        <v>233</v>
      </c>
      <c r="K15" s="138" t="s">
        <v>14</v>
      </c>
      <c r="L15" s="139" t="s">
        <v>217</v>
      </c>
      <c r="M15" s="140">
        <v>0</v>
      </c>
      <c r="N15" s="140">
        <v>2827191</v>
      </c>
      <c r="O15" s="141">
        <v>2827191</v>
      </c>
      <c r="P15" s="142" t="s">
        <v>230</v>
      </c>
    </row>
    <row r="16" spans="1:16" s="133" customFormat="1" ht="15" customHeight="1">
      <c r="B16" s="134">
        <f t="shared" si="1"/>
        <v>7</v>
      </c>
      <c r="C16" s="135" t="s">
        <v>112</v>
      </c>
      <c r="D16" s="135" t="s">
        <v>48</v>
      </c>
      <c r="E16" s="135" t="s">
        <v>30</v>
      </c>
      <c r="F16" s="136" t="s">
        <v>135</v>
      </c>
      <c r="G16" s="257" t="s">
        <v>421</v>
      </c>
      <c r="H16" s="258">
        <v>1</v>
      </c>
      <c r="I16" s="135" t="s">
        <v>84</v>
      </c>
      <c r="J16" s="137" t="s">
        <v>240</v>
      </c>
      <c r="K16" s="138" t="s">
        <v>14</v>
      </c>
      <c r="L16" s="139" t="s">
        <v>237</v>
      </c>
      <c r="M16" s="140">
        <v>250000000</v>
      </c>
      <c r="N16" s="140">
        <v>0</v>
      </c>
      <c r="O16" s="141">
        <v>250000000</v>
      </c>
      <c r="P16" s="142" t="s">
        <v>230</v>
      </c>
    </row>
    <row r="17" spans="2:16" s="133" customFormat="1" ht="15" customHeight="1">
      <c r="B17" s="134">
        <f t="shared" si="1"/>
        <v>8</v>
      </c>
      <c r="C17" s="135" t="s">
        <v>112</v>
      </c>
      <c r="D17" s="135" t="s">
        <v>48</v>
      </c>
      <c r="E17" s="135" t="s">
        <v>30</v>
      </c>
      <c r="F17" s="136" t="s">
        <v>135</v>
      </c>
      <c r="G17" s="257" t="s">
        <v>421</v>
      </c>
      <c r="H17" s="258">
        <v>1</v>
      </c>
      <c r="I17" s="135" t="s">
        <v>84</v>
      </c>
      <c r="J17" s="137" t="s">
        <v>240</v>
      </c>
      <c r="K17" s="138" t="s">
        <v>14</v>
      </c>
      <c r="L17" s="139" t="s">
        <v>237</v>
      </c>
      <c r="M17" s="140">
        <v>0</v>
      </c>
      <c r="N17" s="140">
        <v>6066264</v>
      </c>
      <c r="O17" s="141">
        <v>6066264</v>
      </c>
      <c r="P17" s="142" t="s">
        <v>230</v>
      </c>
    </row>
    <row r="18" spans="2:16" s="133" customFormat="1" ht="15" customHeight="1">
      <c r="B18" s="134">
        <f t="shared" si="1"/>
        <v>9</v>
      </c>
      <c r="C18" s="135" t="s">
        <v>112</v>
      </c>
      <c r="D18" s="135" t="s">
        <v>48</v>
      </c>
      <c r="E18" s="135" t="s">
        <v>30</v>
      </c>
      <c r="F18" s="136" t="s">
        <v>135</v>
      </c>
      <c r="G18" s="257" t="s">
        <v>421</v>
      </c>
      <c r="H18" s="258">
        <v>2</v>
      </c>
      <c r="I18" s="135" t="s">
        <v>84</v>
      </c>
      <c r="J18" s="137" t="s">
        <v>241</v>
      </c>
      <c r="K18" s="138" t="s">
        <v>14</v>
      </c>
      <c r="L18" s="139" t="s">
        <v>237</v>
      </c>
      <c r="M18" s="140">
        <v>0</v>
      </c>
      <c r="N18" s="140">
        <v>6220179</v>
      </c>
      <c r="O18" s="141">
        <v>6220179</v>
      </c>
      <c r="P18" s="142" t="s">
        <v>230</v>
      </c>
    </row>
    <row r="19" spans="2:16" s="133" customFormat="1" ht="15" customHeight="1">
      <c r="B19" s="134">
        <f t="shared" si="1"/>
        <v>10</v>
      </c>
      <c r="C19" s="135" t="s">
        <v>112</v>
      </c>
      <c r="D19" s="135" t="s">
        <v>48</v>
      </c>
      <c r="E19" s="135" t="s">
        <v>30</v>
      </c>
      <c r="F19" s="136" t="s">
        <v>135</v>
      </c>
      <c r="G19" s="257" t="s">
        <v>421</v>
      </c>
      <c r="H19" s="258">
        <v>2</v>
      </c>
      <c r="I19" s="135" t="s">
        <v>84</v>
      </c>
      <c r="J19" s="137" t="s">
        <v>241</v>
      </c>
      <c r="K19" s="138" t="s">
        <v>14</v>
      </c>
      <c r="L19" s="139" t="s">
        <v>237</v>
      </c>
      <c r="M19" s="140">
        <v>237500000</v>
      </c>
      <c r="N19" s="140">
        <v>0</v>
      </c>
      <c r="O19" s="141">
        <v>237500000</v>
      </c>
      <c r="P19" s="142" t="s">
        <v>445</v>
      </c>
    </row>
    <row r="20" spans="2:16" s="133" customFormat="1" ht="15" customHeight="1">
      <c r="B20" s="134">
        <f t="shared" si="1"/>
        <v>11</v>
      </c>
      <c r="C20" s="135" t="s">
        <v>112</v>
      </c>
      <c r="D20" s="135" t="s">
        <v>48</v>
      </c>
      <c r="E20" s="135" t="s">
        <v>30</v>
      </c>
      <c r="F20" s="136" t="s">
        <v>135</v>
      </c>
      <c r="G20" s="257" t="s">
        <v>421</v>
      </c>
      <c r="H20" s="258">
        <v>3</v>
      </c>
      <c r="I20" s="135" t="s">
        <v>81</v>
      </c>
      <c r="J20" s="137" t="s">
        <v>242</v>
      </c>
      <c r="K20" s="138" t="s">
        <v>14</v>
      </c>
      <c r="L20" s="139" t="s">
        <v>237</v>
      </c>
      <c r="M20" s="140">
        <v>0</v>
      </c>
      <c r="N20" s="140">
        <v>2653288</v>
      </c>
      <c r="O20" s="141">
        <v>2653288</v>
      </c>
      <c r="P20" s="142" t="s">
        <v>230</v>
      </c>
    </row>
    <row r="21" spans="2:16" s="133" customFormat="1" ht="15" customHeight="1">
      <c r="B21" s="134">
        <f t="shared" si="1"/>
        <v>12</v>
      </c>
      <c r="C21" s="135" t="s">
        <v>112</v>
      </c>
      <c r="D21" s="135" t="s">
        <v>48</v>
      </c>
      <c r="E21" s="135" t="s">
        <v>30</v>
      </c>
      <c r="F21" s="136" t="s">
        <v>135</v>
      </c>
      <c r="G21" s="257" t="s">
        <v>421</v>
      </c>
      <c r="H21" s="258">
        <v>3</v>
      </c>
      <c r="I21" s="135" t="s">
        <v>81</v>
      </c>
      <c r="J21" s="137" t="s">
        <v>242</v>
      </c>
      <c r="K21" s="138" t="s">
        <v>14</v>
      </c>
      <c r="L21" s="139" t="s">
        <v>237</v>
      </c>
      <c r="M21" s="140">
        <v>90000000</v>
      </c>
      <c r="N21" s="140">
        <v>0</v>
      </c>
      <c r="O21" s="141">
        <v>90000000</v>
      </c>
      <c r="P21" s="142" t="s">
        <v>230</v>
      </c>
    </row>
    <row r="22" spans="2:16" s="133" customFormat="1" ht="15" customHeight="1">
      <c r="B22" s="134">
        <f t="shared" si="1"/>
        <v>13</v>
      </c>
      <c r="C22" s="135" t="s">
        <v>112</v>
      </c>
      <c r="D22" s="135" t="s">
        <v>48</v>
      </c>
      <c r="E22" s="135" t="s">
        <v>32</v>
      </c>
      <c r="F22" s="136" t="s">
        <v>142</v>
      </c>
      <c r="G22" s="257" t="s">
        <v>422</v>
      </c>
      <c r="H22" s="258">
        <v>4</v>
      </c>
      <c r="I22" s="135" t="s">
        <v>81</v>
      </c>
      <c r="J22" s="137" t="s">
        <v>243</v>
      </c>
      <c r="K22" s="138" t="s">
        <v>14</v>
      </c>
      <c r="L22" s="139" t="s">
        <v>238</v>
      </c>
      <c r="M22" s="140">
        <v>0</v>
      </c>
      <c r="N22" s="140">
        <v>4187219</v>
      </c>
      <c r="O22" s="141">
        <v>4187219</v>
      </c>
      <c r="P22" s="142" t="s">
        <v>230</v>
      </c>
    </row>
    <row r="23" spans="2:16" s="133" customFormat="1" ht="15" customHeight="1">
      <c r="B23" s="134">
        <f t="shared" si="1"/>
        <v>14</v>
      </c>
      <c r="C23" s="135" t="s">
        <v>112</v>
      </c>
      <c r="D23" s="135" t="s">
        <v>48</v>
      </c>
      <c r="E23" s="135" t="s">
        <v>32</v>
      </c>
      <c r="F23" s="136" t="s">
        <v>142</v>
      </c>
      <c r="G23" s="257" t="s">
        <v>422</v>
      </c>
      <c r="H23" s="258">
        <v>4</v>
      </c>
      <c r="I23" s="135" t="s">
        <v>81</v>
      </c>
      <c r="J23" s="137" t="s">
        <v>243</v>
      </c>
      <c r="K23" s="138" t="s">
        <v>14</v>
      </c>
      <c r="L23" s="139" t="s">
        <v>238</v>
      </c>
      <c r="M23" s="140">
        <v>209950000</v>
      </c>
      <c r="N23" s="140">
        <v>0</v>
      </c>
      <c r="O23" s="141">
        <v>209950000</v>
      </c>
      <c r="P23" s="142" t="s">
        <v>230</v>
      </c>
    </row>
    <row r="24" spans="2:16" s="133" customFormat="1" ht="15" customHeight="1">
      <c r="B24" s="134">
        <f t="shared" si="1"/>
        <v>15</v>
      </c>
      <c r="C24" s="135" t="s">
        <v>112</v>
      </c>
      <c r="D24" s="135" t="s">
        <v>48</v>
      </c>
      <c r="E24" s="135" t="s">
        <v>36</v>
      </c>
      <c r="F24" s="136" t="s">
        <v>155</v>
      </c>
      <c r="G24" s="257" t="s">
        <v>423</v>
      </c>
      <c r="H24" s="258">
        <v>4</v>
      </c>
      <c r="I24" s="135" t="s">
        <v>224</v>
      </c>
      <c r="J24" s="137" t="s">
        <v>250</v>
      </c>
      <c r="K24" s="138" t="s">
        <v>14</v>
      </c>
      <c r="L24" s="139" t="s">
        <v>226</v>
      </c>
      <c r="M24" s="140">
        <v>64404000</v>
      </c>
      <c r="N24" s="140">
        <v>0</v>
      </c>
      <c r="O24" s="141">
        <v>64404000</v>
      </c>
      <c r="P24" s="142" t="s">
        <v>227</v>
      </c>
    </row>
    <row r="25" spans="2:16" s="133" customFormat="1" ht="15" customHeight="1">
      <c r="B25" s="134">
        <f t="shared" si="1"/>
        <v>16</v>
      </c>
      <c r="C25" s="135" t="s">
        <v>112</v>
      </c>
      <c r="D25" s="135" t="s">
        <v>48</v>
      </c>
      <c r="E25" s="135" t="s">
        <v>36</v>
      </c>
      <c r="F25" s="136" t="s">
        <v>155</v>
      </c>
      <c r="G25" s="257" t="s">
        <v>423</v>
      </c>
      <c r="H25" s="258">
        <v>4</v>
      </c>
      <c r="I25" s="135" t="s">
        <v>224</v>
      </c>
      <c r="J25" s="137" t="s">
        <v>250</v>
      </c>
      <c r="K25" s="138" t="s">
        <v>14</v>
      </c>
      <c r="L25" s="139" t="s">
        <v>226</v>
      </c>
      <c r="M25" s="140">
        <v>0</v>
      </c>
      <c r="N25" s="140">
        <v>1064165</v>
      </c>
      <c r="O25" s="141">
        <v>1064165</v>
      </c>
      <c r="P25" s="142" t="s">
        <v>227</v>
      </c>
    </row>
    <row r="26" spans="2:16" s="133" customFormat="1" ht="15" customHeight="1">
      <c r="B26" s="134">
        <f t="shared" si="1"/>
        <v>17</v>
      </c>
      <c r="C26" s="135" t="s">
        <v>112</v>
      </c>
      <c r="D26" s="135" t="s">
        <v>48</v>
      </c>
      <c r="E26" s="135" t="s">
        <v>181</v>
      </c>
      <c r="F26" s="136" t="s">
        <v>182</v>
      </c>
      <c r="G26" s="257" t="s">
        <v>424</v>
      </c>
      <c r="H26" s="258">
        <v>3</v>
      </c>
      <c r="I26" s="135" t="s">
        <v>81</v>
      </c>
      <c r="J26" s="137" t="s">
        <v>259</v>
      </c>
      <c r="K26" s="138" t="s">
        <v>14</v>
      </c>
      <c r="L26" s="139" t="s">
        <v>226</v>
      </c>
      <c r="M26" s="140">
        <v>4951773</v>
      </c>
      <c r="N26" s="140">
        <v>0</v>
      </c>
      <c r="O26" s="141">
        <v>4951773</v>
      </c>
      <c r="P26" s="142" t="s">
        <v>230</v>
      </c>
    </row>
    <row r="27" spans="2:16" s="133" customFormat="1" ht="15" customHeight="1">
      <c r="B27" s="134">
        <f t="shared" si="1"/>
        <v>18</v>
      </c>
      <c r="C27" s="135" t="s">
        <v>112</v>
      </c>
      <c r="D27" s="135" t="s">
        <v>48</v>
      </c>
      <c r="E27" s="135" t="s">
        <v>181</v>
      </c>
      <c r="F27" s="136" t="s">
        <v>182</v>
      </c>
      <c r="G27" s="257" t="s">
        <v>424</v>
      </c>
      <c r="H27" s="258">
        <v>3</v>
      </c>
      <c r="I27" s="135" t="s">
        <v>81</v>
      </c>
      <c r="J27" s="137" t="s">
        <v>259</v>
      </c>
      <c r="K27" s="138" t="s">
        <v>14</v>
      </c>
      <c r="L27" s="139" t="s">
        <v>226</v>
      </c>
      <c r="M27" s="140">
        <v>0</v>
      </c>
      <c r="N27" s="140">
        <v>100585</v>
      </c>
      <c r="O27" s="141">
        <v>100585</v>
      </c>
      <c r="P27" s="142" t="s">
        <v>230</v>
      </c>
    </row>
    <row r="28" spans="2:16" s="133" customFormat="1" ht="15" customHeight="1">
      <c r="B28" s="134">
        <f t="shared" si="1"/>
        <v>19</v>
      </c>
      <c r="C28" s="135" t="s">
        <v>112</v>
      </c>
      <c r="D28" s="135" t="s">
        <v>49</v>
      </c>
      <c r="E28" s="135" t="s">
        <v>121</v>
      </c>
      <c r="F28" s="136" t="s">
        <v>187</v>
      </c>
      <c r="G28" s="257" t="s">
        <v>420</v>
      </c>
      <c r="H28" s="258">
        <v>1</v>
      </c>
      <c r="I28" s="135" t="s">
        <v>81</v>
      </c>
      <c r="J28" s="137" t="s">
        <v>261</v>
      </c>
      <c r="K28" s="138" t="s">
        <v>14</v>
      </c>
      <c r="L28" s="139" t="s">
        <v>262</v>
      </c>
      <c r="M28" s="140">
        <v>73769081</v>
      </c>
      <c r="N28" s="140">
        <v>1008468</v>
      </c>
      <c r="O28" s="141">
        <v>74777549</v>
      </c>
      <c r="P28" s="142" t="s">
        <v>230</v>
      </c>
    </row>
    <row r="29" spans="2:16" s="133" customFormat="1" ht="15" customHeight="1">
      <c r="B29" s="134">
        <f t="shared" si="1"/>
        <v>20</v>
      </c>
      <c r="C29" s="135" t="s">
        <v>112</v>
      </c>
      <c r="D29" s="135" t="s">
        <v>49</v>
      </c>
      <c r="E29" s="135" t="s">
        <v>121</v>
      </c>
      <c r="F29" s="136" t="s">
        <v>187</v>
      </c>
      <c r="G29" s="257" t="s">
        <v>420</v>
      </c>
      <c r="H29" s="258">
        <v>2</v>
      </c>
      <c r="I29" s="135" t="s">
        <v>81</v>
      </c>
      <c r="J29" s="137" t="s">
        <v>263</v>
      </c>
      <c r="K29" s="138" t="s">
        <v>14</v>
      </c>
      <c r="L29" s="139" t="s">
        <v>262</v>
      </c>
      <c r="M29" s="140">
        <v>380000000</v>
      </c>
      <c r="N29" s="140">
        <v>5134986</v>
      </c>
      <c r="O29" s="141">
        <v>385134986</v>
      </c>
      <c r="P29" s="142" t="s">
        <v>230</v>
      </c>
    </row>
    <row r="30" spans="2:16" s="133" customFormat="1" ht="15" customHeight="1">
      <c r="B30" s="134">
        <f t="shared" si="1"/>
        <v>21</v>
      </c>
      <c r="C30" s="135" t="s">
        <v>112</v>
      </c>
      <c r="D30" s="135" t="s">
        <v>49</v>
      </c>
      <c r="E30" s="135" t="s">
        <v>193</v>
      </c>
      <c r="F30" s="136" t="s">
        <v>194</v>
      </c>
      <c r="G30" s="257" t="s">
        <v>420</v>
      </c>
      <c r="H30" s="258">
        <v>2</v>
      </c>
      <c r="I30" s="135" t="s">
        <v>81</v>
      </c>
      <c r="J30" s="137" t="s">
        <v>265</v>
      </c>
      <c r="K30" s="138" t="s">
        <v>14</v>
      </c>
      <c r="L30" s="139" t="s">
        <v>226</v>
      </c>
      <c r="M30" s="140">
        <v>0</v>
      </c>
      <c r="N30" s="140">
        <v>7769000</v>
      </c>
      <c r="O30" s="141">
        <v>7769000</v>
      </c>
      <c r="P30" s="142" t="s">
        <v>230</v>
      </c>
    </row>
    <row r="31" spans="2:16" s="133" customFormat="1" ht="15" customHeight="1">
      <c r="B31" s="134">
        <f t="shared" si="1"/>
        <v>22</v>
      </c>
      <c r="C31" s="135" t="s">
        <v>112</v>
      </c>
      <c r="D31" s="135" t="s">
        <v>49</v>
      </c>
      <c r="E31" s="135" t="s">
        <v>193</v>
      </c>
      <c r="F31" s="136" t="s">
        <v>194</v>
      </c>
      <c r="G31" s="257" t="s">
        <v>420</v>
      </c>
      <c r="H31" s="258">
        <v>2</v>
      </c>
      <c r="I31" s="135" t="s">
        <v>81</v>
      </c>
      <c r="J31" s="137" t="s">
        <v>265</v>
      </c>
      <c r="K31" s="138" t="s">
        <v>14</v>
      </c>
      <c r="L31" s="139" t="s">
        <v>226</v>
      </c>
      <c r="M31" s="140">
        <v>297000000</v>
      </c>
      <c r="N31" s="140">
        <v>0</v>
      </c>
      <c r="O31" s="141">
        <v>297000000</v>
      </c>
      <c r="P31" s="142" t="s">
        <v>230</v>
      </c>
    </row>
    <row r="32" spans="2:16" s="133" customFormat="1" ht="15" customHeight="1">
      <c r="B32" s="134">
        <f t="shared" si="1"/>
        <v>23</v>
      </c>
      <c r="C32" s="135" t="s">
        <v>112</v>
      </c>
      <c r="D32" s="135" t="s">
        <v>49</v>
      </c>
      <c r="E32" s="135" t="s">
        <v>193</v>
      </c>
      <c r="F32" s="136" t="s">
        <v>194</v>
      </c>
      <c r="G32" s="257" t="s">
        <v>420</v>
      </c>
      <c r="H32" s="258">
        <v>3</v>
      </c>
      <c r="I32" s="135" t="s">
        <v>81</v>
      </c>
      <c r="J32" s="137" t="s">
        <v>266</v>
      </c>
      <c r="K32" s="138" t="s">
        <v>14</v>
      </c>
      <c r="L32" s="139" t="s">
        <v>226</v>
      </c>
      <c r="M32" s="140">
        <v>90000000</v>
      </c>
      <c r="N32" s="140">
        <v>0</v>
      </c>
      <c r="O32" s="141">
        <v>90000000</v>
      </c>
      <c r="P32" s="142" t="s">
        <v>230</v>
      </c>
    </row>
    <row r="33" spans="2:16" s="133" customFormat="1" ht="15" customHeight="1">
      <c r="B33" s="134">
        <f t="shared" si="1"/>
        <v>24</v>
      </c>
      <c r="C33" s="135" t="s">
        <v>112</v>
      </c>
      <c r="D33" s="135" t="s">
        <v>49</v>
      </c>
      <c r="E33" s="135" t="s">
        <v>193</v>
      </c>
      <c r="F33" s="136" t="s">
        <v>194</v>
      </c>
      <c r="G33" s="257" t="s">
        <v>420</v>
      </c>
      <c r="H33" s="258">
        <v>3</v>
      </c>
      <c r="I33" s="135" t="s">
        <v>81</v>
      </c>
      <c r="J33" s="137" t="s">
        <v>266</v>
      </c>
      <c r="K33" s="138" t="s">
        <v>14</v>
      </c>
      <c r="L33" s="139" t="s">
        <v>226</v>
      </c>
      <c r="M33" s="140">
        <v>0</v>
      </c>
      <c r="N33" s="140">
        <v>2073087</v>
      </c>
      <c r="O33" s="141">
        <v>2073087</v>
      </c>
      <c r="P33" s="142" t="s">
        <v>230</v>
      </c>
    </row>
    <row r="34" spans="2:16" s="133" customFormat="1" ht="15" customHeight="1">
      <c r="B34" s="134">
        <f t="shared" si="1"/>
        <v>25</v>
      </c>
      <c r="C34" s="135" t="s">
        <v>112</v>
      </c>
      <c r="D34" s="135" t="s">
        <v>49</v>
      </c>
      <c r="E34" s="135" t="s">
        <v>193</v>
      </c>
      <c r="F34" s="136" t="s">
        <v>194</v>
      </c>
      <c r="G34" s="257" t="s">
        <v>420</v>
      </c>
      <c r="H34" s="258">
        <v>4</v>
      </c>
      <c r="I34" s="135" t="s">
        <v>81</v>
      </c>
      <c r="J34" s="137" t="s">
        <v>267</v>
      </c>
      <c r="K34" s="138" t="s">
        <v>14</v>
      </c>
      <c r="L34" s="139" t="s">
        <v>221</v>
      </c>
      <c r="M34" s="140">
        <v>0</v>
      </c>
      <c r="N34" s="140">
        <v>80154</v>
      </c>
      <c r="O34" s="141">
        <v>80154</v>
      </c>
      <c r="P34" s="142" t="s">
        <v>230</v>
      </c>
    </row>
    <row r="35" spans="2:16" s="133" customFormat="1" ht="15" customHeight="1">
      <c r="B35" s="134">
        <f t="shared" si="1"/>
        <v>26</v>
      </c>
      <c r="C35" s="135" t="s">
        <v>112</v>
      </c>
      <c r="D35" s="135" t="s">
        <v>49</v>
      </c>
      <c r="E35" s="135" t="s">
        <v>193</v>
      </c>
      <c r="F35" s="136" t="s">
        <v>194</v>
      </c>
      <c r="G35" s="257" t="s">
        <v>420</v>
      </c>
      <c r="H35" s="258">
        <v>4</v>
      </c>
      <c r="I35" s="135" t="s">
        <v>81</v>
      </c>
      <c r="J35" s="137" t="s">
        <v>267</v>
      </c>
      <c r="K35" s="138" t="s">
        <v>14</v>
      </c>
      <c r="L35" s="139" t="s">
        <v>221</v>
      </c>
      <c r="M35" s="140">
        <v>4960000</v>
      </c>
      <c r="N35" s="140">
        <v>0</v>
      </c>
      <c r="O35" s="141">
        <v>4960000</v>
      </c>
      <c r="P35" s="142" t="s">
        <v>230</v>
      </c>
    </row>
    <row r="36" spans="2:16" s="133" customFormat="1" ht="15" customHeight="1">
      <c r="B36" s="134">
        <f t="shared" si="1"/>
        <v>27</v>
      </c>
      <c r="C36" s="135" t="s">
        <v>112</v>
      </c>
      <c r="D36" s="135" t="s">
        <v>48</v>
      </c>
      <c r="E36" s="135" t="s">
        <v>27</v>
      </c>
      <c r="F36" s="136" t="s">
        <v>113</v>
      </c>
      <c r="G36" s="257" t="s">
        <v>422</v>
      </c>
      <c r="H36" s="258">
        <v>1</v>
      </c>
      <c r="I36" s="135" t="s">
        <v>212</v>
      </c>
      <c r="J36" s="137" t="s">
        <v>213</v>
      </c>
      <c r="K36" s="138" t="s">
        <v>82</v>
      </c>
      <c r="L36" s="139">
        <v>45706</v>
      </c>
      <c r="M36" s="140">
        <v>81497192</v>
      </c>
      <c r="N36" s="140">
        <v>0</v>
      </c>
      <c r="O36" s="141">
        <v>81497192</v>
      </c>
      <c r="P36" s="142" t="s">
        <v>214</v>
      </c>
    </row>
    <row r="37" spans="2:16" s="133" customFormat="1" ht="15" customHeight="1">
      <c r="B37" s="134">
        <f t="shared" si="1"/>
        <v>28</v>
      </c>
      <c r="C37" s="135" t="s">
        <v>112</v>
      </c>
      <c r="D37" s="135" t="s">
        <v>48</v>
      </c>
      <c r="E37" s="135" t="s">
        <v>27</v>
      </c>
      <c r="F37" s="136" t="s">
        <v>113</v>
      </c>
      <c r="G37" s="257" t="s">
        <v>422</v>
      </c>
      <c r="H37" s="258">
        <v>92</v>
      </c>
      <c r="I37" s="135" t="s">
        <v>215</v>
      </c>
      <c r="J37" s="137" t="s">
        <v>216</v>
      </c>
      <c r="K37" s="138" t="s">
        <v>82</v>
      </c>
      <c r="L37" s="139" t="s">
        <v>217</v>
      </c>
      <c r="M37" s="140">
        <v>44000000</v>
      </c>
      <c r="N37" s="140">
        <v>0</v>
      </c>
      <c r="O37" s="141">
        <v>44000000</v>
      </c>
      <c r="P37" s="142" t="s">
        <v>214</v>
      </c>
    </row>
    <row r="38" spans="2:16" s="133" customFormat="1" ht="15" customHeight="1">
      <c r="B38" s="134">
        <f t="shared" si="1"/>
        <v>29</v>
      </c>
      <c r="C38" s="135" t="s">
        <v>112</v>
      </c>
      <c r="D38" s="135" t="s">
        <v>48</v>
      </c>
      <c r="E38" s="135" t="s">
        <v>27</v>
      </c>
      <c r="F38" s="136" t="s">
        <v>113</v>
      </c>
      <c r="G38" s="257" t="s">
        <v>422</v>
      </c>
      <c r="H38" s="258">
        <v>92</v>
      </c>
      <c r="I38" s="135" t="s">
        <v>215</v>
      </c>
      <c r="J38" s="137" t="s">
        <v>216</v>
      </c>
      <c r="K38" s="138" t="s">
        <v>82</v>
      </c>
      <c r="L38" s="139" t="s">
        <v>217</v>
      </c>
      <c r="M38" s="140">
        <v>30000000</v>
      </c>
      <c r="N38" s="140">
        <v>0</v>
      </c>
      <c r="O38" s="141">
        <v>30000000</v>
      </c>
      <c r="P38" s="142" t="s">
        <v>214</v>
      </c>
    </row>
    <row r="39" spans="2:16" s="133" customFormat="1" ht="15" customHeight="1">
      <c r="B39" s="134">
        <f t="shared" si="1"/>
        <v>30</v>
      </c>
      <c r="C39" s="135" t="s">
        <v>112</v>
      </c>
      <c r="D39" s="135" t="s">
        <v>48</v>
      </c>
      <c r="E39" s="135" t="s">
        <v>27</v>
      </c>
      <c r="F39" s="136" t="s">
        <v>113</v>
      </c>
      <c r="G39" s="257" t="s">
        <v>422</v>
      </c>
      <c r="H39" s="258">
        <v>93</v>
      </c>
      <c r="I39" s="135" t="s">
        <v>218</v>
      </c>
      <c r="J39" s="137" t="s">
        <v>219</v>
      </c>
      <c r="K39" s="138" t="s">
        <v>82</v>
      </c>
      <c r="L39" s="139" t="s">
        <v>220</v>
      </c>
      <c r="M39" s="140">
        <v>149560167</v>
      </c>
      <c r="N39" s="140">
        <v>0</v>
      </c>
      <c r="O39" s="141">
        <v>149560167</v>
      </c>
      <c r="P39" s="142" t="s">
        <v>83</v>
      </c>
    </row>
    <row r="40" spans="2:16" s="133" customFormat="1" ht="15" customHeight="1">
      <c r="B40" s="134">
        <f t="shared" si="1"/>
        <v>31</v>
      </c>
      <c r="C40" s="135" t="s">
        <v>112</v>
      </c>
      <c r="D40" s="135" t="s">
        <v>48</v>
      </c>
      <c r="E40" s="135" t="s">
        <v>27</v>
      </c>
      <c r="F40" s="136" t="s">
        <v>113</v>
      </c>
      <c r="G40" s="257" t="s">
        <v>422</v>
      </c>
      <c r="H40" s="258">
        <v>93</v>
      </c>
      <c r="I40" s="135" t="s">
        <v>218</v>
      </c>
      <c r="J40" s="137" t="s">
        <v>219</v>
      </c>
      <c r="K40" s="138" t="s">
        <v>82</v>
      </c>
      <c r="L40" s="139" t="s">
        <v>221</v>
      </c>
      <c r="M40" s="140">
        <v>46632732</v>
      </c>
      <c r="N40" s="140">
        <v>0</v>
      </c>
      <c r="O40" s="141">
        <v>46632732</v>
      </c>
      <c r="P40" s="142" t="s">
        <v>83</v>
      </c>
    </row>
    <row r="41" spans="2:16" s="133" customFormat="1" ht="15" customHeight="1">
      <c r="B41" s="134">
        <f t="shared" si="1"/>
        <v>32</v>
      </c>
      <c r="C41" s="135" t="s">
        <v>112</v>
      </c>
      <c r="D41" s="135" t="s">
        <v>48</v>
      </c>
      <c r="E41" s="135" t="s">
        <v>27</v>
      </c>
      <c r="F41" s="136" t="s">
        <v>113</v>
      </c>
      <c r="G41" s="257" t="s">
        <v>422</v>
      </c>
      <c r="H41" s="258">
        <v>94</v>
      </c>
      <c r="I41" s="135" t="s">
        <v>85</v>
      </c>
      <c r="J41" s="137" t="s">
        <v>222</v>
      </c>
      <c r="K41" s="138" t="s">
        <v>82</v>
      </c>
      <c r="L41" s="139" t="s">
        <v>221</v>
      </c>
      <c r="M41" s="140">
        <v>49081911</v>
      </c>
      <c r="N41" s="140">
        <v>0</v>
      </c>
      <c r="O41" s="141">
        <v>49081911</v>
      </c>
      <c r="P41" s="142" t="s">
        <v>83</v>
      </c>
    </row>
    <row r="42" spans="2:16" s="133" customFormat="1" ht="15" customHeight="1">
      <c r="B42" s="134">
        <f t="shared" ref="B42:B63" si="2">ROW()-9</f>
        <v>33</v>
      </c>
      <c r="C42" s="135" t="s">
        <v>112</v>
      </c>
      <c r="D42" s="135" t="s">
        <v>48</v>
      </c>
      <c r="E42" s="135" t="s">
        <v>114</v>
      </c>
      <c r="F42" s="136" t="s">
        <v>115</v>
      </c>
      <c r="G42" s="257" t="s">
        <v>419</v>
      </c>
      <c r="H42" s="258">
        <v>6</v>
      </c>
      <c r="I42" s="135" t="s">
        <v>81</v>
      </c>
      <c r="J42" s="137" t="s">
        <v>223</v>
      </c>
      <c r="K42" s="138" t="s">
        <v>82</v>
      </c>
      <c r="L42" s="139">
        <v>45707</v>
      </c>
      <c r="M42" s="140">
        <v>11279512</v>
      </c>
      <c r="N42" s="140">
        <v>0</v>
      </c>
      <c r="O42" s="141">
        <v>11279512</v>
      </c>
      <c r="P42" s="142" t="s">
        <v>214</v>
      </c>
    </row>
    <row r="43" spans="2:16" s="133" customFormat="1" ht="15" customHeight="1">
      <c r="B43" s="134">
        <f t="shared" si="2"/>
        <v>34</v>
      </c>
      <c r="C43" s="135" t="s">
        <v>112</v>
      </c>
      <c r="D43" s="135" t="s">
        <v>48</v>
      </c>
      <c r="E43" s="135" t="s">
        <v>117</v>
      </c>
      <c r="F43" s="136" t="s">
        <v>118</v>
      </c>
      <c r="G43" s="257" t="s">
        <v>423</v>
      </c>
      <c r="H43" s="258">
        <v>4</v>
      </c>
      <c r="I43" s="135" t="s">
        <v>81</v>
      </c>
      <c r="J43" s="137" t="s">
        <v>235</v>
      </c>
      <c r="K43" s="138" t="s">
        <v>82</v>
      </c>
      <c r="L43" s="139">
        <v>45706</v>
      </c>
      <c r="M43" s="140">
        <v>29286</v>
      </c>
      <c r="N43" s="140">
        <v>0</v>
      </c>
      <c r="O43" s="141">
        <v>29286</v>
      </c>
      <c r="P43" s="142" t="s">
        <v>214</v>
      </c>
    </row>
    <row r="44" spans="2:16" s="133" customFormat="1" ht="15" customHeight="1">
      <c r="B44" s="134">
        <f t="shared" si="2"/>
        <v>35</v>
      </c>
      <c r="C44" s="135" t="s">
        <v>112</v>
      </c>
      <c r="D44" s="135" t="s">
        <v>48</v>
      </c>
      <c r="E44" s="135" t="s">
        <v>119</v>
      </c>
      <c r="F44" s="136" t="s">
        <v>120</v>
      </c>
      <c r="G44" s="257" t="s">
        <v>420</v>
      </c>
      <c r="H44" s="258">
        <v>1</v>
      </c>
      <c r="I44" s="135" t="s">
        <v>84</v>
      </c>
      <c r="J44" s="137" t="s">
        <v>236</v>
      </c>
      <c r="K44" s="138" t="s">
        <v>82</v>
      </c>
      <c r="L44" s="139" t="s">
        <v>237</v>
      </c>
      <c r="M44" s="140">
        <v>1294031</v>
      </c>
      <c r="N44" s="140">
        <v>0</v>
      </c>
      <c r="O44" s="141">
        <v>1294031</v>
      </c>
      <c r="P44" s="142" t="s">
        <v>83</v>
      </c>
    </row>
    <row r="45" spans="2:16" s="133" customFormat="1" ht="15" customHeight="1">
      <c r="B45" s="134">
        <f t="shared" si="2"/>
        <v>36</v>
      </c>
      <c r="C45" s="135" t="s">
        <v>112</v>
      </c>
      <c r="D45" s="135" t="s">
        <v>48</v>
      </c>
      <c r="E45" s="135" t="s">
        <v>119</v>
      </c>
      <c r="F45" s="136" t="s">
        <v>120</v>
      </c>
      <c r="G45" s="257" t="s">
        <v>420</v>
      </c>
      <c r="H45" s="258">
        <v>1</v>
      </c>
      <c r="I45" s="135" t="s">
        <v>84</v>
      </c>
      <c r="J45" s="137" t="s">
        <v>236</v>
      </c>
      <c r="K45" s="138" t="s">
        <v>82</v>
      </c>
      <c r="L45" s="139" t="s">
        <v>238</v>
      </c>
      <c r="M45" s="140">
        <v>41562</v>
      </c>
      <c r="N45" s="140">
        <v>0</v>
      </c>
      <c r="O45" s="141">
        <v>41562</v>
      </c>
      <c r="P45" s="142" t="s">
        <v>83</v>
      </c>
    </row>
    <row r="46" spans="2:16" s="133" customFormat="1" ht="15" customHeight="1">
      <c r="B46" s="134">
        <f t="shared" si="2"/>
        <v>37</v>
      </c>
      <c r="C46" s="135" t="s">
        <v>112</v>
      </c>
      <c r="D46" s="135" t="s">
        <v>48</v>
      </c>
      <c r="E46" s="135" t="s">
        <v>131</v>
      </c>
      <c r="F46" s="136" t="s">
        <v>132</v>
      </c>
      <c r="G46" s="257" t="s">
        <v>419</v>
      </c>
      <c r="H46" s="258">
        <v>1</v>
      </c>
      <c r="I46" s="135" t="s">
        <v>84</v>
      </c>
      <c r="J46" s="137" t="s">
        <v>239</v>
      </c>
      <c r="K46" s="138" t="s">
        <v>82</v>
      </c>
      <c r="L46" s="139" t="s">
        <v>220</v>
      </c>
      <c r="M46" s="140">
        <v>40881</v>
      </c>
      <c r="N46" s="140">
        <v>0</v>
      </c>
      <c r="O46" s="141">
        <v>40881</v>
      </c>
      <c r="P46" s="142" t="s">
        <v>83</v>
      </c>
    </row>
    <row r="47" spans="2:16" s="133" customFormat="1" ht="15" customHeight="1">
      <c r="B47" s="134">
        <f t="shared" si="2"/>
        <v>38</v>
      </c>
      <c r="C47" s="135" t="s">
        <v>112</v>
      </c>
      <c r="D47" s="135" t="s">
        <v>48</v>
      </c>
      <c r="E47" s="135" t="s">
        <v>143</v>
      </c>
      <c r="F47" s="136" t="s">
        <v>144</v>
      </c>
      <c r="G47" s="257" t="s">
        <v>420</v>
      </c>
      <c r="H47" s="258">
        <v>1</v>
      </c>
      <c r="I47" s="135" t="s">
        <v>81</v>
      </c>
      <c r="J47" s="137" t="s">
        <v>244</v>
      </c>
      <c r="K47" s="138" t="s">
        <v>82</v>
      </c>
      <c r="L47" s="139">
        <v>45712</v>
      </c>
      <c r="M47" s="140">
        <v>397090</v>
      </c>
      <c r="N47" s="140">
        <v>0</v>
      </c>
      <c r="O47" s="141">
        <v>397090</v>
      </c>
      <c r="P47" s="142" t="s">
        <v>83</v>
      </c>
    </row>
    <row r="48" spans="2:16" s="133" customFormat="1" ht="15" customHeight="1">
      <c r="B48" s="134">
        <f t="shared" si="2"/>
        <v>39</v>
      </c>
      <c r="C48" s="135" t="s">
        <v>112</v>
      </c>
      <c r="D48" s="135" t="s">
        <v>48</v>
      </c>
      <c r="E48" s="135" t="s">
        <v>143</v>
      </c>
      <c r="F48" s="136" t="s">
        <v>144</v>
      </c>
      <c r="G48" s="257" t="s">
        <v>420</v>
      </c>
      <c r="H48" s="258">
        <v>3</v>
      </c>
      <c r="I48" s="135" t="s">
        <v>81</v>
      </c>
      <c r="J48" s="137" t="s">
        <v>245</v>
      </c>
      <c r="K48" s="138" t="s">
        <v>82</v>
      </c>
      <c r="L48" s="139" t="s">
        <v>220</v>
      </c>
      <c r="M48" s="140">
        <v>17903</v>
      </c>
      <c r="N48" s="140">
        <v>0</v>
      </c>
      <c r="O48" s="141">
        <v>17903</v>
      </c>
      <c r="P48" s="142" t="s">
        <v>83</v>
      </c>
    </row>
    <row r="49" spans="2:16" s="133" customFormat="1" ht="15" customHeight="1">
      <c r="B49" s="134">
        <f t="shared" si="2"/>
        <v>40</v>
      </c>
      <c r="C49" s="135" t="s">
        <v>112</v>
      </c>
      <c r="D49" s="135" t="s">
        <v>48</v>
      </c>
      <c r="E49" s="135" t="s">
        <v>34</v>
      </c>
      <c r="F49" s="136" t="s">
        <v>151</v>
      </c>
      <c r="G49" s="257" t="s">
        <v>424</v>
      </c>
      <c r="H49" s="258">
        <v>2</v>
      </c>
      <c r="I49" s="135" t="s">
        <v>84</v>
      </c>
      <c r="J49" s="137" t="s">
        <v>246</v>
      </c>
      <c r="K49" s="138" t="s">
        <v>82</v>
      </c>
      <c r="L49" s="139" t="s">
        <v>238</v>
      </c>
      <c r="M49" s="140">
        <v>188738</v>
      </c>
      <c r="N49" s="140">
        <v>0</v>
      </c>
      <c r="O49" s="141">
        <v>188738</v>
      </c>
      <c r="P49" s="142" t="s">
        <v>83</v>
      </c>
    </row>
    <row r="50" spans="2:16" s="133" customFormat="1" ht="15" customHeight="1">
      <c r="B50" s="134">
        <f t="shared" si="2"/>
        <v>41</v>
      </c>
      <c r="C50" s="135" t="s">
        <v>112</v>
      </c>
      <c r="D50" s="135" t="s">
        <v>48</v>
      </c>
      <c r="E50" s="135" t="s">
        <v>152</v>
      </c>
      <c r="F50" s="136" t="s">
        <v>153</v>
      </c>
      <c r="G50" s="257" t="s">
        <v>422</v>
      </c>
      <c r="H50" s="258" t="s">
        <v>247</v>
      </c>
      <c r="I50" s="135" t="s">
        <v>81</v>
      </c>
      <c r="J50" s="137" t="s">
        <v>248</v>
      </c>
      <c r="K50" s="138" t="s">
        <v>82</v>
      </c>
      <c r="L50" s="139">
        <v>45692</v>
      </c>
      <c r="M50" s="140">
        <v>3467110</v>
      </c>
      <c r="N50" s="140">
        <v>0</v>
      </c>
      <c r="O50" s="141">
        <v>3467110</v>
      </c>
      <c r="P50" s="142" t="s">
        <v>83</v>
      </c>
    </row>
    <row r="51" spans="2:16" s="133" customFormat="1" ht="15" customHeight="1">
      <c r="B51" s="134">
        <f t="shared" si="2"/>
        <v>42</v>
      </c>
      <c r="C51" s="135" t="s">
        <v>112</v>
      </c>
      <c r="D51" s="135" t="s">
        <v>48</v>
      </c>
      <c r="E51" s="135" t="s">
        <v>152</v>
      </c>
      <c r="F51" s="136" t="s">
        <v>153</v>
      </c>
      <c r="G51" s="257" t="s">
        <v>422</v>
      </c>
      <c r="H51" s="258">
        <v>8</v>
      </c>
      <c r="I51" s="135" t="s">
        <v>81</v>
      </c>
      <c r="J51" s="137" t="s">
        <v>249</v>
      </c>
      <c r="K51" s="138" t="s">
        <v>82</v>
      </c>
      <c r="L51" s="139">
        <v>45712</v>
      </c>
      <c r="M51" s="140">
        <v>2057211</v>
      </c>
      <c r="N51" s="140">
        <v>0</v>
      </c>
      <c r="O51" s="141">
        <v>2057211</v>
      </c>
      <c r="P51" s="142" t="s">
        <v>214</v>
      </c>
    </row>
    <row r="52" spans="2:16" s="133" customFormat="1" ht="15" customHeight="1">
      <c r="B52" s="134">
        <f t="shared" si="2"/>
        <v>43</v>
      </c>
      <c r="C52" s="135" t="s">
        <v>112</v>
      </c>
      <c r="D52" s="135" t="s">
        <v>48</v>
      </c>
      <c r="E52" s="135" t="s">
        <v>37</v>
      </c>
      <c r="F52" s="136" t="s">
        <v>156</v>
      </c>
      <c r="G52" s="257" t="s">
        <v>423</v>
      </c>
      <c r="H52" s="258">
        <v>2</v>
      </c>
      <c r="I52" s="135" t="s">
        <v>81</v>
      </c>
      <c r="J52" s="137" t="s">
        <v>251</v>
      </c>
      <c r="K52" s="138" t="s">
        <v>82</v>
      </c>
      <c r="L52" s="139" t="s">
        <v>220</v>
      </c>
      <c r="M52" s="140">
        <v>1839679</v>
      </c>
      <c r="N52" s="140">
        <v>0</v>
      </c>
      <c r="O52" s="141">
        <v>1839679</v>
      </c>
      <c r="P52" s="142" t="s">
        <v>83</v>
      </c>
    </row>
    <row r="53" spans="2:16" s="133" customFormat="1" ht="15" customHeight="1">
      <c r="B53" s="134">
        <f t="shared" si="2"/>
        <v>44</v>
      </c>
      <c r="C53" s="135" t="s">
        <v>112</v>
      </c>
      <c r="D53" s="135" t="s">
        <v>48</v>
      </c>
      <c r="E53" s="135" t="s">
        <v>37</v>
      </c>
      <c r="F53" s="136" t="s">
        <v>156</v>
      </c>
      <c r="G53" s="257" t="s">
        <v>423</v>
      </c>
      <c r="H53" s="258">
        <v>3</v>
      </c>
      <c r="I53" s="135" t="s">
        <v>81</v>
      </c>
      <c r="J53" s="137" t="s">
        <v>252</v>
      </c>
      <c r="K53" s="138" t="s">
        <v>82</v>
      </c>
      <c r="L53" s="139">
        <v>45706</v>
      </c>
      <c r="M53" s="140">
        <v>385031</v>
      </c>
      <c r="N53" s="140">
        <v>0</v>
      </c>
      <c r="O53" s="141">
        <v>385031</v>
      </c>
      <c r="P53" s="142" t="s">
        <v>214</v>
      </c>
    </row>
    <row r="54" spans="2:16" s="133" customFormat="1" ht="15" customHeight="1">
      <c r="B54" s="134">
        <f t="shared" si="2"/>
        <v>45</v>
      </c>
      <c r="C54" s="135" t="s">
        <v>112</v>
      </c>
      <c r="D54" s="135" t="s">
        <v>48</v>
      </c>
      <c r="E54" s="135" t="s">
        <v>38</v>
      </c>
      <c r="F54" s="136" t="s">
        <v>163</v>
      </c>
      <c r="G54" s="257" t="s">
        <v>422</v>
      </c>
      <c r="H54" s="258">
        <v>1</v>
      </c>
      <c r="I54" s="135" t="s">
        <v>86</v>
      </c>
      <c r="J54" s="137" t="s">
        <v>253</v>
      </c>
      <c r="K54" s="138" t="s">
        <v>82</v>
      </c>
      <c r="L54" s="139" t="s">
        <v>221</v>
      </c>
      <c r="M54" s="140">
        <v>9912</v>
      </c>
      <c r="N54" s="140">
        <v>0</v>
      </c>
      <c r="O54" s="141">
        <v>9912</v>
      </c>
      <c r="P54" s="142" t="s">
        <v>214</v>
      </c>
    </row>
    <row r="55" spans="2:16" s="133" customFormat="1" ht="15" customHeight="1">
      <c r="B55" s="134">
        <f t="shared" si="2"/>
        <v>46</v>
      </c>
      <c r="C55" s="135" t="s">
        <v>112</v>
      </c>
      <c r="D55" s="135" t="s">
        <v>48</v>
      </c>
      <c r="E55" s="135" t="s">
        <v>168</v>
      </c>
      <c r="F55" s="136" t="s">
        <v>169</v>
      </c>
      <c r="G55" s="257" t="s">
        <v>422</v>
      </c>
      <c r="H55" s="258">
        <v>1</v>
      </c>
      <c r="I55" s="135" t="s">
        <v>254</v>
      </c>
      <c r="J55" s="137" t="s">
        <v>255</v>
      </c>
      <c r="K55" s="138" t="s">
        <v>82</v>
      </c>
      <c r="L55" s="139" t="s">
        <v>221</v>
      </c>
      <c r="M55" s="140">
        <v>163526</v>
      </c>
      <c r="N55" s="140">
        <v>0</v>
      </c>
      <c r="O55" s="141">
        <v>163526</v>
      </c>
      <c r="P55" s="142" t="s">
        <v>83</v>
      </c>
    </row>
    <row r="56" spans="2:16" s="133" customFormat="1" ht="15" customHeight="1">
      <c r="B56" s="134">
        <f t="shared" si="2"/>
        <v>47</v>
      </c>
      <c r="C56" s="135" t="s">
        <v>112</v>
      </c>
      <c r="D56" s="135" t="s">
        <v>48</v>
      </c>
      <c r="E56" s="135" t="s">
        <v>168</v>
      </c>
      <c r="F56" s="136" t="s">
        <v>169</v>
      </c>
      <c r="G56" s="257" t="s">
        <v>422</v>
      </c>
      <c r="H56" s="258">
        <v>2</v>
      </c>
      <c r="I56" s="135" t="s">
        <v>256</v>
      </c>
      <c r="J56" s="137" t="s">
        <v>257</v>
      </c>
      <c r="K56" s="138" t="s">
        <v>82</v>
      </c>
      <c r="L56" s="139" t="s">
        <v>221</v>
      </c>
      <c r="M56" s="140">
        <v>0</v>
      </c>
      <c r="N56" s="140">
        <v>13199</v>
      </c>
      <c r="O56" s="141">
        <v>13199</v>
      </c>
      <c r="P56" s="142" t="s">
        <v>214</v>
      </c>
    </row>
    <row r="57" spans="2:16" s="133" customFormat="1" ht="15" customHeight="1">
      <c r="B57" s="134">
        <f t="shared" si="2"/>
        <v>48</v>
      </c>
      <c r="C57" s="135" t="s">
        <v>112</v>
      </c>
      <c r="D57" s="135" t="s">
        <v>48</v>
      </c>
      <c r="E57" s="135" t="s">
        <v>168</v>
      </c>
      <c r="F57" s="136" t="s">
        <v>169</v>
      </c>
      <c r="G57" s="257" t="s">
        <v>422</v>
      </c>
      <c r="H57" s="258">
        <v>2</v>
      </c>
      <c r="I57" s="135" t="s">
        <v>256</v>
      </c>
      <c r="J57" s="137" t="s">
        <v>257</v>
      </c>
      <c r="K57" s="138" t="s">
        <v>82</v>
      </c>
      <c r="L57" s="139" t="s">
        <v>226</v>
      </c>
      <c r="M57" s="140">
        <v>0</v>
      </c>
      <c r="N57" s="140">
        <v>543</v>
      </c>
      <c r="O57" s="141">
        <v>543</v>
      </c>
      <c r="P57" s="142" t="s">
        <v>214</v>
      </c>
    </row>
    <row r="58" spans="2:16" s="133" customFormat="1" ht="15" customHeight="1">
      <c r="B58" s="134">
        <f t="shared" si="2"/>
        <v>49</v>
      </c>
      <c r="C58" s="135" t="s">
        <v>112</v>
      </c>
      <c r="D58" s="135" t="s">
        <v>48</v>
      </c>
      <c r="E58" s="135" t="s">
        <v>168</v>
      </c>
      <c r="F58" s="136" t="s">
        <v>169</v>
      </c>
      <c r="G58" s="257" t="s">
        <v>422</v>
      </c>
      <c r="H58" s="258">
        <v>2</v>
      </c>
      <c r="I58" s="135" t="s">
        <v>256</v>
      </c>
      <c r="J58" s="137" t="s">
        <v>257</v>
      </c>
      <c r="K58" s="138" t="s">
        <v>82</v>
      </c>
      <c r="L58" s="139" t="s">
        <v>226</v>
      </c>
      <c r="M58" s="140">
        <v>306258</v>
      </c>
      <c r="N58" s="140">
        <v>0</v>
      </c>
      <c r="O58" s="141">
        <v>306258</v>
      </c>
      <c r="P58" s="142" t="s">
        <v>214</v>
      </c>
    </row>
    <row r="59" spans="2:16" s="133" customFormat="1" ht="15" customHeight="1">
      <c r="B59" s="134">
        <f t="shared" si="2"/>
        <v>50</v>
      </c>
      <c r="C59" s="135" t="s">
        <v>112</v>
      </c>
      <c r="D59" s="135" t="s">
        <v>48</v>
      </c>
      <c r="E59" s="135" t="s">
        <v>181</v>
      </c>
      <c r="F59" s="136" t="s">
        <v>182</v>
      </c>
      <c r="G59" s="257" t="s">
        <v>424</v>
      </c>
      <c r="H59" s="258">
        <v>1</v>
      </c>
      <c r="I59" s="135" t="s">
        <v>81</v>
      </c>
      <c r="J59" s="137" t="s">
        <v>258</v>
      </c>
      <c r="K59" s="138" t="s">
        <v>82</v>
      </c>
      <c r="L59" s="139" t="s">
        <v>221</v>
      </c>
      <c r="M59" s="140">
        <v>374092</v>
      </c>
      <c r="N59" s="140">
        <v>0</v>
      </c>
      <c r="O59" s="141">
        <v>374092</v>
      </c>
      <c r="P59" s="142" t="s">
        <v>83</v>
      </c>
    </row>
    <row r="60" spans="2:16" s="133" customFormat="1" ht="15" customHeight="1">
      <c r="B60" s="134">
        <f t="shared" si="2"/>
        <v>51</v>
      </c>
      <c r="C60" s="135" t="s">
        <v>112</v>
      </c>
      <c r="D60" s="135" t="s">
        <v>48</v>
      </c>
      <c r="E60" s="135" t="s">
        <v>183</v>
      </c>
      <c r="F60" s="136" t="s">
        <v>184</v>
      </c>
      <c r="G60" s="257" t="s">
        <v>420</v>
      </c>
      <c r="H60" s="258">
        <v>1</v>
      </c>
      <c r="I60" s="135" t="s">
        <v>86</v>
      </c>
      <c r="J60" s="137" t="s">
        <v>260</v>
      </c>
      <c r="K60" s="138" t="s">
        <v>82</v>
      </c>
      <c r="L60" s="139">
        <v>45714</v>
      </c>
      <c r="M60" s="140">
        <v>2753270</v>
      </c>
      <c r="N60" s="140">
        <v>0</v>
      </c>
      <c r="O60" s="141">
        <v>2753270</v>
      </c>
      <c r="P60" s="142" t="s">
        <v>83</v>
      </c>
    </row>
    <row r="61" spans="2:16" s="133" customFormat="1" ht="15" customHeight="1">
      <c r="B61" s="134">
        <f t="shared" si="2"/>
        <v>52</v>
      </c>
      <c r="C61" s="135" t="s">
        <v>112</v>
      </c>
      <c r="D61" s="135" t="s">
        <v>49</v>
      </c>
      <c r="E61" s="135" t="s">
        <v>190</v>
      </c>
      <c r="F61" s="136" t="s">
        <v>191</v>
      </c>
      <c r="G61" s="257" t="s">
        <v>423</v>
      </c>
      <c r="H61" s="258">
        <v>4</v>
      </c>
      <c r="I61" s="135" t="s">
        <v>81</v>
      </c>
      <c r="J61" s="137" t="s">
        <v>264</v>
      </c>
      <c r="K61" s="138" t="s">
        <v>82</v>
      </c>
      <c r="L61" s="139" t="s">
        <v>220</v>
      </c>
      <c r="M61" s="140">
        <v>1589597</v>
      </c>
      <c r="N61" s="140">
        <v>0</v>
      </c>
      <c r="O61" s="141">
        <v>1589597</v>
      </c>
      <c r="P61" s="142" t="s">
        <v>83</v>
      </c>
    </row>
    <row r="62" spans="2:16" s="133" customFormat="1" ht="15" customHeight="1">
      <c r="B62" s="134">
        <f t="shared" si="2"/>
        <v>53</v>
      </c>
      <c r="C62" s="135" t="s">
        <v>112</v>
      </c>
      <c r="D62" s="135" t="s">
        <v>49</v>
      </c>
      <c r="E62" s="135" t="s">
        <v>196</v>
      </c>
      <c r="F62" s="136" t="s">
        <v>197</v>
      </c>
      <c r="G62" s="257" t="s">
        <v>423</v>
      </c>
      <c r="H62" s="258">
        <v>6</v>
      </c>
      <c r="I62" s="135" t="s">
        <v>268</v>
      </c>
      <c r="J62" s="137" t="s">
        <v>269</v>
      </c>
      <c r="K62" s="138" t="s">
        <v>82</v>
      </c>
      <c r="L62" s="139">
        <v>45712</v>
      </c>
      <c r="M62" s="140">
        <v>2000000</v>
      </c>
      <c r="N62" s="140">
        <v>0</v>
      </c>
      <c r="O62" s="141">
        <v>2000000</v>
      </c>
      <c r="P62" s="142" t="s">
        <v>214</v>
      </c>
    </row>
    <row r="63" spans="2:16" s="133" customFormat="1" ht="15" customHeight="1">
      <c r="B63" s="134">
        <f t="shared" si="2"/>
        <v>54</v>
      </c>
      <c r="C63" s="135" t="s">
        <v>112</v>
      </c>
      <c r="D63" s="135" t="s">
        <v>49</v>
      </c>
      <c r="E63" s="135" t="s">
        <v>196</v>
      </c>
      <c r="F63" s="136" t="s">
        <v>197</v>
      </c>
      <c r="G63" s="257" t="s">
        <v>423</v>
      </c>
      <c r="H63" s="258">
        <v>6</v>
      </c>
      <c r="I63" s="135" t="s">
        <v>268</v>
      </c>
      <c r="J63" s="137" t="s">
        <v>269</v>
      </c>
      <c r="K63" s="138" t="s">
        <v>82</v>
      </c>
      <c r="L63" s="139">
        <v>45712</v>
      </c>
      <c r="M63" s="140">
        <v>19662</v>
      </c>
      <c r="N63" s="140">
        <v>0</v>
      </c>
      <c r="O63" s="141">
        <v>19662</v>
      </c>
      <c r="P63" s="142" t="s">
        <v>214</v>
      </c>
    </row>
    <row r="64" spans="2:16" s="133" customFormat="1" ht="15" customHeight="1" thickBot="1">
      <c r="B64" s="143"/>
      <c r="C64" s="144"/>
      <c r="D64" s="144"/>
      <c r="E64" s="144"/>
      <c r="F64" s="145"/>
      <c r="G64" s="259"/>
      <c r="H64" s="146"/>
      <c r="I64" s="144"/>
      <c r="J64" s="147"/>
      <c r="K64" s="144"/>
      <c r="L64" s="148"/>
      <c r="M64" s="149"/>
      <c r="N64" s="149"/>
      <c r="O64" s="150"/>
      <c r="P64" s="151"/>
    </row>
  </sheetData>
  <autoFilter ref="A9:P9"/>
  <sortState ref="B10:P63">
    <sortCondition ref="K10:K63"/>
    <sortCondition ref="E10:E63"/>
  </sortState>
  <phoneticPr fontId="4" type="noConversion"/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showGridLines="0" topLeftCell="E52" zoomScale="90" zoomScaleNormal="90" workbookViewId="0">
      <selection activeCell="J175" sqref="J175"/>
    </sheetView>
  </sheetViews>
  <sheetFormatPr defaultColWidth="9" defaultRowHeight="15" customHeight="1"/>
  <cols>
    <col min="1" max="1" width="2" style="26" customWidth="1"/>
    <col min="2" max="4" width="8.75" style="27" customWidth="1"/>
    <col min="5" max="5" width="11" style="27" customWidth="1"/>
    <col min="6" max="6" width="15.6640625" style="27" customWidth="1"/>
    <col min="7" max="7" width="10.9140625" style="27" customWidth="1"/>
    <col min="8" max="8" width="23" style="27" customWidth="1"/>
    <col min="9" max="9" width="11.5" style="152" customWidth="1"/>
    <col min="10" max="11" width="14.5" style="152" customWidth="1"/>
    <col min="12" max="12" width="14.33203125" style="152" customWidth="1"/>
    <col min="13" max="13" width="11.5" style="27" bestFit="1" customWidth="1"/>
    <col min="14" max="14" width="11.5" style="27" customWidth="1"/>
    <col min="15" max="15" width="11.5" style="34" bestFit="1" customWidth="1"/>
    <col min="16" max="16" width="11.5" style="34" customWidth="1"/>
    <col min="17" max="17" width="28" style="26" customWidth="1"/>
    <col min="18" max="16384" width="9" style="260"/>
  </cols>
  <sheetData>
    <row r="1" spans="1:17" s="265" customFormat="1" ht="15" customHeight="1">
      <c r="A1" s="99"/>
      <c r="B1" s="100"/>
      <c r="C1" s="100"/>
      <c r="D1" s="100"/>
      <c r="E1" s="100"/>
      <c r="F1" s="100"/>
      <c r="G1" s="100"/>
      <c r="H1" s="101"/>
      <c r="I1" s="102"/>
      <c r="J1" s="102"/>
      <c r="K1" s="102"/>
      <c r="L1" s="102"/>
      <c r="M1" s="101"/>
      <c r="N1" s="100"/>
      <c r="O1" s="25"/>
      <c r="P1" s="25"/>
      <c r="Q1" s="99"/>
    </row>
    <row r="2" spans="1:17" s="269" customFormat="1" ht="27" customHeight="1">
      <c r="A2" s="103" t="s">
        <v>281</v>
      </c>
      <c r="B2" s="153"/>
      <c r="C2" s="106"/>
      <c r="D2" s="106"/>
      <c r="E2" s="106"/>
      <c r="F2" s="106"/>
      <c r="G2" s="106"/>
      <c r="H2" s="106"/>
      <c r="I2" s="106"/>
      <c r="J2" s="106"/>
      <c r="K2" s="106"/>
      <c r="L2" s="156"/>
      <c r="M2" s="156"/>
      <c r="N2" s="156"/>
      <c r="O2" s="156"/>
      <c r="P2" s="156"/>
      <c r="Q2" s="106"/>
    </row>
    <row r="3" spans="1:17" s="268" customFormat="1" ht="7.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56"/>
      <c r="M3" s="156"/>
      <c r="N3" s="156"/>
      <c r="O3" s="156"/>
      <c r="P3" s="156"/>
      <c r="Q3" s="108"/>
    </row>
    <row r="4" spans="1:17" s="267" customFormat="1" ht="24" customHeight="1">
      <c r="A4" s="111" t="s">
        <v>280</v>
      </c>
      <c r="B4" s="113"/>
      <c r="C4" s="113"/>
      <c r="D4" s="113"/>
      <c r="E4" s="113"/>
      <c r="F4" s="113"/>
      <c r="G4" s="113"/>
      <c r="H4" s="113"/>
      <c r="I4" s="113"/>
      <c r="J4" s="154"/>
      <c r="K4" s="154"/>
      <c r="L4" s="156"/>
      <c r="M4" s="156"/>
      <c r="N4" s="156"/>
      <c r="O4" s="156"/>
      <c r="P4" s="156"/>
      <c r="Q4" s="113"/>
    </row>
    <row r="5" spans="1:17" s="266" customFormat="1" ht="24" customHeight="1">
      <c r="A5" s="115" t="s">
        <v>279</v>
      </c>
      <c r="B5" s="117"/>
      <c r="C5" s="117"/>
      <c r="D5" s="117"/>
      <c r="E5" s="117"/>
      <c r="F5" s="117"/>
      <c r="G5" s="117"/>
      <c r="H5" s="117"/>
      <c r="I5" s="155"/>
      <c r="J5" s="156"/>
      <c r="K5" s="156"/>
      <c r="L5" s="156"/>
      <c r="M5" s="156"/>
      <c r="N5" s="156"/>
      <c r="O5" s="156"/>
      <c r="P5" s="156"/>
      <c r="Q5" s="117"/>
    </row>
    <row r="6" spans="1:17" s="265" customFormat="1" ht="7.5" customHeight="1" thickBot="1">
      <c r="A6" s="99"/>
      <c r="B6" s="100"/>
      <c r="C6" s="100"/>
      <c r="D6" s="100"/>
      <c r="E6" s="100"/>
      <c r="F6" s="100"/>
      <c r="G6" s="100"/>
      <c r="H6" s="101"/>
      <c r="I6" s="102"/>
      <c r="J6" s="99"/>
      <c r="K6" s="157"/>
      <c r="L6" s="157"/>
      <c r="M6" s="157"/>
      <c r="N6" s="157"/>
      <c r="O6" s="157"/>
      <c r="P6" s="156"/>
      <c r="Q6" s="156"/>
    </row>
    <row r="7" spans="1:17" ht="15" customHeight="1">
      <c r="B7" s="119" t="s">
        <v>17</v>
      </c>
      <c r="C7" s="120"/>
      <c r="D7" s="120"/>
      <c r="E7" s="121"/>
      <c r="F7" s="122"/>
      <c r="G7" s="122"/>
      <c r="H7" s="123" t="s">
        <v>278</v>
      </c>
      <c r="I7" s="124"/>
      <c r="J7" s="124"/>
      <c r="K7" s="124"/>
      <c r="L7" s="124"/>
      <c r="M7" s="120"/>
      <c r="N7" s="125"/>
      <c r="O7" s="125"/>
      <c r="P7" s="120"/>
      <c r="Q7" s="126" t="s">
        <v>19</v>
      </c>
    </row>
    <row r="8" spans="1:17" s="264" customFormat="1" ht="15" customHeight="1">
      <c r="A8" s="27"/>
      <c r="B8" s="28" t="str">
        <f>"Field "&amp; COLUMN()-1</f>
        <v>Field 1</v>
      </c>
      <c r="C8" s="29" t="str">
        <f>"Field "&amp; COLUMN()-1</f>
        <v>Field 2</v>
      </c>
      <c r="D8" s="29" t="str">
        <f>"Field "&amp; COLUMN()-1</f>
        <v>Field 3</v>
      </c>
      <c r="E8" s="29" t="str">
        <f>"Field "&amp; COLUMN()-1</f>
        <v>Field 4</v>
      </c>
      <c r="F8" s="29" t="str">
        <f>"Field "&amp; COLUMN()-1</f>
        <v>Field 5</v>
      </c>
      <c r="G8" s="255"/>
      <c r="H8" s="29" t="str">
        <f t="shared" ref="H8:Q8" si="0">"Field "&amp; COLUMN()-1</f>
        <v>Field 7</v>
      </c>
      <c r="I8" s="158" t="str">
        <f t="shared" si="0"/>
        <v>Field 8</v>
      </c>
      <c r="J8" s="158" t="str">
        <f t="shared" si="0"/>
        <v>Field 9</v>
      </c>
      <c r="K8" s="158" t="str">
        <f t="shared" si="0"/>
        <v>Field 10</v>
      </c>
      <c r="L8" s="158" t="str">
        <f t="shared" si="0"/>
        <v>Field 11</v>
      </c>
      <c r="M8" s="29" t="str">
        <f t="shared" si="0"/>
        <v>Field 12</v>
      </c>
      <c r="N8" s="29" t="str">
        <f t="shared" si="0"/>
        <v>Field 13</v>
      </c>
      <c r="O8" s="29" t="str">
        <f t="shared" si="0"/>
        <v>Field 14</v>
      </c>
      <c r="P8" s="159" t="str">
        <f t="shared" si="0"/>
        <v>Field 15</v>
      </c>
      <c r="Q8" s="127" t="str">
        <f t="shared" si="0"/>
        <v>Field 16</v>
      </c>
    </row>
    <row r="9" spans="1:17" s="263" customFormat="1" ht="37" customHeight="1" thickBot="1">
      <c r="A9" s="128"/>
      <c r="B9" s="30" t="s">
        <v>20</v>
      </c>
      <c r="C9" s="31" t="s">
        <v>277</v>
      </c>
      <c r="D9" s="31" t="s">
        <v>276</v>
      </c>
      <c r="E9" s="129" t="s">
        <v>46</v>
      </c>
      <c r="F9" s="129" t="s">
        <v>21</v>
      </c>
      <c r="G9" s="256" t="s">
        <v>275</v>
      </c>
      <c r="H9" s="31" t="s">
        <v>76</v>
      </c>
      <c r="I9" s="130" t="s">
        <v>87</v>
      </c>
      <c r="J9" s="130" t="s">
        <v>88</v>
      </c>
      <c r="K9" s="130" t="s">
        <v>89</v>
      </c>
      <c r="L9" s="130" t="s">
        <v>77</v>
      </c>
      <c r="M9" s="31" t="s">
        <v>274</v>
      </c>
      <c r="N9" s="32" t="s">
        <v>273</v>
      </c>
      <c r="O9" s="31" t="s">
        <v>80</v>
      </c>
      <c r="P9" s="160" t="s">
        <v>90</v>
      </c>
      <c r="Q9" s="33" t="s">
        <v>19</v>
      </c>
    </row>
    <row r="10" spans="1:17" ht="15" customHeight="1">
      <c r="B10" s="161">
        <f t="shared" ref="B10:B41" si="1">ROW()-9</f>
        <v>1</v>
      </c>
      <c r="C10" s="162" t="s">
        <v>112</v>
      </c>
      <c r="D10" s="162" t="s">
        <v>48</v>
      </c>
      <c r="E10" s="163" t="s">
        <v>27</v>
      </c>
      <c r="F10" s="164" t="s">
        <v>113</v>
      </c>
      <c r="G10" s="262" t="s">
        <v>422</v>
      </c>
      <c r="H10" s="165" t="s">
        <v>91</v>
      </c>
      <c r="I10" s="166">
        <v>45644</v>
      </c>
      <c r="J10" s="167">
        <v>26139500</v>
      </c>
      <c r="K10" s="167">
        <v>0</v>
      </c>
      <c r="L10" s="139"/>
      <c r="M10" s="168">
        <v>0</v>
      </c>
      <c r="N10" s="168">
        <v>0</v>
      </c>
      <c r="O10" s="168">
        <v>0</v>
      </c>
      <c r="P10" s="169">
        <v>26139500</v>
      </c>
      <c r="Q10" s="170" t="s">
        <v>94</v>
      </c>
    </row>
    <row r="11" spans="1:17" ht="15" customHeight="1">
      <c r="B11" s="161">
        <f t="shared" si="1"/>
        <v>2</v>
      </c>
      <c r="C11" s="162" t="s">
        <v>112</v>
      </c>
      <c r="D11" s="162" t="s">
        <v>48</v>
      </c>
      <c r="E11" s="163" t="s">
        <v>27</v>
      </c>
      <c r="F11" s="164" t="s">
        <v>113</v>
      </c>
      <c r="G11" s="262" t="s">
        <v>422</v>
      </c>
      <c r="H11" s="165" t="s">
        <v>91</v>
      </c>
      <c r="I11" s="166">
        <v>45646</v>
      </c>
      <c r="J11" s="167">
        <v>14158800</v>
      </c>
      <c r="K11" s="167">
        <v>0</v>
      </c>
      <c r="L11" s="139"/>
      <c r="M11" s="168">
        <v>0</v>
      </c>
      <c r="N11" s="168">
        <v>0</v>
      </c>
      <c r="O11" s="168">
        <v>0</v>
      </c>
      <c r="P11" s="169">
        <v>14158800</v>
      </c>
      <c r="Q11" s="170" t="s">
        <v>94</v>
      </c>
    </row>
    <row r="12" spans="1:17" ht="15" customHeight="1">
      <c r="B12" s="161">
        <f t="shared" si="1"/>
        <v>3</v>
      </c>
      <c r="C12" s="162" t="s">
        <v>112</v>
      </c>
      <c r="D12" s="162" t="s">
        <v>48</v>
      </c>
      <c r="E12" s="163" t="s">
        <v>27</v>
      </c>
      <c r="F12" s="164" t="s">
        <v>113</v>
      </c>
      <c r="G12" s="262" t="s">
        <v>422</v>
      </c>
      <c r="H12" s="165" t="s">
        <v>91</v>
      </c>
      <c r="I12" s="166">
        <v>45635</v>
      </c>
      <c r="J12" s="167">
        <v>2970990</v>
      </c>
      <c r="K12" s="167">
        <v>0</v>
      </c>
      <c r="L12" s="139"/>
      <c r="M12" s="168">
        <v>0</v>
      </c>
      <c r="N12" s="168">
        <v>0</v>
      </c>
      <c r="O12" s="168">
        <v>0</v>
      </c>
      <c r="P12" s="169">
        <v>2970990</v>
      </c>
      <c r="Q12" s="170" t="s">
        <v>95</v>
      </c>
    </row>
    <row r="13" spans="1:17" ht="15" customHeight="1">
      <c r="B13" s="161">
        <f t="shared" si="1"/>
        <v>4</v>
      </c>
      <c r="C13" s="162" t="s">
        <v>112</v>
      </c>
      <c r="D13" s="162" t="s">
        <v>48</v>
      </c>
      <c r="E13" s="163" t="s">
        <v>27</v>
      </c>
      <c r="F13" s="164" t="s">
        <v>113</v>
      </c>
      <c r="G13" s="262" t="s">
        <v>422</v>
      </c>
      <c r="H13" s="165" t="s">
        <v>91</v>
      </c>
      <c r="I13" s="166">
        <v>45671</v>
      </c>
      <c r="J13" s="167">
        <v>3066690</v>
      </c>
      <c r="K13" s="167">
        <v>0</v>
      </c>
      <c r="L13" s="139"/>
      <c r="M13" s="168">
        <v>0</v>
      </c>
      <c r="N13" s="168">
        <v>0</v>
      </c>
      <c r="O13" s="168">
        <v>0</v>
      </c>
      <c r="P13" s="169">
        <v>3066690</v>
      </c>
      <c r="Q13" s="170" t="s">
        <v>95</v>
      </c>
    </row>
    <row r="14" spans="1:17" ht="15" customHeight="1">
      <c r="B14" s="161">
        <f t="shared" si="1"/>
        <v>5</v>
      </c>
      <c r="C14" s="162" t="s">
        <v>112</v>
      </c>
      <c r="D14" s="162" t="s">
        <v>48</v>
      </c>
      <c r="E14" s="163" t="s">
        <v>28</v>
      </c>
      <c r="F14" s="164" t="s">
        <v>116</v>
      </c>
      <c r="G14" s="262" t="s">
        <v>420</v>
      </c>
      <c r="H14" s="165" t="s">
        <v>91</v>
      </c>
      <c r="I14" s="166">
        <v>45663</v>
      </c>
      <c r="J14" s="167">
        <v>21001150</v>
      </c>
      <c r="K14" s="167">
        <v>0</v>
      </c>
      <c r="L14" s="139"/>
      <c r="M14" s="168">
        <v>0</v>
      </c>
      <c r="N14" s="168">
        <v>0</v>
      </c>
      <c r="O14" s="168">
        <v>0</v>
      </c>
      <c r="P14" s="169">
        <v>21001150</v>
      </c>
      <c r="Q14" s="170" t="s">
        <v>92</v>
      </c>
    </row>
    <row r="15" spans="1:17" ht="15" customHeight="1">
      <c r="B15" s="161">
        <f t="shared" si="1"/>
        <v>6</v>
      </c>
      <c r="C15" s="162" t="s">
        <v>112</v>
      </c>
      <c r="D15" s="162" t="s">
        <v>48</v>
      </c>
      <c r="E15" s="163" t="s">
        <v>28</v>
      </c>
      <c r="F15" s="164" t="s">
        <v>116</v>
      </c>
      <c r="G15" s="262" t="s">
        <v>420</v>
      </c>
      <c r="H15" s="165" t="s">
        <v>91</v>
      </c>
      <c r="I15" s="166">
        <v>45679</v>
      </c>
      <c r="J15" s="167">
        <v>2651040</v>
      </c>
      <c r="K15" s="167">
        <v>0</v>
      </c>
      <c r="L15" s="139"/>
      <c r="M15" s="168">
        <v>0</v>
      </c>
      <c r="N15" s="168">
        <v>0</v>
      </c>
      <c r="O15" s="168">
        <v>0</v>
      </c>
      <c r="P15" s="169">
        <v>2651040</v>
      </c>
      <c r="Q15" s="170" t="s">
        <v>93</v>
      </c>
    </row>
    <row r="16" spans="1:17" ht="15" customHeight="1">
      <c r="B16" s="161">
        <f t="shared" si="1"/>
        <v>7</v>
      </c>
      <c r="C16" s="162" t="s">
        <v>112</v>
      </c>
      <c r="D16" s="162" t="s">
        <v>48</v>
      </c>
      <c r="E16" s="163" t="s">
        <v>28</v>
      </c>
      <c r="F16" s="164" t="s">
        <v>116</v>
      </c>
      <c r="G16" s="262" t="s">
        <v>420</v>
      </c>
      <c r="H16" s="165" t="s">
        <v>91</v>
      </c>
      <c r="I16" s="166">
        <v>45679</v>
      </c>
      <c r="J16" s="167">
        <v>722500</v>
      </c>
      <c r="K16" s="167">
        <v>0</v>
      </c>
      <c r="L16" s="139"/>
      <c r="M16" s="168">
        <v>0</v>
      </c>
      <c r="N16" s="168">
        <v>0</v>
      </c>
      <c r="O16" s="168">
        <v>0</v>
      </c>
      <c r="P16" s="169">
        <v>722500</v>
      </c>
      <c r="Q16" s="170" t="s">
        <v>93</v>
      </c>
    </row>
    <row r="17" spans="2:17" ht="15" customHeight="1">
      <c r="B17" s="161">
        <f t="shared" si="1"/>
        <v>8</v>
      </c>
      <c r="C17" s="162" t="s">
        <v>112</v>
      </c>
      <c r="D17" s="162" t="s">
        <v>48</v>
      </c>
      <c r="E17" s="163" t="s">
        <v>28</v>
      </c>
      <c r="F17" s="164" t="s">
        <v>116</v>
      </c>
      <c r="G17" s="262" t="s">
        <v>420</v>
      </c>
      <c r="H17" s="165" t="s">
        <v>91</v>
      </c>
      <c r="I17" s="166">
        <v>45679</v>
      </c>
      <c r="J17" s="167">
        <v>520140</v>
      </c>
      <c r="K17" s="167">
        <v>0</v>
      </c>
      <c r="L17" s="139"/>
      <c r="M17" s="168">
        <v>0</v>
      </c>
      <c r="N17" s="168">
        <v>0</v>
      </c>
      <c r="O17" s="168">
        <v>0</v>
      </c>
      <c r="P17" s="169">
        <v>520140</v>
      </c>
      <c r="Q17" s="170" t="s">
        <v>93</v>
      </c>
    </row>
    <row r="18" spans="2:17" ht="15" customHeight="1">
      <c r="B18" s="161">
        <f t="shared" si="1"/>
        <v>9</v>
      </c>
      <c r="C18" s="162" t="s">
        <v>112</v>
      </c>
      <c r="D18" s="162" t="s">
        <v>48</v>
      </c>
      <c r="E18" s="163" t="s">
        <v>117</v>
      </c>
      <c r="F18" s="164" t="s">
        <v>118</v>
      </c>
      <c r="G18" s="262" t="s">
        <v>423</v>
      </c>
      <c r="H18" s="165" t="s">
        <v>91</v>
      </c>
      <c r="I18" s="166">
        <v>45614</v>
      </c>
      <c r="J18" s="167">
        <v>20395570</v>
      </c>
      <c r="K18" s="167">
        <v>0</v>
      </c>
      <c r="L18" s="139"/>
      <c r="M18" s="168">
        <v>0</v>
      </c>
      <c r="N18" s="168">
        <v>0</v>
      </c>
      <c r="O18" s="168">
        <v>0</v>
      </c>
      <c r="P18" s="169">
        <v>20395570</v>
      </c>
      <c r="Q18" s="170" t="s">
        <v>92</v>
      </c>
    </row>
    <row r="19" spans="2:17" ht="15" customHeight="1">
      <c r="B19" s="161">
        <f t="shared" si="1"/>
        <v>10</v>
      </c>
      <c r="C19" s="162" t="s">
        <v>112</v>
      </c>
      <c r="D19" s="162" t="s">
        <v>48</v>
      </c>
      <c r="E19" s="163" t="s">
        <v>117</v>
      </c>
      <c r="F19" s="164" t="s">
        <v>118</v>
      </c>
      <c r="G19" s="262" t="s">
        <v>423</v>
      </c>
      <c r="H19" s="165" t="s">
        <v>91</v>
      </c>
      <c r="I19" s="166">
        <v>45635</v>
      </c>
      <c r="J19" s="167">
        <v>478280</v>
      </c>
      <c r="K19" s="167">
        <v>0</v>
      </c>
      <c r="L19" s="139"/>
      <c r="M19" s="168">
        <v>0</v>
      </c>
      <c r="N19" s="168">
        <v>0</v>
      </c>
      <c r="O19" s="168">
        <v>0</v>
      </c>
      <c r="P19" s="169">
        <v>478280</v>
      </c>
      <c r="Q19" s="170" t="s">
        <v>95</v>
      </c>
    </row>
    <row r="20" spans="2:17" ht="15" customHeight="1">
      <c r="B20" s="161">
        <f t="shared" si="1"/>
        <v>11</v>
      </c>
      <c r="C20" s="162" t="s">
        <v>112</v>
      </c>
      <c r="D20" s="162" t="s">
        <v>48</v>
      </c>
      <c r="E20" s="163" t="s">
        <v>117</v>
      </c>
      <c r="F20" s="164" t="s">
        <v>118</v>
      </c>
      <c r="G20" s="262" t="s">
        <v>423</v>
      </c>
      <c r="H20" s="165" t="s">
        <v>91</v>
      </c>
      <c r="I20" s="166">
        <v>45635</v>
      </c>
      <c r="J20" s="167">
        <v>2871600</v>
      </c>
      <c r="K20" s="167">
        <v>0</v>
      </c>
      <c r="L20" s="139"/>
      <c r="M20" s="168">
        <v>0</v>
      </c>
      <c r="N20" s="168">
        <v>0</v>
      </c>
      <c r="O20" s="168">
        <v>0</v>
      </c>
      <c r="P20" s="169">
        <v>2871600</v>
      </c>
      <c r="Q20" s="170" t="s">
        <v>95</v>
      </c>
    </row>
    <row r="21" spans="2:17" ht="15" customHeight="1">
      <c r="B21" s="161">
        <f t="shared" si="1"/>
        <v>12</v>
      </c>
      <c r="C21" s="162" t="s">
        <v>112</v>
      </c>
      <c r="D21" s="162" t="s">
        <v>48</v>
      </c>
      <c r="E21" s="163" t="s">
        <v>117</v>
      </c>
      <c r="F21" s="164" t="s">
        <v>118</v>
      </c>
      <c r="G21" s="262" t="s">
        <v>423</v>
      </c>
      <c r="H21" s="165" t="s">
        <v>91</v>
      </c>
      <c r="I21" s="166">
        <v>45635</v>
      </c>
      <c r="J21" s="167">
        <v>1188400</v>
      </c>
      <c r="K21" s="167">
        <v>0</v>
      </c>
      <c r="L21" s="139"/>
      <c r="M21" s="168">
        <v>0</v>
      </c>
      <c r="N21" s="168">
        <v>0</v>
      </c>
      <c r="O21" s="168">
        <v>0</v>
      </c>
      <c r="P21" s="169">
        <v>1188400</v>
      </c>
      <c r="Q21" s="170" t="s">
        <v>95</v>
      </c>
    </row>
    <row r="22" spans="2:17" ht="15" customHeight="1">
      <c r="B22" s="161">
        <f t="shared" si="1"/>
        <v>13</v>
      </c>
      <c r="C22" s="162" t="s">
        <v>112</v>
      </c>
      <c r="D22" s="162" t="s">
        <v>48</v>
      </c>
      <c r="E22" s="163" t="s">
        <v>117</v>
      </c>
      <c r="F22" s="164" t="s">
        <v>118</v>
      </c>
      <c r="G22" s="262" t="s">
        <v>423</v>
      </c>
      <c r="H22" s="165" t="s">
        <v>91</v>
      </c>
      <c r="I22" s="166">
        <v>45635</v>
      </c>
      <c r="J22" s="167">
        <v>3066700</v>
      </c>
      <c r="K22" s="167">
        <v>0</v>
      </c>
      <c r="L22" s="139"/>
      <c r="M22" s="168">
        <v>0</v>
      </c>
      <c r="N22" s="168">
        <v>0</v>
      </c>
      <c r="O22" s="168">
        <v>0</v>
      </c>
      <c r="P22" s="169">
        <v>3066700</v>
      </c>
      <c r="Q22" s="170" t="s">
        <v>95</v>
      </c>
    </row>
    <row r="23" spans="2:17" ht="15" customHeight="1">
      <c r="B23" s="161">
        <f t="shared" si="1"/>
        <v>14</v>
      </c>
      <c r="C23" s="162" t="s">
        <v>112</v>
      </c>
      <c r="D23" s="162" t="s">
        <v>48</v>
      </c>
      <c r="E23" s="163" t="s">
        <v>117</v>
      </c>
      <c r="F23" s="164" t="s">
        <v>118</v>
      </c>
      <c r="G23" s="262" t="s">
        <v>423</v>
      </c>
      <c r="H23" s="165" t="s">
        <v>91</v>
      </c>
      <c r="I23" s="166">
        <v>45635</v>
      </c>
      <c r="J23" s="167">
        <v>2971000</v>
      </c>
      <c r="K23" s="167">
        <v>0</v>
      </c>
      <c r="L23" s="139"/>
      <c r="M23" s="168">
        <v>0</v>
      </c>
      <c r="N23" s="168">
        <v>0</v>
      </c>
      <c r="O23" s="168">
        <v>0</v>
      </c>
      <c r="P23" s="169">
        <v>2971000</v>
      </c>
      <c r="Q23" s="170" t="s">
        <v>95</v>
      </c>
    </row>
    <row r="24" spans="2:17" ht="15" customHeight="1">
      <c r="B24" s="161">
        <f t="shared" si="1"/>
        <v>15</v>
      </c>
      <c r="C24" s="162" t="s">
        <v>112</v>
      </c>
      <c r="D24" s="162" t="s">
        <v>48</v>
      </c>
      <c r="E24" s="163" t="s">
        <v>117</v>
      </c>
      <c r="F24" s="164" t="s">
        <v>118</v>
      </c>
      <c r="G24" s="262" t="s">
        <v>423</v>
      </c>
      <c r="H24" s="165" t="s">
        <v>91</v>
      </c>
      <c r="I24" s="166">
        <v>45671</v>
      </c>
      <c r="J24" s="167">
        <v>3066700</v>
      </c>
      <c r="K24" s="167">
        <v>0</v>
      </c>
      <c r="L24" s="139"/>
      <c r="M24" s="168">
        <v>0</v>
      </c>
      <c r="N24" s="168">
        <v>0</v>
      </c>
      <c r="O24" s="168">
        <v>0</v>
      </c>
      <c r="P24" s="169">
        <v>3066700</v>
      </c>
      <c r="Q24" s="170" t="s">
        <v>95</v>
      </c>
    </row>
    <row r="25" spans="2:17" ht="15" customHeight="1">
      <c r="B25" s="161">
        <f t="shared" si="1"/>
        <v>16</v>
      </c>
      <c r="C25" s="162" t="s">
        <v>112</v>
      </c>
      <c r="D25" s="162" t="s">
        <v>48</v>
      </c>
      <c r="E25" s="163" t="s">
        <v>29</v>
      </c>
      <c r="F25" s="164" t="s">
        <v>122</v>
      </c>
      <c r="G25" s="262" t="s">
        <v>425</v>
      </c>
      <c r="H25" s="165" t="s">
        <v>91</v>
      </c>
      <c r="I25" s="166">
        <v>45660</v>
      </c>
      <c r="J25" s="167">
        <v>15411600</v>
      </c>
      <c r="K25" s="167">
        <v>0</v>
      </c>
      <c r="L25" s="139"/>
      <c r="M25" s="168">
        <v>0</v>
      </c>
      <c r="N25" s="168">
        <v>0</v>
      </c>
      <c r="O25" s="168">
        <v>0</v>
      </c>
      <c r="P25" s="169">
        <v>15411600</v>
      </c>
      <c r="Q25" s="170" t="s">
        <v>92</v>
      </c>
    </row>
    <row r="26" spans="2:17" ht="15" customHeight="1">
      <c r="B26" s="161">
        <f t="shared" si="1"/>
        <v>17</v>
      </c>
      <c r="C26" s="162" t="s">
        <v>112</v>
      </c>
      <c r="D26" s="162" t="s">
        <v>48</v>
      </c>
      <c r="E26" s="163" t="s">
        <v>123</v>
      </c>
      <c r="F26" s="164" t="s">
        <v>124</v>
      </c>
      <c r="G26" s="262" t="s">
        <v>421</v>
      </c>
      <c r="H26" s="165" t="s">
        <v>91</v>
      </c>
      <c r="I26" s="166">
        <v>45672</v>
      </c>
      <c r="J26" s="167">
        <v>14780040</v>
      </c>
      <c r="K26" s="167">
        <v>0</v>
      </c>
      <c r="L26" s="139"/>
      <c r="M26" s="168">
        <v>0</v>
      </c>
      <c r="N26" s="168">
        <v>0</v>
      </c>
      <c r="O26" s="168">
        <v>0</v>
      </c>
      <c r="P26" s="169">
        <v>14780040</v>
      </c>
      <c r="Q26" s="170" t="s">
        <v>92</v>
      </c>
    </row>
    <row r="27" spans="2:17" ht="15" customHeight="1">
      <c r="B27" s="161">
        <f t="shared" si="1"/>
        <v>18</v>
      </c>
      <c r="C27" s="162" t="s">
        <v>112</v>
      </c>
      <c r="D27" s="162" t="s">
        <v>48</v>
      </c>
      <c r="E27" s="163" t="s">
        <v>123</v>
      </c>
      <c r="F27" s="164" t="s">
        <v>124</v>
      </c>
      <c r="G27" s="262" t="s">
        <v>421</v>
      </c>
      <c r="H27" s="165" t="s">
        <v>91</v>
      </c>
      <c r="I27" s="166">
        <v>45628</v>
      </c>
      <c r="J27" s="167">
        <v>632500</v>
      </c>
      <c r="K27" s="167">
        <v>0</v>
      </c>
      <c r="L27" s="139"/>
      <c r="M27" s="168">
        <v>0</v>
      </c>
      <c r="N27" s="168">
        <v>0</v>
      </c>
      <c r="O27" s="168">
        <v>0</v>
      </c>
      <c r="P27" s="169">
        <v>632500</v>
      </c>
      <c r="Q27" s="170" t="s">
        <v>95</v>
      </c>
    </row>
    <row r="28" spans="2:17" ht="15" customHeight="1">
      <c r="B28" s="161">
        <f t="shared" si="1"/>
        <v>19</v>
      </c>
      <c r="C28" s="162" t="s">
        <v>112</v>
      </c>
      <c r="D28" s="162" t="s">
        <v>48</v>
      </c>
      <c r="E28" s="163" t="s">
        <v>123</v>
      </c>
      <c r="F28" s="164" t="s">
        <v>124</v>
      </c>
      <c r="G28" s="262" t="s">
        <v>421</v>
      </c>
      <c r="H28" s="165" t="s">
        <v>91</v>
      </c>
      <c r="I28" s="166">
        <v>45659</v>
      </c>
      <c r="J28" s="167">
        <v>784300</v>
      </c>
      <c r="K28" s="167">
        <v>0</v>
      </c>
      <c r="L28" s="139"/>
      <c r="M28" s="168">
        <v>0</v>
      </c>
      <c r="N28" s="168">
        <v>0</v>
      </c>
      <c r="O28" s="168">
        <v>0</v>
      </c>
      <c r="P28" s="169">
        <v>784300</v>
      </c>
      <c r="Q28" s="170" t="s">
        <v>95</v>
      </c>
    </row>
    <row r="29" spans="2:17" ht="15" customHeight="1">
      <c r="B29" s="161">
        <f t="shared" si="1"/>
        <v>20</v>
      </c>
      <c r="C29" s="162" t="s">
        <v>112</v>
      </c>
      <c r="D29" s="162" t="s">
        <v>48</v>
      </c>
      <c r="E29" s="163" t="s">
        <v>125</v>
      </c>
      <c r="F29" s="164" t="s">
        <v>126</v>
      </c>
      <c r="G29" s="262" t="s">
        <v>421</v>
      </c>
      <c r="H29" s="165" t="s">
        <v>91</v>
      </c>
      <c r="I29" s="166">
        <v>45569</v>
      </c>
      <c r="J29" s="167">
        <v>15244140</v>
      </c>
      <c r="K29" s="167">
        <v>0</v>
      </c>
      <c r="L29" s="139"/>
      <c r="M29" s="168">
        <v>0</v>
      </c>
      <c r="N29" s="168">
        <v>0</v>
      </c>
      <c r="O29" s="168">
        <v>0</v>
      </c>
      <c r="P29" s="169">
        <v>15244140</v>
      </c>
      <c r="Q29" s="170" t="s">
        <v>92</v>
      </c>
    </row>
    <row r="30" spans="2:17" ht="15" customHeight="1">
      <c r="B30" s="161">
        <f t="shared" si="1"/>
        <v>21</v>
      </c>
      <c r="C30" s="162" t="s">
        <v>112</v>
      </c>
      <c r="D30" s="162" t="s">
        <v>48</v>
      </c>
      <c r="E30" s="163" t="s">
        <v>125</v>
      </c>
      <c r="F30" s="164" t="s">
        <v>126</v>
      </c>
      <c r="G30" s="262" t="s">
        <v>421</v>
      </c>
      <c r="H30" s="165" t="s">
        <v>91</v>
      </c>
      <c r="I30" s="166">
        <v>45499</v>
      </c>
      <c r="J30" s="167">
        <v>868652</v>
      </c>
      <c r="K30" s="167">
        <v>0</v>
      </c>
      <c r="L30" s="139"/>
      <c r="M30" s="168">
        <v>0</v>
      </c>
      <c r="N30" s="168">
        <v>0</v>
      </c>
      <c r="O30" s="168">
        <v>0</v>
      </c>
      <c r="P30" s="169">
        <v>868652</v>
      </c>
      <c r="Q30" s="170" t="s">
        <v>93</v>
      </c>
    </row>
    <row r="31" spans="2:17" ht="15" customHeight="1">
      <c r="B31" s="161">
        <f t="shared" si="1"/>
        <v>22</v>
      </c>
      <c r="C31" s="162" t="s">
        <v>112</v>
      </c>
      <c r="D31" s="162" t="s">
        <v>48</v>
      </c>
      <c r="E31" s="163" t="s">
        <v>127</v>
      </c>
      <c r="F31" s="164" t="s">
        <v>128</v>
      </c>
      <c r="G31" s="262" t="s">
        <v>426</v>
      </c>
      <c r="H31" s="165" t="s">
        <v>91</v>
      </c>
      <c r="I31" s="166">
        <v>45646</v>
      </c>
      <c r="J31" s="167">
        <v>524200</v>
      </c>
      <c r="K31" s="167">
        <v>0</v>
      </c>
      <c r="L31" s="139" t="s">
        <v>272</v>
      </c>
      <c r="M31" s="168">
        <v>162498</v>
      </c>
      <c r="N31" s="168">
        <v>0</v>
      </c>
      <c r="O31" s="168">
        <v>162498</v>
      </c>
      <c r="P31" s="169">
        <v>361702</v>
      </c>
      <c r="Q31" s="170" t="s">
        <v>93</v>
      </c>
    </row>
    <row r="32" spans="2:17" ht="15" customHeight="1">
      <c r="B32" s="161">
        <f t="shared" si="1"/>
        <v>23</v>
      </c>
      <c r="C32" s="162" t="s">
        <v>112</v>
      </c>
      <c r="D32" s="162" t="s">
        <v>48</v>
      </c>
      <c r="E32" s="163" t="s">
        <v>127</v>
      </c>
      <c r="F32" s="164" t="s">
        <v>128</v>
      </c>
      <c r="G32" s="262" t="s">
        <v>426</v>
      </c>
      <c r="H32" s="165" t="s">
        <v>91</v>
      </c>
      <c r="I32" s="166">
        <v>45646</v>
      </c>
      <c r="J32" s="167">
        <v>2903680</v>
      </c>
      <c r="K32" s="167">
        <v>0</v>
      </c>
      <c r="L32" s="139">
        <v>45698</v>
      </c>
      <c r="M32" s="168">
        <v>25738</v>
      </c>
      <c r="N32" s="168">
        <v>0</v>
      </c>
      <c r="O32" s="168">
        <v>25738</v>
      </c>
      <c r="P32" s="169">
        <v>2877942</v>
      </c>
      <c r="Q32" s="170" t="s">
        <v>93</v>
      </c>
    </row>
    <row r="33" spans="2:17" ht="15" customHeight="1">
      <c r="B33" s="161">
        <f t="shared" si="1"/>
        <v>24</v>
      </c>
      <c r="C33" s="162" t="s">
        <v>112</v>
      </c>
      <c r="D33" s="162" t="s">
        <v>48</v>
      </c>
      <c r="E33" s="163" t="s">
        <v>127</v>
      </c>
      <c r="F33" s="164" t="s">
        <v>128</v>
      </c>
      <c r="G33" s="262" t="s">
        <v>426</v>
      </c>
      <c r="H33" s="165" t="s">
        <v>91</v>
      </c>
      <c r="I33" s="166">
        <v>45659</v>
      </c>
      <c r="J33" s="167">
        <v>2670990</v>
      </c>
      <c r="K33" s="167">
        <v>0</v>
      </c>
      <c r="L33" s="139"/>
      <c r="M33" s="168">
        <v>0</v>
      </c>
      <c r="N33" s="168">
        <v>0</v>
      </c>
      <c r="O33" s="168">
        <v>0</v>
      </c>
      <c r="P33" s="169">
        <v>2670990</v>
      </c>
      <c r="Q33" s="170" t="s">
        <v>95</v>
      </c>
    </row>
    <row r="34" spans="2:17" ht="15" customHeight="1">
      <c r="B34" s="161">
        <f t="shared" si="1"/>
        <v>25</v>
      </c>
      <c r="C34" s="162" t="s">
        <v>112</v>
      </c>
      <c r="D34" s="162" t="s">
        <v>48</v>
      </c>
      <c r="E34" s="163" t="s">
        <v>129</v>
      </c>
      <c r="F34" s="164" t="s">
        <v>130</v>
      </c>
      <c r="G34" s="262" t="s">
        <v>427</v>
      </c>
      <c r="H34" s="165" t="s">
        <v>91</v>
      </c>
      <c r="I34" s="166">
        <v>45639</v>
      </c>
      <c r="J34" s="167">
        <v>770000</v>
      </c>
      <c r="K34" s="167">
        <v>0</v>
      </c>
      <c r="L34" s="139"/>
      <c r="M34" s="168">
        <v>0</v>
      </c>
      <c r="N34" s="168">
        <v>0</v>
      </c>
      <c r="O34" s="168">
        <v>0</v>
      </c>
      <c r="P34" s="169">
        <v>770000</v>
      </c>
      <c r="Q34" s="170" t="s">
        <v>95</v>
      </c>
    </row>
    <row r="35" spans="2:17" ht="15" customHeight="1">
      <c r="B35" s="161">
        <f t="shared" si="1"/>
        <v>26</v>
      </c>
      <c r="C35" s="162" t="s">
        <v>112</v>
      </c>
      <c r="D35" s="162" t="s">
        <v>48</v>
      </c>
      <c r="E35" s="163" t="s">
        <v>129</v>
      </c>
      <c r="F35" s="164" t="s">
        <v>130</v>
      </c>
      <c r="G35" s="262" t="s">
        <v>427</v>
      </c>
      <c r="H35" s="165" t="s">
        <v>91</v>
      </c>
      <c r="I35" s="166">
        <v>45670</v>
      </c>
      <c r="J35" s="167">
        <v>770000</v>
      </c>
      <c r="K35" s="167">
        <v>0</v>
      </c>
      <c r="L35" s="139"/>
      <c r="M35" s="168">
        <v>0</v>
      </c>
      <c r="N35" s="168">
        <v>0</v>
      </c>
      <c r="O35" s="168">
        <v>0</v>
      </c>
      <c r="P35" s="169">
        <v>770000</v>
      </c>
      <c r="Q35" s="170" t="s">
        <v>95</v>
      </c>
    </row>
    <row r="36" spans="2:17" ht="15" customHeight="1">
      <c r="B36" s="161">
        <f t="shared" si="1"/>
        <v>27</v>
      </c>
      <c r="C36" s="162" t="s">
        <v>112</v>
      </c>
      <c r="D36" s="162" t="s">
        <v>48</v>
      </c>
      <c r="E36" s="163" t="s">
        <v>131</v>
      </c>
      <c r="F36" s="164" t="s">
        <v>132</v>
      </c>
      <c r="G36" s="262" t="s">
        <v>419</v>
      </c>
      <c r="H36" s="165" t="s">
        <v>91</v>
      </c>
      <c r="I36" s="166">
        <v>45635</v>
      </c>
      <c r="J36" s="167">
        <v>508115</v>
      </c>
      <c r="K36" s="167">
        <v>0</v>
      </c>
      <c r="L36" s="139"/>
      <c r="M36" s="168">
        <v>0</v>
      </c>
      <c r="N36" s="168">
        <v>0</v>
      </c>
      <c r="O36" s="168">
        <v>0</v>
      </c>
      <c r="P36" s="169">
        <v>508115</v>
      </c>
      <c r="Q36" s="170" t="s">
        <v>93</v>
      </c>
    </row>
    <row r="37" spans="2:17" ht="15" customHeight="1">
      <c r="B37" s="161">
        <f t="shared" si="1"/>
        <v>28</v>
      </c>
      <c r="C37" s="162" t="s">
        <v>112</v>
      </c>
      <c r="D37" s="162" t="s">
        <v>48</v>
      </c>
      <c r="E37" s="163" t="s">
        <v>133</v>
      </c>
      <c r="F37" s="164" t="s">
        <v>134</v>
      </c>
      <c r="G37" s="262" t="s">
        <v>421</v>
      </c>
      <c r="H37" s="165" t="s">
        <v>91</v>
      </c>
      <c r="I37" s="166">
        <v>45657</v>
      </c>
      <c r="J37" s="167">
        <v>474100</v>
      </c>
      <c r="K37" s="167">
        <v>0</v>
      </c>
      <c r="L37" s="139"/>
      <c r="M37" s="168">
        <v>0</v>
      </c>
      <c r="N37" s="168">
        <v>0</v>
      </c>
      <c r="O37" s="168">
        <v>0</v>
      </c>
      <c r="P37" s="169">
        <v>474100</v>
      </c>
      <c r="Q37" s="170" t="s">
        <v>94</v>
      </c>
    </row>
    <row r="38" spans="2:17" ht="15" customHeight="1">
      <c r="B38" s="161">
        <f t="shared" si="1"/>
        <v>29</v>
      </c>
      <c r="C38" s="162" t="s">
        <v>112</v>
      </c>
      <c r="D38" s="162" t="s">
        <v>48</v>
      </c>
      <c r="E38" s="163" t="s">
        <v>133</v>
      </c>
      <c r="F38" s="164" t="s">
        <v>134</v>
      </c>
      <c r="G38" s="262" t="s">
        <v>421</v>
      </c>
      <c r="H38" s="165" t="s">
        <v>91</v>
      </c>
      <c r="I38" s="166">
        <v>45588</v>
      </c>
      <c r="J38" s="167">
        <v>10035120</v>
      </c>
      <c r="K38" s="167">
        <v>0</v>
      </c>
      <c r="L38" s="139"/>
      <c r="M38" s="168">
        <v>0</v>
      </c>
      <c r="N38" s="168">
        <v>0</v>
      </c>
      <c r="O38" s="168">
        <v>0</v>
      </c>
      <c r="P38" s="169">
        <v>10035120</v>
      </c>
      <c r="Q38" s="170" t="s">
        <v>92</v>
      </c>
    </row>
    <row r="39" spans="2:17" ht="15" customHeight="1">
      <c r="B39" s="161">
        <f t="shared" si="1"/>
        <v>30</v>
      </c>
      <c r="C39" s="162" t="s">
        <v>112</v>
      </c>
      <c r="D39" s="162" t="s">
        <v>48</v>
      </c>
      <c r="E39" s="163" t="s">
        <v>133</v>
      </c>
      <c r="F39" s="164" t="s">
        <v>134</v>
      </c>
      <c r="G39" s="262" t="s">
        <v>421</v>
      </c>
      <c r="H39" s="165" t="s">
        <v>91</v>
      </c>
      <c r="I39" s="166">
        <v>45631</v>
      </c>
      <c r="J39" s="167">
        <v>1089360</v>
      </c>
      <c r="K39" s="167">
        <v>0</v>
      </c>
      <c r="L39" s="139"/>
      <c r="M39" s="168">
        <v>0</v>
      </c>
      <c r="N39" s="168">
        <v>0</v>
      </c>
      <c r="O39" s="168">
        <v>0</v>
      </c>
      <c r="P39" s="169">
        <v>1089360</v>
      </c>
      <c r="Q39" s="170" t="s">
        <v>95</v>
      </c>
    </row>
    <row r="40" spans="2:17" ht="15" customHeight="1">
      <c r="B40" s="161">
        <f t="shared" si="1"/>
        <v>31</v>
      </c>
      <c r="C40" s="162" t="s">
        <v>112</v>
      </c>
      <c r="D40" s="162" t="s">
        <v>48</v>
      </c>
      <c r="E40" s="163" t="s">
        <v>133</v>
      </c>
      <c r="F40" s="164" t="s">
        <v>134</v>
      </c>
      <c r="G40" s="262" t="s">
        <v>421</v>
      </c>
      <c r="H40" s="165" t="s">
        <v>91</v>
      </c>
      <c r="I40" s="166">
        <v>45664</v>
      </c>
      <c r="J40" s="167">
        <v>3066700</v>
      </c>
      <c r="K40" s="167">
        <v>0</v>
      </c>
      <c r="L40" s="139"/>
      <c r="M40" s="168">
        <v>0</v>
      </c>
      <c r="N40" s="168">
        <v>0</v>
      </c>
      <c r="O40" s="168">
        <v>0</v>
      </c>
      <c r="P40" s="169">
        <v>3066700</v>
      </c>
      <c r="Q40" s="170" t="s">
        <v>95</v>
      </c>
    </row>
    <row r="41" spans="2:17" ht="15" customHeight="1">
      <c r="B41" s="161">
        <f t="shared" si="1"/>
        <v>32</v>
      </c>
      <c r="C41" s="162" t="s">
        <v>112</v>
      </c>
      <c r="D41" s="162" t="s">
        <v>48</v>
      </c>
      <c r="E41" s="163" t="s">
        <v>30</v>
      </c>
      <c r="F41" s="164" t="s">
        <v>135</v>
      </c>
      <c r="G41" s="262" t="s">
        <v>421</v>
      </c>
      <c r="H41" s="165" t="s">
        <v>91</v>
      </c>
      <c r="I41" s="166">
        <v>45636</v>
      </c>
      <c r="J41" s="167">
        <v>460790</v>
      </c>
      <c r="K41" s="167">
        <v>0</v>
      </c>
      <c r="L41" s="139">
        <v>45706</v>
      </c>
      <c r="M41" s="168">
        <v>25768</v>
      </c>
      <c r="N41" s="168">
        <v>0</v>
      </c>
      <c r="O41" s="168">
        <v>25768</v>
      </c>
      <c r="P41" s="169">
        <v>435022</v>
      </c>
      <c r="Q41" s="170" t="s">
        <v>93</v>
      </c>
    </row>
    <row r="42" spans="2:17" ht="15" customHeight="1">
      <c r="B42" s="161">
        <f t="shared" ref="B42:B73" si="2">ROW()-9</f>
        <v>33</v>
      </c>
      <c r="C42" s="162" t="s">
        <v>112</v>
      </c>
      <c r="D42" s="162" t="s">
        <v>48</v>
      </c>
      <c r="E42" s="163" t="s">
        <v>30</v>
      </c>
      <c r="F42" s="164" t="s">
        <v>135</v>
      </c>
      <c r="G42" s="262" t="s">
        <v>421</v>
      </c>
      <c r="H42" s="165" t="s">
        <v>91</v>
      </c>
      <c r="I42" s="166">
        <v>45659</v>
      </c>
      <c r="J42" s="167">
        <v>759000</v>
      </c>
      <c r="K42" s="167">
        <v>0</v>
      </c>
      <c r="L42" s="139"/>
      <c r="M42" s="168">
        <v>0</v>
      </c>
      <c r="N42" s="168">
        <v>0</v>
      </c>
      <c r="O42" s="168">
        <v>0</v>
      </c>
      <c r="P42" s="169">
        <v>759000</v>
      </c>
      <c r="Q42" s="170" t="s">
        <v>95</v>
      </c>
    </row>
    <row r="43" spans="2:17" ht="15" customHeight="1">
      <c r="B43" s="161">
        <f t="shared" si="2"/>
        <v>34</v>
      </c>
      <c r="C43" s="162" t="s">
        <v>112</v>
      </c>
      <c r="D43" s="162" t="s">
        <v>48</v>
      </c>
      <c r="E43" s="163" t="s">
        <v>139</v>
      </c>
      <c r="F43" s="164" t="s">
        <v>140</v>
      </c>
      <c r="G43" s="262" t="s">
        <v>425</v>
      </c>
      <c r="H43" s="165" t="s">
        <v>91</v>
      </c>
      <c r="I43" s="166">
        <v>45604</v>
      </c>
      <c r="J43" s="167">
        <v>5886510</v>
      </c>
      <c r="K43" s="167">
        <v>0</v>
      </c>
      <c r="L43" s="139"/>
      <c r="M43" s="168">
        <v>0</v>
      </c>
      <c r="N43" s="168">
        <v>0</v>
      </c>
      <c r="O43" s="168">
        <v>0</v>
      </c>
      <c r="P43" s="169">
        <v>5886510</v>
      </c>
      <c r="Q43" s="170" t="s">
        <v>92</v>
      </c>
    </row>
    <row r="44" spans="2:17" ht="15" customHeight="1">
      <c r="B44" s="161">
        <f t="shared" si="2"/>
        <v>35</v>
      </c>
      <c r="C44" s="162" t="s">
        <v>112</v>
      </c>
      <c r="D44" s="162" t="s">
        <v>48</v>
      </c>
      <c r="E44" s="163" t="s">
        <v>139</v>
      </c>
      <c r="F44" s="164" t="s">
        <v>140</v>
      </c>
      <c r="G44" s="262" t="s">
        <v>425</v>
      </c>
      <c r="H44" s="165" t="s">
        <v>91</v>
      </c>
      <c r="I44" s="166">
        <v>45604</v>
      </c>
      <c r="J44" s="167">
        <v>3121830</v>
      </c>
      <c r="K44" s="167">
        <v>0</v>
      </c>
      <c r="L44" s="139"/>
      <c r="M44" s="168">
        <v>0</v>
      </c>
      <c r="N44" s="168">
        <v>0</v>
      </c>
      <c r="O44" s="168">
        <v>0</v>
      </c>
      <c r="P44" s="169">
        <v>3121830</v>
      </c>
      <c r="Q44" s="170" t="s">
        <v>92</v>
      </c>
    </row>
    <row r="45" spans="2:17" ht="15" customHeight="1">
      <c r="B45" s="161">
        <f t="shared" si="2"/>
        <v>36</v>
      </c>
      <c r="C45" s="162" t="s">
        <v>112</v>
      </c>
      <c r="D45" s="162" t="s">
        <v>48</v>
      </c>
      <c r="E45" s="163" t="s">
        <v>139</v>
      </c>
      <c r="F45" s="164" t="s">
        <v>140</v>
      </c>
      <c r="G45" s="262" t="s">
        <v>425</v>
      </c>
      <c r="H45" s="165" t="s">
        <v>91</v>
      </c>
      <c r="I45" s="166">
        <v>45594</v>
      </c>
      <c r="J45" s="167">
        <v>753732</v>
      </c>
      <c r="K45" s="167">
        <v>0</v>
      </c>
      <c r="L45" s="139"/>
      <c r="M45" s="168">
        <v>0</v>
      </c>
      <c r="N45" s="168">
        <v>0</v>
      </c>
      <c r="O45" s="168">
        <v>0</v>
      </c>
      <c r="P45" s="169">
        <v>753732</v>
      </c>
      <c r="Q45" s="170" t="s">
        <v>93</v>
      </c>
    </row>
    <row r="46" spans="2:17" ht="15" customHeight="1">
      <c r="B46" s="161">
        <f t="shared" si="2"/>
        <v>37</v>
      </c>
      <c r="C46" s="162" t="s">
        <v>112</v>
      </c>
      <c r="D46" s="162" t="s">
        <v>48</v>
      </c>
      <c r="E46" s="163" t="s">
        <v>31</v>
      </c>
      <c r="F46" s="164" t="s">
        <v>141</v>
      </c>
      <c r="G46" s="262" t="s">
        <v>425</v>
      </c>
      <c r="H46" s="165" t="s">
        <v>91</v>
      </c>
      <c r="I46" s="166">
        <v>45628</v>
      </c>
      <c r="J46" s="167">
        <v>506000</v>
      </c>
      <c r="K46" s="167">
        <v>0</v>
      </c>
      <c r="L46" s="139"/>
      <c r="M46" s="168">
        <v>0</v>
      </c>
      <c r="N46" s="168">
        <v>0</v>
      </c>
      <c r="O46" s="168">
        <v>0</v>
      </c>
      <c r="P46" s="169">
        <v>506000</v>
      </c>
      <c r="Q46" s="170" t="s">
        <v>95</v>
      </c>
    </row>
    <row r="47" spans="2:17" ht="15" customHeight="1">
      <c r="B47" s="161">
        <f t="shared" si="2"/>
        <v>38</v>
      </c>
      <c r="C47" s="162" t="s">
        <v>112</v>
      </c>
      <c r="D47" s="162" t="s">
        <v>48</v>
      </c>
      <c r="E47" s="163" t="s">
        <v>31</v>
      </c>
      <c r="F47" s="164" t="s">
        <v>141</v>
      </c>
      <c r="G47" s="262" t="s">
        <v>425</v>
      </c>
      <c r="H47" s="165" t="s">
        <v>91</v>
      </c>
      <c r="I47" s="166">
        <v>45659</v>
      </c>
      <c r="J47" s="167">
        <v>784300</v>
      </c>
      <c r="K47" s="167">
        <v>0</v>
      </c>
      <c r="L47" s="139"/>
      <c r="M47" s="168">
        <v>0</v>
      </c>
      <c r="N47" s="168">
        <v>0</v>
      </c>
      <c r="O47" s="168">
        <v>0</v>
      </c>
      <c r="P47" s="169">
        <v>784300</v>
      </c>
      <c r="Q47" s="170" t="s">
        <v>95</v>
      </c>
    </row>
    <row r="48" spans="2:17" ht="15" customHeight="1">
      <c r="B48" s="161">
        <f t="shared" si="2"/>
        <v>39</v>
      </c>
      <c r="C48" s="162" t="s">
        <v>112</v>
      </c>
      <c r="D48" s="162" t="s">
        <v>48</v>
      </c>
      <c r="E48" s="163" t="s">
        <v>32</v>
      </c>
      <c r="F48" s="164" t="s">
        <v>142</v>
      </c>
      <c r="G48" s="262" t="s">
        <v>422</v>
      </c>
      <c r="H48" s="165" t="s">
        <v>91</v>
      </c>
      <c r="I48" s="166">
        <v>45635</v>
      </c>
      <c r="J48" s="167">
        <v>404800</v>
      </c>
      <c r="K48" s="167">
        <v>0</v>
      </c>
      <c r="L48" s="139"/>
      <c r="M48" s="168">
        <v>0</v>
      </c>
      <c r="N48" s="168">
        <v>0</v>
      </c>
      <c r="O48" s="168">
        <v>0</v>
      </c>
      <c r="P48" s="169">
        <v>404800</v>
      </c>
      <c r="Q48" s="170" t="s">
        <v>95</v>
      </c>
    </row>
    <row r="49" spans="2:17" ht="15" customHeight="1">
      <c r="B49" s="161">
        <f t="shared" si="2"/>
        <v>40</v>
      </c>
      <c r="C49" s="162" t="s">
        <v>112</v>
      </c>
      <c r="D49" s="162" t="s">
        <v>48</v>
      </c>
      <c r="E49" s="163" t="s">
        <v>32</v>
      </c>
      <c r="F49" s="164" t="s">
        <v>142</v>
      </c>
      <c r="G49" s="262" t="s">
        <v>422</v>
      </c>
      <c r="H49" s="165" t="s">
        <v>91</v>
      </c>
      <c r="I49" s="166">
        <v>45671</v>
      </c>
      <c r="J49" s="167">
        <v>784300</v>
      </c>
      <c r="K49" s="167">
        <v>0</v>
      </c>
      <c r="L49" s="139"/>
      <c r="M49" s="168">
        <v>0</v>
      </c>
      <c r="N49" s="168">
        <v>0</v>
      </c>
      <c r="O49" s="168">
        <v>0</v>
      </c>
      <c r="P49" s="169">
        <v>784300</v>
      </c>
      <c r="Q49" s="170" t="s">
        <v>95</v>
      </c>
    </row>
    <row r="50" spans="2:17" ht="15" customHeight="1">
      <c r="B50" s="161">
        <f t="shared" si="2"/>
        <v>41</v>
      </c>
      <c r="C50" s="162" t="s">
        <v>112</v>
      </c>
      <c r="D50" s="162" t="s">
        <v>48</v>
      </c>
      <c r="E50" s="163" t="s">
        <v>143</v>
      </c>
      <c r="F50" s="164" t="s">
        <v>144</v>
      </c>
      <c r="G50" s="262" t="s">
        <v>420</v>
      </c>
      <c r="H50" s="165" t="s">
        <v>91</v>
      </c>
      <c r="I50" s="166">
        <v>45517</v>
      </c>
      <c r="J50" s="167">
        <v>116400</v>
      </c>
      <c r="K50" s="167">
        <v>0</v>
      </c>
      <c r="L50" s="139"/>
      <c r="M50" s="168">
        <v>0</v>
      </c>
      <c r="N50" s="168">
        <v>0</v>
      </c>
      <c r="O50" s="168">
        <v>0</v>
      </c>
      <c r="P50" s="169">
        <v>116400</v>
      </c>
      <c r="Q50" s="170" t="s">
        <v>94</v>
      </c>
    </row>
    <row r="51" spans="2:17" ht="15" customHeight="1">
      <c r="B51" s="161">
        <f t="shared" si="2"/>
        <v>42</v>
      </c>
      <c r="C51" s="162" t="s">
        <v>112</v>
      </c>
      <c r="D51" s="162" t="s">
        <v>48</v>
      </c>
      <c r="E51" s="163" t="s">
        <v>143</v>
      </c>
      <c r="F51" s="164" t="s">
        <v>144</v>
      </c>
      <c r="G51" s="262" t="s">
        <v>420</v>
      </c>
      <c r="H51" s="165" t="s">
        <v>91</v>
      </c>
      <c r="I51" s="166">
        <v>45644</v>
      </c>
      <c r="J51" s="167">
        <v>5555600</v>
      </c>
      <c r="K51" s="167">
        <v>0</v>
      </c>
      <c r="L51" s="139"/>
      <c r="M51" s="168">
        <v>0</v>
      </c>
      <c r="N51" s="168">
        <v>0</v>
      </c>
      <c r="O51" s="168">
        <v>0</v>
      </c>
      <c r="P51" s="169">
        <v>5555600</v>
      </c>
      <c r="Q51" s="170" t="s">
        <v>92</v>
      </c>
    </row>
    <row r="52" spans="2:17" ht="15" customHeight="1">
      <c r="B52" s="161">
        <f t="shared" si="2"/>
        <v>43</v>
      </c>
      <c r="C52" s="162" t="s">
        <v>112</v>
      </c>
      <c r="D52" s="162" t="s">
        <v>48</v>
      </c>
      <c r="E52" s="163" t="s">
        <v>143</v>
      </c>
      <c r="F52" s="164" t="s">
        <v>144</v>
      </c>
      <c r="G52" s="262" t="s">
        <v>420</v>
      </c>
      <c r="H52" s="165" t="s">
        <v>91</v>
      </c>
      <c r="I52" s="166">
        <v>45645</v>
      </c>
      <c r="J52" s="167">
        <v>3302160</v>
      </c>
      <c r="K52" s="167">
        <v>0</v>
      </c>
      <c r="L52" s="139"/>
      <c r="M52" s="168">
        <v>0</v>
      </c>
      <c r="N52" s="168">
        <v>0</v>
      </c>
      <c r="O52" s="168">
        <v>0</v>
      </c>
      <c r="P52" s="169">
        <v>3302160</v>
      </c>
      <c r="Q52" s="170" t="s">
        <v>92</v>
      </c>
    </row>
    <row r="53" spans="2:17" ht="15" customHeight="1">
      <c r="B53" s="161">
        <f t="shared" si="2"/>
        <v>44</v>
      </c>
      <c r="C53" s="162" t="s">
        <v>112</v>
      </c>
      <c r="D53" s="162" t="s">
        <v>48</v>
      </c>
      <c r="E53" s="163" t="s">
        <v>143</v>
      </c>
      <c r="F53" s="164" t="s">
        <v>144</v>
      </c>
      <c r="G53" s="262" t="s">
        <v>420</v>
      </c>
      <c r="H53" s="165" t="s">
        <v>91</v>
      </c>
      <c r="I53" s="166">
        <v>45531</v>
      </c>
      <c r="J53" s="167">
        <v>1379812</v>
      </c>
      <c r="K53" s="167">
        <v>0</v>
      </c>
      <c r="L53" s="139"/>
      <c r="M53" s="168">
        <v>0</v>
      </c>
      <c r="N53" s="168">
        <v>0</v>
      </c>
      <c r="O53" s="168">
        <v>0</v>
      </c>
      <c r="P53" s="169">
        <v>1379812</v>
      </c>
      <c r="Q53" s="170" t="s">
        <v>93</v>
      </c>
    </row>
    <row r="54" spans="2:17" ht="15" customHeight="1">
      <c r="B54" s="161">
        <f t="shared" si="2"/>
        <v>45</v>
      </c>
      <c r="C54" s="162" t="s">
        <v>112</v>
      </c>
      <c r="D54" s="162" t="s">
        <v>48</v>
      </c>
      <c r="E54" s="163" t="s">
        <v>33</v>
      </c>
      <c r="F54" s="164" t="s">
        <v>146</v>
      </c>
      <c r="G54" s="262" t="s">
        <v>423</v>
      </c>
      <c r="H54" s="165" t="s">
        <v>91</v>
      </c>
      <c r="I54" s="166">
        <v>45401</v>
      </c>
      <c r="J54" s="167">
        <v>3993500</v>
      </c>
      <c r="K54" s="167">
        <v>0</v>
      </c>
      <c r="L54" s="139"/>
      <c r="M54" s="168">
        <v>0</v>
      </c>
      <c r="N54" s="168">
        <v>0</v>
      </c>
      <c r="O54" s="168">
        <v>0</v>
      </c>
      <c r="P54" s="169">
        <v>3993500</v>
      </c>
      <c r="Q54" s="170" t="s">
        <v>94</v>
      </c>
    </row>
    <row r="55" spans="2:17" ht="15" customHeight="1">
      <c r="B55" s="161">
        <f t="shared" si="2"/>
        <v>46</v>
      </c>
      <c r="C55" s="162" t="s">
        <v>112</v>
      </c>
      <c r="D55" s="162" t="s">
        <v>48</v>
      </c>
      <c r="E55" s="163" t="s">
        <v>33</v>
      </c>
      <c r="F55" s="164" t="s">
        <v>146</v>
      </c>
      <c r="G55" s="262" t="s">
        <v>423</v>
      </c>
      <c r="H55" s="165" t="s">
        <v>91</v>
      </c>
      <c r="I55" s="166">
        <v>45280</v>
      </c>
      <c r="J55" s="167">
        <v>110000</v>
      </c>
      <c r="K55" s="167">
        <v>0</v>
      </c>
      <c r="L55" s="139"/>
      <c r="M55" s="168">
        <v>0</v>
      </c>
      <c r="N55" s="168">
        <v>0</v>
      </c>
      <c r="O55" s="168">
        <v>0</v>
      </c>
      <c r="P55" s="169">
        <v>110000</v>
      </c>
      <c r="Q55" s="170" t="s">
        <v>95</v>
      </c>
    </row>
    <row r="56" spans="2:17" ht="15" customHeight="1">
      <c r="B56" s="161">
        <f t="shared" si="2"/>
        <v>47</v>
      </c>
      <c r="C56" s="162" t="s">
        <v>112</v>
      </c>
      <c r="D56" s="162" t="s">
        <v>48</v>
      </c>
      <c r="E56" s="163" t="s">
        <v>33</v>
      </c>
      <c r="F56" s="164" t="s">
        <v>146</v>
      </c>
      <c r="G56" s="262" t="s">
        <v>423</v>
      </c>
      <c r="H56" s="165" t="s">
        <v>91</v>
      </c>
      <c r="I56" s="166">
        <v>45280</v>
      </c>
      <c r="J56" s="167">
        <v>660000</v>
      </c>
      <c r="K56" s="167">
        <v>0</v>
      </c>
      <c r="L56" s="139"/>
      <c r="M56" s="168">
        <v>0</v>
      </c>
      <c r="N56" s="168">
        <v>0</v>
      </c>
      <c r="O56" s="168">
        <v>0</v>
      </c>
      <c r="P56" s="169">
        <v>660000</v>
      </c>
      <c r="Q56" s="170" t="s">
        <v>95</v>
      </c>
    </row>
    <row r="57" spans="2:17" ht="15" customHeight="1">
      <c r="B57" s="161">
        <f t="shared" si="2"/>
        <v>48</v>
      </c>
      <c r="C57" s="162" t="s">
        <v>112</v>
      </c>
      <c r="D57" s="162" t="s">
        <v>48</v>
      </c>
      <c r="E57" s="163" t="s">
        <v>33</v>
      </c>
      <c r="F57" s="164" t="s">
        <v>146</v>
      </c>
      <c r="G57" s="262" t="s">
        <v>423</v>
      </c>
      <c r="H57" s="165" t="s">
        <v>91</v>
      </c>
      <c r="I57" s="166">
        <v>45280</v>
      </c>
      <c r="J57" s="167">
        <v>110000</v>
      </c>
      <c r="K57" s="167">
        <v>0</v>
      </c>
      <c r="L57" s="139"/>
      <c r="M57" s="168">
        <v>0</v>
      </c>
      <c r="N57" s="168">
        <v>0</v>
      </c>
      <c r="O57" s="168">
        <v>0</v>
      </c>
      <c r="P57" s="169">
        <v>110000</v>
      </c>
      <c r="Q57" s="170" t="s">
        <v>95</v>
      </c>
    </row>
    <row r="58" spans="2:17" ht="15" customHeight="1">
      <c r="B58" s="161">
        <f t="shared" si="2"/>
        <v>49</v>
      </c>
      <c r="C58" s="162" t="s">
        <v>112</v>
      </c>
      <c r="D58" s="162" t="s">
        <v>48</v>
      </c>
      <c r="E58" s="163" t="s">
        <v>33</v>
      </c>
      <c r="F58" s="164" t="s">
        <v>146</v>
      </c>
      <c r="G58" s="262" t="s">
        <v>423</v>
      </c>
      <c r="H58" s="165" t="s">
        <v>91</v>
      </c>
      <c r="I58" s="166">
        <v>45280</v>
      </c>
      <c r="J58" s="167">
        <v>660000</v>
      </c>
      <c r="K58" s="167">
        <v>0</v>
      </c>
      <c r="L58" s="139"/>
      <c r="M58" s="168">
        <v>0</v>
      </c>
      <c r="N58" s="168">
        <v>0</v>
      </c>
      <c r="O58" s="168">
        <v>0</v>
      </c>
      <c r="P58" s="169">
        <v>660000</v>
      </c>
      <c r="Q58" s="170" t="s">
        <v>95</v>
      </c>
    </row>
    <row r="59" spans="2:17" ht="15" customHeight="1">
      <c r="B59" s="161">
        <f t="shared" si="2"/>
        <v>50</v>
      </c>
      <c r="C59" s="162" t="s">
        <v>112</v>
      </c>
      <c r="D59" s="162" t="s">
        <v>48</v>
      </c>
      <c r="E59" s="163" t="s">
        <v>33</v>
      </c>
      <c r="F59" s="164" t="s">
        <v>146</v>
      </c>
      <c r="G59" s="262" t="s">
        <v>423</v>
      </c>
      <c r="H59" s="165" t="s">
        <v>91</v>
      </c>
      <c r="I59" s="166">
        <v>45321</v>
      </c>
      <c r="J59" s="167">
        <v>682000</v>
      </c>
      <c r="K59" s="167">
        <v>0</v>
      </c>
      <c r="L59" s="139"/>
      <c r="M59" s="168">
        <v>0</v>
      </c>
      <c r="N59" s="168">
        <v>0</v>
      </c>
      <c r="O59" s="168">
        <v>0</v>
      </c>
      <c r="P59" s="169">
        <v>682000</v>
      </c>
      <c r="Q59" s="170" t="s">
        <v>95</v>
      </c>
    </row>
    <row r="60" spans="2:17" ht="15" customHeight="1">
      <c r="B60" s="161">
        <f t="shared" si="2"/>
        <v>51</v>
      </c>
      <c r="C60" s="162" t="s">
        <v>112</v>
      </c>
      <c r="D60" s="162" t="s">
        <v>48</v>
      </c>
      <c r="E60" s="163" t="s">
        <v>33</v>
      </c>
      <c r="F60" s="164" t="s">
        <v>146</v>
      </c>
      <c r="G60" s="262" t="s">
        <v>423</v>
      </c>
      <c r="H60" s="165" t="s">
        <v>91</v>
      </c>
      <c r="I60" s="166">
        <v>45321</v>
      </c>
      <c r="J60" s="167">
        <v>682000</v>
      </c>
      <c r="K60" s="167">
        <v>0</v>
      </c>
      <c r="L60" s="139"/>
      <c r="M60" s="168">
        <v>0</v>
      </c>
      <c r="N60" s="168">
        <v>0</v>
      </c>
      <c r="O60" s="168">
        <v>0</v>
      </c>
      <c r="P60" s="169">
        <v>682000</v>
      </c>
      <c r="Q60" s="170" t="s">
        <v>95</v>
      </c>
    </row>
    <row r="61" spans="2:17" ht="15" customHeight="1">
      <c r="B61" s="161">
        <f t="shared" si="2"/>
        <v>52</v>
      </c>
      <c r="C61" s="162" t="s">
        <v>112</v>
      </c>
      <c r="D61" s="162" t="s">
        <v>48</v>
      </c>
      <c r="E61" s="163" t="s">
        <v>33</v>
      </c>
      <c r="F61" s="164" t="s">
        <v>146</v>
      </c>
      <c r="G61" s="262" t="s">
        <v>423</v>
      </c>
      <c r="H61" s="165" t="s">
        <v>91</v>
      </c>
      <c r="I61" s="166">
        <v>45330</v>
      </c>
      <c r="J61" s="167">
        <v>784300</v>
      </c>
      <c r="K61" s="167">
        <v>0</v>
      </c>
      <c r="L61" s="139"/>
      <c r="M61" s="168">
        <v>0</v>
      </c>
      <c r="N61" s="168">
        <v>0</v>
      </c>
      <c r="O61" s="168">
        <v>0</v>
      </c>
      <c r="P61" s="169">
        <v>784300</v>
      </c>
      <c r="Q61" s="170" t="s">
        <v>95</v>
      </c>
    </row>
    <row r="62" spans="2:17" ht="15" customHeight="1">
      <c r="B62" s="161">
        <f t="shared" si="2"/>
        <v>53</v>
      </c>
      <c r="C62" s="162" t="s">
        <v>112</v>
      </c>
      <c r="D62" s="162" t="s">
        <v>48</v>
      </c>
      <c r="E62" s="163" t="s">
        <v>33</v>
      </c>
      <c r="F62" s="164" t="s">
        <v>146</v>
      </c>
      <c r="G62" s="262" t="s">
        <v>423</v>
      </c>
      <c r="H62" s="165" t="s">
        <v>91</v>
      </c>
      <c r="I62" s="166">
        <v>45330</v>
      </c>
      <c r="J62" s="167">
        <v>784300</v>
      </c>
      <c r="K62" s="167">
        <v>0</v>
      </c>
      <c r="L62" s="139"/>
      <c r="M62" s="168">
        <v>0</v>
      </c>
      <c r="N62" s="168">
        <v>0</v>
      </c>
      <c r="O62" s="168">
        <v>0</v>
      </c>
      <c r="P62" s="169">
        <v>784300</v>
      </c>
      <c r="Q62" s="170" t="s">
        <v>95</v>
      </c>
    </row>
    <row r="63" spans="2:17" ht="15" customHeight="1">
      <c r="B63" s="161">
        <f t="shared" si="2"/>
        <v>54</v>
      </c>
      <c r="C63" s="162" t="s">
        <v>112</v>
      </c>
      <c r="D63" s="162" t="s">
        <v>48</v>
      </c>
      <c r="E63" s="163" t="s">
        <v>33</v>
      </c>
      <c r="F63" s="164" t="s">
        <v>146</v>
      </c>
      <c r="G63" s="262" t="s">
        <v>423</v>
      </c>
      <c r="H63" s="165" t="s">
        <v>91</v>
      </c>
      <c r="I63" s="166">
        <v>45370</v>
      </c>
      <c r="J63" s="167">
        <v>733700</v>
      </c>
      <c r="K63" s="167">
        <v>0</v>
      </c>
      <c r="L63" s="139"/>
      <c r="M63" s="168">
        <v>0</v>
      </c>
      <c r="N63" s="168">
        <v>0</v>
      </c>
      <c r="O63" s="168">
        <v>0</v>
      </c>
      <c r="P63" s="169">
        <v>733700</v>
      </c>
      <c r="Q63" s="170" t="s">
        <v>95</v>
      </c>
    </row>
    <row r="64" spans="2:17" ht="15" customHeight="1">
      <c r="B64" s="161">
        <f t="shared" si="2"/>
        <v>55</v>
      </c>
      <c r="C64" s="162" t="s">
        <v>112</v>
      </c>
      <c r="D64" s="162" t="s">
        <v>48</v>
      </c>
      <c r="E64" s="163" t="s">
        <v>33</v>
      </c>
      <c r="F64" s="164" t="s">
        <v>146</v>
      </c>
      <c r="G64" s="262" t="s">
        <v>423</v>
      </c>
      <c r="H64" s="165" t="s">
        <v>91</v>
      </c>
      <c r="I64" s="166">
        <v>45370</v>
      </c>
      <c r="J64" s="167">
        <v>733700</v>
      </c>
      <c r="K64" s="167">
        <v>0</v>
      </c>
      <c r="L64" s="139"/>
      <c r="M64" s="168">
        <v>0</v>
      </c>
      <c r="N64" s="168">
        <v>0</v>
      </c>
      <c r="O64" s="168">
        <v>0</v>
      </c>
      <c r="P64" s="169">
        <v>733700</v>
      </c>
      <c r="Q64" s="170" t="s">
        <v>95</v>
      </c>
    </row>
    <row r="65" spans="2:17" ht="15" customHeight="1">
      <c r="B65" s="161">
        <f t="shared" si="2"/>
        <v>56</v>
      </c>
      <c r="C65" s="162" t="s">
        <v>112</v>
      </c>
      <c r="D65" s="162" t="s">
        <v>48</v>
      </c>
      <c r="E65" s="163" t="s">
        <v>33</v>
      </c>
      <c r="F65" s="164" t="s">
        <v>146</v>
      </c>
      <c r="G65" s="262" t="s">
        <v>423</v>
      </c>
      <c r="H65" s="165" t="s">
        <v>91</v>
      </c>
      <c r="I65" s="166">
        <v>45401</v>
      </c>
      <c r="J65" s="167">
        <v>784300</v>
      </c>
      <c r="K65" s="167">
        <v>0</v>
      </c>
      <c r="L65" s="139"/>
      <c r="M65" s="168">
        <v>0</v>
      </c>
      <c r="N65" s="168">
        <v>0</v>
      </c>
      <c r="O65" s="168">
        <v>0</v>
      </c>
      <c r="P65" s="169">
        <v>784300</v>
      </c>
      <c r="Q65" s="170" t="s">
        <v>95</v>
      </c>
    </row>
    <row r="66" spans="2:17" ht="15" customHeight="1">
      <c r="B66" s="161">
        <f t="shared" si="2"/>
        <v>57</v>
      </c>
      <c r="C66" s="162" t="s">
        <v>112</v>
      </c>
      <c r="D66" s="162" t="s">
        <v>48</v>
      </c>
      <c r="E66" s="163" t="s">
        <v>33</v>
      </c>
      <c r="F66" s="164" t="s">
        <v>146</v>
      </c>
      <c r="G66" s="262" t="s">
        <v>423</v>
      </c>
      <c r="H66" s="165" t="s">
        <v>91</v>
      </c>
      <c r="I66" s="166">
        <v>45401</v>
      </c>
      <c r="J66" s="167">
        <v>784300</v>
      </c>
      <c r="K66" s="167">
        <v>0</v>
      </c>
      <c r="L66" s="139"/>
      <c r="M66" s="168">
        <v>0</v>
      </c>
      <c r="N66" s="168">
        <v>0</v>
      </c>
      <c r="O66" s="168">
        <v>0</v>
      </c>
      <c r="P66" s="169">
        <v>784300</v>
      </c>
      <c r="Q66" s="170" t="s">
        <v>95</v>
      </c>
    </row>
    <row r="67" spans="2:17" ht="15" customHeight="1">
      <c r="B67" s="161">
        <f t="shared" si="2"/>
        <v>58</v>
      </c>
      <c r="C67" s="162" t="s">
        <v>112</v>
      </c>
      <c r="D67" s="162" t="s">
        <v>48</v>
      </c>
      <c r="E67" s="163" t="s">
        <v>33</v>
      </c>
      <c r="F67" s="164" t="s">
        <v>146</v>
      </c>
      <c r="G67" s="262" t="s">
        <v>423</v>
      </c>
      <c r="H67" s="165" t="s">
        <v>91</v>
      </c>
      <c r="I67" s="166">
        <v>45420</v>
      </c>
      <c r="J67" s="167">
        <v>759000</v>
      </c>
      <c r="K67" s="167">
        <v>0</v>
      </c>
      <c r="L67" s="139"/>
      <c r="M67" s="168">
        <v>0</v>
      </c>
      <c r="N67" s="168">
        <v>0</v>
      </c>
      <c r="O67" s="168">
        <v>0</v>
      </c>
      <c r="P67" s="169">
        <v>759000</v>
      </c>
      <c r="Q67" s="170" t="s">
        <v>95</v>
      </c>
    </row>
    <row r="68" spans="2:17" ht="15" customHeight="1">
      <c r="B68" s="161">
        <f t="shared" si="2"/>
        <v>59</v>
      </c>
      <c r="C68" s="162" t="s">
        <v>112</v>
      </c>
      <c r="D68" s="162" t="s">
        <v>48</v>
      </c>
      <c r="E68" s="163" t="s">
        <v>33</v>
      </c>
      <c r="F68" s="164" t="s">
        <v>146</v>
      </c>
      <c r="G68" s="262" t="s">
        <v>423</v>
      </c>
      <c r="H68" s="165" t="s">
        <v>91</v>
      </c>
      <c r="I68" s="166">
        <v>45420</v>
      </c>
      <c r="J68" s="167">
        <v>759000</v>
      </c>
      <c r="K68" s="167">
        <v>0</v>
      </c>
      <c r="L68" s="139"/>
      <c r="M68" s="168">
        <v>0</v>
      </c>
      <c r="N68" s="168">
        <v>0</v>
      </c>
      <c r="O68" s="168">
        <v>0</v>
      </c>
      <c r="P68" s="169">
        <v>759000</v>
      </c>
      <c r="Q68" s="170" t="s">
        <v>95</v>
      </c>
    </row>
    <row r="69" spans="2:17" ht="15" customHeight="1">
      <c r="B69" s="161">
        <f t="shared" si="2"/>
        <v>60</v>
      </c>
      <c r="C69" s="162" t="s">
        <v>112</v>
      </c>
      <c r="D69" s="162" t="s">
        <v>48</v>
      </c>
      <c r="E69" s="163" t="s">
        <v>33</v>
      </c>
      <c r="F69" s="164" t="s">
        <v>146</v>
      </c>
      <c r="G69" s="262" t="s">
        <v>423</v>
      </c>
      <c r="H69" s="165" t="s">
        <v>91</v>
      </c>
      <c r="I69" s="166">
        <v>45420</v>
      </c>
      <c r="J69" s="167">
        <v>581900</v>
      </c>
      <c r="K69" s="167">
        <v>0</v>
      </c>
      <c r="L69" s="139"/>
      <c r="M69" s="168">
        <v>0</v>
      </c>
      <c r="N69" s="168">
        <v>0</v>
      </c>
      <c r="O69" s="168">
        <v>0</v>
      </c>
      <c r="P69" s="169">
        <v>581900</v>
      </c>
      <c r="Q69" s="170" t="s">
        <v>95</v>
      </c>
    </row>
    <row r="70" spans="2:17" ht="15" customHeight="1">
      <c r="B70" s="161">
        <f t="shared" si="2"/>
        <v>61</v>
      </c>
      <c r="C70" s="162" t="s">
        <v>112</v>
      </c>
      <c r="D70" s="162" t="s">
        <v>48</v>
      </c>
      <c r="E70" s="163" t="s">
        <v>33</v>
      </c>
      <c r="F70" s="164" t="s">
        <v>146</v>
      </c>
      <c r="G70" s="262" t="s">
        <v>423</v>
      </c>
      <c r="H70" s="165" t="s">
        <v>91</v>
      </c>
      <c r="I70" s="166">
        <v>45453</v>
      </c>
      <c r="J70" s="167">
        <v>784300</v>
      </c>
      <c r="K70" s="167">
        <v>0</v>
      </c>
      <c r="L70" s="139"/>
      <c r="M70" s="168">
        <v>0</v>
      </c>
      <c r="N70" s="168">
        <v>0</v>
      </c>
      <c r="O70" s="168">
        <v>0</v>
      </c>
      <c r="P70" s="169">
        <v>784300</v>
      </c>
      <c r="Q70" s="170" t="s">
        <v>95</v>
      </c>
    </row>
    <row r="71" spans="2:17" ht="15" customHeight="1">
      <c r="B71" s="161">
        <f t="shared" si="2"/>
        <v>62</v>
      </c>
      <c r="C71" s="162" t="s">
        <v>112</v>
      </c>
      <c r="D71" s="162" t="s">
        <v>48</v>
      </c>
      <c r="E71" s="163" t="s">
        <v>33</v>
      </c>
      <c r="F71" s="164" t="s">
        <v>146</v>
      </c>
      <c r="G71" s="262" t="s">
        <v>423</v>
      </c>
      <c r="H71" s="165" t="s">
        <v>91</v>
      </c>
      <c r="I71" s="166">
        <v>45453</v>
      </c>
      <c r="J71" s="167">
        <v>784300</v>
      </c>
      <c r="K71" s="167">
        <v>0</v>
      </c>
      <c r="L71" s="139"/>
      <c r="M71" s="168">
        <v>0</v>
      </c>
      <c r="N71" s="168">
        <v>0</v>
      </c>
      <c r="O71" s="168">
        <v>0</v>
      </c>
      <c r="P71" s="169">
        <v>784300</v>
      </c>
      <c r="Q71" s="170" t="s">
        <v>95</v>
      </c>
    </row>
    <row r="72" spans="2:17" ht="15" customHeight="1">
      <c r="B72" s="161">
        <f t="shared" si="2"/>
        <v>63</v>
      </c>
      <c r="C72" s="162" t="s">
        <v>112</v>
      </c>
      <c r="D72" s="162" t="s">
        <v>48</v>
      </c>
      <c r="E72" s="163" t="s">
        <v>33</v>
      </c>
      <c r="F72" s="164" t="s">
        <v>146</v>
      </c>
      <c r="G72" s="262" t="s">
        <v>423</v>
      </c>
      <c r="H72" s="165" t="s">
        <v>91</v>
      </c>
      <c r="I72" s="166">
        <v>45453</v>
      </c>
      <c r="J72" s="167">
        <v>784300</v>
      </c>
      <c r="K72" s="167">
        <v>0</v>
      </c>
      <c r="L72" s="139"/>
      <c r="M72" s="168">
        <v>0</v>
      </c>
      <c r="N72" s="168">
        <v>0</v>
      </c>
      <c r="O72" s="168">
        <v>0</v>
      </c>
      <c r="P72" s="169">
        <v>784300</v>
      </c>
      <c r="Q72" s="170" t="s">
        <v>95</v>
      </c>
    </row>
    <row r="73" spans="2:17" ht="15" customHeight="1">
      <c r="B73" s="161">
        <f t="shared" si="2"/>
        <v>64</v>
      </c>
      <c r="C73" s="162" t="s">
        <v>112</v>
      </c>
      <c r="D73" s="162" t="s">
        <v>48</v>
      </c>
      <c r="E73" s="163" t="s">
        <v>33</v>
      </c>
      <c r="F73" s="164" t="s">
        <v>146</v>
      </c>
      <c r="G73" s="262" t="s">
        <v>423</v>
      </c>
      <c r="H73" s="165" t="s">
        <v>91</v>
      </c>
      <c r="I73" s="166">
        <v>45490</v>
      </c>
      <c r="J73" s="167">
        <v>759000</v>
      </c>
      <c r="K73" s="167">
        <v>0</v>
      </c>
      <c r="L73" s="139"/>
      <c r="M73" s="168">
        <v>0</v>
      </c>
      <c r="N73" s="168">
        <v>0</v>
      </c>
      <c r="O73" s="168">
        <v>0</v>
      </c>
      <c r="P73" s="169">
        <v>759000</v>
      </c>
      <c r="Q73" s="170" t="s">
        <v>95</v>
      </c>
    </row>
    <row r="74" spans="2:17" ht="15" customHeight="1">
      <c r="B74" s="161">
        <f t="shared" ref="B74:B105" si="3">ROW()-9</f>
        <v>65</v>
      </c>
      <c r="C74" s="162" t="s">
        <v>112</v>
      </c>
      <c r="D74" s="162" t="s">
        <v>48</v>
      </c>
      <c r="E74" s="163" t="s">
        <v>33</v>
      </c>
      <c r="F74" s="164" t="s">
        <v>146</v>
      </c>
      <c r="G74" s="262" t="s">
        <v>423</v>
      </c>
      <c r="H74" s="165" t="s">
        <v>91</v>
      </c>
      <c r="I74" s="166">
        <v>45490</v>
      </c>
      <c r="J74" s="167">
        <v>759000</v>
      </c>
      <c r="K74" s="167">
        <v>0</v>
      </c>
      <c r="L74" s="139"/>
      <c r="M74" s="168">
        <v>0</v>
      </c>
      <c r="N74" s="168">
        <v>0</v>
      </c>
      <c r="O74" s="168">
        <v>0</v>
      </c>
      <c r="P74" s="169">
        <v>759000</v>
      </c>
      <c r="Q74" s="170" t="s">
        <v>95</v>
      </c>
    </row>
    <row r="75" spans="2:17" ht="15" customHeight="1">
      <c r="B75" s="161">
        <f t="shared" si="3"/>
        <v>66</v>
      </c>
      <c r="C75" s="162" t="s">
        <v>112</v>
      </c>
      <c r="D75" s="162" t="s">
        <v>48</v>
      </c>
      <c r="E75" s="163" t="s">
        <v>33</v>
      </c>
      <c r="F75" s="164" t="s">
        <v>146</v>
      </c>
      <c r="G75" s="262" t="s">
        <v>423</v>
      </c>
      <c r="H75" s="165" t="s">
        <v>91</v>
      </c>
      <c r="I75" s="166">
        <v>45511</v>
      </c>
      <c r="J75" s="167">
        <v>784300</v>
      </c>
      <c r="K75" s="167">
        <v>0</v>
      </c>
      <c r="L75" s="139"/>
      <c r="M75" s="168">
        <v>0</v>
      </c>
      <c r="N75" s="168">
        <v>0</v>
      </c>
      <c r="O75" s="168">
        <v>0</v>
      </c>
      <c r="P75" s="169">
        <v>784300</v>
      </c>
      <c r="Q75" s="170" t="s">
        <v>95</v>
      </c>
    </row>
    <row r="76" spans="2:17" ht="15" customHeight="1">
      <c r="B76" s="161">
        <f t="shared" si="3"/>
        <v>67</v>
      </c>
      <c r="C76" s="162" t="s">
        <v>112</v>
      </c>
      <c r="D76" s="162" t="s">
        <v>48</v>
      </c>
      <c r="E76" s="163" t="s">
        <v>33</v>
      </c>
      <c r="F76" s="164" t="s">
        <v>146</v>
      </c>
      <c r="G76" s="262" t="s">
        <v>423</v>
      </c>
      <c r="H76" s="165" t="s">
        <v>91</v>
      </c>
      <c r="I76" s="166">
        <v>45511</v>
      </c>
      <c r="J76" s="167">
        <v>784300</v>
      </c>
      <c r="K76" s="167">
        <v>0</v>
      </c>
      <c r="L76" s="139"/>
      <c r="M76" s="168">
        <v>0</v>
      </c>
      <c r="N76" s="168">
        <v>0</v>
      </c>
      <c r="O76" s="168">
        <v>0</v>
      </c>
      <c r="P76" s="169">
        <v>784300</v>
      </c>
      <c r="Q76" s="170" t="s">
        <v>95</v>
      </c>
    </row>
    <row r="77" spans="2:17" ht="15" customHeight="1">
      <c r="B77" s="161">
        <f t="shared" si="3"/>
        <v>68</v>
      </c>
      <c r="C77" s="162" t="s">
        <v>112</v>
      </c>
      <c r="D77" s="162" t="s">
        <v>48</v>
      </c>
      <c r="E77" s="163" t="s">
        <v>33</v>
      </c>
      <c r="F77" s="164" t="s">
        <v>146</v>
      </c>
      <c r="G77" s="262" t="s">
        <v>423</v>
      </c>
      <c r="H77" s="165" t="s">
        <v>91</v>
      </c>
      <c r="I77" s="166">
        <v>45545</v>
      </c>
      <c r="J77" s="167">
        <v>784300</v>
      </c>
      <c r="K77" s="167">
        <v>0</v>
      </c>
      <c r="L77" s="139"/>
      <c r="M77" s="168">
        <v>0</v>
      </c>
      <c r="N77" s="168">
        <v>0</v>
      </c>
      <c r="O77" s="168">
        <v>0</v>
      </c>
      <c r="P77" s="169">
        <v>784300</v>
      </c>
      <c r="Q77" s="170" t="s">
        <v>95</v>
      </c>
    </row>
    <row r="78" spans="2:17" ht="15" customHeight="1">
      <c r="B78" s="161">
        <f t="shared" si="3"/>
        <v>69</v>
      </c>
      <c r="C78" s="162" t="s">
        <v>112</v>
      </c>
      <c r="D78" s="162" t="s">
        <v>48</v>
      </c>
      <c r="E78" s="163" t="s">
        <v>33</v>
      </c>
      <c r="F78" s="164" t="s">
        <v>146</v>
      </c>
      <c r="G78" s="262" t="s">
        <v>423</v>
      </c>
      <c r="H78" s="165" t="s">
        <v>91</v>
      </c>
      <c r="I78" s="166">
        <v>45545</v>
      </c>
      <c r="J78" s="167">
        <v>784300</v>
      </c>
      <c r="K78" s="167">
        <v>0</v>
      </c>
      <c r="L78" s="139"/>
      <c r="M78" s="168">
        <v>0</v>
      </c>
      <c r="N78" s="168">
        <v>0</v>
      </c>
      <c r="O78" s="168">
        <v>0</v>
      </c>
      <c r="P78" s="169">
        <v>784300</v>
      </c>
      <c r="Q78" s="170" t="s">
        <v>95</v>
      </c>
    </row>
    <row r="79" spans="2:17" ht="15" customHeight="1">
      <c r="B79" s="161">
        <f t="shared" si="3"/>
        <v>70</v>
      </c>
      <c r="C79" s="162" t="s">
        <v>112</v>
      </c>
      <c r="D79" s="162" t="s">
        <v>48</v>
      </c>
      <c r="E79" s="163" t="s">
        <v>33</v>
      </c>
      <c r="F79" s="164" t="s">
        <v>146</v>
      </c>
      <c r="G79" s="262" t="s">
        <v>423</v>
      </c>
      <c r="H79" s="165" t="s">
        <v>91</v>
      </c>
      <c r="I79" s="166">
        <v>45579</v>
      </c>
      <c r="J79" s="167">
        <v>759000</v>
      </c>
      <c r="K79" s="167">
        <v>0</v>
      </c>
      <c r="L79" s="139"/>
      <c r="M79" s="168">
        <v>0</v>
      </c>
      <c r="N79" s="168">
        <v>0</v>
      </c>
      <c r="O79" s="168">
        <v>0</v>
      </c>
      <c r="P79" s="169">
        <v>759000</v>
      </c>
      <c r="Q79" s="170" t="s">
        <v>95</v>
      </c>
    </row>
    <row r="80" spans="2:17" ht="15" customHeight="1">
      <c r="B80" s="161">
        <f t="shared" si="3"/>
        <v>71</v>
      </c>
      <c r="C80" s="162" t="s">
        <v>112</v>
      </c>
      <c r="D80" s="162" t="s">
        <v>48</v>
      </c>
      <c r="E80" s="163" t="s">
        <v>33</v>
      </c>
      <c r="F80" s="164" t="s">
        <v>146</v>
      </c>
      <c r="G80" s="262" t="s">
        <v>423</v>
      </c>
      <c r="H80" s="165" t="s">
        <v>91</v>
      </c>
      <c r="I80" s="166">
        <v>45579</v>
      </c>
      <c r="J80" s="167">
        <v>759000</v>
      </c>
      <c r="K80" s="167">
        <v>0</v>
      </c>
      <c r="L80" s="139"/>
      <c r="M80" s="168">
        <v>0</v>
      </c>
      <c r="N80" s="168">
        <v>0</v>
      </c>
      <c r="O80" s="168">
        <v>0</v>
      </c>
      <c r="P80" s="169">
        <v>759000</v>
      </c>
      <c r="Q80" s="170" t="s">
        <v>95</v>
      </c>
    </row>
    <row r="81" spans="2:17" ht="15" customHeight="1">
      <c r="B81" s="161">
        <f t="shared" si="3"/>
        <v>72</v>
      </c>
      <c r="C81" s="162" t="s">
        <v>112</v>
      </c>
      <c r="D81" s="162" t="s">
        <v>48</v>
      </c>
      <c r="E81" s="163" t="s">
        <v>33</v>
      </c>
      <c r="F81" s="164" t="s">
        <v>146</v>
      </c>
      <c r="G81" s="262" t="s">
        <v>423</v>
      </c>
      <c r="H81" s="165" t="s">
        <v>91</v>
      </c>
      <c r="I81" s="166">
        <v>45610</v>
      </c>
      <c r="J81" s="167">
        <v>784300</v>
      </c>
      <c r="K81" s="167">
        <v>0</v>
      </c>
      <c r="L81" s="139"/>
      <c r="M81" s="168">
        <v>0</v>
      </c>
      <c r="N81" s="168">
        <v>0</v>
      </c>
      <c r="O81" s="168">
        <v>0</v>
      </c>
      <c r="P81" s="169">
        <v>784300</v>
      </c>
      <c r="Q81" s="170" t="s">
        <v>95</v>
      </c>
    </row>
    <row r="82" spans="2:17" ht="15" customHeight="1">
      <c r="B82" s="161">
        <f t="shared" si="3"/>
        <v>73</v>
      </c>
      <c r="C82" s="162" t="s">
        <v>112</v>
      </c>
      <c r="D82" s="162" t="s">
        <v>48</v>
      </c>
      <c r="E82" s="163" t="s">
        <v>33</v>
      </c>
      <c r="F82" s="164" t="s">
        <v>146</v>
      </c>
      <c r="G82" s="262" t="s">
        <v>423</v>
      </c>
      <c r="H82" s="165" t="s">
        <v>91</v>
      </c>
      <c r="I82" s="166">
        <v>45610</v>
      </c>
      <c r="J82" s="167">
        <v>784300</v>
      </c>
      <c r="K82" s="167">
        <v>0</v>
      </c>
      <c r="L82" s="139"/>
      <c r="M82" s="168">
        <v>0</v>
      </c>
      <c r="N82" s="168">
        <v>0</v>
      </c>
      <c r="O82" s="168">
        <v>0</v>
      </c>
      <c r="P82" s="169">
        <v>784300</v>
      </c>
      <c r="Q82" s="170" t="s">
        <v>95</v>
      </c>
    </row>
    <row r="83" spans="2:17" ht="15" customHeight="1">
      <c r="B83" s="161">
        <f t="shared" si="3"/>
        <v>74</v>
      </c>
      <c r="C83" s="162" t="s">
        <v>112</v>
      </c>
      <c r="D83" s="162" t="s">
        <v>48</v>
      </c>
      <c r="E83" s="163" t="s">
        <v>33</v>
      </c>
      <c r="F83" s="164" t="s">
        <v>146</v>
      </c>
      <c r="G83" s="262" t="s">
        <v>423</v>
      </c>
      <c r="H83" s="165" t="s">
        <v>91</v>
      </c>
      <c r="I83" s="166">
        <v>45635</v>
      </c>
      <c r="J83" s="167">
        <v>759000</v>
      </c>
      <c r="K83" s="167">
        <v>0</v>
      </c>
      <c r="L83" s="139"/>
      <c r="M83" s="168">
        <v>0</v>
      </c>
      <c r="N83" s="168">
        <v>0</v>
      </c>
      <c r="O83" s="168">
        <v>0</v>
      </c>
      <c r="P83" s="169">
        <v>759000</v>
      </c>
      <c r="Q83" s="170" t="s">
        <v>95</v>
      </c>
    </row>
    <row r="84" spans="2:17" ht="15" customHeight="1">
      <c r="B84" s="161">
        <f t="shared" si="3"/>
        <v>75</v>
      </c>
      <c r="C84" s="162" t="s">
        <v>112</v>
      </c>
      <c r="D84" s="162" t="s">
        <v>48</v>
      </c>
      <c r="E84" s="163" t="s">
        <v>33</v>
      </c>
      <c r="F84" s="164" t="s">
        <v>146</v>
      </c>
      <c r="G84" s="262" t="s">
        <v>423</v>
      </c>
      <c r="H84" s="165" t="s">
        <v>91</v>
      </c>
      <c r="I84" s="166">
        <v>45635</v>
      </c>
      <c r="J84" s="167">
        <v>759000</v>
      </c>
      <c r="K84" s="167">
        <v>0</v>
      </c>
      <c r="L84" s="139"/>
      <c r="M84" s="168">
        <v>0</v>
      </c>
      <c r="N84" s="168">
        <v>0</v>
      </c>
      <c r="O84" s="168">
        <v>0</v>
      </c>
      <c r="P84" s="169">
        <v>759000</v>
      </c>
      <c r="Q84" s="170" t="s">
        <v>95</v>
      </c>
    </row>
    <row r="85" spans="2:17" ht="15" customHeight="1">
      <c r="B85" s="161">
        <f t="shared" si="3"/>
        <v>76</v>
      </c>
      <c r="C85" s="162" t="s">
        <v>112</v>
      </c>
      <c r="D85" s="162" t="s">
        <v>48</v>
      </c>
      <c r="E85" s="163" t="s">
        <v>33</v>
      </c>
      <c r="F85" s="164" t="s">
        <v>146</v>
      </c>
      <c r="G85" s="262" t="s">
        <v>423</v>
      </c>
      <c r="H85" s="165" t="s">
        <v>91</v>
      </c>
      <c r="I85" s="166">
        <v>45671</v>
      </c>
      <c r="J85" s="167">
        <v>784300</v>
      </c>
      <c r="K85" s="167">
        <v>0</v>
      </c>
      <c r="L85" s="139"/>
      <c r="M85" s="168">
        <v>0</v>
      </c>
      <c r="N85" s="168">
        <v>0</v>
      </c>
      <c r="O85" s="168">
        <v>0</v>
      </c>
      <c r="P85" s="169">
        <v>784300</v>
      </c>
      <c r="Q85" s="170" t="s">
        <v>95</v>
      </c>
    </row>
    <row r="86" spans="2:17" ht="15" customHeight="1">
      <c r="B86" s="161">
        <f t="shared" si="3"/>
        <v>77</v>
      </c>
      <c r="C86" s="162" t="s">
        <v>112</v>
      </c>
      <c r="D86" s="162" t="s">
        <v>48</v>
      </c>
      <c r="E86" s="163" t="s">
        <v>33</v>
      </c>
      <c r="F86" s="164" t="s">
        <v>146</v>
      </c>
      <c r="G86" s="262" t="s">
        <v>423</v>
      </c>
      <c r="H86" s="165" t="s">
        <v>91</v>
      </c>
      <c r="I86" s="166">
        <v>45671</v>
      </c>
      <c r="J86" s="167">
        <v>784300</v>
      </c>
      <c r="K86" s="167">
        <v>0</v>
      </c>
      <c r="L86" s="139"/>
      <c r="M86" s="168">
        <v>0</v>
      </c>
      <c r="N86" s="168">
        <v>0</v>
      </c>
      <c r="O86" s="168">
        <v>0</v>
      </c>
      <c r="P86" s="169">
        <v>784300</v>
      </c>
      <c r="Q86" s="170" t="s">
        <v>95</v>
      </c>
    </row>
    <row r="87" spans="2:17" ht="15" customHeight="1">
      <c r="B87" s="161">
        <f t="shared" si="3"/>
        <v>78</v>
      </c>
      <c r="C87" s="162" t="s">
        <v>112</v>
      </c>
      <c r="D87" s="162" t="s">
        <v>48</v>
      </c>
      <c r="E87" s="163" t="s">
        <v>147</v>
      </c>
      <c r="F87" s="164" t="s">
        <v>148</v>
      </c>
      <c r="G87" s="262" t="s">
        <v>425</v>
      </c>
      <c r="H87" s="165" t="s">
        <v>91</v>
      </c>
      <c r="I87" s="166">
        <v>45575</v>
      </c>
      <c r="J87" s="167">
        <v>2249700</v>
      </c>
      <c r="K87" s="167">
        <v>0</v>
      </c>
      <c r="L87" s="139"/>
      <c r="M87" s="168">
        <v>0</v>
      </c>
      <c r="N87" s="168">
        <v>0</v>
      </c>
      <c r="O87" s="168">
        <v>0</v>
      </c>
      <c r="P87" s="169">
        <v>2249700</v>
      </c>
      <c r="Q87" s="170" t="s">
        <v>94</v>
      </c>
    </row>
    <row r="88" spans="2:17" ht="15" customHeight="1">
      <c r="B88" s="161">
        <f t="shared" si="3"/>
        <v>79</v>
      </c>
      <c r="C88" s="162" t="s">
        <v>112</v>
      </c>
      <c r="D88" s="162" t="s">
        <v>48</v>
      </c>
      <c r="E88" s="163" t="s">
        <v>147</v>
      </c>
      <c r="F88" s="164" t="s">
        <v>148</v>
      </c>
      <c r="G88" s="262" t="s">
        <v>425</v>
      </c>
      <c r="H88" s="165" t="s">
        <v>91</v>
      </c>
      <c r="I88" s="166">
        <v>45639</v>
      </c>
      <c r="J88" s="167">
        <v>10511690</v>
      </c>
      <c r="K88" s="167">
        <v>0</v>
      </c>
      <c r="L88" s="139"/>
      <c r="M88" s="168">
        <v>0</v>
      </c>
      <c r="N88" s="168">
        <v>0</v>
      </c>
      <c r="O88" s="168">
        <v>0</v>
      </c>
      <c r="P88" s="169">
        <v>10511690</v>
      </c>
      <c r="Q88" s="170" t="s">
        <v>92</v>
      </c>
    </row>
    <row r="89" spans="2:17" ht="15" customHeight="1">
      <c r="B89" s="161">
        <f t="shared" si="3"/>
        <v>80</v>
      </c>
      <c r="C89" s="162" t="s">
        <v>112</v>
      </c>
      <c r="D89" s="162" t="s">
        <v>48</v>
      </c>
      <c r="E89" s="163" t="s">
        <v>149</v>
      </c>
      <c r="F89" s="164" t="s">
        <v>150</v>
      </c>
      <c r="G89" s="262" t="s">
        <v>423</v>
      </c>
      <c r="H89" s="165" t="s">
        <v>91</v>
      </c>
      <c r="I89" s="166">
        <v>45664</v>
      </c>
      <c r="J89" s="167">
        <v>1870800</v>
      </c>
      <c r="K89" s="167">
        <v>0</v>
      </c>
      <c r="L89" s="139"/>
      <c r="M89" s="168">
        <v>0</v>
      </c>
      <c r="N89" s="168">
        <v>0</v>
      </c>
      <c r="O89" s="168">
        <v>0</v>
      </c>
      <c r="P89" s="169">
        <v>1870800</v>
      </c>
      <c r="Q89" s="170" t="s">
        <v>94</v>
      </c>
    </row>
    <row r="90" spans="2:17" ht="15" customHeight="1">
      <c r="B90" s="161">
        <f t="shared" si="3"/>
        <v>81</v>
      </c>
      <c r="C90" s="162" t="s">
        <v>112</v>
      </c>
      <c r="D90" s="162" t="s">
        <v>48</v>
      </c>
      <c r="E90" s="163" t="s">
        <v>149</v>
      </c>
      <c r="F90" s="164" t="s">
        <v>150</v>
      </c>
      <c r="G90" s="262" t="s">
        <v>423</v>
      </c>
      <c r="H90" s="165" t="s">
        <v>91</v>
      </c>
      <c r="I90" s="166">
        <v>45632</v>
      </c>
      <c r="J90" s="167">
        <v>9271220</v>
      </c>
      <c r="K90" s="167">
        <v>0</v>
      </c>
      <c r="L90" s="139"/>
      <c r="M90" s="168">
        <v>0</v>
      </c>
      <c r="N90" s="168">
        <v>0</v>
      </c>
      <c r="O90" s="168">
        <v>0</v>
      </c>
      <c r="P90" s="169">
        <v>9271220</v>
      </c>
      <c r="Q90" s="170" t="s">
        <v>92</v>
      </c>
    </row>
    <row r="91" spans="2:17" ht="15" customHeight="1">
      <c r="B91" s="161">
        <f t="shared" si="3"/>
        <v>82</v>
      </c>
      <c r="C91" s="162" t="s">
        <v>112</v>
      </c>
      <c r="D91" s="162" t="s">
        <v>48</v>
      </c>
      <c r="E91" s="163" t="s">
        <v>149</v>
      </c>
      <c r="F91" s="164" t="s">
        <v>150</v>
      </c>
      <c r="G91" s="262" t="s">
        <v>423</v>
      </c>
      <c r="H91" s="165" t="s">
        <v>91</v>
      </c>
      <c r="I91" s="166">
        <v>45562</v>
      </c>
      <c r="J91" s="167">
        <v>750300</v>
      </c>
      <c r="K91" s="167">
        <v>0</v>
      </c>
      <c r="L91" s="139"/>
      <c r="M91" s="168">
        <v>0</v>
      </c>
      <c r="N91" s="168">
        <v>0</v>
      </c>
      <c r="O91" s="168">
        <v>0</v>
      </c>
      <c r="P91" s="169">
        <v>750300</v>
      </c>
      <c r="Q91" s="170" t="s">
        <v>94</v>
      </c>
    </row>
    <row r="92" spans="2:17" ht="15" customHeight="1">
      <c r="B92" s="161">
        <f t="shared" si="3"/>
        <v>83</v>
      </c>
      <c r="C92" s="162" t="s">
        <v>112</v>
      </c>
      <c r="D92" s="162" t="s">
        <v>48</v>
      </c>
      <c r="E92" s="163" t="s">
        <v>34</v>
      </c>
      <c r="F92" s="164" t="s">
        <v>151</v>
      </c>
      <c r="G92" s="262" t="s">
        <v>424</v>
      </c>
      <c r="H92" s="165" t="s">
        <v>91</v>
      </c>
      <c r="I92" s="166">
        <v>45273</v>
      </c>
      <c r="J92" s="167">
        <v>154500</v>
      </c>
      <c r="K92" s="167">
        <v>0</v>
      </c>
      <c r="L92" s="139"/>
      <c r="M92" s="168">
        <v>0</v>
      </c>
      <c r="N92" s="168">
        <v>0</v>
      </c>
      <c r="O92" s="168">
        <v>0</v>
      </c>
      <c r="P92" s="169">
        <v>154500</v>
      </c>
      <c r="Q92" s="170" t="s">
        <v>94</v>
      </c>
    </row>
    <row r="93" spans="2:17" ht="15" customHeight="1">
      <c r="B93" s="161">
        <f t="shared" si="3"/>
        <v>84</v>
      </c>
      <c r="C93" s="162" t="s">
        <v>112</v>
      </c>
      <c r="D93" s="162" t="s">
        <v>48</v>
      </c>
      <c r="E93" s="163" t="s">
        <v>34</v>
      </c>
      <c r="F93" s="164" t="s">
        <v>151</v>
      </c>
      <c r="G93" s="262" t="s">
        <v>424</v>
      </c>
      <c r="H93" s="165" t="s">
        <v>91</v>
      </c>
      <c r="I93" s="166">
        <v>45405</v>
      </c>
      <c r="J93" s="167">
        <v>213200</v>
      </c>
      <c r="K93" s="167">
        <v>0</v>
      </c>
      <c r="L93" s="139"/>
      <c r="M93" s="168">
        <v>0</v>
      </c>
      <c r="N93" s="168">
        <v>0</v>
      </c>
      <c r="O93" s="168">
        <v>0</v>
      </c>
      <c r="P93" s="169">
        <v>213200</v>
      </c>
      <c r="Q93" s="170" t="s">
        <v>94</v>
      </c>
    </row>
    <row r="94" spans="2:17" ht="15" customHeight="1">
      <c r="B94" s="161">
        <f t="shared" si="3"/>
        <v>85</v>
      </c>
      <c r="C94" s="162" t="s">
        <v>112</v>
      </c>
      <c r="D94" s="162" t="s">
        <v>48</v>
      </c>
      <c r="E94" s="163" t="s">
        <v>34</v>
      </c>
      <c r="F94" s="164" t="s">
        <v>151</v>
      </c>
      <c r="G94" s="262" t="s">
        <v>424</v>
      </c>
      <c r="H94" s="165" t="s">
        <v>91</v>
      </c>
      <c r="I94" s="166">
        <v>45657</v>
      </c>
      <c r="J94" s="167">
        <v>222600</v>
      </c>
      <c r="K94" s="167">
        <v>0</v>
      </c>
      <c r="L94" s="139"/>
      <c r="M94" s="168">
        <v>0</v>
      </c>
      <c r="N94" s="168">
        <v>0</v>
      </c>
      <c r="O94" s="168">
        <v>0</v>
      </c>
      <c r="P94" s="169">
        <v>222600</v>
      </c>
      <c r="Q94" s="170" t="s">
        <v>94</v>
      </c>
    </row>
    <row r="95" spans="2:17" ht="15" customHeight="1">
      <c r="B95" s="161">
        <f t="shared" si="3"/>
        <v>86</v>
      </c>
      <c r="C95" s="162" t="s">
        <v>112</v>
      </c>
      <c r="D95" s="162" t="s">
        <v>48</v>
      </c>
      <c r="E95" s="163" t="s">
        <v>34</v>
      </c>
      <c r="F95" s="164" t="s">
        <v>151</v>
      </c>
      <c r="G95" s="262" t="s">
        <v>424</v>
      </c>
      <c r="H95" s="165" t="s">
        <v>91</v>
      </c>
      <c r="I95" s="166">
        <v>45411</v>
      </c>
      <c r="J95" s="167">
        <v>8208050</v>
      </c>
      <c r="K95" s="167">
        <v>0</v>
      </c>
      <c r="L95" s="139"/>
      <c r="M95" s="168">
        <v>0</v>
      </c>
      <c r="N95" s="168">
        <v>0</v>
      </c>
      <c r="O95" s="168">
        <v>0</v>
      </c>
      <c r="P95" s="169">
        <v>8208050</v>
      </c>
      <c r="Q95" s="170" t="s">
        <v>92</v>
      </c>
    </row>
    <row r="96" spans="2:17" ht="15" customHeight="1">
      <c r="B96" s="161">
        <f t="shared" si="3"/>
        <v>87</v>
      </c>
      <c r="C96" s="162" t="s">
        <v>112</v>
      </c>
      <c r="D96" s="162" t="s">
        <v>48</v>
      </c>
      <c r="E96" s="163" t="s">
        <v>34</v>
      </c>
      <c r="F96" s="164" t="s">
        <v>151</v>
      </c>
      <c r="G96" s="262" t="s">
        <v>424</v>
      </c>
      <c r="H96" s="165" t="s">
        <v>91</v>
      </c>
      <c r="I96" s="166">
        <v>45415</v>
      </c>
      <c r="J96" s="167">
        <v>2443380</v>
      </c>
      <c r="K96" s="167">
        <v>0</v>
      </c>
      <c r="L96" s="139"/>
      <c r="M96" s="168">
        <v>0</v>
      </c>
      <c r="N96" s="168">
        <v>0</v>
      </c>
      <c r="O96" s="168">
        <v>0</v>
      </c>
      <c r="P96" s="169">
        <v>2443380</v>
      </c>
      <c r="Q96" s="170" t="s">
        <v>92</v>
      </c>
    </row>
    <row r="97" spans="2:17" ht="15" customHeight="1">
      <c r="B97" s="161">
        <f t="shared" si="3"/>
        <v>88</v>
      </c>
      <c r="C97" s="162" t="s">
        <v>112</v>
      </c>
      <c r="D97" s="162" t="s">
        <v>48</v>
      </c>
      <c r="E97" s="163" t="s">
        <v>34</v>
      </c>
      <c r="F97" s="164" t="s">
        <v>151</v>
      </c>
      <c r="G97" s="262" t="s">
        <v>424</v>
      </c>
      <c r="H97" s="165" t="s">
        <v>91</v>
      </c>
      <c r="I97" s="166">
        <v>45533</v>
      </c>
      <c r="J97" s="167">
        <v>61529</v>
      </c>
      <c r="K97" s="167">
        <v>0</v>
      </c>
      <c r="L97" s="139"/>
      <c r="M97" s="168">
        <v>0</v>
      </c>
      <c r="N97" s="168">
        <v>0</v>
      </c>
      <c r="O97" s="168">
        <v>0</v>
      </c>
      <c r="P97" s="169">
        <v>61529</v>
      </c>
      <c r="Q97" s="170" t="s">
        <v>92</v>
      </c>
    </row>
    <row r="98" spans="2:17" ht="15" customHeight="1">
      <c r="B98" s="161">
        <f t="shared" si="3"/>
        <v>89</v>
      </c>
      <c r="C98" s="162" t="s">
        <v>112</v>
      </c>
      <c r="D98" s="162" t="s">
        <v>48</v>
      </c>
      <c r="E98" s="163" t="s">
        <v>34</v>
      </c>
      <c r="F98" s="164" t="s">
        <v>151</v>
      </c>
      <c r="G98" s="262" t="s">
        <v>424</v>
      </c>
      <c r="H98" s="165" t="s">
        <v>91</v>
      </c>
      <c r="I98" s="166">
        <v>45632</v>
      </c>
      <c r="J98" s="167">
        <v>300000</v>
      </c>
      <c r="K98" s="167">
        <v>0</v>
      </c>
      <c r="L98" s="139"/>
      <c r="M98" s="168">
        <v>0</v>
      </c>
      <c r="N98" s="168">
        <v>0</v>
      </c>
      <c r="O98" s="168">
        <v>0</v>
      </c>
      <c r="P98" s="169">
        <v>300000</v>
      </c>
      <c r="Q98" s="170" t="s">
        <v>92</v>
      </c>
    </row>
    <row r="99" spans="2:17" ht="15" customHeight="1">
      <c r="B99" s="161">
        <f t="shared" si="3"/>
        <v>90</v>
      </c>
      <c r="C99" s="162" t="s">
        <v>112</v>
      </c>
      <c r="D99" s="162" t="s">
        <v>48</v>
      </c>
      <c r="E99" s="163" t="s">
        <v>34</v>
      </c>
      <c r="F99" s="164" t="s">
        <v>151</v>
      </c>
      <c r="G99" s="262" t="s">
        <v>424</v>
      </c>
      <c r="H99" s="165" t="s">
        <v>91</v>
      </c>
      <c r="I99" s="166">
        <v>45321</v>
      </c>
      <c r="J99" s="167">
        <v>418000</v>
      </c>
      <c r="K99" s="167">
        <v>0</v>
      </c>
      <c r="L99" s="139"/>
      <c r="M99" s="168">
        <v>0</v>
      </c>
      <c r="N99" s="168">
        <v>0</v>
      </c>
      <c r="O99" s="168">
        <v>0</v>
      </c>
      <c r="P99" s="169">
        <v>418000</v>
      </c>
      <c r="Q99" s="170" t="s">
        <v>95</v>
      </c>
    </row>
    <row r="100" spans="2:17" ht="15" customHeight="1">
      <c r="B100" s="161">
        <f t="shared" si="3"/>
        <v>91</v>
      </c>
      <c r="C100" s="162" t="s">
        <v>112</v>
      </c>
      <c r="D100" s="162" t="s">
        <v>48</v>
      </c>
      <c r="E100" s="163" t="s">
        <v>34</v>
      </c>
      <c r="F100" s="164" t="s">
        <v>151</v>
      </c>
      <c r="G100" s="262" t="s">
        <v>424</v>
      </c>
      <c r="H100" s="165" t="s">
        <v>91</v>
      </c>
      <c r="I100" s="166">
        <v>45330</v>
      </c>
      <c r="J100" s="167">
        <v>784300</v>
      </c>
      <c r="K100" s="167">
        <v>0</v>
      </c>
      <c r="L100" s="139"/>
      <c r="M100" s="168">
        <v>0</v>
      </c>
      <c r="N100" s="168">
        <v>0</v>
      </c>
      <c r="O100" s="168">
        <v>0</v>
      </c>
      <c r="P100" s="169">
        <v>784300</v>
      </c>
      <c r="Q100" s="170" t="s">
        <v>95</v>
      </c>
    </row>
    <row r="101" spans="2:17" ht="15" customHeight="1">
      <c r="B101" s="161">
        <f t="shared" si="3"/>
        <v>92</v>
      </c>
      <c r="C101" s="162" t="s">
        <v>112</v>
      </c>
      <c r="D101" s="162" t="s">
        <v>48</v>
      </c>
      <c r="E101" s="163" t="s">
        <v>34</v>
      </c>
      <c r="F101" s="164" t="s">
        <v>151</v>
      </c>
      <c r="G101" s="262" t="s">
        <v>424</v>
      </c>
      <c r="H101" s="165" t="s">
        <v>91</v>
      </c>
      <c r="I101" s="166">
        <v>45370</v>
      </c>
      <c r="J101" s="167">
        <v>733700</v>
      </c>
      <c r="K101" s="167">
        <v>0</v>
      </c>
      <c r="L101" s="139"/>
      <c r="M101" s="168">
        <v>0</v>
      </c>
      <c r="N101" s="168">
        <v>0</v>
      </c>
      <c r="O101" s="168">
        <v>0</v>
      </c>
      <c r="P101" s="169">
        <v>733700</v>
      </c>
      <c r="Q101" s="170" t="s">
        <v>95</v>
      </c>
    </row>
    <row r="102" spans="2:17" ht="15" customHeight="1">
      <c r="B102" s="161">
        <f t="shared" si="3"/>
        <v>93</v>
      </c>
      <c r="C102" s="162" t="s">
        <v>112</v>
      </c>
      <c r="D102" s="162" t="s">
        <v>48</v>
      </c>
      <c r="E102" s="163" t="s">
        <v>34</v>
      </c>
      <c r="F102" s="164" t="s">
        <v>151</v>
      </c>
      <c r="G102" s="262" t="s">
        <v>424</v>
      </c>
      <c r="H102" s="165" t="s">
        <v>91</v>
      </c>
      <c r="I102" s="166">
        <v>45401</v>
      </c>
      <c r="J102" s="167">
        <v>784300</v>
      </c>
      <c r="K102" s="167">
        <v>0</v>
      </c>
      <c r="L102" s="139"/>
      <c r="M102" s="168">
        <v>0</v>
      </c>
      <c r="N102" s="168">
        <v>0</v>
      </c>
      <c r="O102" s="168">
        <v>0</v>
      </c>
      <c r="P102" s="169">
        <v>784300</v>
      </c>
      <c r="Q102" s="170" t="s">
        <v>95</v>
      </c>
    </row>
    <row r="103" spans="2:17" ht="15" customHeight="1">
      <c r="B103" s="161">
        <f t="shared" si="3"/>
        <v>94</v>
      </c>
      <c r="C103" s="162" t="s">
        <v>112</v>
      </c>
      <c r="D103" s="162" t="s">
        <v>48</v>
      </c>
      <c r="E103" s="163" t="s">
        <v>34</v>
      </c>
      <c r="F103" s="164" t="s">
        <v>151</v>
      </c>
      <c r="G103" s="262" t="s">
        <v>424</v>
      </c>
      <c r="H103" s="165" t="s">
        <v>91</v>
      </c>
      <c r="I103" s="166">
        <v>45420</v>
      </c>
      <c r="J103" s="167">
        <v>759000</v>
      </c>
      <c r="K103" s="167">
        <v>0</v>
      </c>
      <c r="L103" s="139"/>
      <c r="M103" s="168">
        <v>0</v>
      </c>
      <c r="N103" s="168">
        <v>0</v>
      </c>
      <c r="O103" s="168">
        <v>0</v>
      </c>
      <c r="P103" s="169">
        <v>759000</v>
      </c>
      <c r="Q103" s="170" t="s">
        <v>95</v>
      </c>
    </row>
    <row r="104" spans="2:17" ht="15" customHeight="1">
      <c r="B104" s="161">
        <f t="shared" si="3"/>
        <v>95</v>
      </c>
      <c r="C104" s="162" t="s">
        <v>112</v>
      </c>
      <c r="D104" s="162" t="s">
        <v>48</v>
      </c>
      <c r="E104" s="163" t="s">
        <v>34</v>
      </c>
      <c r="F104" s="164" t="s">
        <v>151</v>
      </c>
      <c r="G104" s="262" t="s">
        <v>424</v>
      </c>
      <c r="H104" s="165" t="s">
        <v>91</v>
      </c>
      <c r="I104" s="166">
        <v>45453</v>
      </c>
      <c r="J104" s="167">
        <v>784300</v>
      </c>
      <c r="K104" s="167">
        <v>0</v>
      </c>
      <c r="L104" s="139"/>
      <c r="M104" s="168">
        <v>0</v>
      </c>
      <c r="N104" s="168">
        <v>0</v>
      </c>
      <c r="O104" s="168">
        <v>0</v>
      </c>
      <c r="P104" s="169">
        <v>784300</v>
      </c>
      <c r="Q104" s="170" t="s">
        <v>95</v>
      </c>
    </row>
    <row r="105" spans="2:17" ht="15" customHeight="1">
      <c r="B105" s="161">
        <f t="shared" si="3"/>
        <v>96</v>
      </c>
      <c r="C105" s="162" t="s">
        <v>112</v>
      </c>
      <c r="D105" s="162" t="s">
        <v>48</v>
      </c>
      <c r="E105" s="163" t="s">
        <v>34</v>
      </c>
      <c r="F105" s="164" t="s">
        <v>151</v>
      </c>
      <c r="G105" s="262" t="s">
        <v>424</v>
      </c>
      <c r="H105" s="165" t="s">
        <v>91</v>
      </c>
      <c r="I105" s="166">
        <v>45490</v>
      </c>
      <c r="J105" s="167">
        <v>759000</v>
      </c>
      <c r="K105" s="167">
        <v>0</v>
      </c>
      <c r="L105" s="139"/>
      <c r="M105" s="168">
        <v>0</v>
      </c>
      <c r="N105" s="168">
        <v>0</v>
      </c>
      <c r="O105" s="168">
        <v>0</v>
      </c>
      <c r="P105" s="169">
        <v>759000</v>
      </c>
      <c r="Q105" s="170" t="s">
        <v>95</v>
      </c>
    </row>
    <row r="106" spans="2:17" ht="15" customHeight="1">
      <c r="B106" s="161">
        <f t="shared" ref="B106:B137" si="4">ROW()-9</f>
        <v>97</v>
      </c>
      <c r="C106" s="162" t="s">
        <v>112</v>
      </c>
      <c r="D106" s="162" t="s">
        <v>48</v>
      </c>
      <c r="E106" s="163" t="s">
        <v>34</v>
      </c>
      <c r="F106" s="164" t="s">
        <v>151</v>
      </c>
      <c r="G106" s="262" t="s">
        <v>424</v>
      </c>
      <c r="H106" s="165" t="s">
        <v>91</v>
      </c>
      <c r="I106" s="166">
        <v>45511</v>
      </c>
      <c r="J106" s="167">
        <v>784300</v>
      </c>
      <c r="K106" s="167">
        <v>0</v>
      </c>
      <c r="L106" s="139"/>
      <c r="M106" s="168">
        <v>0</v>
      </c>
      <c r="N106" s="168">
        <v>0</v>
      </c>
      <c r="O106" s="168">
        <v>0</v>
      </c>
      <c r="P106" s="169">
        <v>784300</v>
      </c>
      <c r="Q106" s="170" t="s">
        <v>95</v>
      </c>
    </row>
    <row r="107" spans="2:17" ht="15" customHeight="1">
      <c r="B107" s="161">
        <f t="shared" si="4"/>
        <v>98</v>
      </c>
      <c r="C107" s="162" t="s">
        <v>112</v>
      </c>
      <c r="D107" s="162" t="s">
        <v>48</v>
      </c>
      <c r="E107" s="163" t="s">
        <v>34</v>
      </c>
      <c r="F107" s="164" t="s">
        <v>151</v>
      </c>
      <c r="G107" s="262" t="s">
        <v>424</v>
      </c>
      <c r="H107" s="165" t="s">
        <v>91</v>
      </c>
      <c r="I107" s="166">
        <v>45545</v>
      </c>
      <c r="J107" s="167">
        <v>784300</v>
      </c>
      <c r="K107" s="167">
        <v>0</v>
      </c>
      <c r="L107" s="139"/>
      <c r="M107" s="168">
        <v>0</v>
      </c>
      <c r="N107" s="168">
        <v>0</v>
      </c>
      <c r="O107" s="168">
        <v>0</v>
      </c>
      <c r="P107" s="169">
        <v>784300</v>
      </c>
      <c r="Q107" s="170" t="s">
        <v>95</v>
      </c>
    </row>
    <row r="108" spans="2:17" ht="15" customHeight="1">
      <c r="B108" s="161">
        <f t="shared" si="4"/>
        <v>99</v>
      </c>
      <c r="C108" s="162" t="s">
        <v>112</v>
      </c>
      <c r="D108" s="162" t="s">
        <v>48</v>
      </c>
      <c r="E108" s="163" t="s">
        <v>34</v>
      </c>
      <c r="F108" s="164" t="s">
        <v>151</v>
      </c>
      <c r="G108" s="262" t="s">
        <v>424</v>
      </c>
      <c r="H108" s="165" t="s">
        <v>91</v>
      </c>
      <c r="I108" s="166">
        <v>45579</v>
      </c>
      <c r="J108" s="167">
        <v>759000</v>
      </c>
      <c r="K108" s="167">
        <v>0</v>
      </c>
      <c r="L108" s="139"/>
      <c r="M108" s="168">
        <v>0</v>
      </c>
      <c r="N108" s="168">
        <v>0</v>
      </c>
      <c r="O108" s="168">
        <v>0</v>
      </c>
      <c r="P108" s="169">
        <v>759000</v>
      </c>
      <c r="Q108" s="170" t="s">
        <v>95</v>
      </c>
    </row>
    <row r="109" spans="2:17" ht="15" customHeight="1">
      <c r="B109" s="161">
        <f t="shared" si="4"/>
        <v>100</v>
      </c>
      <c r="C109" s="162" t="s">
        <v>112</v>
      </c>
      <c r="D109" s="162" t="s">
        <v>48</v>
      </c>
      <c r="E109" s="163" t="s">
        <v>34</v>
      </c>
      <c r="F109" s="164" t="s">
        <v>151</v>
      </c>
      <c r="G109" s="262" t="s">
        <v>424</v>
      </c>
      <c r="H109" s="165" t="s">
        <v>91</v>
      </c>
      <c r="I109" s="166">
        <v>45610</v>
      </c>
      <c r="J109" s="167">
        <v>784300</v>
      </c>
      <c r="K109" s="167">
        <v>0</v>
      </c>
      <c r="L109" s="139"/>
      <c r="M109" s="168">
        <v>0</v>
      </c>
      <c r="N109" s="168">
        <v>0</v>
      </c>
      <c r="O109" s="168">
        <v>0</v>
      </c>
      <c r="P109" s="169">
        <v>784300</v>
      </c>
      <c r="Q109" s="170" t="s">
        <v>95</v>
      </c>
    </row>
    <row r="110" spans="2:17" ht="15" customHeight="1">
      <c r="B110" s="161">
        <f t="shared" si="4"/>
        <v>101</v>
      </c>
      <c r="C110" s="162" t="s">
        <v>112</v>
      </c>
      <c r="D110" s="162" t="s">
        <v>48</v>
      </c>
      <c r="E110" s="163" t="s">
        <v>34</v>
      </c>
      <c r="F110" s="164" t="s">
        <v>151</v>
      </c>
      <c r="G110" s="262" t="s">
        <v>424</v>
      </c>
      <c r="H110" s="165" t="s">
        <v>91</v>
      </c>
      <c r="I110" s="166">
        <v>45635</v>
      </c>
      <c r="J110" s="167">
        <v>759000</v>
      </c>
      <c r="K110" s="167">
        <v>0</v>
      </c>
      <c r="L110" s="139"/>
      <c r="M110" s="168">
        <v>0</v>
      </c>
      <c r="N110" s="168">
        <v>0</v>
      </c>
      <c r="O110" s="168">
        <v>0</v>
      </c>
      <c r="P110" s="169">
        <v>759000</v>
      </c>
      <c r="Q110" s="170" t="s">
        <v>95</v>
      </c>
    </row>
    <row r="111" spans="2:17" ht="15" customHeight="1">
      <c r="B111" s="161">
        <f t="shared" si="4"/>
        <v>102</v>
      </c>
      <c r="C111" s="162" t="s">
        <v>112</v>
      </c>
      <c r="D111" s="162" t="s">
        <v>48</v>
      </c>
      <c r="E111" s="163" t="s">
        <v>34</v>
      </c>
      <c r="F111" s="164" t="s">
        <v>151</v>
      </c>
      <c r="G111" s="262" t="s">
        <v>424</v>
      </c>
      <c r="H111" s="165" t="s">
        <v>91</v>
      </c>
      <c r="I111" s="166">
        <v>45671</v>
      </c>
      <c r="J111" s="167">
        <v>784300</v>
      </c>
      <c r="K111" s="167">
        <v>0</v>
      </c>
      <c r="L111" s="139"/>
      <c r="M111" s="168">
        <v>0</v>
      </c>
      <c r="N111" s="168">
        <v>0</v>
      </c>
      <c r="O111" s="168">
        <v>0</v>
      </c>
      <c r="P111" s="169">
        <v>784300</v>
      </c>
      <c r="Q111" s="170" t="s">
        <v>95</v>
      </c>
    </row>
    <row r="112" spans="2:17" ht="15" customHeight="1">
      <c r="B112" s="161">
        <f t="shared" si="4"/>
        <v>103</v>
      </c>
      <c r="C112" s="162" t="s">
        <v>112</v>
      </c>
      <c r="D112" s="162" t="s">
        <v>48</v>
      </c>
      <c r="E112" s="163" t="s">
        <v>152</v>
      </c>
      <c r="F112" s="164" t="s">
        <v>153</v>
      </c>
      <c r="G112" s="262" t="s">
        <v>422</v>
      </c>
      <c r="H112" s="165" t="s">
        <v>91</v>
      </c>
      <c r="I112" s="166">
        <v>45660</v>
      </c>
      <c r="J112" s="167">
        <v>2111270</v>
      </c>
      <c r="K112" s="167">
        <v>0</v>
      </c>
      <c r="L112" s="139"/>
      <c r="M112" s="168">
        <v>0</v>
      </c>
      <c r="N112" s="168">
        <v>0</v>
      </c>
      <c r="O112" s="168">
        <v>0</v>
      </c>
      <c r="P112" s="169">
        <v>2111270</v>
      </c>
      <c r="Q112" s="170" t="s">
        <v>93</v>
      </c>
    </row>
    <row r="113" spans="2:17" ht="15" customHeight="1">
      <c r="B113" s="161">
        <f t="shared" si="4"/>
        <v>104</v>
      </c>
      <c r="C113" s="162" t="s">
        <v>112</v>
      </c>
      <c r="D113" s="162" t="s">
        <v>48</v>
      </c>
      <c r="E113" s="163" t="s">
        <v>152</v>
      </c>
      <c r="F113" s="164" t="s">
        <v>153</v>
      </c>
      <c r="G113" s="262" t="s">
        <v>422</v>
      </c>
      <c r="H113" s="165" t="s">
        <v>91</v>
      </c>
      <c r="I113" s="166">
        <v>45635</v>
      </c>
      <c r="J113" s="167">
        <v>480700</v>
      </c>
      <c r="K113" s="167">
        <v>0</v>
      </c>
      <c r="L113" s="139"/>
      <c r="M113" s="168">
        <v>0</v>
      </c>
      <c r="N113" s="168">
        <v>0</v>
      </c>
      <c r="O113" s="168">
        <v>0</v>
      </c>
      <c r="P113" s="169">
        <v>480700</v>
      </c>
      <c r="Q113" s="170" t="s">
        <v>95</v>
      </c>
    </row>
    <row r="114" spans="2:17" ht="15" customHeight="1">
      <c r="B114" s="161">
        <f t="shared" si="4"/>
        <v>105</v>
      </c>
      <c r="C114" s="162" t="s">
        <v>112</v>
      </c>
      <c r="D114" s="162" t="s">
        <v>48</v>
      </c>
      <c r="E114" s="163" t="s">
        <v>152</v>
      </c>
      <c r="F114" s="164" t="s">
        <v>153</v>
      </c>
      <c r="G114" s="262" t="s">
        <v>422</v>
      </c>
      <c r="H114" s="165" t="s">
        <v>91</v>
      </c>
      <c r="I114" s="166">
        <v>45671</v>
      </c>
      <c r="J114" s="167">
        <v>770000</v>
      </c>
      <c r="K114" s="167">
        <v>0</v>
      </c>
      <c r="L114" s="139"/>
      <c r="M114" s="168">
        <v>0</v>
      </c>
      <c r="N114" s="168">
        <v>0</v>
      </c>
      <c r="O114" s="168">
        <v>0</v>
      </c>
      <c r="P114" s="169">
        <v>770000</v>
      </c>
      <c r="Q114" s="170" t="s">
        <v>95</v>
      </c>
    </row>
    <row r="115" spans="2:17" ht="15" customHeight="1">
      <c r="B115" s="161">
        <f t="shared" si="4"/>
        <v>106</v>
      </c>
      <c r="C115" s="162" t="s">
        <v>112</v>
      </c>
      <c r="D115" s="162" t="s">
        <v>48</v>
      </c>
      <c r="E115" s="163" t="s">
        <v>35</v>
      </c>
      <c r="F115" s="164" t="s">
        <v>154</v>
      </c>
      <c r="G115" s="262" t="s">
        <v>424</v>
      </c>
      <c r="H115" s="165" t="s">
        <v>91</v>
      </c>
      <c r="I115" s="166">
        <v>45663</v>
      </c>
      <c r="J115" s="167">
        <v>743350</v>
      </c>
      <c r="K115" s="167">
        <v>0</v>
      </c>
      <c r="L115" s="139"/>
      <c r="M115" s="168">
        <v>0</v>
      </c>
      <c r="N115" s="168">
        <v>0</v>
      </c>
      <c r="O115" s="168">
        <v>0</v>
      </c>
      <c r="P115" s="169">
        <v>743350</v>
      </c>
      <c r="Q115" s="170" t="s">
        <v>93</v>
      </c>
    </row>
    <row r="116" spans="2:17" ht="15" customHeight="1">
      <c r="B116" s="161">
        <f t="shared" si="4"/>
        <v>107</v>
      </c>
      <c r="C116" s="162" t="s">
        <v>112</v>
      </c>
      <c r="D116" s="162" t="s">
        <v>48</v>
      </c>
      <c r="E116" s="163" t="s">
        <v>36</v>
      </c>
      <c r="F116" s="164" t="s">
        <v>155</v>
      </c>
      <c r="G116" s="262" t="s">
        <v>423</v>
      </c>
      <c r="H116" s="165" t="s">
        <v>91</v>
      </c>
      <c r="I116" s="166">
        <v>45659</v>
      </c>
      <c r="J116" s="167">
        <v>759000</v>
      </c>
      <c r="K116" s="167">
        <v>0</v>
      </c>
      <c r="L116" s="139"/>
      <c r="M116" s="168">
        <v>0</v>
      </c>
      <c r="N116" s="168">
        <v>0</v>
      </c>
      <c r="O116" s="168">
        <v>0</v>
      </c>
      <c r="P116" s="169">
        <v>759000</v>
      </c>
      <c r="Q116" s="170" t="s">
        <v>95</v>
      </c>
    </row>
    <row r="117" spans="2:17" ht="15" customHeight="1">
      <c r="B117" s="161">
        <f t="shared" si="4"/>
        <v>108</v>
      </c>
      <c r="C117" s="162" t="s">
        <v>112</v>
      </c>
      <c r="D117" s="162" t="s">
        <v>48</v>
      </c>
      <c r="E117" s="163" t="s">
        <v>37</v>
      </c>
      <c r="F117" s="164" t="s">
        <v>156</v>
      </c>
      <c r="G117" s="262" t="s">
        <v>423</v>
      </c>
      <c r="H117" s="165" t="s">
        <v>91</v>
      </c>
      <c r="I117" s="166">
        <v>45406</v>
      </c>
      <c r="J117" s="167">
        <v>4618800</v>
      </c>
      <c r="K117" s="167">
        <v>0</v>
      </c>
      <c r="L117" s="139"/>
      <c r="M117" s="168">
        <v>0</v>
      </c>
      <c r="N117" s="168">
        <v>0</v>
      </c>
      <c r="O117" s="168">
        <v>0</v>
      </c>
      <c r="P117" s="169">
        <v>4618800</v>
      </c>
      <c r="Q117" s="170" t="s">
        <v>92</v>
      </c>
    </row>
    <row r="118" spans="2:17" ht="15" customHeight="1">
      <c r="B118" s="161">
        <f t="shared" si="4"/>
        <v>109</v>
      </c>
      <c r="C118" s="162" t="s">
        <v>112</v>
      </c>
      <c r="D118" s="162" t="s">
        <v>48</v>
      </c>
      <c r="E118" s="163" t="s">
        <v>37</v>
      </c>
      <c r="F118" s="164" t="s">
        <v>156</v>
      </c>
      <c r="G118" s="262" t="s">
        <v>423</v>
      </c>
      <c r="H118" s="165" t="s">
        <v>91</v>
      </c>
      <c r="I118" s="166">
        <v>45406</v>
      </c>
      <c r="J118" s="167">
        <v>3343440</v>
      </c>
      <c r="K118" s="167">
        <v>0</v>
      </c>
      <c r="L118" s="139"/>
      <c r="M118" s="168">
        <v>0</v>
      </c>
      <c r="N118" s="168">
        <v>0</v>
      </c>
      <c r="O118" s="168">
        <v>0</v>
      </c>
      <c r="P118" s="169">
        <v>3343440</v>
      </c>
      <c r="Q118" s="170" t="s">
        <v>92</v>
      </c>
    </row>
    <row r="119" spans="2:17" ht="15" customHeight="1">
      <c r="B119" s="161">
        <f t="shared" si="4"/>
        <v>110</v>
      </c>
      <c r="C119" s="162" t="s">
        <v>112</v>
      </c>
      <c r="D119" s="162" t="s">
        <v>48</v>
      </c>
      <c r="E119" s="163" t="s">
        <v>37</v>
      </c>
      <c r="F119" s="164" t="s">
        <v>156</v>
      </c>
      <c r="G119" s="262" t="s">
        <v>423</v>
      </c>
      <c r="H119" s="165" t="s">
        <v>91</v>
      </c>
      <c r="I119" s="166">
        <v>45442</v>
      </c>
      <c r="J119" s="167">
        <v>550000</v>
      </c>
      <c r="K119" s="167">
        <v>0</v>
      </c>
      <c r="L119" s="139"/>
      <c r="M119" s="168">
        <v>0</v>
      </c>
      <c r="N119" s="168">
        <v>0</v>
      </c>
      <c r="O119" s="168">
        <v>0</v>
      </c>
      <c r="P119" s="169">
        <v>550000</v>
      </c>
      <c r="Q119" s="170" t="s">
        <v>271</v>
      </c>
    </row>
    <row r="120" spans="2:17" ht="15" customHeight="1">
      <c r="B120" s="161">
        <f t="shared" si="4"/>
        <v>111</v>
      </c>
      <c r="C120" s="162" t="s">
        <v>112</v>
      </c>
      <c r="D120" s="162" t="s">
        <v>48</v>
      </c>
      <c r="E120" s="163" t="s">
        <v>37</v>
      </c>
      <c r="F120" s="164" t="s">
        <v>156</v>
      </c>
      <c r="G120" s="262" t="s">
        <v>423</v>
      </c>
      <c r="H120" s="165" t="s">
        <v>91</v>
      </c>
      <c r="I120" s="166">
        <v>45442</v>
      </c>
      <c r="J120" s="167">
        <v>170310</v>
      </c>
      <c r="K120" s="167">
        <v>0</v>
      </c>
      <c r="L120" s="139"/>
      <c r="M120" s="168">
        <v>0</v>
      </c>
      <c r="N120" s="168">
        <v>0</v>
      </c>
      <c r="O120" s="168">
        <v>0</v>
      </c>
      <c r="P120" s="169">
        <v>170310</v>
      </c>
      <c r="Q120" s="170" t="s">
        <v>270</v>
      </c>
    </row>
    <row r="121" spans="2:17" ht="15" customHeight="1">
      <c r="B121" s="161">
        <f t="shared" si="4"/>
        <v>112</v>
      </c>
      <c r="C121" s="162" t="s">
        <v>112</v>
      </c>
      <c r="D121" s="162" t="s">
        <v>48</v>
      </c>
      <c r="E121" s="163" t="s">
        <v>37</v>
      </c>
      <c r="F121" s="164" t="s">
        <v>156</v>
      </c>
      <c r="G121" s="262" t="s">
        <v>423</v>
      </c>
      <c r="H121" s="165" t="s">
        <v>91</v>
      </c>
      <c r="I121" s="166">
        <v>45209</v>
      </c>
      <c r="J121" s="167">
        <v>1282446</v>
      </c>
      <c r="K121" s="167">
        <v>0</v>
      </c>
      <c r="L121" s="139"/>
      <c r="M121" s="168">
        <v>0</v>
      </c>
      <c r="N121" s="168">
        <v>0</v>
      </c>
      <c r="O121" s="168">
        <v>0</v>
      </c>
      <c r="P121" s="169">
        <v>1282446</v>
      </c>
      <c r="Q121" s="170" t="s">
        <v>93</v>
      </c>
    </row>
    <row r="122" spans="2:17" ht="15" customHeight="1">
      <c r="B122" s="161">
        <f t="shared" si="4"/>
        <v>113</v>
      </c>
      <c r="C122" s="162" t="s">
        <v>112</v>
      </c>
      <c r="D122" s="162" t="s">
        <v>48</v>
      </c>
      <c r="E122" s="163" t="s">
        <v>37</v>
      </c>
      <c r="F122" s="164" t="s">
        <v>156</v>
      </c>
      <c r="G122" s="262" t="s">
        <v>423</v>
      </c>
      <c r="H122" s="165" t="s">
        <v>91</v>
      </c>
      <c r="I122" s="166">
        <v>45209</v>
      </c>
      <c r="J122" s="167">
        <v>242945</v>
      </c>
      <c r="K122" s="167">
        <v>0</v>
      </c>
      <c r="L122" s="139"/>
      <c r="M122" s="168">
        <v>0</v>
      </c>
      <c r="N122" s="168">
        <v>0</v>
      </c>
      <c r="O122" s="168">
        <v>0</v>
      </c>
      <c r="P122" s="169">
        <v>242945</v>
      </c>
      <c r="Q122" s="170" t="s">
        <v>93</v>
      </c>
    </row>
    <row r="123" spans="2:17" ht="15" customHeight="1">
      <c r="B123" s="161">
        <f t="shared" si="4"/>
        <v>114</v>
      </c>
      <c r="C123" s="162" t="s">
        <v>112</v>
      </c>
      <c r="D123" s="162" t="s">
        <v>48</v>
      </c>
      <c r="E123" s="163" t="s">
        <v>37</v>
      </c>
      <c r="F123" s="164" t="s">
        <v>156</v>
      </c>
      <c r="G123" s="262" t="s">
        <v>423</v>
      </c>
      <c r="H123" s="165" t="s">
        <v>91</v>
      </c>
      <c r="I123" s="166">
        <v>45496</v>
      </c>
      <c r="J123" s="167">
        <v>373700</v>
      </c>
      <c r="K123" s="167">
        <v>0</v>
      </c>
      <c r="L123" s="139"/>
      <c r="M123" s="168">
        <v>0</v>
      </c>
      <c r="N123" s="168">
        <v>0</v>
      </c>
      <c r="O123" s="168">
        <v>0</v>
      </c>
      <c r="P123" s="169">
        <v>373700</v>
      </c>
      <c r="Q123" s="170" t="s">
        <v>93</v>
      </c>
    </row>
    <row r="124" spans="2:17" ht="15" customHeight="1">
      <c r="B124" s="161">
        <f t="shared" si="4"/>
        <v>115</v>
      </c>
      <c r="C124" s="162" t="s">
        <v>112</v>
      </c>
      <c r="D124" s="162" t="s">
        <v>48</v>
      </c>
      <c r="E124" s="163" t="s">
        <v>157</v>
      </c>
      <c r="F124" s="164" t="s">
        <v>158</v>
      </c>
      <c r="G124" s="262" t="s">
        <v>420</v>
      </c>
      <c r="H124" s="165" t="s">
        <v>91</v>
      </c>
      <c r="I124" s="166">
        <v>45670</v>
      </c>
      <c r="J124" s="167">
        <v>1335490</v>
      </c>
      <c r="K124" s="167">
        <v>0</v>
      </c>
      <c r="L124" s="139"/>
      <c r="M124" s="168">
        <v>0</v>
      </c>
      <c r="N124" s="168">
        <v>0</v>
      </c>
      <c r="O124" s="168">
        <v>0</v>
      </c>
      <c r="P124" s="169">
        <v>1335490</v>
      </c>
      <c r="Q124" s="170" t="s">
        <v>95</v>
      </c>
    </row>
    <row r="125" spans="2:17" ht="15" customHeight="1">
      <c r="B125" s="161">
        <f t="shared" si="4"/>
        <v>116</v>
      </c>
      <c r="C125" s="162" t="s">
        <v>112</v>
      </c>
      <c r="D125" s="162" t="s">
        <v>48</v>
      </c>
      <c r="E125" s="163" t="s">
        <v>159</v>
      </c>
      <c r="F125" s="164" t="s">
        <v>160</v>
      </c>
      <c r="G125" s="262" t="s">
        <v>424</v>
      </c>
      <c r="H125" s="165" t="s">
        <v>91</v>
      </c>
      <c r="I125" s="166">
        <v>45642</v>
      </c>
      <c r="J125" s="167">
        <v>2102290</v>
      </c>
      <c r="K125" s="167">
        <v>0</v>
      </c>
      <c r="L125" s="139"/>
      <c r="M125" s="168">
        <v>0</v>
      </c>
      <c r="N125" s="168">
        <v>0</v>
      </c>
      <c r="O125" s="168">
        <v>0</v>
      </c>
      <c r="P125" s="169">
        <v>2102290</v>
      </c>
      <c r="Q125" s="170" t="s">
        <v>92</v>
      </c>
    </row>
    <row r="126" spans="2:17" ht="15" customHeight="1">
      <c r="B126" s="161">
        <f t="shared" si="4"/>
        <v>117</v>
      </c>
      <c r="C126" s="162" t="s">
        <v>112</v>
      </c>
      <c r="D126" s="162" t="s">
        <v>48</v>
      </c>
      <c r="E126" s="163" t="s">
        <v>161</v>
      </c>
      <c r="F126" s="164" t="s">
        <v>162</v>
      </c>
      <c r="G126" s="262" t="s">
        <v>424</v>
      </c>
      <c r="H126" s="165" t="s">
        <v>91</v>
      </c>
      <c r="I126" s="166">
        <v>45587</v>
      </c>
      <c r="J126" s="167">
        <v>173500</v>
      </c>
      <c r="K126" s="167">
        <v>0</v>
      </c>
      <c r="L126" s="139"/>
      <c r="M126" s="168">
        <v>0</v>
      </c>
      <c r="N126" s="168">
        <v>0</v>
      </c>
      <c r="O126" s="168">
        <v>0</v>
      </c>
      <c r="P126" s="169">
        <v>173500</v>
      </c>
      <c r="Q126" s="170" t="s">
        <v>94</v>
      </c>
    </row>
    <row r="127" spans="2:17" ht="15" customHeight="1">
      <c r="B127" s="161">
        <f t="shared" si="4"/>
        <v>118</v>
      </c>
      <c r="C127" s="162" t="s">
        <v>112</v>
      </c>
      <c r="D127" s="162" t="s">
        <v>48</v>
      </c>
      <c r="E127" s="163" t="s">
        <v>38</v>
      </c>
      <c r="F127" s="164" t="s">
        <v>163</v>
      </c>
      <c r="G127" s="262" t="s">
        <v>422</v>
      </c>
      <c r="H127" s="165" t="s">
        <v>91</v>
      </c>
      <c r="I127" s="166">
        <v>45664</v>
      </c>
      <c r="J127" s="167">
        <v>4982570</v>
      </c>
      <c r="K127" s="167">
        <v>0</v>
      </c>
      <c r="L127" s="139"/>
      <c r="M127" s="168">
        <v>0</v>
      </c>
      <c r="N127" s="168">
        <v>0</v>
      </c>
      <c r="O127" s="168">
        <v>0</v>
      </c>
      <c r="P127" s="169">
        <v>4982570</v>
      </c>
      <c r="Q127" s="170" t="s">
        <v>92</v>
      </c>
    </row>
    <row r="128" spans="2:17" ht="15" customHeight="1">
      <c r="B128" s="161">
        <f t="shared" si="4"/>
        <v>119</v>
      </c>
      <c r="C128" s="162" t="s">
        <v>112</v>
      </c>
      <c r="D128" s="162" t="s">
        <v>48</v>
      </c>
      <c r="E128" s="163" t="s">
        <v>170</v>
      </c>
      <c r="F128" s="164" t="s">
        <v>171</v>
      </c>
      <c r="G128" s="262" t="s">
        <v>420</v>
      </c>
      <c r="H128" s="165" t="s">
        <v>91</v>
      </c>
      <c r="I128" s="166">
        <v>45650</v>
      </c>
      <c r="J128" s="167">
        <v>4153400</v>
      </c>
      <c r="K128" s="167">
        <v>0</v>
      </c>
      <c r="L128" s="139"/>
      <c r="M128" s="168">
        <v>0</v>
      </c>
      <c r="N128" s="168">
        <v>0</v>
      </c>
      <c r="O128" s="168">
        <v>0</v>
      </c>
      <c r="P128" s="169">
        <v>4153400</v>
      </c>
      <c r="Q128" s="170" t="s">
        <v>92</v>
      </c>
    </row>
    <row r="129" spans="2:17" ht="15" customHeight="1">
      <c r="B129" s="161">
        <f t="shared" si="4"/>
        <v>120</v>
      </c>
      <c r="C129" s="162" t="s">
        <v>112</v>
      </c>
      <c r="D129" s="162" t="s">
        <v>48</v>
      </c>
      <c r="E129" s="163" t="s">
        <v>172</v>
      </c>
      <c r="F129" s="164" t="s">
        <v>173</v>
      </c>
      <c r="G129" s="262" t="s">
        <v>420</v>
      </c>
      <c r="H129" s="165" t="s">
        <v>91</v>
      </c>
      <c r="I129" s="166">
        <v>45509</v>
      </c>
      <c r="J129" s="167">
        <v>1487820</v>
      </c>
      <c r="K129" s="167">
        <v>0</v>
      </c>
      <c r="L129" s="139"/>
      <c r="M129" s="168">
        <v>0</v>
      </c>
      <c r="N129" s="168">
        <v>0</v>
      </c>
      <c r="O129" s="168">
        <v>0</v>
      </c>
      <c r="P129" s="169">
        <v>1487820</v>
      </c>
      <c r="Q129" s="170" t="s">
        <v>92</v>
      </c>
    </row>
    <row r="130" spans="2:17" ht="15" customHeight="1">
      <c r="B130" s="161">
        <f t="shared" si="4"/>
        <v>121</v>
      </c>
      <c r="C130" s="162" t="s">
        <v>112</v>
      </c>
      <c r="D130" s="162" t="s">
        <v>48</v>
      </c>
      <c r="E130" s="163" t="s">
        <v>172</v>
      </c>
      <c r="F130" s="164" t="s">
        <v>173</v>
      </c>
      <c r="G130" s="262" t="s">
        <v>420</v>
      </c>
      <c r="H130" s="165" t="s">
        <v>91</v>
      </c>
      <c r="I130" s="166">
        <v>45490</v>
      </c>
      <c r="J130" s="167">
        <v>261442</v>
      </c>
      <c r="K130" s="167">
        <v>0</v>
      </c>
      <c r="L130" s="139"/>
      <c r="M130" s="168">
        <v>0</v>
      </c>
      <c r="N130" s="168">
        <v>0</v>
      </c>
      <c r="O130" s="168">
        <v>0</v>
      </c>
      <c r="P130" s="169">
        <v>261442</v>
      </c>
      <c r="Q130" s="170" t="s">
        <v>93</v>
      </c>
    </row>
    <row r="131" spans="2:17" ht="15" customHeight="1">
      <c r="B131" s="161">
        <f t="shared" si="4"/>
        <v>122</v>
      </c>
      <c r="C131" s="162" t="s">
        <v>112</v>
      </c>
      <c r="D131" s="162" t="s">
        <v>48</v>
      </c>
      <c r="E131" s="163" t="s">
        <v>136</v>
      </c>
      <c r="F131" s="164" t="s">
        <v>174</v>
      </c>
      <c r="G131" s="262" t="s">
        <v>420</v>
      </c>
      <c r="H131" s="165" t="s">
        <v>91</v>
      </c>
      <c r="I131" s="166">
        <v>45656</v>
      </c>
      <c r="J131" s="167">
        <v>668261</v>
      </c>
      <c r="K131" s="167">
        <v>0</v>
      </c>
      <c r="L131" s="139"/>
      <c r="M131" s="168">
        <v>0</v>
      </c>
      <c r="N131" s="168">
        <v>0</v>
      </c>
      <c r="O131" s="168">
        <v>0</v>
      </c>
      <c r="P131" s="169">
        <v>668261</v>
      </c>
      <c r="Q131" s="170" t="s">
        <v>93</v>
      </c>
    </row>
    <row r="132" spans="2:17" ht="15" customHeight="1">
      <c r="B132" s="161">
        <f t="shared" si="4"/>
        <v>123</v>
      </c>
      <c r="C132" s="162" t="s">
        <v>112</v>
      </c>
      <c r="D132" s="162" t="s">
        <v>48</v>
      </c>
      <c r="E132" s="163" t="s">
        <v>40</v>
      </c>
      <c r="F132" s="164" t="s">
        <v>176</v>
      </c>
      <c r="G132" s="262" t="s">
        <v>422</v>
      </c>
      <c r="H132" s="165" t="s">
        <v>91</v>
      </c>
      <c r="I132" s="166">
        <v>45672</v>
      </c>
      <c r="J132" s="167">
        <v>691500</v>
      </c>
      <c r="K132" s="167">
        <v>0</v>
      </c>
      <c r="L132" s="139"/>
      <c r="M132" s="168">
        <v>0</v>
      </c>
      <c r="N132" s="168">
        <v>0</v>
      </c>
      <c r="O132" s="168">
        <v>0</v>
      </c>
      <c r="P132" s="169">
        <v>691500</v>
      </c>
      <c r="Q132" s="170" t="s">
        <v>94</v>
      </c>
    </row>
    <row r="133" spans="2:17" ht="15" customHeight="1">
      <c r="B133" s="161">
        <f t="shared" si="4"/>
        <v>124</v>
      </c>
      <c r="C133" s="162" t="s">
        <v>112</v>
      </c>
      <c r="D133" s="162" t="s">
        <v>48</v>
      </c>
      <c r="E133" s="163" t="s">
        <v>40</v>
      </c>
      <c r="F133" s="164" t="s">
        <v>176</v>
      </c>
      <c r="G133" s="262" t="s">
        <v>422</v>
      </c>
      <c r="H133" s="165" t="s">
        <v>91</v>
      </c>
      <c r="I133" s="166">
        <v>45503</v>
      </c>
      <c r="J133" s="167">
        <v>327112</v>
      </c>
      <c r="K133" s="167">
        <v>0</v>
      </c>
      <c r="L133" s="139"/>
      <c r="M133" s="168">
        <v>0</v>
      </c>
      <c r="N133" s="168">
        <v>0</v>
      </c>
      <c r="O133" s="168">
        <v>0</v>
      </c>
      <c r="P133" s="169">
        <v>327112</v>
      </c>
      <c r="Q133" s="170" t="s">
        <v>93</v>
      </c>
    </row>
    <row r="134" spans="2:17" ht="15" customHeight="1">
      <c r="B134" s="161">
        <f t="shared" si="4"/>
        <v>125</v>
      </c>
      <c r="C134" s="162" t="s">
        <v>112</v>
      </c>
      <c r="D134" s="162" t="s">
        <v>48</v>
      </c>
      <c r="E134" s="163" t="s">
        <v>181</v>
      </c>
      <c r="F134" s="164" t="s">
        <v>182</v>
      </c>
      <c r="G134" s="262" t="s">
        <v>424</v>
      </c>
      <c r="H134" s="165" t="s">
        <v>91</v>
      </c>
      <c r="I134" s="166">
        <v>45621</v>
      </c>
      <c r="J134" s="167">
        <v>337120</v>
      </c>
      <c r="K134" s="167">
        <v>0</v>
      </c>
      <c r="L134" s="139">
        <v>45694</v>
      </c>
      <c r="M134" s="168">
        <v>25785</v>
      </c>
      <c r="N134" s="168">
        <v>0</v>
      </c>
      <c r="O134" s="168">
        <v>25785</v>
      </c>
      <c r="P134" s="169">
        <v>311335</v>
      </c>
      <c r="Q134" s="170" t="s">
        <v>93</v>
      </c>
    </row>
    <row r="135" spans="2:17" ht="15" customHeight="1">
      <c r="B135" s="161">
        <f t="shared" si="4"/>
        <v>126</v>
      </c>
      <c r="C135" s="162" t="s">
        <v>112</v>
      </c>
      <c r="D135" s="162" t="s">
        <v>49</v>
      </c>
      <c r="E135" s="163" t="s">
        <v>121</v>
      </c>
      <c r="F135" s="164" t="s">
        <v>187</v>
      </c>
      <c r="G135" s="262" t="s">
        <v>420</v>
      </c>
      <c r="H135" s="165" t="s">
        <v>91</v>
      </c>
      <c r="I135" s="166">
        <v>45679</v>
      </c>
      <c r="J135" s="167">
        <v>1518000</v>
      </c>
      <c r="K135" s="167">
        <v>0</v>
      </c>
      <c r="L135" s="139"/>
      <c r="M135" s="168">
        <v>0</v>
      </c>
      <c r="N135" s="168">
        <v>0</v>
      </c>
      <c r="O135" s="168">
        <v>0</v>
      </c>
      <c r="P135" s="169">
        <v>1518000</v>
      </c>
      <c r="Q135" s="170" t="s">
        <v>95</v>
      </c>
    </row>
    <row r="136" spans="2:17" ht="15" customHeight="1">
      <c r="B136" s="161">
        <f t="shared" si="4"/>
        <v>127</v>
      </c>
      <c r="C136" s="162" t="s">
        <v>112</v>
      </c>
      <c r="D136" s="162" t="s">
        <v>49</v>
      </c>
      <c r="E136" s="163" t="s">
        <v>193</v>
      </c>
      <c r="F136" s="164" t="s">
        <v>194</v>
      </c>
      <c r="G136" s="262" t="s">
        <v>420</v>
      </c>
      <c r="H136" s="165" t="s">
        <v>91</v>
      </c>
      <c r="I136" s="166">
        <v>45679</v>
      </c>
      <c r="J136" s="167">
        <v>733700</v>
      </c>
      <c r="K136" s="167">
        <v>0</v>
      </c>
      <c r="L136" s="139"/>
      <c r="M136" s="168">
        <v>0</v>
      </c>
      <c r="N136" s="168">
        <v>0</v>
      </c>
      <c r="O136" s="168">
        <v>0</v>
      </c>
      <c r="P136" s="169">
        <v>733700</v>
      </c>
      <c r="Q136" s="170" t="s">
        <v>95</v>
      </c>
    </row>
    <row r="137" spans="2:17" ht="15" customHeight="1">
      <c r="B137" s="161">
        <f t="shared" si="4"/>
        <v>128</v>
      </c>
      <c r="C137" s="162" t="s">
        <v>112</v>
      </c>
      <c r="D137" s="162" t="s">
        <v>49</v>
      </c>
      <c r="E137" s="163" t="s">
        <v>196</v>
      </c>
      <c r="F137" s="164" t="s">
        <v>197</v>
      </c>
      <c r="G137" s="262" t="s">
        <v>423</v>
      </c>
      <c r="H137" s="165" t="s">
        <v>91</v>
      </c>
      <c r="I137" s="166">
        <v>45527</v>
      </c>
      <c r="J137" s="167">
        <v>3345982</v>
      </c>
      <c r="K137" s="167">
        <v>0</v>
      </c>
      <c r="L137" s="139"/>
      <c r="M137" s="168">
        <v>0</v>
      </c>
      <c r="N137" s="168">
        <v>0</v>
      </c>
      <c r="O137" s="168">
        <v>0</v>
      </c>
      <c r="P137" s="169">
        <v>3345982</v>
      </c>
      <c r="Q137" s="170" t="s">
        <v>93</v>
      </c>
    </row>
    <row r="138" spans="2:17" ht="15" customHeight="1">
      <c r="B138" s="161">
        <f t="shared" ref="B138:B169" si="5">ROW()-9</f>
        <v>129</v>
      </c>
      <c r="C138" s="135" t="s">
        <v>112</v>
      </c>
      <c r="D138" s="135" t="s">
        <v>48</v>
      </c>
      <c r="E138" s="163" t="s">
        <v>164</v>
      </c>
      <c r="F138" s="136" t="s">
        <v>165</v>
      </c>
      <c r="G138" s="262" t="s">
        <v>420</v>
      </c>
      <c r="H138" s="165" t="s">
        <v>91</v>
      </c>
      <c r="I138" s="166">
        <v>45712</v>
      </c>
      <c r="J138" s="167">
        <v>0</v>
      </c>
      <c r="K138" s="167">
        <v>1820910</v>
      </c>
      <c r="L138" s="139"/>
      <c r="M138" s="168">
        <v>0</v>
      </c>
      <c r="N138" s="168">
        <v>0</v>
      </c>
      <c r="O138" s="168">
        <v>0</v>
      </c>
      <c r="P138" s="169">
        <v>1820910</v>
      </c>
      <c r="Q138" s="170" t="s">
        <v>92</v>
      </c>
    </row>
    <row r="139" spans="2:17" ht="15" customHeight="1">
      <c r="B139" s="161">
        <f t="shared" si="5"/>
        <v>130</v>
      </c>
      <c r="C139" s="135" t="s">
        <v>112</v>
      </c>
      <c r="D139" s="135" t="s">
        <v>48</v>
      </c>
      <c r="E139" s="163" t="s">
        <v>30</v>
      </c>
      <c r="F139" s="136" t="s">
        <v>135</v>
      </c>
      <c r="G139" s="262" t="s">
        <v>421</v>
      </c>
      <c r="H139" s="165" t="s">
        <v>91</v>
      </c>
      <c r="I139" s="166">
        <v>45691</v>
      </c>
      <c r="J139" s="167">
        <v>0</v>
      </c>
      <c r="K139" s="167">
        <v>12340450</v>
      </c>
      <c r="L139" s="139"/>
      <c r="M139" s="168">
        <v>0</v>
      </c>
      <c r="N139" s="168">
        <v>0</v>
      </c>
      <c r="O139" s="168">
        <v>0</v>
      </c>
      <c r="P139" s="169">
        <v>12340450</v>
      </c>
      <c r="Q139" s="170" t="s">
        <v>92</v>
      </c>
    </row>
    <row r="140" spans="2:17" ht="15" customHeight="1">
      <c r="B140" s="161">
        <f t="shared" si="5"/>
        <v>131</v>
      </c>
      <c r="C140" s="135" t="s">
        <v>112</v>
      </c>
      <c r="D140" s="135" t="s">
        <v>48</v>
      </c>
      <c r="E140" s="163" t="s">
        <v>123</v>
      </c>
      <c r="F140" s="136" t="s">
        <v>124</v>
      </c>
      <c r="G140" s="262" t="s">
        <v>421</v>
      </c>
      <c r="H140" s="165" t="s">
        <v>91</v>
      </c>
      <c r="I140" s="166">
        <v>45691</v>
      </c>
      <c r="J140" s="167">
        <v>0</v>
      </c>
      <c r="K140" s="167">
        <v>784300</v>
      </c>
      <c r="L140" s="139"/>
      <c r="M140" s="168">
        <v>0</v>
      </c>
      <c r="N140" s="168">
        <v>0</v>
      </c>
      <c r="O140" s="168">
        <v>0</v>
      </c>
      <c r="P140" s="169">
        <v>784300</v>
      </c>
      <c r="Q140" s="170" t="s">
        <v>95</v>
      </c>
    </row>
    <row r="141" spans="2:17" ht="15" customHeight="1">
      <c r="B141" s="161">
        <f t="shared" si="5"/>
        <v>132</v>
      </c>
      <c r="C141" s="135" t="s">
        <v>112</v>
      </c>
      <c r="D141" s="135" t="s">
        <v>48</v>
      </c>
      <c r="E141" s="163" t="s">
        <v>36</v>
      </c>
      <c r="F141" s="136" t="s">
        <v>155</v>
      </c>
      <c r="G141" s="262" t="s">
        <v>423</v>
      </c>
      <c r="H141" s="165" t="s">
        <v>91</v>
      </c>
      <c r="I141" s="166">
        <v>45691</v>
      </c>
      <c r="J141" s="167">
        <v>0</v>
      </c>
      <c r="K141" s="167">
        <v>784300</v>
      </c>
      <c r="L141" s="139"/>
      <c r="M141" s="168">
        <v>0</v>
      </c>
      <c r="N141" s="168">
        <v>0</v>
      </c>
      <c r="O141" s="168">
        <v>0</v>
      </c>
      <c r="P141" s="169">
        <v>784300</v>
      </c>
      <c r="Q141" s="170" t="s">
        <v>95</v>
      </c>
    </row>
    <row r="142" spans="2:17" ht="15" customHeight="1">
      <c r="B142" s="161">
        <f t="shared" si="5"/>
        <v>133</v>
      </c>
      <c r="C142" s="135" t="s">
        <v>112</v>
      </c>
      <c r="D142" s="135" t="s">
        <v>48</v>
      </c>
      <c r="E142" s="163" t="s">
        <v>31</v>
      </c>
      <c r="F142" s="136" t="s">
        <v>141</v>
      </c>
      <c r="G142" s="262" t="s">
        <v>425</v>
      </c>
      <c r="H142" s="165" t="s">
        <v>91</v>
      </c>
      <c r="I142" s="166">
        <v>45691</v>
      </c>
      <c r="J142" s="167">
        <v>0</v>
      </c>
      <c r="K142" s="167">
        <v>11721040</v>
      </c>
      <c r="L142" s="139"/>
      <c r="M142" s="168">
        <v>0</v>
      </c>
      <c r="N142" s="168">
        <v>0</v>
      </c>
      <c r="O142" s="168">
        <v>0</v>
      </c>
      <c r="P142" s="169">
        <v>11721040</v>
      </c>
      <c r="Q142" s="170" t="s">
        <v>92</v>
      </c>
    </row>
    <row r="143" spans="2:17" ht="15" customHeight="1">
      <c r="B143" s="161">
        <f t="shared" si="5"/>
        <v>134</v>
      </c>
      <c r="C143" s="135" t="s">
        <v>112</v>
      </c>
      <c r="D143" s="135" t="s">
        <v>48</v>
      </c>
      <c r="E143" s="163" t="s">
        <v>30</v>
      </c>
      <c r="F143" s="136" t="s">
        <v>135</v>
      </c>
      <c r="G143" s="262" t="s">
        <v>421</v>
      </c>
      <c r="H143" s="165" t="s">
        <v>91</v>
      </c>
      <c r="I143" s="166">
        <v>45691</v>
      </c>
      <c r="J143" s="167">
        <v>0</v>
      </c>
      <c r="K143" s="167">
        <v>784300</v>
      </c>
      <c r="L143" s="139"/>
      <c r="M143" s="168">
        <v>0</v>
      </c>
      <c r="N143" s="168">
        <v>0</v>
      </c>
      <c r="O143" s="168">
        <v>0</v>
      </c>
      <c r="P143" s="169">
        <v>784300</v>
      </c>
      <c r="Q143" s="170" t="s">
        <v>95</v>
      </c>
    </row>
    <row r="144" spans="2:17" ht="15" customHeight="1">
      <c r="B144" s="161">
        <f t="shared" si="5"/>
        <v>135</v>
      </c>
      <c r="C144" s="135" t="s">
        <v>112</v>
      </c>
      <c r="D144" s="135" t="s">
        <v>48</v>
      </c>
      <c r="E144" s="163" t="s">
        <v>31</v>
      </c>
      <c r="F144" s="136" t="s">
        <v>141</v>
      </c>
      <c r="G144" s="262" t="s">
        <v>425</v>
      </c>
      <c r="H144" s="165" t="s">
        <v>91</v>
      </c>
      <c r="I144" s="166">
        <v>45691</v>
      </c>
      <c r="J144" s="167">
        <v>0</v>
      </c>
      <c r="K144" s="167">
        <v>784300</v>
      </c>
      <c r="L144" s="139"/>
      <c r="M144" s="168">
        <v>0</v>
      </c>
      <c r="N144" s="168">
        <v>0</v>
      </c>
      <c r="O144" s="168">
        <v>0</v>
      </c>
      <c r="P144" s="169">
        <v>784300</v>
      </c>
      <c r="Q144" s="170" t="s">
        <v>95</v>
      </c>
    </row>
    <row r="145" spans="2:17" ht="15" customHeight="1">
      <c r="B145" s="161">
        <f t="shared" si="5"/>
        <v>136</v>
      </c>
      <c r="C145" s="135" t="s">
        <v>112</v>
      </c>
      <c r="D145" s="135" t="s">
        <v>48</v>
      </c>
      <c r="E145" s="163" t="s">
        <v>36</v>
      </c>
      <c r="F145" s="136" t="s">
        <v>155</v>
      </c>
      <c r="G145" s="262" t="s">
        <v>423</v>
      </c>
      <c r="H145" s="165" t="s">
        <v>91</v>
      </c>
      <c r="I145" s="166">
        <v>45691</v>
      </c>
      <c r="J145" s="167">
        <v>0</v>
      </c>
      <c r="K145" s="167">
        <v>8897580</v>
      </c>
      <c r="L145" s="139"/>
      <c r="M145" s="168">
        <v>0</v>
      </c>
      <c r="N145" s="168">
        <v>0</v>
      </c>
      <c r="O145" s="168">
        <v>0</v>
      </c>
      <c r="P145" s="169">
        <v>8897580</v>
      </c>
      <c r="Q145" s="170" t="s">
        <v>92</v>
      </c>
    </row>
    <row r="146" spans="2:17" ht="15" customHeight="1">
      <c r="B146" s="161">
        <f t="shared" si="5"/>
        <v>137</v>
      </c>
      <c r="C146" s="135" t="s">
        <v>112</v>
      </c>
      <c r="D146" s="135" t="s">
        <v>48</v>
      </c>
      <c r="E146" s="163" t="s">
        <v>42</v>
      </c>
      <c r="F146" s="136" t="s">
        <v>178</v>
      </c>
      <c r="G146" s="262" t="s">
        <v>425</v>
      </c>
      <c r="H146" s="165" t="s">
        <v>91</v>
      </c>
      <c r="I146" s="166">
        <v>45692</v>
      </c>
      <c r="J146" s="167">
        <v>0</v>
      </c>
      <c r="K146" s="167">
        <v>2384470</v>
      </c>
      <c r="L146" s="139"/>
      <c r="M146" s="168">
        <v>0</v>
      </c>
      <c r="N146" s="168">
        <v>0</v>
      </c>
      <c r="O146" s="168">
        <v>0</v>
      </c>
      <c r="P146" s="169">
        <v>2384470</v>
      </c>
      <c r="Q146" s="170" t="s">
        <v>92</v>
      </c>
    </row>
    <row r="147" spans="2:17" ht="15" customHeight="1">
      <c r="B147" s="161">
        <f t="shared" si="5"/>
        <v>138</v>
      </c>
      <c r="C147" s="135" t="s">
        <v>112</v>
      </c>
      <c r="D147" s="135" t="s">
        <v>48</v>
      </c>
      <c r="E147" s="163" t="s">
        <v>36</v>
      </c>
      <c r="F147" s="136" t="s">
        <v>155</v>
      </c>
      <c r="G147" s="262" t="s">
        <v>423</v>
      </c>
      <c r="H147" s="165" t="s">
        <v>91</v>
      </c>
      <c r="I147" s="166">
        <v>45694</v>
      </c>
      <c r="J147" s="167">
        <v>0</v>
      </c>
      <c r="K147" s="167">
        <v>374710</v>
      </c>
      <c r="L147" s="139"/>
      <c r="M147" s="168">
        <v>0</v>
      </c>
      <c r="N147" s="168">
        <v>0</v>
      </c>
      <c r="O147" s="168">
        <v>0</v>
      </c>
      <c r="P147" s="169">
        <v>374710</v>
      </c>
      <c r="Q147" s="170" t="s">
        <v>93</v>
      </c>
    </row>
    <row r="148" spans="2:17" ht="15" customHeight="1">
      <c r="B148" s="161">
        <f t="shared" si="5"/>
        <v>139</v>
      </c>
      <c r="C148" s="135" t="s">
        <v>112</v>
      </c>
      <c r="D148" s="135" t="s">
        <v>48</v>
      </c>
      <c r="E148" s="163" t="s">
        <v>127</v>
      </c>
      <c r="F148" s="136" t="s">
        <v>128</v>
      </c>
      <c r="G148" s="262" t="s">
        <v>426</v>
      </c>
      <c r="H148" s="165" t="s">
        <v>91</v>
      </c>
      <c r="I148" s="166">
        <v>45694</v>
      </c>
      <c r="J148" s="167">
        <v>0</v>
      </c>
      <c r="K148" s="167">
        <v>3407700</v>
      </c>
      <c r="L148" s="139"/>
      <c r="M148" s="168">
        <v>0</v>
      </c>
      <c r="N148" s="168">
        <v>0</v>
      </c>
      <c r="O148" s="168">
        <v>0</v>
      </c>
      <c r="P148" s="169">
        <v>3407700</v>
      </c>
      <c r="Q148" s="170" t="s">
        <v>95</v>
      </c>
    </row>
    <row r="149" spans="2:17" ht="15" customHeight="1">
      <c r="B149" s="161">
        <f t="shared" si="5"/>
        <v>140</v>
      </c>
      <c r="C149" s="135" t="s">
        <v>112</v>
      </c>
      <c r="D149" s="135" t="s">
        <v>48</v>
      </c>
      <c r="E149" s="163" t="s">
        <v>133</v>
      </c>
      <c r="F149" s="136" t="s">
        <v>134</v>
      </c>
      <c r="G149" s="262" t="s">
        <v>421</v>
      </c>
      <c r="H149" s="165" t="s">
        <v>91</v>
      </c>
      <c r="I149" s="166">
        <v>45695</v>
      </c>
      <c r="J149" s="167">
        <v>0</v>
      </c>
      <c r="K149" s="167">
        <v>3407700</v>
      </c>
      <c r="L149" s="139"/>
      <c r="M149" s="168">
        <v>0</v>
      </c>
      <c r="N149" s="168">
        <v>0</v>
      </c>
      <c r="O149" s="168">
        <v>0</v>
      </c>
      <c r="P149" s="169">
        <v>3407700</v>
      </c>
      <c r="Q149" s="170" t="s">
        <v>95</v>
      </c>
    </row>
    <row r="150" spans="2:17" ht="15" customHeight="1">
      <c r="B150" s="161">
        <f t="shared" si="5"/>
        <v>141</v>
      </c>
      <c r="C150" s="135" t="s">
        <v>112</v>
      </c>
      <c r="D150" s="135" t="s">
        <v>49</v>
      </c>
      <c r="E150" s="163" t="s">
        <v>199</v>
      </c>
      <c r="F150" s="136" t="s">
        <v>200</v>
      </c>
      <c r="G150" s="262" t="s">
        <v>425</v>
      </c>
      <c r="H150" s="165" t="s">
        <v>91</v>
      </c>
      <c r="I150" s="166">
        <v>45700</v>
      </c>
      <c r="J150" s="167">
        <v>0</v>
      </c>
      <c r="K150" s="167">
        <v>6119380</v>
      </c>
      <c r="L150" s="139"/>
      <c r="M150" s="168">
        <v>0</v>
      </c>
      <c r="N150" s="168">
        <v>0</v>
      </c>
      <c r="O150" s="168">
        <v>0</v>
      </c>
      <c r="P150" s="169">
        <v>6119380</v>
      </c>
      <c r="Q150" s="170" t="s">
        <v>92</v>
      </c>
    </row>
    <row r="151" spans="2:17" ht="15" customHeight="1">
      <c r="B151" s="161">
        <f t="shared" si="5"/>
        <v>142</v>
      </c>
      <c r="C151" s="135" t="s">
        <v>112</v>
      </c>
      <c r="D151" s="135" t="s">
        <v>48</v>
      </c>
      <c r="E151" s="163" t="s">
        <v>129</v>
      </c>
      <c r="F151" s="136" t="s">
        <v>130</v>
      </c>
      <c r="G151" s="262" t="s">
        <v>427</v>
      </c>
      <c r="H151" s="165" t="s">
        <v>91</v>
      </c>
      <c r="I151" s="166">
        <v>45702</v>
      </c>
      <c r="J151" s="167">
        <v>0</v>
      </c>
      <c r="K151" s="167">
        <v>770000</v>
      </c>
      <c r="L151" s="139"/>
      <c r="M151" s="168">
        <v>0</v>
      </c>
      <c r="N151" s="168">
        <v>0</v>
      </c>
      <c r="O151" s="168">
        <v>0</v>
      </c>
      <c r="P151" s="169">
        <v>770000</v>
      </c>
      <c r="Q151" s="170" t="s">
        <v>95</v>
      </c>
    </row>
    <row r="152" spans="2:17" ht="15" customHeight="1">
      <c r="B152" s="161">
        <f t="shared" si="5"/>
        <v>143</v>
      </c>
      <c r="C152" s="135" t="s">
        <v>112</v>
      </c>
      <c r="D152" s="135" t="s">
        <v>48</v>
      </c>
      <c r="E152" s="163" t="s">
        <v>27</v>
      </c>
      <c r="F152" s="136" t="s">
        <v>113</v>
      </c>
      <c r="G152" s="262" t="s">
        <v>422</v>
      </c>
      <c r="H152" s="165" t="s">
        <v>91</v>
      </c>
      <c r="I152" s="166">
        <v>45702</v>
      </c>
      <c r="J152" s="167">
        <v>0</v>
      </c>
      <c r="K152" s="167">
        <v>10034550</v>
      </c>
      <c r="L152" s="139"/>
      <c r="M152" s="168">
        <v>0</v>
      </c>
      <c r="N152" s="168">
        <v>0</v>
      </c>
      <c r="O152" s="168">
        <v>0</v>
      </c>
      <c r="P152" s="169">
        <v>10034550</v>
      </c>
      <c r="Q152" s="170" t="s">
        <v>92</v>
      </c>
    </row>
    <row r="153" spans="2:17" ht="15" customHeight="1">
      <c r="B153" s="161">
        <f t="shared" si="5"/>
        <v>144</v>
      </c>
      <c r="C153" s="135" t="s">
        <v>112</v>
      </c>
      <c r="D153" s="135" t="s">
        <v>48</v>
      </c>
      <c r="E153" s="163" t="s">
        <v>137</v>
      </c>
      <c r="F153" s="136" t="s">
        <v>138</v>
      </c>
      <c r="G153" s="262" t="s">
        <v>422</v>
      </c>
      <c r="H153" s="165" t="s">
        <v>91</v>
      </c>
      <c r="I153" s="166">
        <v>45702</v>
      </c>
      <c r="J153" s="167">
        <v>0</v>
      </c>
      <c r="K153" s="167">
        <v>2528280</v>
      </c>
      <c r="L153" s="139"/>
      <c r="M153" s="168">
        <v>0</v>
      </c>
      <c r="N153" s="168">
        <v>0</v>
      </c>
      <c r="O153" s="168">
        <v>0</v>
      </c>
      <c r="P153" s="169">
        <v>2528280</v>
      </c>
      <c r="Q153" s="170" t="s">
        <v>95</v>
      </c>
    </row>
    <row r="154" spans="2:17" ht="15" customHeight="1">
      <c r="B154" s="161">
        <f t="shared" si="5"/>
        <v>145</v>
      </c>
      <c r="C154" s="135" t="s">
        <v>112</v>
      </c>
      <c r="D154" s="135" t="s">
        <v>48</v>
      </c>
      <c r="E154" s="163" t="s">
        <v>157</v>
      </c>
      <c r="F154" s="136" t="s">
        <v>158</v>
      </c>
      <c r="G154" s="262" t="s">
        <v>420</v>
      </c>
      <c r="H154" s="165" t="s">
        <v>91</v>
      </c>
      <c r="I154" s="166">
        <v>45702</v>
      </c>
      <c r="J154" s="167">
        <v>0</v>
      </c>
      <c r="K154" s="167">
        <v>1703850</v>
      </c>
      <c r="L154" s="139"/>
      <c r="M154" s="168">
        <v>0</v>
      </c>
      <c r="N154" s="168">
        <v>0</v>
      </c>
      <c r="O154" s="168">
        <v>0</v>
      </c>
      <c r="P154" s="169">
        <v>1703850</v>
      </c>
      <c r="Q154" s="170" t="s">
        <v>95</v>
      </c>
    </row>
    <row r="155" spans="2:17" ht="15" customHeight="1">
      <c r="B155" s="161">
        <f t="shared" si="5"/>
        <v>146</v>
      </c>
      <c r="C155" s="135" t="s">
        <v>112</v>
      </c>
      <c r="D155" s="135" t="s">
        <v>48</v>
      </c>
      <c r="E155" s="163" t="s">
        <v>27</v>
      </c>
      <c r="F155" s="136" t="s">
        <v>113</v>
      </c>
      <c r="G155" s="262" t="s">
        <v>422</v>
      </c>
      <c r="H155" s="165" t="s">
        <v>91</v>
      </c>
      <c r="I155" s="166">
        <v>45705</v>
      </c>
      <c r="J155" s="167">
        <v>0</v>
      </c>
      <c r="K155" s="167">
        <v>19068260</v>
      </c>
      <c r="L155" s="139"/>
      <c r="M155" s="168">
        <v>0</v>
      </c>
      <c r="N155" s="168">
        <v>0</v>
      </c>
      <c r="O155" s="168">
        <v>0</v>
      </c>
      <c r="P155" s="169">
        <v>19068260</v>
      </c>
      <c r="Q155" s="170" t="s">
        <v>92</v>
      </c>
    </row>
    <row r="156" spans="2:17" ht="15" customHeight="1">
      <c r="B156" s="161">
        <f t="shared" si="5"/>
        <v>147</v>
      </c>
      <c r="C156" s="135" t="s">
        <v>112</v>
      </c>
      <c r="D156" s="135" t="s">
        <v>48</v>
      </c>
      <c r="E156" s="163" t="s">
        <v>27</v>
      </c>
      <c r="F156" s="136" t="s">
        <v>113</v>
      </c>
      <c r="G156" s="262" t="s">
        <v>422</v>
      </c>
      <c r="H156" s="165" t="s">
        <v>91</v>
      </c>
      <c r="I156" s="166">
        <v>45705</v>
      </c>
      <c r="J156" s="167">
        <v>0</v>
      </c>
      <c r="K156" s="167">
        <v>9508240</v>
      </c>
      <c r="L156" s="139"/>
      <c r="M156" s="168">
        <v>0</v>
      </c>
      <c r="N156" s="168">
        <v>0</v>
      </c>
      <c r="O156" s="168">
        <v>0</v>
      </c>
      <c r="P156" s="169">
        <v>9508240</v>
      </c>
      <c r="Q156" s="170" t="s">
        <v>92</v>
      </c>
    </row>
    <row r="157" spans="2:17" ht="15" customHeight="1">
      <c r="B157" s="161">
        <f t="shared" si="5"/>
        <v>148</v>
      </c>
      <c r="C157" s="135" t="s">
        <v>112</v>
      </c>
      <c r="D157" s="135" t="s">
        <v>48</v>
      </c>
      <c r="E157" s="163" t="s">
        <v>157</v>
      </c>
      <c r="F157" s="136" t="s">
        <v>158</v>
      </c>
      <c r="G157" s="262" t="s">
        <v>420</v>
      </c>
      <c r="H157" s="165" t="s">
        <v>91</v>
      </c>
      <c r="I157" s="166">
        <v>45706</v>
      </c>
      <c r="J157" s="167">
        <v>0</v>
      </c>
      <c r="K157" s="167">
        <v>5439080</v>
      </c>
      <c r="L157" s="139"/>
      <c r="M157" s="168">
        <v>0</v>
      </c>
      <c r="N157" s="168">
        <v>0</v>
      </c>
      <c r="O157" s="168">
        <v>0</v>
      </c>
      <c r="P157" s="169">
        <v>5439080</v>
      </c>
      <c r="Q157" s="170" t="s">
        <v>92</v>
      </c>
    </row>
    <row r="158" spans="2:17" ht="15" customHeight="1">
      <c r="B158" s="161">
        <f t="shared" si="5"/>
        <v>149</v>
      </c>
      <c r="C158" s="135" t="s">
        <v>112</v>
      </c>
      <c r="D158" s="135" t="s">
        <v>48</v>
      </c>
      <c r="E158" s="163" t="s">
        <v>168</v>
      </c>
      <c r="F158" s="136" t="s">
        <v>169</v>
      </c>
      <c r="G158" s="262" t="s">
        <v>422</v>
      </c>
      <c r="H158" s="165" t="s">
        <v>91</v>
      </c>
      <c r="I158" s="166">
        <v>45706</v>
      </c>
      <c r="J158" s="167">
        <v>0</v>
      </c>
      <c r="K158" s="167">
        <v>1401190</v>
      </c>
      <c r="L158" s="139"/>
      <c r="M158" s="168">
        <v>0</v>
      </c>
      <c r="N158" s="168">
        <v>0</v>
      </c>
      <c r="O158" s="168">
        <v>0</v>
      </c>
      <c r="P158" s="169">
        <v>1401190</v>
      </c>
      <c r="Q158" s="170" t="s">
        <v>92</v>
      </c>
    </row>
    <row r="159" spans="2:17" ht="15" customHeight="1">
      <c r="B159" s="161">
        <f t="shared" si="5"/>
        <v>150</v>
      </c>
      <c r="C159" s="135" t="s">
        <v>112</v>
      </c>
      <c r="D159" s="135" t="s">
        <v>48</v>
      </c>
      <c r="E159" s="163" t="s">
        <v>129</v>
      </c>
      <c r="F159" s="136" t="s">
        <v>130</v>
      </c>
      <c r="G159" s="262" t="s">
        <v>427</v>
      </c>
      <c r="H159" s="165" t="s">
        <v>91</v>
      </c>
      <c r="I159" s="166">
        <v>45706</v>
      </c>
      <c r="J159" s="167">
        <v>0</v>
      </c>
      <c r="K159" s="167">
        <v>4620000</v>
      </c>
      <c r="L159" s="139"/>
      <c r="M159" s="168">
        <v>0</v>
      </c>
      <c r="N159" s="168">
        <v>0</v>
      </c>
      <c r="O159" s="168">
        <v>0</v>
      </c>
      <c r="P159" s="169">
        <v>4620000</v>
      </c>
      <c r="Q159" s="170" t="s">
        <v>92</v>
      </c>
    </row>
    <row r="160" spans="2:17" ht="15" customHeight="1">
      <c r="B160" s="161">
        <f t="shared" si="5"/>
        <v>151</v>
      </c>
      <c r="C160" s="135" t="s">
        <v>112</v>
      </c>
      <c r="D160" s="135" t="s">
        <v>48</v>
      </c>
      <c r="E160" s="163" t="s">
        <v>137</v>
      </c>
      <c r="F160" s="136" t="s">
        <v>138</v>
      </c>
      <c r="G160" s="262" t="s">
        <v>422</v>
      </c>
      <c r="H160" s="165" t="s">
        <v>91</v>
      </c>
      <c r="I160" s="166">
        <v>45706</v>
      </c>
      <c r="J160" s="167">
        <v>0</v>
      </c>
      <c r="K160" s="167">
        <v>7931900</v>
      </c>
      <c r="L160" s="139"/>
      <c r="M160" s="168">
        <v>0</v>
      </c>
      <c r="N160" s="168">
        <v>0</v>
      </c>
      <c r="O160" s="168">
        <v>0</v>
      </c>
      <c r="P160" s="169">
        <v>7931900</v>
      </c>
      <c r="Q160" s="170" t="s">
        <v>92</v>
      </c>
    </row>
    <row r="161" spans="2:17" ht="15" customHeight="1">
      <c r="B161" s="161">
        <f t="shared" si="5"/>
        <v>152</v>
      </c>
      <c r="C161" s="135" t="s">
        <v>112</v>
      </c>
      <c r="D161" s="135" t="s">
        <v>48</v>
      </c>
      <c r="E161" s="163" t="s">
        <v>119</v>
      </c>
      <c r="F161" s="136" t="s">
        <v>120</v>
      </c>
      <c r="G161" s="262" t="s">
        <v>420</v>
      </c>
      <c r="H161" s="165" t="s">
        <v>91</v>
      </c>
      <c r="I161" s="166">
        <v>45707</v>
      </c>
      <c r="J161" s="167">
        <v>0</v>
      </c>
      <c r="K161" s="167">
        <v>10823820</v>
      </c>
      <c r="L161" s="139"/>
      <c r="M161" s="168">
        <v>0</v>
      </c>
      <c r="N161" s="168">
        <v>0</v>
      </c>
      <c r="O161" s="168">
        <v>0</v>
      </c>
      <c r="P161" s="169">
        <v>10823820</v>
      </c>
      <c r="Q161" s="170" t="s">
        <v>92</v>
      </c>
    </row>
    <row r="162" spans="2:17" ht="15" customHeight="1">
      <c r="B162" s="161">
        <f t="shared" si="5"/>
        <v>153</v>
      </c>
      <c r="C162" s="135" t="s">
        <v>112</v>
      </c>
      <c r="D162" s="135" t="s">
        <v>48</v>
      </c>
      <c r="E162" s="163" t="s">
        <v>114</v>
      </c>
      <c r="F162" s="136" t="s">
        <v>115</v>
      </c>
      <c r="G162" s="262" t="s">
        <v>419</v>
      </c>
      <c r="H162" s="165" t="s">
        <v>91</v>
      </c>
      <c r="I162" s="166">
        <v>45707</v>
      </c>
      <c r="J162" s="167">
        <v>0</v>
      </c>
      <c r="K162" s="167">
        <v>6265900</v>
      </c>
      <c r="L162" s="139"/>
      <c r="M162" s="168">
        <v>0</v>
      </c>
      <c r="N162" s="168">
        <v>0</v>
      </c>
      <c r="O162" s="168">
        <v>0</v>
      </c>
      <c r="P162" s="169">
        <v>6265900</v>
      </c>
      <c r="Q162" s="170" t="s">
        <v>92</v>
      </c>
    </row>
    <row r="163" spans="2:17" ht="15" customHeight="1">
      <c r="B163" s="161">
        <f t="shared" si="5"/>
        <v>154</v>
      </c>
      <c r="C163" s="135" t="s">
        <v>112</v>
      </c>
      <c r="D163" s="135" t="s">
        <v>49</v>
      </c>
      <c r="E163" s="163" t="s">
        <v>121</v>
      </c>
      <c r="F163" s="136" t="s">
        <v>187</v>
      </c>
      <c r="G163" s="262" t="s">
        <v>420</v>
      </c>
      <c r="H163" s="165" t="s">
        <v>91</v>
      </c>
      <c r="I163" s="166">
        <v>45707</v>
      </c>
      <c r="J163" s="167">
        <v>0</v>
      </c>
      <c r="K163" s="167">
        <v>2352900</v>
      </c>
      <c r="L163" s="139"/>
      <c r="M163" s="168">
        <v>0</v>
      </c>
      <c r="N163" s="168">
        <v>0</v>
      </c>
      <c r="O163" s="168">
        <v>0</v>
      </c>
      <c r="P163" s="169">
        <v>2352900</v>
      </c>
      <c r="Q163" s="170" t="s">
        <v>95</v>
      </c>
    </row>
    <row r="164" spans="2:17" ht="15" customHeight="1">
      <c r="B164" s="161">
        <f t="shared" si="5"/>
        <v>155</v>
      </c>
      <c r="C164" s="135" t="s">
        <v>112</v>
      </c>
      <c r="D164" s="135" t="s">
        <v>49</v>
      </c>
      <c r="E164" s="163" t="s">
        <v>193</v>
      </c>
      <c r="F164" s="136" t="s">
        <v>194</v>
      </c>
      <c r="G164" s="262" t="s">
        <v>420</v>
      </c>
      <c r="H164" s="165" t="s">
        <v>91</v>
      </c>
      <c r="I164" s="166">
        <v>45707</v>
      </c>
      <c r="J164" s="167">
        <v>0</v>
      </c>
      <c r="K164" s="167">
        <v>784300</v>
      </c>
      <c r="L164" s="139"/>
      <c r="M164" s="168">
        <v>0</v>
      </c>
      <c r="N164" s="168">
        <v>0</v>
      </c>
      <c r="O164" s="168">
        <v>0</v>
      </c>
      <c r="P164" s="169">
        <v>784300</v>
      </c>
      <c r="Q164" s="170" t="s">
        <v>95</v>
      </c>
    </row>
    <row r="165" spans="2:17" ht="15" customHeight="1">
      <c r="B165" s="161">
        <f t="shared" si="5"/>
        <v>156</v>
      </c>
      <c r="C165" s="135" t="s">
        <v>112</v>
      </c>
      <c r="D165" s="135" t="s">
        <v>48</v>
      </c>
      <c r="E165" s="163" t="s">
        <v>114</v>
      </c>
      <c r="F165" s="136" t="s">
        <v>115</v>
      </c>
      <c r="G165" s="262" t="s">
        <v>419</v>
      </c>
      <c r="H165" s="165" t="s">
        <v>91</v>
      </c>
      <c r="I165" s="166">
        <v>45707</v>
      </c>
      <c r="J165" s="167">
        <v>0</v>
      </c>
      <c r="K165" s="167">
        <v>13609400</v>
      </c>
      <c r="L165" s="139"/>
      <c r="M165" s="168">
        <v>0</v>
      </c>
      <c r="N165" s="168">
        <v>0</v>
      </c>
      <c r="O165" s="168">
        <v>0</v>
      </c>
      <c r="P165" s="169">
        <v>13609400</v>
      </c>
      <c r="Q165" s="170" t="s">
        <v>92</v>
      </c>
    </row>
    <row r="166" spans="2:17" ht="15" customHeight="1">
      <c r="B166" s="161">
        <f t="shared" si="5"/>
        <v>157</v>
      </c>
      <c r="C166" s="135" t="s">
        <v>112</v>
      </c>
      <c r="D166" s="135" t="s">
        <v>48</v>
      </c>
      <c r="E166" s="163" t="s">
        <v>32</v>
      </c>
      <c r="F166" s="136" t="s">
        <v>142</v>
      </c>
      <c r="G166" s="262" t="s">
        <v>422</v>
      </c>
      <c r="H166" s="165" t="s">
        <v>91</v>
      </c>
      <c r="I166" s="166">
        <v>45708</v>
      </c>
      <c r="J166" s="167">
        <v>0</v>
      </c>
      <c r="K166" s="167">
        <v>784300</v>
      </c>
      <c r="L166" s="139"/>
      <c r="M166" s="168">
        <v>0</v>
      </c>
      <c r="N166" s="168">
        <v>0</v>
      </c>
      <c r="O166" s="168">
        <v>0</v>
      </c>
      <c r="P166" s="169">
        <v>784300</v>
      </c>
      <c r="Q166" s="170" t="s">
        <v>95</v>
      </c>
    </row>
    <row r="167" spans="2:17" ht="15" customHeight="1">
      <c r="B167" s="161">
        <f t="shared" si="5"/>
        <v>158</v>
      </c>
      <c r="C167" s="135" t="s">
        <v>112</v>
      </c>
      <c r="D167" s="135" t="s">
        <v>48</v>
      </c>
      <c r="E167" s="163" t="s">
        <v>33</v>
      </c>
      <c r="F167" s="136" t="s">
        <v>146</v>
      </c>
      <c r="G167" s="262" t="s">
        <v>423</v>
      </c>
      <c r="H167" s="165" t="s">
        <v>91</v>
      </c>
      <c r="I167" s="166">
        <v>45708</v>
      </c>
      <c r="J167" s="167">
        <v>0</v>
      </c>
      <c r="K167" s="167">
        <v>581900</v>
      </c>
      <c r="L167" s="139"/>
      <c r="M167" s="168">
        <v>0</v>
      </c>
      <c r="N167" s="168">
        <v>0</v>
      </c>
      <c r="O167" s="168">
        <v>0</v>
      </c>
      <c r="P167" s="169">
        <v>581900</v>
      </c>
      <c r="Q167" s="170" t="s">
        <v>95</v>
      </c>
    </row>
    <row r="168" spans="2:17" ht="15" customHeight="1">
      <c r="B168" s="161">
        <f t="shared" si="5"/>
        <v>159</v>
      </c>
      <c r="C168" s="135" t="s">
        <v>112</v>
      </c>
      <c r="D168" s="135" t="s">
        <v>48</v>
      </c>
      <c r="E168" s="163" t="s">
        <v>117</v>
      </c>
      <c r="F168" s="136" t="s">
        <v>118</v>
      </c>
      <c r="G168" s="262" t="s">
        <v>423</v>
      </c>
      <c r="H168" s="165" t="s">
        <v>91</v>
      </c>
      <c r="I168" s="166">
        <v>45708</v>
      </c>
      <c r="J168" s="167">
        <v>0</v>
      </c>
      <c r="K168" s="167">
        <v>3407700</v>
      </c>
      <c r="L168" s="139"/>
      <c r="M168" s="168">
        <v>0</v>
      </c>
      <c r="N168" s="168">
        <v>0</v>
      </c>
      <c r="O168" s="168">
        <v>0</v>
      </c>
      <c r="P168" s="169">
        <v>3407700</v>
      </c>
      <c r="Q168" s="170" t="s">
        <v>95</v>
      </c>
    </row>
    <row r="169" spans="2:17" ht="15" customHeight="1">
      <c r="B169" s="161">
        <f t="shared" si="5"/>
        <v>160</v>
      </c>
      <c r="C169" s="135" t="s">
        <v>112</v>
      </c>
      <c r="D169" s="135" t="s">
        <v>48</v>
      </c>
      <c r="E169" s="163" t="s">
        <v>33</v>
      </c>
      <c r="F169" s="136" t="s">
        <v>146</v>
      </c>
      <c r="G169" s="262" t="s">
        <v>423</v>
      </c>
      <c r="H169" s="165" t="s">
        <v>91</v>
      </c>
      <c r="I169" s="166">
        <v>45708</v>
      </c>
      <c r="J169" s="167">
        <v>0</v>
      </c>
      <c r="K169" s="167">
        <v>328900</v>
      </c>
      <c r="L169" s="139"/>
      <c r="M169" s="168">
        <v>0</v>
      </c>
      <c r="N169" s="168">
        <v>0</v>
      </c>
      <c r="O169" s="168">
        <v>0</v>
      </c>
      <c r="P169" s="169">
        <v>328900</v>
      </c>
      <c r="Q169" s="170" t="s">
        <v>95</v>
      </c>
    </row>
    <row r="170" spans="2:17" ht="15" customHeight="1">
      <c r="B170" s="161">
        <f t="shared" ref="B170:B180" si="6">ROW()-9</f>
        <v>161</v>
      </c>
      <c r="C170" s="135" t="s">
        <v>112</v>
      </c>
      <c r="D170" s="135" t="s">
        <v>48</v>
      </c>
      <c r="E170" s="163" t="s">
        <v>34</v>
      </c>
      <c r="F170" s="136" t="s">
        <v>151</v>
      </c>
      <c r="G170" s="262" t="s">
        <v>424</v>
      </c>
      <c r="H170" s="165" t="s">
        <v>91</v>
      </c>
      <c r="I170" s="166">
        <v>45708</v>
      </c>
      <c r="J170" s="167">
        <v>0</v>
      </c>
      <c r="K170" s="167">
        <v>784300</v>
      </c>
      <c r="L170" s="139"/>
      <c r="M170" s="168">
        <v>0</v>
      </c>
      <c r="N170" s="168">
        <v>0</v>
      </c>
      <c r="O170" s="168">
        <v>0</v>
      </c>
      <c r="P170" s="169">
        <v>784300</v>
      </c>
      <c r="Q170" s="170" t="s">
        <v>95</v>
      </c>
    </row>
    <row r="171" spans="2:17" ht="15" customHeight="1">
      <c r="B171" s="161">
        <f t="shared" si="6"/>
        <v>162</v>
      </c>
      <c r="C171" s="135" t="s">
        <v>112</v>
      </c>
      <c r="D171" s="135" t="s">
        <v>48</v>
      </c>
      <c r="E171" s="163" t="s">
        <v>27</v>
      </c>
      <c r="F171" s="136" t="s">
        <v>113</v>
      </c>
      <c r="G171" s="262" t="s">
        <v>422</v>
      </c>
      <c r="H171" s="165" t="s">
        <v>91</v>
      </c>
      <c r="I171" s="166">
        <v>45708</v>
      </c>
      <c r="J171" s="167">
        <v>0</v>
      </c>
      <c r="K171" s="167">
        <v>3407690</v>
      </c>
      <c r="L171" s="139"/>
      <c r="M171" s="168">
        <v>0</v>
      </c>
      <c r="N171" s="168">
        <v>0</v>
      </c>
      <c r="O171" s="168">
        <v>0</v>
      </c>
      <c r="P171" s="169">
        <v>3407690</v>
      </c>
      <c r="Q171" s="170" t="s">
        <v>95</v>
      </c>
    </row>
    <row r="172" spans="2:17" ht="15" customHeight="1">
      <c r="B172" s="161">
        <f t="shared" si="6"/>
        <v>163</v>
      </c>
      <c r="C172" s="135" t="s">
        <v>112</v>
      </c>
      <c r="D172" s="135" t="s">
        <v>48</v>
      </c>
      <c r="E172" s="163" t="s">
        <v>152</v>
      </c>
      <c r="F172" s="136" t="s">
        <v>153</v>
      </c>
      <c r="G172" s="262" t="s">
        <v>422</v>
      </c>
      <c r="H172" s="165" t="s">
        <v>91</v>
      </c>
      <c r="I172" s="166">
        <v>45708</v>
      </c>
      <c r="J172" s="167">
        <v>0</v>
      </c>
      <c r="K172" s="167">
        <v>770000</v>
      </c>
      <c r="L172" s="139"/>
      <c r="M172" s="168">
        <v>0</v>
      </c>
      <c r="N172" s="168">
        <v>0</v>
      </c>
      <c r="O172" s="168">
        <v>0</v>
      </c>
      <c r="P172" s="169">
        <v>770000</v>
      </c>
      <c r="Q172" s="170" t="s">
        <v>95</v>
      </c>
    </row>
    <row r="173" spans="2:17" ht="15" customHeight="1">
      <c r="B173" s="161">
        <f t="shared" si="6"/>
        <v>164</v>
      </c>
      <c r="C173" s="135" t="s">
        <v>112</v>
      </c>
      <c r="D173" s="135" t="s">
        <v>48</v>
      </c>
      <c r="E173" s="163" t="s">
        <v>30</v>
      </c>
      <c r="F173" s="136" t="s">
        <v>135</v>
      </c>
      <c r="G173" s="262" t="s">
        <v>421</v>
      </c>
      <c r="H173" s="165" t="s">
        <v>91</v>
      </c>
      <c r="I173" s="166">
        <v>45708</v>
      </c>
      <c r="J173" s="167">
        <v>0</v>
      </c>
      <c r="K173" s="167">
        <v>41160</v>
      </c>
      <c r="L173" s="139"/>
      <c r="M173" s="168">
        <v>0</v>
      </c>
      <c r="N173" s="168">
        <v>0</v>
      </c>
      <c r="O173" s="168">
        <v>0</v>
      </c>
      <c r="P173" s="169">
        <v>41160</v>
      </c>
      <c r="Q173" s="170" t="s">
        <v>92</v>
      </c>
    </row>
    <row r="174" spans="2:17" ht="15" customHeight="1">
      <c r="B174" s="161">
        <f t="shared" si="6"/>
        <v>165</v>
      </c>
      <c r="C174" s="135" t="s">
        <v>112</v>
      </c>
      <c r="D174" s="135" t="s">
        <v>48</v>
      </c>
      <c r="E174" s="163" t="s">
        <v>181</v>
      </c>
      <c r="F174" s="136" t="s">
        <v>182</v>
      </c>
      <c r="G174" s="262" t="s">
        <v>424</v>
      </c>
      <c r="H174" s="165" t="s">
        <v>91</v>
      </c>
      <c r="I174" s="166">
        <v>45709</v>
      </c>
      <c r="J174" s="167">
        <v>0</v>
      </c>
      <c r="K174" s="167">
        <v>745260</v>
      </c>
      <c r="L174" s="139"/>
      <c r="M174" s="168">
        <v>0</v>
      </c>
      <c r="N174" s="168">
        <v>0</v>
      </c>
      <c r="O174" s="168">
        <v>0</v>
      </c>
      <c r="P174" s="169">
        <v>745260</v>
      </c>
      <c r="Q174" s="170" t="s">
        <v>92</v>
      </c>
    </row>
    <row r="175" spans="2:17" ht="15" customHeight="1">
      <c r="B175" s="161">
        <f t="shared" si="6"/>
        <v>166</v>
      </c>
      <c r="C175" s="135" t="s">
        <v>112</v>
      </c>
      <c r="D175" s="135" t="s">
        <v>48</v>
      </c>
      <c r="E175" s="163" t="s">
        <v>183</v>
      </c>
      <c r="F175" s="136" t="s">
        <v>184</v>
      </c>
      <c r="G175" s="262" t="s">
        <v>420</v>
      </c>
      <c r="H175" s="165" t="s">
        <v>91</v>
      </c>
      <c r="I175" s="166">
        <v>45709</v>
      </c>
      <c r="J175" s="167">
        <v>0</v>
      </c>
      <c r="K175" s="167">
        <v>810280</v>
      </c>
      <c r="L175" s="139"/>
      <c r="M175" s="168">
        <v>0</v>
      </c>
      <c r="N175" s="168">
        <v>0</v>
      </c>
      <c r="O175" s="168">
        <v>0</v>
      </c>
      <c r="P175" s="169">
        <v>810280</v>
      </c>
      <c r="Q175" s="170" t="s">
        <v>92</v>
      </c>
    </row>
    <row r="176" spans="2:17" ht="15" customHeight="1">
      <c r="B176" s="161">
        <f t="shared" si="6"/>
        <v>167</v>
      </c>
      <c r="C176" s="135" t="s">
        <v>112</v>
      </c>
      <c r="D176" s="135" t="s">
        <v>48</v>
      </c>
      <c r="E176" s="163" t="s">
        <v>131</v>
      </c>
      <c r="F176" s="136" t="s">
        <v>132</v>
      </c>
      <c r="G176" s="262" t="s">
        <v>419</v>
      </c>
      <c r="H176" s="165" t="s">
        <v>91</v>
      </c>
      <c r="I176" s="166">
        <v>45709</v>
      </c>
      <c r="J176" s="167">
        <v>0</v>
      </c>
      <c r="K176" s="167">
        <v>11583920</v>
      </c>
      <c r="L176" s="139"/>
      <c r="M176" s="168">
        <v>0</v>
      </c>
      <c r="N176" s="168">
        <v>0</v>
      </c>
      <c r="O176" s="168">
        <v>0</v>
      </c>
      <c r="P176" s="169">
        <v>11583920</v>
      </c>
      <c r="Q176" s="170" t="s">
        <v>92</v>
      </c>
    </row>
    <row r="177" spans="2:17" ht="15" customHeight="1">
      <c r="B177" s="161">
        <f t="shared" si="6"/>
        <v>168</v>
      </c>
      <c r="C177" s="135" t="s">
        <v>112</v>
      </c>
      <c r="D177" s="135" t="s">
        <v>48</v>
      </c>
      <c r="E177" s="163" t="s">
        <v>41</v>
      </c>
      <c r="F177" s="136" t="s">
        <v>177</v>
      </c>
      <c r="G177" s="262" t="s">
        <v>425</v>
      </c>
      <c r="H177" s="165" t="s">
        <v>91</v>
      </c>
      <c r="I177" s="166">
        <v>45709</v>
      </c>
      <c r="J177" s="167">
        <v>0</v>
      </c>
      <c r="K177" s="167">
        <v>2933630</v>
      </c>
      <c r="L177" s="139"/>
      <c r="M177" s="168">
        <v>0</v>
      </c>
      <c r="N177" s="168">
        <v>0</v>
      </c>
      <c r="O177" s="168">
        <v>0</v>
      </c>
      <c r="P177" s="169">
        <v>2933630</v>
      </c>
      <c r="Q177" s="170" t="s">
        <v>92</v>
      </c>
    </row>
    <row r="178" spans="2:17" ht="15" customHeight="1">
      <c r="B178" s="161">
        <f t="shared" si="6"/>
        <v>169</v>
      </c>
      <c r="C178" s="135" t="s">
        <v>112</v>
      </c>
      <c r="D178" s="135" t="s">
        <v>48</v>
      </c>
      <c r="E178" s="163" t="s">
        <v>185</v>
      </c>
      <c r="F178" s="136" t="s">
        <v>186</v>
      </c>
      <c r="G178" s="262" t="s">
        <v>423</v>
      </c>
      <c r="H178" s="165" t="s">
        <v>91</v>
      </c>
      <c r="I178" s="166">
        <v>45713</v>
      </c>
      <c r="J178" s="167">
        <v>0</v>
      </c>
      <c r="K178" s="167">
        <v>1745960</v>
      </c>
      <c r="L178" s="139"/>
      <c r="M178" s="168">
        <v>0</v>
      </c>
      <c r="N178" s="168">
        <v>0</v>
      </c>
      <c r="O178" s="168">
        <v>0</v>
      </c>
      <c r="P178" s="169">
        <v>1745960</v>
      </c>
      <c r="Q178" s="170" t="s">
        <v>92</v>
      </c>
    </row>
    <row r="179" spans="2:17" ht="15" customHeight="1">
      <c r="B179" s="161">
        <f t="shared" si="6"/>
        <v>170</v>
      </c>
      <c r="C179" s="135" t="s">
        <v>112</v>
      </c>
      <c r="D179" s="135" t="s">
        <v>48</v>
      </c>
      <c r="E179" s="163" t="s">
        <v>39</v>
      </c>
      <c r="F179" s="136" t="s">
        <v>165</v>
      </c>
      <c r="G179" s="262" t="s">
        <v>420</v>
      </c>
      <c r="H179" s="165" t="s">
        <v>91</v>
      </c>
      <c r="I179" s="166">
        <v>45713</v>
      </c>
      <c r="J179" s="167">
        <v>0</v>
      </c>
      <c r="K179" s="167">
        <v>1578950</v>
      </c>
      <c r="L179" s="139"/>
      <c r="M179" s="168">
        <v>0</v>
      </c>
      <c r="N179" s="168">
        <v>0</v>
      </c>
      <c r="O179" s="168">
        <v>0</v>
      </c>
      <c r="P179" s="169">
        <v>1578950</v>
      </c>
      <c r="Q179" s="170" t="s">
        <v>92</v>
      </c>
    </row>
    <row r="180" spans="2:17" ht="15" customHeight="1">
      <c r="B180" s="161">
        <f t="shared" si="6"/>
        <v>171</v>
      </c>
      <c r="C180" s="135" t="s">
        <v>112</v>
      </c>
      <c r="D180" s="135" t="s">
        <v>48</v>
      </c>
      <c r="E180" s="163" t="s">
        <v>35</v>
      </c>
      <c r="F180" s="136" t="s">
        <v>154</v>
      </c>
      <c r="G180" s="262" t="s">
        <v>424</v>
      </c>
      <c r="H180" s="165" t="s">
        <v>91</v>
      </c>
      <c r="I180" s="166">
        <v>45713</v>
      </c>
      <c r="J180" s="167">
        <v>0</v>
      </c>
      <c r="K180" s="167">
        <v>7205440</v>
      </c>
      <c r="L180" s="139"/>
      <c r="M180" s="168">
        <v>0</v>
      </c>
      <c r="N180" s="168">
        <v>0</v>
      </c>
      <c r="O180" s="168">
        <v>0</v>
      </c>
      <c r="P180" s="169">
        <v>7205440</v>
      </c>
      <c r="Q180" s="170" t="s">
        <v>92</v>
      </c>
    </row>
    <row r="181" spans="2:17" ht="15" customHeight="1" thickBot="1">
      <c r="B181" s="171"/>
      <c r="C181" s="172"/>
      <c r="D181" s="172"/>
      <c r="E181" s="173"/>
      <c r="F181" s="174"/>
      <c r="G181" s="261"/>
      <c r="H181" s="175"/>
      <c r="I181" s="176"/>
      <c r="J181" s="177"/>
      <c r="K181" s="177"/>
      <c r="L181" s="176"/>
      <c r="M181" s="178"/>
      <c r="N181" s="178"/>
      <c r="O181" s="178"/>
      <c r="P181" s="179"/>
      <c r="Q181" s="180"/>
    </row>
  </sheetData>
  <autoFilter ref="A9:Q9"/>
  <phoneticPr fontId="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opLeftCell="H26" zoomScale="85" zoomScaleNormal="85" workbookViewId="0">
      <selection activeCell="M45" sqref="M45"/>
    </sheetView>
  </sheetViews>
  <sheetFormatPr defaultColWidth="9" defaultRowHeight="12" customHeight="1"/>
  <cols>
    <col min="1" max="1" width="1.6640625" style="182" customWidth="1"/>
    <col min="2" max="5" width="10.6640625" style="275" customWidth="1"/>
    <col min="6" max="6" width="17.6640625" style="275" customWidth="1"/>
    <col min="7" max="7" width="17.6640625" style="34" customWidth="1"/>
    <col min="8" max="8" width="20" style="229" bestFit="1" customWidth="1"/>
    <col min="9" max="9" width="15.6640625" style="229" customWidth="1"/>
    <col min="10" max="10" width="17.6640625" style="230" customWidth="1"/>
    <col min="11" max="11" width="10.6640625" style="230" customWidth="1"/>
    <col min="12" max="12" width="10.6640625" style="34" customWidth="1"/>
    <col min="13" max="14" width="15.6640625" style="34" customWidth="1"/>
    <col min="15" max="16" width="15.6640625" style="35" customWidth="1"/>
    <col min="17" max="17" width="15.6640625" style="275" customWidth="1"/>
    <col min="18" max="18" width="17.83203125" style="275" customWidth="1"/>
    <col min="19" max="19" width="40.6640625" style="182" customWidth="1"/>
    <col min="20" max="16384" width="9" style="182"/>
  </cols>
  <sheetData>
    <row r="1" spans="1:19" s="181" customFormat="1" ht="15" customHeight="1">
      <c r="G1" s="182"/>
      <c r="H1" s="182"/>
    </row>
    <row r="2" spans="1:19" s="184" customFormat="1" ht="26.25" customHeight="1" thickBot="1">
      <c r="A2" s="231" t="s">
        <v>282</v>
      </c>
      <c r="B2" s="53"/>
      <c r="C2" s="183"/>
      <c r="D2" s="183"/>
      <c r="E2" s="183"/>
      <c r="F2" s="183"/>
      <c r="G2" s="182"/>
      <c r="H2" s="182"/>
      <c r="I2" s="58"/>
      <c r="J2" s="58"/>
      <c r="K2" s="183"/>
      <c r="L2" s="183"/>
      <c r="M2" s="183"/>
      <c r="N2" s="183"/>
      <c r="Q2" s="185"/>
    </row>
    <row r="3" spans="1:19" s="184" customFormat="1" ht="20.25" customHeight="1">
      <c r="A3" s="270" t="s">
        <v>283</v>
      </c>
      <c r="B3" s="186"/>
      <c r="C3" s="183"/>
      <c r="D3" s="183"/>
      <c r="E3" s="183"/>
      <c r="F3" s="187"/>
      <c r="G3" s="182"/>
      <c r="H3" s="182"/>
      <c r="I3" s="61" t="s">
        <v>15</v>
      </c>
      <c r="J3" s="62">
        <v>45688</v>
      </c>
      <c r="L3" s="188"/>
      <c r="M3" s="188"/>
      <c r="N3" s="188"/>
      <c r="Q3" s="188"/>
    </row>
    <row r="4" spans="1:19" s="191" customFormat="1" ht="20.25" customHeight="1">
      <c r="A4" s="233" t="s">
        <v>284</v>
      </c>
      <c r="B4" s="189"/>
      <c r="C4" s="190"/>
      <c r="D4" s="190"/>
      <c r="E4" s="190"/>
      <c r="F4" s="187"/>
      <c r="G4" s="182"/>
      <c r="H4" s="182"/>
      <c r="I4" s="67" t="s">
        <v>285</v>
      </c>
      <c r="J4" s="68">
        <v>1446.9</v>
      </c>
      <c r="L4" s="190"/>
      <c r="M4" s="192"/>
      <c r="N4" s="192"/>
      <c r="O4" s="193"/>
      <c r="Q4" s="194"/>
    </row>
    <row r="5" spans="1:19" s="191" customFormat="1" ht="20.25" customHeight="1">
      <c r="A5" s="233" t="s">
        <v>43</v>
      </c>
      <c r="B5" s="195"/>
      <c r="C5" s="190"/>
      <c r="D5" s="190"/>
      <c r="E5" s="196"/>
      <c r="F5" s="197"/>
      <c r="G5" s="182"/>
      <c r="H5" s="182"/>
      <c r="I5" s="67" t="s">
        <v>107</v>
      </c>
      <c r="J5" s="68">
        <v>1502.98</v>
      </c>
      <c r="L5" s="192"/>
      <c r="M5" s="199"/>
      <c r="N5" s="190"/>
      <c r="O5" s="200"/>
      <c r="Q5" s="194"/>
    </row>
    <row r="6" spans="1:19" s="191" customFormat="1" ht="20.25" customHeight="1" thickBot="1">
      <c r="A6" s="233"/>
      <c r="B6" s="195"/>
      <c r="C6" s="190"/>
      <c r="D6" s="190"/>
      <c r="E6" s="196"/>
      <c r="F6" s="197"/>
      <c r="G6" s="182"/>
      <c r="H6" s="182"/>
      <c r="I6" s="198" t="s">
        <v>286</v>
      </c>
      <c r="J6" s="234">
        <v>936.69</v>
      </c>
      <c r="L6" s="192"/>
      <c r="M6" s="199"/>
      <c r="N6" s="190"/>
      <c r="O6" s="200"/>
      <c r="Q6" s="194"/>
    </row>
    <row r="7" spans="1:19" s="203" customFormat="1" ht="12" customHeight="1" thickBot="1">
      <c r="A7" s="271"/>
      <c r="B7" s="201"/>
      <c r="C7" s="202"/>
      <c r="D7" s="202"/>
      <c r="E7" s="202"/>
      <c r="F7" s="187"/>
      <c r="G7" s="182"/>
      <c r="H7" s="182"/>
      <c r="I7" s="272"/>
      <c r="J7" s="272"/>
      <c r="K7" s="272"/>
      <c r="L7" s="192"/>
      <c r="M7" s="204"/>
      <c r="N7" s="204"/>
      <c r="O7" s="204"/>
      <c r="P7" s="204"/>
      <c r="Q7" s="273"/>
    </row>
    <row r="8" spans="1:19" ht="15" customHeight="1">
      <c r="B8" s="205" t="s">
        <v>287</v>
      </c>
      <c r="C8" s="206"/>
      <c r="D8" s="206"/>
      <c r="E8" s="206"/>
      <c r="F8" s="206"/>
      <c r="G8" s="206" t="s">
        <v>288</v>
      </c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74" t="s">
        <v>289</v>
      </c>
    </row>
    <row r="9" spans="1:19" s="275" customFormat="1" ht="15" customHeight="1" thickBot="1">
      <c r="B9" s="207" t="str">
        <f>"Field "&amp;COLUMN()-1</f>
        <v>Field 1</v>
      </c>
      <c r="C9" s="86" t="str">
        <f>"Field "&amp;COLUMN()-1-COUNTBLANK($B$9:B9)</f>
        <v>Field 2</v>
      </c>
      <c r="D9" s="86" t="str">
        <f>"Field "&amp;COLUMN()-1-COUNTBLANK($B$9:C9)</f>
        <v>Field 3</v>
      </c>
      <c r="E9" s="86" t="str">
        <f>"Field "&amp;COLUMN()-1-COUNTBLANK($B$9:D9)</f>
        <v>Field 4</v>
      </c>
      <c r="F9" s="86" t="str">
        <f>"Field "&amp;COLUMN()-1-COUNTBLANK($B$9:E9)</f>
        <v>Field 5</v>
      </c>
      <c r="G9" s="86" t="str">
        <f>"Field "&amp;COLUMN()-1-COUNTBLANK($B$9:F9)</f>
        <v>Field 6</v>
      </c>
      <c r="H9" s="86" t="str">
        <f>"Field "&amp;COLUMN()-1-COUNTBLANK($B$9:G9)</f>
        <v>Field 7</v>
      </c>
      <c r="I9" s="86" t="str">
        <f>"Field "&amp;COLUMN()-1-COUNTBLANK($B$9:H9)</f>
        <v>Field 8</v>
      </c>
      <c r="J9" s="86" t="str">
        <f>"Field "&amp;COLUMN()-1-COUNTBLANK($B$9:I9)</f>
        <v>Field 9</v>
      </c>
      <c r="K9" s="86" t="str">
        <f>"Field "&amp;COLUMN()-1-COUNTBLANK($B$9:J9)</f>
        <v>Field 10</v>
      </c>
      <c r="L9" s="86" t="str">
        <f>"Field "&amp;COLUMN()-1-COUNTBLANK($B$9:K9)</f>
        <v>Field 11</v>
      </c>
      <c r="M9" s="86" t="str">
        <f>"Field "&amp;COLUMN()-1-COUNTBLANK($B$9:L9)</f>
        <v>Field 12</v>
      </c>
      <c r="N9" s="86" t="str">
        <f>"Field "&amp;COLUMN()-1-COUNTBLANK($B$9:M9)</f>
        <v>Field 13</v>
      </c>
      <c r="O9" s="86" t="str">
        <f>"Field "&amp;COLUMN()-1-COUNTBLANK($B$9:N9)</f>
        <v>Field 14</v>
      </c>
      <c r="P9" s="86" t="str">
        <f>"Field "&amp;COLUMN()-1-COUNTBLANK($B$9:O9)</f>
        <v>Field 15</v>
      </c>
      <c r="Q9" s="86" t="str">
        <f>"Field "&amp;COLUMN()-1-COUNTBLANK($B$9:P9)</f>
        <v>Field 16</v>
      </c>
      <c r="R9" s="86" t="str">
        <f>"Field "&amp;COLUMN()-1-COUNTBLANK($B$9:Q9)</f>
        <v>Field 17</v>
      </c>
      <c r="S9" s="238" t="str">
        <f>"Field "&amp;COLUMN()-1-COUNTBLANK($B$9:R9)</f>
        <v>Field 18</v>
      </c>
    </row>
    <row r="10" spans="1:19" s="276" customFormat="1" ht="37.5" customHeight="1" thickBot="1">
      <c r="B10" s="208" t="s">
        <v>290</v>
      </c>
      <c r="C10" s="88" t="s">
        <v>66</v>
      </c>
      <c r="D10" s="89" t="s">
        <v>291</v>
      </c>
      <c r="E10" s="209" t="s">
        <v>292</v>
      </c>
      <c r="F10" s="210" t="s">
        <v>293</v>
      </c>
      <c r="G10" s="209" t="s">
        <v>294</v>
      </c>
      <c r="H10" s="209" t="s">
        <v>295</v>
      </c>
      <c r="I10" s="209" t="s">
        <v>296</v>
      </c>
      <c r="J10" s="209" t="s">
        <v>297</v>
      </c>
      <c r="K10" s="209" t="s">
        <v>298</v>
      </c>
      <c r="L10" s="209" t="s">
        <v>299</v>
      </c>
      <c r="M10" s="209" t="s">
        <v>300</v>
      </c>
      <c r="N10" s="209" t="s">
        <v>301</v>
      </c>
      <c r="O10" s="209" t="s">
        <v>302</v>
      </c>
      <c r="P10" s="209" t="s">
        <v>303</v>
      </c>
      <c r="Q10" s="209" t="s">
        <v>304</v>
      </c>
      <c r="R10" s="211" t="s">
        <v>305</v>
      </c>
      <c r="S10" s="212" t="s">
        <v>306</v>
      </c>
    </row>
    <row r="11" spans="1:19" ht="15" customHeight="1">
      <c r="B11" s="213">
        <f t="shared" ref="B11:B60" si="0">ROW()-10</f>
        <v>1</v>
      </c>
      <c r="C11" s="96" t="s">
        <v>112</v>
      </c>
      <c r="D11" s="214" t="s">
        <v>48</v>
      </c>
      <c r="E11" s="96" t="s">
        <v>27</v>
      </c>
      <c r="F11" s="215" t="s">
        <v>113</v>
      </c>
      <c r="G11" s="216" t="s">
        <v>97</v>
      </c>
      <c r="H11" s="217" t="s">
        <v>98</v>
      </c>
      <c r="I11" s="218">
        <v>45709</v>
      </c>
      <c r="J11" s="219" t="s">
        <v>307</v>
      </c>
      <c r="K11" s="220">
        <v>0.85</v>
      </c>
      <c r="L11" s="221" t="s">
        <v>45</v>
      </c>
      <c r="M11" s="222">
        <v>399500000</v>
      </c>
      <c r="N11" s="222">
        <v>399500000</v>
      </c>
      <c r="O11" s="223">
        <v>161500000</v>
      </c>
      <c r="P11" s="223">
        <v>161500000</v>
      </c>
      <c r="Q11" s="224">
        <v>2</v>
      </c>
      <c r="R11" s="225" t="s">
        <v>308</v>
      </c>
      <c r="S11" s="226"/>
    </row>
    <row r="12" spans="1:19" ht="15" customHeight="1">
      <c r="B12" s="213">
        <f t="shared" si="0"/>
        <v>2</v>
      </c>
      <c r="C12" s="96" t="s">
        <v>112</v>
      </c>
      <c r="D12" s="214" t="s">
        <v>48</v>
      </c>
      <c r="E12" s="96" t="s">
        <v>27</v>
      </c>
      <c r="F12" s="215" t="s">
        <v>113</v>
      </c>
      <c r="G12" s="216" t="s">
        <v>99</v>
      </c>
      <c r="H12" s="217" t="s">
        <v>100</v>
      </c>
      <c r="I12" s="218">
        <v>45933</v>
      </c>
      <c r="J12" s="219">
        <v>1515019830</v>
      </c>
      <c r="K12" s="220">
        <v>0.9</v>
      </c>
      <c r="L12" s="221" t="s">
        <v>45</v>
      </c>
      <c r="M12" s="222">
        <v>720000000</v>
      </c>
      <c r="N12" s="222">
        <v>720000000</v>
      </c>
      <c r="O12" s="223">
        <v>720000000</v>
      </c>
      <c r="P12" s="223">
        <v>720000000</v>
      </c>
      <c r="Q12" s="224" t="s">
        <v>309</v>
      </c>
      <c r="R12" s="225" t="s">
        <v>310</v>
      </c>
      <c r="S12" s="226"/>
    </row>
    <row r="13" spans="1:19" ht="15" customHeight="1">
      <c r="B13" s="213">
        <f t="shared" si="0"/>
        <v>3</v>
      </c>
      <c r="C13" s="96" t="s">
        <v>112</v>
      </c>
      <c r="D13" s="214" t="s">
        <v>48</v>
      </c>
      <c r="E13" s="96" t="s">
        <v>27</v>
      </c>
      <c r="F13" s="215" t="s">
        <v>113</v>
      </c>
      <c r="G13" s="216" t="s">
        <v>99</v>
      </c>
      <c r="H13" s="217" t="s">
        <v>100</v>
      </c>
      <c r="I13" s="218">
        <v>45933</v>
      </c>
      <c r="J13" s="219">
        <v>1516019691</v>
      </c>
      <c r="K13" s="220">
        <v>0.9</v>
      </c>
      <c r="L13" s="221" t="s">
        <v>45</v>
      </c>
      <c r="M13" s="222">
        <v>108000000</v>
      </c>
      <c r="N13" s="222">
        <v>108000000</v>
      </c>
      <c r="O13" s="223">
        <v>108000000</v>
      </c>
      <c r="P13" s="223">
        <v>108000000</v>
      </c>
      <c r="Q13" s="224">
        <v>98</v>
      </c>
      <c r="R13" s="225" t="s">
        <v>311</v>
      </c>
      <c r="S13" s="226"/>
    </row>
    <row r="14" spans="1:19" ht="15" customHeight="1">
      <c r="B14" s="213">
        <f t="shared" si="0"/>
        <v>4</v>
      </c>
      <c r="C14" s="96" t="s">
        <v>112</v>
      </c>
      <c r="D14" s="214" t="s">
        <v>48</v>
      </c>
      <c r="E14" s="96" t="s">
        <v>114</v>
      </c>
      <c r="F14" s="215" t="s">
        <v>115</v>
      </c>
      <c r="G14" s="216" t="s">
        <v>44</v>
      </c>
      <c r="H14" s="217" t="s">
        <v>96</v>
      </c>
      <c r="I14" s="218">
        <v>45597</v>
      </c>
      <c r="J14" s="219" t="s">
        <v>312</v>
      </c>
      <c r="K14" s="220">
        <v>0.9</v>
      </c>
      <c r="L14" s="221" t="s">
        <v>45</v>
      </c>
      <c r="M14" s="222">
        <v>360000000</v>
      </c>
      <c r="N14" s="222">
        <v>360000000</v>
      </c>
      <c r="O14" s="223">
        <v>360000000</v>
      </c>
      <c r="P14" s="223">
        <v>360000000</v>
      </c>
      <c r="Q14" s="224" t="s">
        <v>313</v>
      </c>
      <c r="R14" s="225" t="s">
        <v>314</v>
      </c>
      <c r="S14" s="226"/>
    </row>
    <row r="15" spans="1:19" ht="15" customHeight="1">
      <c r="B15" s="213">
        <f t="shared" si="0"/>
        <v>5</v>
      </c>
      <c r="C15" s="96" t="s">
        <v>112</v>
      </c>
      <c r="D15" s="214" t="s">
        <v>48</v>
      </c>
      <c r="E15" s="96" t="s">
        <v>114</v>
      </c>
      <c r="F15" s="215" t="s">
        <v>115</v>
      </c>
      <c r="G15" s="216" t="s">
        <v>44</v>
      </c>
      <c r="H15" s="217" t="s">
        <v>96</v>
      </c>
      <c r="I15" s="218">
        <v>45625</v>
      </c>
      <c r="J15" s="219" t="s">
        <v>315</v>
      </c>
      <c r="K15" s="220">
        <v>0.85</v>
      </c>
      <c r="L15" s="221" t="s">
        <v>45</v>
      </c>
      <c r="M15" s="222">
        <v>190000000</v>
      </c>
      <c r="N15" s="222">
        <v>190000000</v>
      </c>
      <c r="O15" s="223">
        <v>170000000</v>
      </c>
      <c r="P15" s="223">
        <v>170000000</v>
      </c>
      <c r="Q15" s="224" t="s">
        <v>316</v>
      </c>
      <c r="R15" s="225" t="s">
        <v>317</v>
      </c>
      <c r="S15" s="226"/>
    </row>
    <row r="16" spans="1:19" ht="15" customHeight="1">
      <c r="B16" s="213">
        <f t="shared" si="0"/>
        <v>6</v>
      </c>
      <c r="C16" s="96" t="s">
        <v>112</v>
      </c>
      <c r="D16" s="214" t="s">
        <v>48</v>
      </c>
      <c r="E16" s="96" t="s">
        <v>114</v>
      </c>
      <c r="F16" s="215" t="s">
        <v>115</v>
      </c>
      <c r="G16" s="216" t="s">
        <v>44</v>
      </c>
      <c r="H16" s="217" t="s">
        <v>96</v>
      </c>
      <c r="I16" s="218">
        <v>45625</v>
      </c>
      <c r="J16" s="219" t="s">
        <v>318</v>
      </c>
      <c r="K16" s="220">
        <v>0.9</v>
      </c>
      <c r="L16" s="221" t="s">
        <v>45</v>
      </c>
      <c r="M16" s="222">
        <v>350000000</v>
      </c>
      <c r="N16" s="222">
        <v>350000000</v>
      </c>
      <c r="O16" s="223">
        <v>315000000</v>
      </c>
      <c r="P16" s="223">
        <v>315000000</v>
      </c>
      <c r="Q16" s="224" t="s">
        <v>319</v>
      </c>
      <c r="R16" s="225" t="s">
        <v>320</v>
      </c>
      <c r="S16" s="226"/>
    </row>
    <row r="17" spans="2:19" ht="15" customHeight="1">
      <c r="B17" s="213">
        <f t="shared" si="0"/>
        <v>7</v>
      </c>
      <c r="C17" s="96" t="s">
        <v>112</v>
      </c>
      <c r="D17" s="214" t="s">
        <v>48</v>
      </c>
      <c r="E17" s="96" t="s">
        <v>114</v>
      </c>
      <c r="F17" s="215" t="s">
        <v>115</v>
      </c>
      <c r="G17" s="216" t="s">
        <v>44</v>
      </c>
      <c r="H17" s="217" t="s">
        <v>96</v>
      </c>
      <c r="I17" s="218">
        <v>45688</v>
      </c>
      <c r="J17" s="219" t="s">
        <v>321</v>
      </c>
      <c r="K17" s="220">
        <v>0.85</v>
      </c>
      <c r="L17" s="221" t="s">
        <v>45</v>
      </c>
      <c r="M17" s="222">
        <v>76500000</v>
      </c>
      <c r="N17" s="222">
        <v>76500000</v>
      </c>
      <c r="O17" s="223">
        <v>76500000</v>
      </c>
      <c r="P17" s="223">
        <v>76500000</v>
      </c>
      <c r="Q17" s="224" t="s">
        <v>322</v>
      </c>
      <c r="R17" s="225" t="s">
        <v>323</v>
      </c>
      <c r="S17" s="226"/>
    </row>
    <row r="18" spans="2:19" ht="15" customHeight="1">
      <c r="B18" s="213">
        <f t="shared" si="0"/>
        <v>8</v>
      </c>
      <c r="C18" s="96" t="s">
        <v>112</v>
      </c>
      <c r="D18" s="214" t="s">
        <v>48</v>
      </c>
      <c r="E18" s="96" t="s">
        <v>114</v>
      </c>
      <c r="F18" s="215" t="s">
        <v>115</v>
      </c>
      <c r="G18" s="216" t="s">
        <v>44</v>
      </c>
      <c r="H18" s="217" t="s">
        <v>96</v>
      </c>
      <c r="I18" s="218">
        <v>45688</v>
      </c>
      <c r="J18" s="219" t="s">
        <v>324</v>
      </c>
      <c r="K18" s="220">
        <v>0.8</v>
      </c>
      <c r="L18" s="221" t="s">
        <v>45</v>
      </c>
      <c r="M18" s="222">
        <v>274400000</v>
      </c>
      <c r="N18" s="222">
        <v>274400000</v>
      </c>
      <c r="O18" s="223">
        <v>274400000</v>
      </c>
      <c r="P18" s="223">
        <v>274400000</v>
      </c>
      <c r="Q18" s="224" t="s">
        <v>325</v>
      </c>
      <c r="R18" s="225" t="s">
        <v>326</v>
      </c>
      <c r="S18" s="226"/>
    </row>
    <row r="19" spans="2:19" ht="15" customHeight="1">
      <c r="B19" s="213">
        <f t="shared" si="0"/>
        <v>9</v>
      </c>
      <c r="C19" s="96" t="s">
        <v>112</v>
      </c>
      <c r="D19" s="214" t="s">
        <v>48</v>
      </c>
      <c r="E19" s="96" t="s">
        <v>28</v>
      </c>
      <c r="F19" s="215" t="s">
        <v>116</v>
      </c>
      <c r="G19" s="216" t="s">
        <v>97</v>
      </c>
      <c r="H19" s="217" t="s">
        <v>98</v>
      </c>
      <c r="I19" s="218">
        <v>45807</v>
      </c>
      <c r="J19" s="219" t="s">
        <v>327</v>
      </c>
      <c r="K19" s="220">
        <v>0.8</v>
      </c>
      <c r="L19" s="221" t="s">
        <v>45</v>
      </c>
      <c r="M19" s="222">
        <v>360000000</v>
      </c>
      <c r="N19" s="222">
        <v>360000000</v>
      </c>
      <c r="O19" s="223">
        <v>320000000</v>
      </c>
      <c r="P19" s="223">
        <v>320000000</v>
      </c>
      <c r="Q19" s="224" t="s">
        <v>328</v>
      </c>
      <c r="R19" s="225" t="s">
        <v>329</v>
      </c>
      <c r="S19" s="226"/>
    </row>
    <row r="20" spans="2:19" ht="15" customHeight="1">
      <c r="B20" s="213">
        <f t="shared" si="0"/>
        <v>10</v>
      </c>
      <c r="C20" s="96" t="s">
        <v>112</v>
      </c>
      <c r="D20" s="214" t="s">
        <v>48</v>
      </c>
      <c r="E20" s="96" t="s">
        <v>28</v>
      </c>
      <c r="F20" s="215" t="s">
        <v>116</v>
      </c>
      <c r="G20" s="216" t="s">
        <v>97</v>
      </c>
      <c r="H20" s="217" t="s">
        <v>98</v>
      </c>
      <c r="I20" s="218">
        <v>45807</v>
      </c>
      <c r="J20" s="219" t="s">
        <v>330</v>
      </c>
      <c r="K20" s="220">
        <v>0.8</v>
      </c>
      <c r="L20" s="221" t="s">
        <v>45</v>
      </c>
      <c r="M20" s="222">
        <v>127500000</v>
      </c>
      <c r="N20" s="222">
        <v>127500000</v>
      </c>
      <c r="O20" s="223">
        <v>96000000</v>
      </c>
      <c r="P20" s="223">
        <v>96000000</v>
      </c>
      <c r="Q20" s="224" t="s">
        <v>325</v>
      </c>
      <c r="R20" s="225" t="s">
        <v>331</v>
      </c>
      <c r="S20" s="226"/>
    </row>
    <row r="21" spans="2:19" ht="15" customHeight="1">
      <c r="B21" s="213">
        <f t="shared" si="0"/>
        <v>11</v>
      </c>
      <c r="C21" s="96" t="s">
        <v>112</v>
      </c>
      <c r="D21" s="214" t="s">
        <v>48</v>
      </c>
      <c r="E21" s="96" t="s">
        <v>117</v>
      </c>
      <c r="F21" s="215" t="s">
        <v>118</v>
      </c>
      <c r="G21" s="216" t="s">
        <v>101</v>
      </c>
      <c r="H21" s="217" t="s">
        <v>332</v>
      </c>
      <c r="I21" s="218">
        <v>45870</v>
      </c>
      <c r="J21" s="219" t="s">
        <v>333</v>
      </c>
      <c r="K21" s="220">
        <v>0.9</v>
      </c>
      <c r="L21" s="221" t="s">
        <v>45</v>
      </c>
      <c r="M21" s="222">
        <v>180000000</v>
      </c>
      <c r="N21" s="222">
        <v>180000000</v>
      </c>
      <c r="O21" s="223">
        <v>162450000</v>
      </c>
      <c r="P21" s="223">
        <v>162450000</v>
      </c>
      <c r="Q21" s="224" t="s">
        <v>328</v>
      </c>
      <c r="R21" s="225" t="s">
        <v>334</v>
      </c>
      <c r="S21" s="226"/>
    </row>
    <row r="22" spans="2:19" ht="15" customHeight="1">
      <c r="B22" s="213">
        <f t="shared" si="0"/>
        <v>12</v>
      </c>
      <c r="C22" s="96" t="s">
        <v>112</v>
      </c>
      <c r="D22" s="214" t="s">
        <v>48</v>
      </c>
      <c r="E22" s="96" t="s">
        <v>123</v>
      </c>
      <c r="F22" s="215" t="s">
        <v>124</v>
      </c>
      <c r="G22" s="216" t="s">
        <v>44</v>
      </c>
      <c r="H22" s="217" t="s">
        <v>96</v>
      </c>
      <c r="I22" s="218">
        <v>46444</v>
      </c>
      <c r="J22" s="219" t="s">
        <v>335</v>
      </c>
      <c r="K22" s="220">
        <v>0.9</v>
      </c>
      <c r="L22" s="221" t="s">
        <v>45</v>
      </c>
      <c r="M22" s="222">
        <v>1341000000</v>
      </c>
      <c r="N22" s="222">
        <v>1341000000</v>
      </c>
      <c r="O22" s="223">
        <v>333900000</v>
      </c>
      <c r="P22" s="223">
        <v>333900000</v>
      </c>
      <c r="Q22" s="224">
        <v>3</v>
      </c>
      <c r="R22" s="225" t="s">
        <v>336</v>
      </c>
      <c r="S22" s="226"/>
    </row>
    <row r="23" spans="2:19" ht="15" customHeight="1">
      <c r="B23" s="213">
        <f t="shared" si="0"/>
        <v>13</v>
      </c>
      <c r="C23" s="96" t="s">
        <v>112</v>
      </c>
      <c r="D23" s="214" t="s">
        <v>48</v>
      </c>
      <c r="E23" s="96" t="s">
        <v>123</v>
      </c>
      <c r="F23" s="215" t="s">
        <v>124</v>
      </c>
      <c r="G23" s="216" t="s">
        <v>44</v>
      </c>
      <c r="H23" s="217" t="s">
        <v>96</v>
      </c>
      <c r="I23" s="218">
        <v>45709</v>
      </c>
      <c r="J23" s="219" t="s">
        <v>337</v>
      </c>
      <c r="K23" s="220">
        <v>0.9</v>
      </c>
      <c r="L23" s="221" t="s">
        <v>45</v>
      </c>
      <c r="M23" s="222">
        <v>360000000</v>
      </c>
      <c r="N23" s="222">
        <v>360000000</v>
      </c>
      <c r="O23" s="223">
        <v>360000000</v>
      </c>
      <c r="P23" s="223">
        <v>360000000</v>
      </c>
      <c r="Q23" s="224">
        <v>1</v>
      </c>
      <c r="R23" s="225" t="s">
        <v>338</v>
      </c>
      <c r="S23" s="226"/>
    </row>
    <row r="24" spans="2:19" ht="15" customHeight="1">
      <c r="B24" s="213">
        <f t="shared" si="0"/>
        <v>14</v>
      </c>
      <c r="C24" s="96" t="s">
        <v>112</v>
      </c>
      <c r="D24" s="214" t="s">
        <v>48</v>
      </c>
      <c r="E24" s="96" t="s">
        <v>123</v>
      </c>
      <c r="F24" s="215" t="s">
        <v>124</v>
      </c>
      <c r="G24" s="216" t="s">
        <v>44</v>
      </c>
      <c r="H24" s="217" t="s">
        <v>96</v>
      </c>
      <c r="I24" s="218">
        <v>46514</v>
      </c>
      <c r="J24" s="219" t="s">
        <v>339</v>
      </c>
      <c r="K24" s="220">
        <v>0.9</v>
      </c>
      <c r="L24" s="221" t="s">
        <v>45</v>
      </c>
      <c r="M24" s="222">
        <v>335700000</v>
      </c>
      <c r="N24" s="222">
        <v>335700000</v>
      </c>
      <c r="O24" s="223">
        <v>201420000</v>
      </c>
      <c r="P24" s="223">
        <v>201420000</v>
      </c>
      <c r="Q24" s="224">
        <v>4</v>
      </c>
      <c r="R24" s="225" t="s">
        <v>340</v>
      </c>
      <c r="S24" s="226"/>
    </row>
    <row r="25" spans="2:19" ht="15" customHeight="1">
      <c r="B25" s="213">
        <f t="shared" si="0"/>
        <v>15</v>
      </c>
      <c r="C25" s="96" t="s">
        <v>112</v>
      </c>
      <c r="D25" s="214" t="s">
        <v>48</v>
      </c>
      <c r="E25" s="96" t="s">
        <v>123</v>
      </c>
      <c r="F25" s="215" t="s">
        <v>124</v>
      </c>
      <c r="G25" s="216" t="s">
        <v>44</v>
      </c>
      <c r="H25" s="217" t="s">
        <v>96</v>
      </c>
      <c r="I25" s="218">
        <v>46883</v>
      </c>
      <c r="J25" s="219" t="s">
        <v>341</v>
      </c>
      <c r="K25" s="220">
        <v>0.9</v>
      </c>
      <c r="L25" s="221" t="s">
        <v>45</v>
      </c>
      <c r="M25" s="222">
        <v>540000000</v>
      </c>
      <c r="N25" s="222">
        <v>540000000</v>
      </c>
      <c r="O25" s="223">
        <v>324000000</v>
      </c>
      <c r="P25" s="223">
        <v>324000000</v>
      </c>
      <c r="Q25" s="224">
        <v>5</v>
      </c>
      <c r="R25" s="225" t="s">
        <v>342</v>
      </c>
      <c r="S25" s="226"/>
    </row>
    <row r="26" spans="2:19" ht="15" customHeight="1">
      <c r="B26" s="213">
        <f t="shared" si="0"/>
        <v>16</v>
      </c>
      <c r="C26" s="96" t="s">
        <v>112</v>
      </c>
      <c r="D26" s="214" t="s">
        <v>48</v>
      </c>
      <c r="E26" s="96" t="s">
        <v>129</v>
      </c>
      <c r="F26" s="215" t="s">
        <v>130</v>
      </c>
      <c r="G26" s="216" t="s">
        <v>97</v>
      </c>
      <c r="H26" s="217" t="s">
        <v>98</v>
      </c>
      <c r="I26" s="218">
        <v>45919</v>
      </c>
      <c r="J26" s="219" t="s">
        <v>343</v>
      </c>
      <c r="K26" s="220">
        <v>0.85</v>
      </c>
      <c r="L26" s="221" t="s">
        <v>45</v>
      </c>
      <c r="M26" s="222">
        <v>255000000</v>
      </c>
      <c r="N26" s="222">
        <v>255000000</v>
      </c>
      <c r="O26" s="223">
        <v>84995750</v>
      </c>
      <c r="P26" s="223">
        <v>84995750</v>
      </c>
      <c r="Q26" s="224" t="s">
        <v>344</v>
      </c>
      <c r="R26" s="225" t="s">
        <v>345</v>
      </c>
      <c r="S26" s="226"/>
    </row>
    <row r="27" spans="2:19" ht="15" customHeight="1">
      <c r="B27" s="213">
        <f t="shared" si="0"/>
        <v>17</v>
      </c>
      <c r="C27" s="96" t="s">
        <v>112</v>
      </c>
      <c r="D27" s="214" t="s">
        <v>48</v>
      </c>
      <c r="E27" s="96" t="s">
        <v>129</v>
      </c>
      <c r="F27" s="215" t="s">
        <v>130</v>
      </c>
      <c r="G27" s="216" t="s">
        <v>97</v>
      </c>
      <c r="H27" s="217" t="s">
        <v>98</v>
      </c>
      <c r="I27" s="218">
        <v>45919</v>
      </c>
      <c r="J27" s="219" t="s">
        <v>346</v>
      </c>
      <c r="K27" s="220">
        <v>0.95</v>
      </c>
      <c r="L27" s="221" t="s">
        <v>45</v>
      </c>
      <c r="M27" s="222">
        <v>190000000</v>
      </c>
      <c r="N27" s="222">
        <v>190000000</v>
      </c>
      <c r="O27" s="223">
        <v>190000000</v>
      </c>
      <c r="P27" s="223">
        <v>190000000</v>
      </c>
      <c r="Q27" s="224">
        <v>12</v>
      </c>
      <c r="R27" s="225" t="s">
        <v>347</v>
      </c>
      <c r="S27" s="226"/>
    </row>
    <row r="28" spans="2:19" ht="15" customHeight="1">
      <c r="B28" s="213">
        <f t="shared" si="0"/>
        <v>18</v>
      </c>
      <c r="C28" s="96" t="s">
        <v>112</v>
      </c>
      <c r="D28" s="214" t="s">
        <v>48</v>
      </c>
      <c r="E28" s="96" t="s">
        <v>129</v>
      </c>
      <c r="F28" s="215" t="s">
        <v>130</v>
      </c>
      <c r="G28" s="216" t="s">
        <v>97</v>
      </c>
      <c r="H28" s="217" t="s">
        <v>98</v>
      </c>
      <c r="I28" s="218">
        <v>45772</v>
      </c>
      <c r="J28" s="219" t="s">
        <v>348</v>
      </c>
      <c r="K28" s="220">
        <v>0.85</v>
      </c>
      <c r="L28" s="221" t="s">
        <v>45</v>
      </c>
      <c r="M28" s="222">
        <v>170000000</v>
      </c>
      <c r="N28" s="222">
        <v>170000000</v>
      </c>
      <c r="O28" s="223">
        <v>170000000</v>
      </c>
      <c r="P28" s="223">
        <v>170000000</v>
      </c>
      <c r="Q28" s="224">
        <v>6</v>
      </c>
      <c r="R28" s="225" t="s">
        <v>349</v>
      </c>
      <c r="S28" s="226"/>
    </row>
    <row r="29" spans="2:19" ht="15" customHeight="1">
      <c r="B29" s="213">
        <f t="shared" si="0"/>
        <v>19</v>
      </c>
      <c r="C29" s="96" t="s">
        <v>112</v>
      </c>
      <c r="D29" s="214" t="s">
        <v>48</v>
      </c>
      <c r="E29" s="96" t="s">
        <v>129</v>
      </c>
      <c r="F29" s="215" t="s">
        <v>130</v>
      </c>
      <c r="G29" s="216" t="s">
        <v>97</v>
      </c>
      <c r="H29" s="217" t="s">
        <v>98</v>
      </c>
      <c r="I29" s="218">
        <v>45772</v>
      </c>
      <c r="J29" s="219" t="s">
        <v>350</v>
      </c>
      <c r="K29" s="220">
        <v>0.85</v>
      </c>
      <c r="L29" s="221" t="s">
        <v>45</v>
      </c>
      <c r="M29" s="222">
        <v>127500000</v>
      </c>
      <c r="N29" s="222">
        <v>127500000</v>
      </c>
      <c r="O29" s="223">
        <v>127500000</v>
      </c>
      <c r="P29" s="223">
        <v>127500000</v>
      </c>
      <c r="Q29" s="224">
        <v>5</v>
      </c>
      <c r="R29" s="225" t="s">
        <v>351</v>
      </c>
      <c r="S29" s="226"/>
    </row>
    <row r="30" spans="2:19" ht="15" customHeight="1">
      <c r="B30" s="213">
        <f t="shared" si="0"/>
        <v>20</v>
      </c>
      <c r="C30" s="96" t="s">
        <v>112</v>
      </c>
      <c r="D30" s="214" t="s">
        <v>48</v>
      </c>
      <c r="E30" s="96" t="s">
        <v>129</v>
      </c>
      <c r="F30" s="215" t="s">
        <v>130</v>
      </c>
      <c r="G30" s="216" t="s">
        <v>97</v>
      </c>
      <c r="H30" s="217" t="s">
        <v>98</v>
      </c>
      <c r="I30" s="218">
        <v>45772</v>
      </c>
      <c r="J30" s="219" t="s">
        <v>352</v>
      </c>
      <c r="K30" s="220">
        <v>0.8</v>
      </c>
      <c r="L30" s="221" t="s">
        <v>45</v>
      </c>
      <c r="M30" s="222">
        <v>88000000</v>
      </c>
      <c r="N30" s="222">
        <v>88000000</v>
      </c>
      <c r="O30" s="223">
        <v>88000000</v>
      </c>
      <c r="P30" s="223">
        <v>88000000</v>
      </c>
      <c r="Q30" s="224">
        <v>7</v>
      </c>
      <c r="R30" s="225" t="s">
        <v>353</v>
      </c>
      <c r="S30" s="226"/>
    </row>
    <row r="31" spans="2:19" ht="15" customHeight="1">
      <c r="B31" s="213">
        <f t="shared" si="0"/>
        <v>21</v>
      </c>
      <c r="C31" s="96" t="s">
        <v>112</v>
      </c>
      <c r="D31" s="214" t="s">
        <v>48</v>
      </c>
      <c r="E31" s="96" t="s">
        <v>129</v>
      </c>
      <c r="F31" s="215" t="s">
        <v>130</v>
      </c>
      <c r="G31" s="216" t="s">
        <v>97</v>
      </c>
      <c r="H31" s="217" t="s">
        <v>98</v>
      </c>
      <c r="I31" s="218">
        <v>45772</v>
      </c>
      <c r="J31" s="219" t="s">
        <v>354</v>
      </c>
      <c r="K31" s="220">
        <v>0.95</v>
      </c>
      <c r="L31" s="221" t="s">
        <v>45</v>
      </c>
      <c r="M31" s="222">
        <v>95000000</v>
      </c>
      <c r="N31" s="222">
        <v>95000000</v>
      </c>
      <c r="O31" s="223">
        <v>95000000</v>
      </c>
      <c r="P31" s="223">
        <v>95000000</v>
      </c>
      <c r="Q31" s="224">
        <v>4</v>
      </c>
      <c r="R31" s="225" t="s">
        <v>355</v>
      </c>
      <c r="S31" s="226"/>
    </row>
    <row r="32" spans="2:19" ht="15" customHeight="1">
      <c r="B32" s="213">
        <f t="shared" si="0"/>
        <v>22</v>
      </c>
      <c r="C32" s="96" t="s">
        <v>112</v>
      </c>
      <c r="D32" s="214" t="s">
        <v>48</v>
      </c>
      <c r="E32" s="96" t="s">
        <v>129</v>
      </c>
      <c r="F32" s="215" t="s">
        <v>130</v>
      </c>
      <c r="G32" s="216" t="s">
        <v>97</v>
      </c>
      <c r="H32" s="217" t="s">
        <v>98</v>
      </c>
      <c r="I32" s="218">
        <v>45772</v>
      </c>
      <c r="J32" s="219" t="s">
        <v>356</v>
      </c>
      <c r="K32" s="220">
        <v>0.85</v>
      </c>
      <c r="L32" s="221" t="s">
        <v>45</v>
      </c>
      <c r="M32" s="222">
        <v>170000000</v>
      </c>
      <c r="N32" s="222">
        <v>170000000</v>
      </c>
      <c r="O32" s="223">
        <v>166526475</v>
      </c>
      <c r="P32" s="223">
        <v>166526475</v>
      </c>
      <c r="Q32" s="224">
        <v>13</v>
      </c>
      <c r="R32" s="225" t="s">
        <v>357</v>
      </c>
      <c r="S32" s="226"/>
    </row>
    <row r="33" spans="2:19" ht="15" customHeight="1">
      <c r="B33" s="213">
        <f t="shared" si="0"/>
        <v>23</v>
      </c>
      <c r="C33" s="96" t="s">
        <v>112</v>
      </c>
      <c r="D33" s="214" t="s">
        <v>48</v>
      </c>
      <c r="E33" s="96" t="s">
        <v>129</v>
      </c>
      <c r="F33" s="215" t="s">
        <v>130</v>
      </c>
      <c r="G33" s="216" t="s">
        <v>97</v>
      </c>
      <c r="H33" s="217" t="s">
        <v>98</v>
      </c>
      <c r="I33" s="218">
        <v>45919</v>
      </c>
      <c r="J33" s="219" t="s">
        <v>358</v>
      </c>
      <c r="K33" s="220">
        <v>0.85</v>
      </c>
      <c r="L33" s="221" t="s">
        <v>45</v>
      </c>
      <c r="M33" s="222">
        <v>21250000</v>
      </c>
      <c r="N33" s="222">
        <v>21250000</v>
      </c>
      <c r="O33" s="223">
        <v>21250000</v>
      </c>
      <c r="P33" s="223">
        <v>21250000</v>
      </c>
      <c r="Q33" s="224">
        <v>11</v>
      </c>
      <c r="R33" s="225" t="s">
        <v>359</v>
      </c>
      <c r="S33" s="226"/>
    </row>
    <row r="34" spans="2:19" ht="15" customHeight="1">
      <c r="B34" s="213">
        <f t="shared" si="0"/>
        <v>24</v>
      </c>
      <c r="C34" s="96" t="s">
        <v>112</v>
      </c>
      <c r="D34" s="214" t="s">
        <v>48</v>
      </c>
      <c r="E34" s="96" t="s">
        <v>129</v>
      </c>
      <c r="F34" s="215" t="s">
        <v>130</v>
      </c>
      <c r="G34" s="216" t="s">
        <v>97</v>
      </c>
      <c r="H34" s="217" t="s">
        <v>98</v>
      </c>
      <c r="I34" s="218">
        <v>45919</v>
      </c>
      <c r="J34" s="219" t="s">
        <v>360</v>
      </c>
      <c r="K34" s="220">
        <v>0.85</v>
      </c>
      <c r="L34" s="221" t="s">
        <v>45</v>
      </c>
      <c r="M34" s="222">
        <v>148750000</v>
      </c>
      <c r="N34" s="222">
        <v>148750000</v>
      </c>
      <c r="O34" s="223">
        <v>148750000</v>
      </c>
      <c r="P34" s="223">
        <v>148750000</v>
      </c>
      <c r="Q34" s="224">
        <v>10</v>
      </c>
      <c r="R34" s="225" t="s">
        <v>361</v>
      </c>
      <c r="S34" s="226"/>
    </row>
    <row r="35" spans="2:19" ht="15" customHeight="1">
      <c r="B35" s="213">
        <f t="shared" si="0"/>
        <v>25</v>
      </c>
      <c r="C35" s="96" t="s">
        <v>112</v>
      </c>
      <c r="D35" s="214" t="s">
        <v>48</v>
      </c>
      <c r="E35" s="96" t="s">
        <v>131</v>
      </c>
      <c r="F35" s="215" t="s">
        <v>132</v>
      </c>
      <c r="G35" s="216" t="s">
        <v>44</v>
      </c>
      <c r="H35" s="217" t="s">
        <v>96</v>
      </c>
      <c r="I35" s="218">
        <v>45604</v>
      </c>
      <c r="J35" s="219" t="s">
        <v>362</v>
      </c>
      <c r="K35" s="220">
        <v>0.85</v>
      </c>
      <c r="L35" s="221" t="s">
        <v>45</v>
      </c>
      <c r="M35" s="222">
        <v>323000000</v>
      </c>
      <c r="N35" s="222">
        <v>323000000</v>
      </c>
      <c r="O35" s="223">
        <v>323000000</v>
      </c>
      <c r="P35" s="223">
        <v>323000000</v>
      </c>
      <c r="Q35" s="224" t="s">
        <v>328</v>
      </c>
      <c r="R35" s="225" t="s">
        <v>363</v>
      </c>
      <c r="S35" s="226"/>
    </row>
    <row r="36" spans="2:19" ht="15" customHeight="1">
      <c r="B36" s="213">
        <f t="shared" si="0"/>
        <v>26</v>
      </c>
      <c r="C36" s="96" t="s">
        <v>112</v>
      </c>
      <c r="D36" s="214" t="s">
        <v>48</v>
      </c>
      <c r="E36" s="96" t="s">
        <v>30</v>
      </c>
      <c r="F36" s="215" t="s">
        <v>135</v>
      </c>
      <c r="G36" s="216" t="s">
        <v>97</v>
      </c>
      <c r="H36" s="217" t="s">
        <v>364</v>
      </c>
      <c r="I36" s="218">
        <v>48085</v>
      </c>
      <c r="J36" s="219" t="s">
        <v>365</v>
      </c>
      <c r="K36" s="220">
        <v>1</v>
      </c>
      <c r="L36" s="221" t="s">
        <v>45</v>
      </c>
      <c r="M36" s="222">
        <v>1000000000</v>
      </c>
      <c r="N36" s="222">
        <v>1000000000</v>
      </c>
      <c r="O36" s="223">
        <v>250000000</v>
      </c>
      <c r="P36" s="223">
        <v>250000000</v>
      </c>
      <c r="Q36" s="224">
        <v>1</v>
      </c>
      <c r="R36" s="225" t="s">
        <v>366</v>
      </c>
      <c r="S36" s="226"/>
    </row>
    <row r="37" spans="2:19" ht="15" customHeight="1">
      <c r="B37" s="213">
        <f t="shared" si="0"/>
        <v>27</v>
      </c>
      <c r="C37" s="96" t="s">
        <v>112</v>
      </c>
      <c r="D37" s="214" t="s">
        <v>48</v>
      </c>
      <c r="E37" s="96" t="s">
        <v>30</v>
      </c>
      <c r="F37" s="215" t="s">
        <v>135</v>
      </c>
      <c r="G37" s="216" t="s">
        <v>97</v>
      </c>
      <c r="H37" s="217" t="s">
        <v>98</v>
      </c>
      <c r="I37" s="218">
        <v>48085</v>
      </c>
      <c r="J37" s="219" t="s">
        <v>367</v>
      </c>
      <c r="K37" s="220">
        <v>0.95</v>
      </c>
      <c r="L37" s="221" t="s">
        <v>45</v>
      </c>
      <c r="M37" s="222">
        <v>950000000</v>
      </c>
      <c r="N37" s="222">
        <v>950000000</v>
      </c>
      <c r="O37" s="223">
        <v>237500000</v>
      </c>
      <c r="P37" s="223">
        <v>237500000</v>
      </c>
      <c r="Q37" s="224">
        <v>2</v>
      </c>
      <c r="R37" s="225" t="s">
        <v>368</v>
      </c>
      <c r="S37" s="226"/>
    </row>
    <row r="38" spans="2:19" ht="15" customHeight="1">
      <c r="B38" s="213">
        <f t="shared" si="0"/>
        <v>28</v>
      </c>
      <c r="C38" s="96" t="s">
        <v>112</v>
      </c>
      <c r="D38" s="214" t="s">
        <v>48</v>
      </c>
      <c r="E38" s="96" t="s">
        <v>30</v>
      </c>
      <c r="F38" s="215" t="s">
        <v>135</v>
      </c>
      <c r="G38" s="216" t="s">
        <v>97</v>
      </c>
      <c r="H38" s="217" t="s">
        <v>98</v>
      </c>
      <c r="I38" s="218">
        <v>47141</v>
      </c>
      <c r="J38" s="219" t="s">
        <v>369</v>
      </c>
      <c r="K38" s="220">
        <v>0.9</v>
      </c>
      <c r="L38" s="221" t="s">
        <v>45</v>
      </c>
      <c r="M38" s="222">
        <v>90000000</v>
      </c>
      <c r="N38" s="222">
        <v>90000000</v>
      </c>
      <c r="O38" s="223">
        <v>90000000</v>
      </c>
      <c r="P38" s="223">
        <v>90000000</v>
      </c>
      <c r="Q38" s="224">
        <v>3</v>
      </c>
      <c r="R38" s="225" t="s">
        <v>370</v>
      </c>
      <c r="S38" s="226"/>
    </row>
    <row r="39" spans="2:19" ht="15" customHeight="1">
      <c r="B39" s="213">
        <f t="shared" si="0"/>
        <v>29</v>
      </c>
      <c r="C39" s="96" t="s">
        <v>112</v>
      </c>
      <c r="D39" s="214" t="s">
        <v>48</v>
      </c>
      <c r="E39" s="96" t="s">
        <v>137</v>
      </c>
      <c r="F39" s="215" t="s">
        <v>138</v>
      </c>
      <c r="G39" s="216" t="s">
        <v>44</v>
      </c>
      <c r="H39" s="217" t="s">
        <v>96</v>
      </c>
      <c r="I39" s="218">
        <v>45653</v>
      </c>
      <c r="J39" s="219" t="s">
        <v>371</v>
      </c>
      <c r="K39" s="220">
        <v>0.85</v>
      </c>
      <c r="L39" s="221" t="s">
        <v>45</v>
      </c>
      <c r="M39" s="222">
        <v>464525000</v>
      </c>
      <c r="N39" s="222">
        <v>464525000</v>
      </c>
      <c r="O39" s="223">
        <v>464525000</v>
      </c>
      <c r="P39" s="223">
        <v>464525000</v>
      </c>
      <c r="Q39" s="224">
        <v>4</v>
      </c>
      <c r="R39" s="225" t="s">
        <v>372</v>
      </c>
      <c r="S39" s="226"/>
    </row>
    <row r="40" spans="2:19" ht="15" customHeight="1">
      <c r="B40" s="213">
        <f t="shared" si="0"/>
        <v>30</v>
      </c>
      <c r="C40" s="96" t="s">
        <v>112</v>
      </c>
      <c r="D40" s="214" t="s">
        <v>48</v>
      </c>
      <c r="E40" s="96" t="s">
        <v>32</v>
      </c>
      <c r="F40" s="215" t="s">
        <v>142</v>
      </c>
      <c r="G40" s="216" t="s">
        <v>44</v>
      </c>
      <c r="H40" s="217" t="s">
        <v>96</v>
      </c>
      <c r="I40" s="218">
        <v>45618</v>
      </c>
      <c r="J40" s="219" t="s">
        <v>373</v>
      </c>
      <c r="K40" s="220">
        <v>0.85</v>
      </c>
      <c r="L40" s="221" t="s">
        <v>45</v>
      </c>
      <c r="M40" s="222">
        <v>209950000</v>
      </c>
      <c r="N40" s="222">
        <v>209950000</v>
      </c>
      <c r="O40" s="223">
        <v>209950000</v>
      </c>
      <c r="P40" s="223">
        <v>209950000</v>
      </c>
      <c r="Q40" s="224">
        <v>4</v>
      </c>
      <c r="R40" s="225" t="s">
        <v>374</v>
      </c>
      <c r="S40" s="226"/>
    </row>
    <row r="41" spans="2:19" ht="15" customHeight="1">
      <c r="B41" s="213">
        <f t="shared" si="0"/>
        <v>31</v>
      </c>
      <c r="C41" s="96" t="s">
        <v>112</v>
      </c>
      <c r="D41" s="214" t="s">
        <v>48</v>
      </c>
      <c r="E41" s="96" t="s">
        <v>143</v>
      </c>
      <c r="F41" s="215" t="s">
        <v>144</v>
      </c>
      <c r="G41" s="216" t="s">
        <v>44</v>
      </c>
      <c r="H41" s="217" t="s">
        <v>96</v>
      </c>
      <c r="I41" s="218">
        <v>45779</v>
      </c>
      <c r="J41" s="219" t="s">
        <v>375</v>
      </c>
      <c r="K41" s="220">
        <v>0.8</v>
      </c>
      <c r="L41" s="221" t="s">
        <v>45</v>
      </c>
      <c r="M41" s="222">
        <v>90880000</v>
      </c>
      <c r="N41" s="222">
        <v>90880000</v>
      </c>
      <c r="O41" s="223">
        <v>58752000</v>
      </c>
      <c r="P41" s="223">
        <v>58752000</v>
      </c>
      <c r="Q41" s="224">
        <v>2</v>
      </c>
      <c r="R41" s="225" t="s">
        <v>376</v>
      </c>
      <c r="S41" s="226"/>
    </row>
    <row r="42" spans="2:19" ht="15" customHeight="1">
      <c r="B42" s="213">
        <f t="shared" si="0"/>
        <v>32</v>
      </c>
      <c r="C42" s="96" t="s">
        <v>112</v>
      </c>
      <c r="D42" s="214" t="s">
        <v>48</v>
      </c>
      <c r="E42" s="96" t="s">
        <v>143</v>
      </c>
      <c r="F42" s="215" t="s">
        <v>144</v>
      </c>
      <c r="G42" s="216" t="s">
        <v>44</v>
      </c>
      <c r="H42" s="217" t="s">
        <v>96</v>
      </c>
      <c r="I42" s="218">
        <v>45779</v>
      </c>
      <c r="J42" s="219" t="s">
        <v>377</v>
      </c>
      <c r="K42" s="220">
        <v>0.8</v>
      </c>
      <c r="L42" s="221" t="s">
        <v>45</v>
      </c>
      <c r="M42" s="222">
        <v>68000000</v>
      </c>
      <c r="N42" s="222">
        <v>68000000</v>
      </c>
      <c r="O42" s="223">
        <v>48960000</v>
      </c>
      <c r="P42" s="223">
        <v>48960000</v>
      </c>
      <c r="Q42" s="224">
        <v>4</v>
      </c>
      <c r="R42" s="225" t="s">
        <v>378</v>
      </c>
      <c r="S42" s="226"/>
    </row>
    <row r="43" spans="2:19" ht="15" customHeight="1">
      <c r="B43" s="213">
        <f t="shared" si="0"/>
        <v>33</v>
      </c>
      <c r="C43" s="96" t="s">
        <v>112</v>
      </c>
      <c r="D43" s="214" t="s">
        <v>48</v>
      </c>
      <c r="E43" s="96" t="s">
        <v>152</v>
      </c>
      <c r="F43" s="215" t="s">
        <v>153</v>
      </c>
      <c r="G43" s="216" t="s">
        <v>97</v>
      </c>
      <c r="H43" s="217" t="s">
        <v>98</v>
      </c>
      <c r="I43" s="218">
        <v>45730</v>
      </c>
      <c r="J43" s="219" t="s">
        <v>379</v>
      </c>
      <c r="K43" s="220">
        <v>0.9</v>
      </c>
      <c r="L43" s="221" t="s">
        <v>380</v>
      </c>
      <c r="M43" s="222">
        <v>30510000</v>
      </c>
      <c r="N43" s="222">
        <v>285784119</v>
      </c>
      <c r="O43" s="223">
        <v>6972300</v>
      </c>
      <c r="P43" s="223">
        <v>65308836.869999997</v>
      </c>
      <c r="Q43" s="224">
        <v>14</v>
      </c>
      <c r="R43" s="225" t="s">
        <v>381</v>
      </c>
      <c r="S43" s="226"/>
    </row>
    <row r="44" spans="2:19" ht="15" customHeight="1">
      <c r="B44" s="213">
        <f t="shared" si="0"/>
        <v>34</v>
      </c>
      <c r="C44" s="96" t="s">
        <v>112</v>
      </c>
      <c r="D44" s="214" t="s">
        <v>48</v>
      </c>
      <c r="E44" s="96" t="s">
        <v>36</v>
      </c>
      <c r="F44" s="215" t="s">
        <v>155</v>
      </c>
      <c r="G44" s="216" t="s">
        <v>44</v>
      </c>
      <c r="H44" s="217" t="s">
        <v>96</v>
      </c>
      <c r="I44" s="218">
        <v>48033</v>
      </c>
      <c r="J44" s="219" t="s">
        <v>382</v>
      </c>
      <c r="K44" s="220">
        <v>0.9</v>
      </c>
      <c r="L44" s="221" t="s">
        <v>45</v>
      </c>
      <c r="M44" s="222">
        <v>900000000</v>
      </c>
      <c r="N44" s="222">
        <v>900000000</v>
      </c>
      <c r="O44" s="223">
        <v>396000000</v>
      </c>
      <c r="P44" s="223">
        <v>396000000</v>
      </c>
      <c r="Q44" s="224">
        <v>2</v>
      </c>
      <c r="R44" s="225" t="s">
        <v>383</v>
      </c>
      <c r="S44" s="226"/>
    </row>
    <row r="45" spans="2:19" ht="15" customHeight="1">
      <c r="B45" s="213">
        <f t="shared" si="0"/>
        <v>35</v>
      </c>
      <c r="C45" s="96" t="s">
        <v>112</v>
      </c>
      <c r="D45" s="214" t="s">
        <v>48</v>
      </c>
      <c r="E45" s="96" t="s">
        <v>157</v>
      </c>
      <c r="F45" s="215" t="s">
        <v>158</v>
      </c>
      <c r="G45" s="216" t="s">
        <v>97</v>
      </c>
      <c r="H45" s="217" t="s">
        <v>98</v>
      </c>
      <c r="I45" s="218">
        <v>48880</v>
      </c>
      <c r="J45" s="219" t="s">
        <v>384</v>
      </c>
      <c r="K45" s="220">
        <v>0.95</v>
      </c>
      <c r="L45" s="221" t="s">
        <v>45</v>
      </c>
      <c r="M45" s="222">
        <v>560500000</v>
      </c>
      <c r="N45" s="222">
        <v>560500000</v>
      </c>
      <c r="O45" s="223">
        <v>336300000</v>
      </c>
      <c r="P45" s="223">
        <v>336300000</v>
      </c>
      <c r="Q45" s="224">
        <v>1</v>
      </c>
      <c r="R45" s="225" t="s">
        <v>385</v>
      </c>
      <c r="S45" s="226"/>
    </row>
    <row r="46" spans="2:19" ht="15" customHeight="1">
      <c r="B46" s="213">
        <f t="shared" si="0"/>
        <v>36</v>
      </c>
      <c r="C46" s="96" t="s">
        <v>112</v>
      </c>
      <c r="D46" s="214" t="s">
        <v>48</v>
      </c>
      <c r="E46" s="96" t="s">
        <v>181</v>
      </c>
      <c r="F46" s="215" t="s">
        <v>182</v>
      </c>
      <c r="G46" s="216" t="s">
        <v>101</v>
      </c>
      <c r="H46" s="217" t="s">
        <v>102</v>
      </c>
      <c r="I46" s="218">
        <v>45770</v>
      </c>
      <c r="J46" s="219" t="s">
        <v>386</v>
      </c>
      <c r="K46" s="220">
        <v>1</v>
      </c>
      <c r="L46" s="221" t="s">
        <v>45</v>
      </c>
      <c r="M46" s="222">
        <v>30000000</v>
      </c>
      <c r="N46" s="222">
        <v>30000000</v>
      </c>
      <c r="O46" s="223">
        <v>4951773</v>
      </c>
      <c r="P46" s="223">
        <v>4951773</v>
      </c>
      <c r="Q46" s="224">
        <v>3</v>
      </c>
      <c r="R46" s="225" t="s">
        <v>387</v>
      </c>
      <c r="S46" s="226"/>
    </row>
    <row r="47" spans="2:19" ht="15" customHeight="1">
      <c r="B47" s="213">
        <f t="shared" si="0"/>
        <v>37</v>
      </c>
      <c r="C47" s="96" t="s">
        <v>112</v>
      </c>
      <c r="D47" s="214" t="s">
        <v>49</v>
      </c>
      <c r="E47" s="96" t="s">
        <v>121</v>
      </c>
      <c r="F47" s="215" t="s">
        <v>187</v>
      </c>
      <c r="G47" s="216" t="s">
        <v>97</v>
      </c>
      <c r="H47" s="217" t="s">
        <v>98</v>
      </c>
      <c r="I47" s="218">
        <v>45842</v>
      </c>
      <c r="J47" s="219" t="s">
        <v>388</v>
      </c>
      <c r="K47" s="220">
        <v>0.85</v>
      </c>
      <c r="L47" s="221" t="s">
        <v>45</v>
      </c>
      <c r="M47" s="222">
        <v>255000000</v>
      </c>
      <c r="N47" s="222">
        <v>255000000</v>
      </c>
      <c r="O47" s="223">
        <v>73769081</v>
      </c>
      <c r="P47" s="223">
        <v>73769081</v>
      </c>
      <c r="Q47" s="224">
        <v>1</v>
      </c>
      <c r="R47" s="225" t="s">
        <v>389</v>
      </c>
      <c r="S47" s="226"/>
    </row>
    <row r="48" spans="2:19" ht="15" customHeight="1">
      <c r="B48" s="213">
        <f t="shared" si="0"/>
        <v>38</v>
      </c>
      <c r="C48" s="96" t="s">
        <v>112</v>
      </c>
      <c r="D48" s="214" t="s">
        <v>49</v>
      </c>
      <c r="E48" s="96" t="s">
        <v>121</v>
      </c>
      <c r="F48" s="215" t="s">
        <v>187</v>
      </c>
      <c r="G48" s="216" t="s">
        <v>97</v>
      </c>
      <c r="H48" s="217" t="s">
        <v>98</v>
      </c>
      <c r="I48" s="218">
        <v>45912</v>
      </c>
      <c r="J48" s="219" t="s">
        <v>390</v>
      </c>
      <c r="K48" s="220">
        <v>0.95</v>
      </c>
      <c r="L48" s="221" t="s">
        <v>45</v>
      </c>
      <c r="M48" s="222">
        <v>380000000</v>
      </c>
      <c r="N48" s="222">
        <v>380000000</v>
      </c>
      <c r="O48" s="223">
        <v>380000000</v>
      </c>
      <c r="P48" s="223">
        <v>380000000</v>
      </c>
      <c r="Q48" s="224">
        <v>2</v>
      </c>
      <c r="R48" s="225" t="s">
        <v>391</v>
      </c>
      <c r="S48" s="226"/>
    </row>
    <row r="49" spans="2:19" ht="15" customHeight="1">
      <c r="B49" s="213">
        <f t="shared" si="0"/>
        <v>39</v>
      </c>
      <c r="C49" s="96" t="s">
        <v>112</v>
      </c>
      <c r="D49" s="214" t="s">
        <v>49</v>
      </c>
      <c r="E49" s="96" t="s">
        <v>190</v>
      </c>
      <c r="F49" s="215" t="s">
        <v>191</v>
      </c>
      <c r="G49" s="216" t="s">
        <v>44</v>
      </c>
      <c r="H49" s="217" t="s">
        <v>96</v>
      </c>
      <c r="I49" s="218">
        <v>45786</v>
      </c>
      <c r="J49" s="219" t="s">
        <v>392</v>
      </c>
      <c r="K49" s="220">
        <v>0.75</v>
      </c>
      <c r="L49" s="221" t="s">
        <v>45</v>
      </c>
      <c r="M49" s="222">
        <v>58400000</v>
      </c>
      <c r="N49" s="222">
        <v>58400000</v>
      </c>
      <c r="O49" s="223">
        <v>54750000</v>
      </c>
      <c r="P49" s="223">
        <v>54750000</v>
      </c>
      <c r="Q49" s="224">
        <v>1</v>
      </c>
      <c r="R49" s="225" t="s">
        <v>393</v>
      </c>
      <c r="S49" s="226"/>
    </row>
    <row r="50" spans="2:19" ht="15" customHeight="1">
      <c r="B50" s="213">
        <f t="shared" si="0"/>
        <v>40</v>
      </c>
      <c r="C50" s="96" t="s">
        <v>112</v>
      </c>
      <c r="D50" s="214" t="s">
        <v>49</v>
      </c>
      <c r="E50" s="96" t="s">
        <v>190</v>
      </c>
      <c r="F50" s="215" t="s">
        <v>191</v>
      </c>
      <c r="G50" s="216" t="s">
        <v>101</v>
      </c>
      <c r="H50" s="217" t="s">
        <v>102</v>
      </c>
      <c r="I50" s="218">
        <v>45681</v>
      </c>
      <c r="J50" s="219" t="s">
        <v>394</v>
      </c>
      <c r="K50" s="220">
        <v>1</v>
      </c>
      <c r="L50" s="221" t="s">
        <v>45</v>
      </c>
      <c r="M50" s="222">
        <v>100000000</v>
      </c>
      <c r="N50" s="222">
        <v>100000000</v>
      </c>
      <c r="O50" s="223">
        <v>12500000</v>
      </c>
      <c r="P50" s="223">
        <v>12500000</v>
      </c>
      <c r="Q50" s="224">
        <v>2</v>
      </c>
      <c r="R50" s="225" t="s">
        <v>395</v>
      </c>
      <c r="S50" s="226"/>
    </row>
    <row r="51" spans="2:19" ht="15" customHeight="1">
      <c r="B51" s="213">
        <f t="shared" si="0"/>
        <v>41</v>
      </c>
      <c r="C51" s="96" t="s">
        <v>112</v>
      </c>
      <c r="D51" s="214" t="s">
        <v>49</v>
      </c>
      <c r="E51" s="96" t="s">
        <v>190</v>
      </c>
      <c r="F51" s="215" t="s">
        <v>191</v>
      </c>
      <c r="G51" s="216" t="s">
        <v>44</v>
      </c>
      <c r="H51" s="217" t="s">
        <v>96</v>
      </c>
      <c r="I51" s="218">
        <v>45770</v>
      </c>
      <c r="J51" s="219" t="s">
        <v>396</v>
      </c>
      <c r="K51" s="220">
        <v>0.75</v>
      </c>
      <c r="L51" s="221" t="s">
        <v>45</v>
      </c>
      <c r="M51" s="222">
        <v>115200000</v>
      </c>
      <c r="N51" s="222">
        <v>115200000</v>
      </c>
      <c r="O51" s="223">
        <v>108000000</v>
      </c>
      <c r="P51" s="223">
        <v>108000000</v>
      </c>
      <c r="Q51" s="224">
        <v>3</v>
      </c>
      <c r="R51" s="225" t="s">
        <v>397</v>
      </c>
      <c r="S51" s="226"/>
    </row>
    <row r="52" spans="2:19" ht="15" customHeight="1">
      <c r="B52" s="213">
        <f t="shared" si="0"/>
        <v>42</v>
      </c>
      <c r="C52" s="96" t="s">
        <v>112</v>
      </c>
      <c r="D52" s="214" t="s">
        <v>49</v>
      </c>
      <c r="E52" s="96" t="s">
        <v>190</v>
      </c>
      <c r="F52" s="215" t="s">
        <v>191</v>
      </c>
      <c r="G52" s="216" t="s">
        <v>101</v>
      </c>
      <c r="H52" s="217" t="s">
        <v>102</v>
      </c>
      <c r="I52" s="218">
        <v>46604</v>
      </c>
      <c r="J52" s="219" t="s">
        <v>398</v>
      </c>
      <c r="K52" s="220">
        <v>1</v>
      </c>
      <c r="L52" s="221" t="s">
        <v>45</v>
      </c>
      <c r="M52" s="222">
        <v>20000000</v>
      </c>
      <c r="N52" s="222">
        <v>20000000</v>
      </c>
      <c r="O52" s="223">
        <v>13530000</v>
      </c>
      <c r="P52" s="223">
        <v>13530000</v>
      </c>
      <c r="Q52" s="224">
        <v>5</v>
      </c>
      <c r="R52" s="225" t="s">
        <v>399</v>
      </c>
      <c r="S52" s="226"/>
    </row>
    <row r="53" spans="2:19" ht="15" customHeight="1">
      <c r="B53" s="213">
        <f t="shared" si="0"/>
        <v>43</v>
      </c>
      <c r="C53" s="96" t="s">
        <v>112</v>
      </c>
      <c r="D53" s="214" t="s">
        <v>49</v>
      </c>
      <c r="E53" s="96" t="s">
        <v>193</v>
      </c>
      <c r="F53" s="215" t="s">
        <v>194</v>
      </c>
      <c r="G53" s="216" t="s">
        <v>44</v>
      </c>
      <c r="H53" s="217" t="s">
        <v>96</v>
      </c>
      <c r="I53" s="218">
        <v>45674</v>
      </c>
      <c r="J53" s="219" t="s">
        <v>400</v>
      </c>
      <c r="K53" s="220">
        <v>0.9</v>
      </c>
      <c r="L53" s="221" t="s">
        <v>45</v>
      </c>
      <c r="M53" s="222">
        <v>297000000</v>
      </c>
      <c r="N53" s="222">
        <v>297000000</v>
      </c>
      <c r="O53" s="223">
        <v>297000000</v>
      </c>
      <c r="P53" s="223">
        <v>297000000</v>
      </c>
      <c r="Q53" s="224">
        <v>2</v>
      </c>
      <c r="R53" s="225" t="s">
        <v>401</v>
      </c>
      <c r="S53" s="226"/>
    </row>
    <row r="54" spans="2:19" ht="15" customHeight="1">
      <c r="B54" s="213">
        <f t="shared" si="0"/>
        <v>44</v>
      </c>
      <c r="C54" s="96" t="s">
        <v>112</v>
      </c>
      <c r="D54" s="214" t="s">
        <v>49</v>
      </c>
      <c r="E54" s="96" t="s">
        <v>193</v>
      </c>
      <c r="F54" s="215" t="s">
        <v>194</v>
      </c>
      <c r="G54" s="216" t="s">
        <v>44</v>
      </c>
      <c r="H54" s="217" t="s">
        <v>96</v>
      </c>
      <c r="I54" s="218">
        <v>45775</v>
      </c>
      <c r="J54" s="219" t="s">
        <v>402</v>
      </c>
      <c r="K54" s="220">
        <v>0.9</v>
      </c>
      <c r="L54" s="221" t="s">
        <v>45</v>
      </c>
      <c r="M54" s="222">
        <v>90000000</v>
      </c>
      <c r="N54" s="222">
        <v>90000000</v>
      </c>
      <c r="O54" s="223">
        <v>90000000</v>
      </c>
      <c r="P54" s="223">
        <v>90000000</v>
      </c>
      <c r="Q54" s="224">
        <v>3</v>
      </c>
      <c r="R54" s="225" t="s">
        <v>403</v>
      </c>
      <c r="S54" s="226"/>
    </row>
    <row r="55" spans="2:19" ht="15" customHeight="1">
      <c r="B55" s="213">
        <f t="shared" si="0"/>
        <v>45</v>
      </c>
      <c r="C55" s="96" t="s">
        <v>112</v>
      </c>
      <c r="D55" s="214" t="s">
        <v>49</v>
      </c>
      <c r="E55" s="96" t="s">
        <v>193</v>
      </c>
      <c r="F55" s="215" t="s">
        <v>194</v>
      </c>
      <c r="G55" s="216" t="s">
        <v>404</v>
      </c>
      <c r="H55" s="217" t="s">
        <v>102</v>
      </c>
      <c r="I55" s="218">
        <v>45813</v>
      </c>
      <c r="J55" s="219" t="s">
        <v>405</v>
      </c>
      <c r="K55" s="220">
        <v>1</v>
      </c>
      <c r="L55" s="221" t="s">
        <v>45</v>
      </c>
      <c r="M55" s="222">
        <v>30000000</v>
      </c>
      <c r="N55" s="222">
        <v>30000000</v>
      </c>
      <c r="O55" s="223">
        <v>4960000</v>
      </c>
      <c r="P55" s="223">
        <v>4960000</v>
      </c>
      <c r="Q55" s="224">
        <v>4</v>
      </c>
      <c r="R55" s="225" t="s">
        <v>406</v>
      </c>
      <c r="S55" s="226"/>
    </row>
    <row r="56" spans="2:19" ht="15" customHeight="1">
      <c r="B56" s="213">
        <f t="shared" si="0"/>
        <v>46</v>
      </c>
      <c r="C56" s="96" t="s">
        <v>112</v>
      </c>
      <c r="D56" s="214" t="s">
        <v>49</v>
      </c>
      <c r="E56" s="96" t="s">
        <v>199</v>
      </c>
      <c r="F56" s="215" t="s">
        <v>200</v>
      </c>
      <c r="G56" s="216" t="s">
        <v>44</v>
      </c>
      <c r="H56" s="217" t="s">
        <v>96</v>
      </c>
      <c r="I56" s="218">
        <v>45793</v>
      </c>
      <c r="J56" s="219" t="s">
        <v>407</v>
      </c>
      <c r="K56" s="220">
        <v>0.85</v>
      </c>
      <c r="L56" s="221" t="s">
        <v>408</v>
      </c>
      <c r="M56" s="222">
        <v>137700</v>
      </c>
      <c r="N56" s="222">
        <v>199238130</v>
      </c>
      <c r="O56" s="223">
        <v>110500</v>
      </c>
      <c r="P56" s="223">
        <v>164059350</v>
      </c>
      <c r="Q56" s="224" t="s">
        <v>409</v>
      </c>
      <c r="R56" s="225" t="s">
        <v>410</v>
      </c>
      <c r="S56" s="226"/>
    </row>
    <row r="57" spans="2:19" ht="15" customHeight="1">
      <c r="B57" s="213">
        <f t="shared" si="0"/>
        <v>47</v>
      </c>
      <c r="C57" s="96" t="s">
        <v>112</v>
      </c>
      <c r="D57" s="214" t="s">
        <v>49</v>
      </c>
      <c r="E57" s="96" t="s">
        <v>199</v>
      </c>
      <c r="F57" s="215" t="s">
        <v>200</v>
      </c>
      <c r="G57" s="216" t="s">
        <v>44</v>
      </c>
      <c r="H57" s="217" t="s">
        <v>96</v>
      </c>
      <c r="I57" s="218">
        <v>45625</v>
      </c>
      <c r="J57" s="219" t="s">
        <v>411</v>
      </c>
      <c r="K57" s="220">
        <v>0.8</v>
      </c>
      <c r="L57" s="221" t="s">
        <v>45</v>
      </c>
      <c r="M57" s="222">
        <v>383200000</v>
      </c>
      <c r="N57" s="222">
        <v>383200000</v>
      </c>
      <c r="O57" s="223">
        <v>319999638</v>
      </c>
      <c r="P57" s="223">
        <v>319999638</v>
      </c>
      <c r="Q57" s="224">
        <v>1</v>
      </c>
      <c r="R57" s="225" t="s">
        <v>412</v>
      </c>
      <c r="S57" s="226"/>
    </row>
    <row r="58" spans="2:19" ht="15" customHeight="1">
      <c r="B58" s="213">
        <f t="shared" si="0"/>
        <v>48</v>
      </c>
      <c r="C58" s="96" t="s">
        <v>112</v>
      </c>
      <c r="D58" s="214" t="s">
        <v>49</v>
      </c>
      <c r="E58" s="96" t="s">
        <v>202</v>
      </c>
      <c r="F58" s="215" t="s">
        <v>203</v>
      </c>
      <c r="G58" s="216" t="s">
        <v>44</v>
      </c>
      <c r="H58" s="217" t="s">
        <v>96</v>
      </c>
      <c r="I58" s="218">
        <v>45702</v>
      </c>
      <c r="J58" s="219" t="s">
        <v>413</v>
      </c>
      <c r="K58" s="220">
        <v>0.8</v>
      </c>
      <c r="L58" s="221" t="s">
        <v>45</v>
      </c>
      <c r="M58" s="222">
        <v>40000000</v>
      </c>
      <c r="N58" s="222">
        <v>40000000</v>
      </c>
      <c r="O58" s="223">
        <v>35928225</v>
      </c>
      <c r="P58" s="223">
        <v>35928225</v>
      </c>
      <c r="Q58" s="224">
        <v>2</v>
      </c>
      <c r="R58" s="225" t="s">
        <v>414</v>
      </c>
      <c r="S58" s="226"/>
    </row>
    <row r="59" spans="2:19" ht="15" customHeight="1">
      <c r="B59" s="213">
        <f t="shared" si="0"/>
        <v>49</v>
      </c>
      <c r="C59" s="96" t="s">
        <v>112</v>
      </c>
      <c r="D59" s="214" t="s">
        <v>49</v>
      </c>
      <c r="E59" s="96" t="s">
        <v>202</v>
      </c>
      <c r="F59" s="215" t="s">
        <v>203</v>
      </c>
      <c r="G59" s="216" t="s">
        <v>44</v>
      </c>
      <c r="H59" s="217" t="s">
        <v>96</v>
      </c>
      <c r="I59" s="218">
        <v>45646</v>
      </c>
      <c r="J59" s="219" t="s">
        <v>415</v>
      </c>
      <c r="K59" s="220">
        <v>0.85</v>
      </c>
      <c r="L59" s="221" t="s">
        <v>45</v>
      </c>
      <c r="M59" s="222">
        <v>68850000</v>
      </c>
      <c r="N59" s="222">
        <v>68850000</v>
      </c>
      <c r="O59" s="223">
        <v>64600000</v>
      </c>
      <c r="P59" s="223">
        <v>64600000</v>
      </c>
      <c r="Q59" s="224">
        <v>3</v>
      </c>
      <c r="R59" s="225" t="s">
        <v>416</v>
      </c>
      <c r="S59" s="226"/>
    </row>
    <row r="60" spans="2:19" ht="15" customHeight="1">
      <c r="B60" s="213">
        <f t="shared" si="0"/>
        <v>50</v>
      </c>
      <c r="C60" s="96" t="s">
        <v>112</v>
      </c>
      <c r="D60" s="214" t="s">
        <v>49</v>
      </c>
      <c r="E60" s="96" t="s">
        <v>202</v>
      </c>
      <c r="F60" s="215" t="s">
        <v>203</v>
      </c>
      <c r="G60" s="227" t="s">
        <v>44</v>
      </c>
      <c r="H60" s="217" t="s">
        <v>103</v>
      </c>
      <c r="I60" s="218">
        <v>46015</v>
      </c>
      <c r="J60" s="219" t="s">
        <v>417</v>
      </c>
      <c r="K60" s="220">
        <v>0.95</v>
      </c>
      <c r="L60" s="221" t="s">
        <v>45</v>
      </c>
      <c r="M60" s="222">
        <v>19000000</v>
      </c>
      <c r="N60" s="222">
        <v>19000000</v>
      </c>
      <c r="O60" s="223">
        <v>7695000</v>
      </c>
      <c r="P60" s="223">
        <v>7695000</v>
      </c>
      <c r="Q60" s="224">
        <v>7</v>
      </c>
      <c r="R60" s="277" t="s">
        <v>418</v>
      </c>
      <c r="S60" s="228"/>
    </row>
    <row r="61" spans="2:19" ht="12" customHeight="1" thickBot="1">
      <c r="B61" s="278"/>
      <c r="C61" s="247"/>
      <c r="D61" s="279"/>
      <c r="E61" s="247"/>
      <c r="F61" s="280"/>
      <c r="G61" s="281"/>
      <c r="H61" s="282"/>
      <c r="I61" s="283"/>
      <c r="J61" s="284"/>
      <c r="K61" s="285"/>
      <c r="L61" s="286"/>
      <c r="M61" s="287"/>
      <c r="N61" s="287"/>
      <c r="O61" s="288"/>
      <c r="P61" s="288"/>
      <c r="Q61" s="289"/>
      <c r="R61" s="290"/>
      <c r="S61" s="291"/>
    </row>
  </sheetData>
  <phoneticPr fontId="4" type="noConversion"/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현금흐름취합</vt:lpstr>
      <vt:lpstr>검증</vt:lpstr>
      <vt:lpstr>Sheet A</vt:lpstr>
      <vt:lpstr>일반여신</vt:lpstr>
      <vt:lpstr>가지급금</vt:lpstr>
      <vt:lpstr>Sheet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cpabc</dc:creator>
  <cp:lastModifiedBy>sunyoung moon</cp:lastModifiedBy>
  <dcterms:created xsi:type="dcterms:W3CDTF">2020-06-02T23:01:34Z</dcterms:created>
  <dcterms:modified xsi:type="dcterms:W3CDTF">2025-02-27T01:50:46Z</dcterms:modified>
</cp:coreProperties>
</file>